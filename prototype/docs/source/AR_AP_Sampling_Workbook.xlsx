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opulation" sheetId="2" state="visible" r:id="rId4"/>
    <sheet name="Validation" sheetId="3" state="visible" r:id="rId5"/>
    <sheet name="1_P1 Above" sheetId="4" state="visible" r:id="rId6"/>
    <sheet name="2_P1 Below Sample" sheetId="5" state="visible" r:id="rId7"/>
    <sheet name="3_P2 Above" sheetId="6" state="visible" r:id="rId8"/>
    <sheet name="4_P2 Below Sample" sheetId="7" state="visible" r:id="rId9"/>
    <sheet name="Excluded Nil Balance" sheetId="8" state="visible" r:id="rId10"/>
  </sheets>
  <definedNames>
    <definedName function="false" hidden="true" localSheetId="1" name="_xlnm._FilterDatabase" vbProcedure="false">Population!$A$1:$V$1092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<sst xmlns="http://schemas.openxmlformats.org/spreadsheetml/2006/main" count="6319" uniqueCount="2049">
  <si>
    <t xml:space="preserve">AR &amp; AP Audit Sampling – Summary</t>
  </si>
  <si>
    <t xml:space="preserve">INPUTS</t>
  </si>
  <si>
    <t xml:space="preserve">Population basis (toggle)</t>
  </si>
  <si>
    <t xml:space="preserve">By ledger</t>
  </si>
  <si>
    <t xml:space="preserve">By ledger = AR population (AR file) and AP population (AP file), each tested on its own.  By side = AR + Supplier Advances vs AP + Customer Advances.</t>
  </si>
  <si>
    <t xml:space="preserve">Materiality (SR)</t>
  </si>
  <si>
    <t xml:space="preserve">Provided by user (10,000). Book1.xlsx shows 500 (header) and 4,000 (calculated) – not used.</t>
  </si>
  <si>
    <t xml:space="preserve">Confidence factor (toggle: 0.5 / 0.75 / 1)</t>
  </si>
  <si>
    <t xml:space="preserve">Required n – Population 1 (AR + Supplier Advances)</t>
  </si>
  <si>
    <t xml:space="preserve">Required n – Population 2 (AP + Customer Advances)</t>
  </si>
  <si>
    <t xml:space="preserve">Below-materiality selection method (toggle)</t>
  </si>
  <si>
    <t xml:space="preserve">Highest value</t>
  </si>
  <si>
    <t xml:space="preserve">Highest value = the n largest below-materiality accounts (default). Random = random number, sorted high to low, top n.</t>
  </si>
  <si>
    <t xml:space="preserve">Random seed (kept for the Random option)</t>
  </si>
  <si>
    <t xml:space="preserve">9590851565024595472</t>
  </si>
  <si>
    <t xml:space="preserve">One independent random draw per non-nil party; stored as fixed values (Population, column T).</t>
  </si>
  <si>
    <t xml:space="preserve">SAMPLING SUMMARY</t>
  </si>
  <si>
    <t xml:space="preserve">Particular</t>
  </si>
  <si>
    <t xml:space="preserve">Materiality</t>
  </si>
  <si>
    <t xml:space="preserve">Total population (items)</t>
  </si>
  <si>
    <t xml:space="preserve">Total population value (absolute, SR)</t>
  </si>
  <si>
    <t xml:space="preserve">Above-materiality transactions</t>
  </si>
  <si>
    <t xml:space="preserve">Above-materiality samples selected</t>
  </si>
  <si>
    <t xml:space="preserve">Below-materiality population (items)</t>
  </si>
  <si>
    <t xml:space="preserve">Below-materiality population value (absolute, SR)</t>
  </si>
  <si>
    <t xml:space="preserve">Required below-materiality sample size (n)</t>
  </si>
  <si>
    <t xml:space="preserve">Below-materiality samples selected</t>
  </si>
  <si>
    <t xml:space="preserve">COMPOSITION OF THE POPULATIONS (by source ledger)</t>
  </si>
  <si>
    <t xml:space="preserve">Source ledger</t>
  </si>
  <si>
    <t xml:space="preserve">Parties (items)</t>
  </si>
  <si>
    <t xml:space="preserve">Value (absolute, SR)</t>
  </si>
  <si>
    <t xml:space="preserve">Population</t>
  </si>
  <si>
    <t xml:space="preserve">Accounts Receivable</t>
  </si>
  <si>
    <t xml:space="preserve">AR file, positive closing balance</t>
  </si>
  <si>
    <t xml:space="preserve">Supplier Advances</t>
  </si>
  <si>
    <t xml:space="preserve">AP file, positive closing balance (debit)</t>
  </si>
  <si>
    <t xml:space="preserve">Accounts Payable</t>
  </si>
  <si>
    <t xml:space="preserve">AP file, negative closing balance (credit)</t>
  </si>
  <si>
    <t xml:space="preserve">Customer Advances</t>
  </si>
  <si>
    <t xml:space="preserve">AR file, negative closing balance (credit)</t>
  </si>
  <si>
    <t xml:space="preserve">Nil closing balance (excluded – see sheet)</t>
  </si>
  <si>
    <t xml:space="preserve">Excluded</t>
  </si>
  <si>
    <t xml:space="preserve">NOTES</t>
  </si>
  <si>
    <t xml:space="preserve">Basis: no transaction-level ledgers exist, so each party's CLOSING BALANCE is one population item (Original Amount = signed closing balance; Absolute Amount = ABS).</t>
  </si>
  <si>
    <t xml:space="preserve">Sign convention (per user): AR file positive = receivable, negative = customer advance; AP file negative = payable, positive = supplier advance.</t>
  </si>
  <si>
    <t xml:space="preserve">Reference Number, Date and Ledger Code are blank: the source files are party-wise totals and carry none of them. Source file and row are shown for traceability.</t>
  </si>
  <si>
    <t xml:space="preserve">Sample size n = ROUND(below-materiality population value ÷ (materiality ÷ confidence factor)), per population; no risk-level cap. Confidence factor toggle is in C6 (0.5 / 0.75 / 1).</t>
  </si>
  <si>
    <t xml:space="preserve">Below-materiality selection: default is the n HIGHEST-VALUE accounts (ranked by Absolute Amount). Switch C9 to Random for random-number selection.</t>
  </si>
  <si>
    <t xml:space="preserve">No.</t>
  </si>
  <si>
    <t xml:space="preserve">Reference Number</t>
  </si>
  <si>
    <t xml:space="preserve">Date</t>
  </si>
  <si>
    <t xml:space="preserve">Ledger Code</t>
  </si>
  <si>
    <t xml:space="preserve">Ledger Name</t>
  </si>
  <si>
    <t xml:space="preserve">Particulars</t>
  </si>
  <si>
    <t xml:space="preserve">Source File</t>
  </si>
  <si>
    <t xml:space="preserve">Source Row</t>
  </si>
  <si>
    <t xml:space="preserve">Opening</t>
  </si>
  <si>
    <t xml:space="preserve">Debit</t>
  </si>
  <si>
    <t xml:space="preserve">Credit</t>
  </si>
  <si>
    <t xml:space="preserve">Original Amount (Closing)</t>
  </si>
  <si>
    <t xml:space="preserve">Absolute Amount</t>
  </si>
  <si>
    <t xml:space="preserve">Source Ledger</t>
  </si>
  <si>
    <t xml:space="preserve">Selection Category</t>
  </si>
  <si>
    <t xml:space="preserve">Random Number (below-materiality only)</t>
  </si>
  <si>
    <t xml:space="preserve">Above rank</t>
  </si>
  <si>
    <t xml:space="preserve">Selection rank</t>
  </si>
  <si>
    <t xml:space="preserve">Stored random draw</t>
  </si>
  <si>
    <t xml:space="preserve">Key – above</t>
  </si>
  <si>
    <t xml:space="preserve">Key – selection</t>
  </si>
  <si>
    <t xml:space="preserve">HAN S LASER SMART EQUIPMENT GROUP CO.LTD [CHINA]</t>
  </si>
  <si>
    <t xml:space="preserve">Party-wise closing balance (Opening 0.00; Debit 177,190.20; Credit 0.00)</t>
  </si>
  <si>
    <t xml:space="preserve">AP file</t>
  </si>
  <si>
    <t xml:space="preserve">ERAM POWER ELECTRONICS COMPANY</t>
  </si>
  <si>
    <t xml:space="preserve">Party-wise closing balance (Opening 275,982.75; Debit 955,512.58; Credit 1,129,685.18)</t>
  </si>
  <si>
    <t xml:space="preserve">AR file</t>
  </si>
  <si>
    <t xml:space="preserve">KHALID GENERAL CONTRACTING CO.</t>
  </si>
  <si>
    <t xml:space="preserve">Party-wise closing balance (Opening 90,920.30; Debit 2,081.50; Credit 2,081.50)</t>
  </si>
  <si>
    <t xml:space="preserve">SIGN CITY TRADING COMPANY</t>
  </si>
  <si>
    <t xml:space="preserve">Party-wise closing balance (Opening 0.00; Debit 153,563.00; Credit 225,737.00)</t>
  </si>
  <si>
    <t xml:space="preserve">KHALID INDUSTRIAL MARBLE FACTORY</t>
  </si>
  <si>
    <t xml:space="preserve">Party-wise closing balance (Opening 58,002.75; Debit 0.00; Credit 0.00)</t>
  </si>
  <si>
    <t xml:space="preserve">EASTERN SOURCES COMPANY FOR ENERGY AND INDUSTRIAL COMMERCIAL SERVICES</t>
  </si>
  <si>
    <t xml:space="preserve">Party-wise closing balance (Opening 0.00; Debit 59,641.88; Credit 2,199.38)</t>
  </si>
  <si>
    <t xml:space="preserve"> JUMEIRAH TRADING COMPANY LIMITED</t>
  </si>
  <si>
    <t xml:space="preserve">Party-wise closing balance (Opening 0.00; Debit 56,892.80; Credit 772.80)</t>
  </si>
  <si>
    <t xml:space="preserve">FAB MODERN INDUSTRY CO.</t>
  </si>
  <si>
    <t xml:space="preserve">Party-wise closing balance (Opening 28,188.06; Debit 27,128.50; Credit 4,150.00)</t>
  </si>
  <si>
    <t xml:space="preserve">THE GLOBAL COMPANY FOR MODERN PRINTING &amp; COPYING</t>
  </si>
  <si>
    <t xml:space="preserve">Party-wise closing balance (Opening 0.00; Debit 22,333.00; Credit 69,036.00)</t>
  </si>
  <si>
    <t xml:space="preserve">ERAM FLOORING COMPANY</t>
  </si>
  <si>
    <t xml:space="preserve">Party-wise closing balance (Opening 0.00; Debit 80,425.25; Credit 39,600.25)</t>
  </si>
  <si>
    <t xml:space="preserve">FAHAD DILSHAD JAN FACTORY CO.</t>
  </si>
  <si>
    <t xml:space="preserve">Party-wise closing balance (Opening 95,070.83; Debit 2,541.50; Credit 56,794.00)</t>
  </si>
  <si>
    <t xml:space="preserve">AFAN MIDDLE EAST CO.</t>
  </si>
  <si>
    <t xml:space="preserve">Party-wise closing balance (Opening 0.00; Debit 1,060.00; Credit 41,425.00)</t>
  </si>
  <si>
    <t xml:space="preserve">KHALID AL BAHAR CONTRACTING EST</t>
  </si>
  <si>
    <t xml:space="preserve">Party-wise closing balance (Opening 37,988.75; Debit 0.00; Credit 0.00)</t>
  </si>
  <si>
    <t xml:space="preserve">EAST BREEZE ADVERTISING</t>
  </si>
  <si>
    <t xml:space="preserve">Party-wise closing balance (Opening 28,606.34; Debit 148,120.64; Credit 140,000.00)</t>
  </si>
  <si>
    <t xml:space="preserve">GLOBAL TECHNICAL SYSTEMS TRADING EST (LIBU)</t>
  </si>
  <si>
    <t xml:space="preserve">Party-wise closing balance (Opening 0.00; Debit 98,350.88; Credit 63,155.00)</t>
  </si>
  <si>
    <t xml:space="preserve">AL-HUWAIS TRADING CO.</t>
  </si>
  <si>
    <t xml:space="preserve">Party-wise closing balance (Opening 0.00; Debit 165,044.55; Credit 198,831.55)</t>
  </si>
  <si>
    <t xml:space="preserve">PEPPERL FUCHS\ GULF LLC</t>
  </si>
  <si>
    <t xml:space="preserve">Party-wise closing balance (Opening 0.00; Debit 48,788.75; Credit 17,526.00)</t>
  </si>
  <si>
    <t xml:space="preserve">MAI STRUCTURE COMPANY</t>
  </si>
  <si>
    <t xml:space="preserve">Party-wise closing balance (Opening 31,130.62; Debit 7,683.15; Credit 7,684.00)</t>
  </si>
  <si>
    <t xml:space="preserve">SAUDI HIDAYATH COMPANY LTD</t>
  </si>
  <si>
    <t xml:space="preserve">Party-wise closing balance (Opening 0.00; Debit 763,382.00; Credit 793,176.00)</t>
  </si>
  <si>
    <t xml:space="preserve">METALLIC EAGLE CONTRACTING COMPANY</t>
  </si>
  <si>
    <t xml:space="preserve">Party-wise closing balance (Opening 23,741.18; Debit 8,364.53; Credit 3,015.00)</t>
  </si>
  <si>
    <t xml:space="preserve">BUSTAN AL ARABIYA INDUSTRIAL CO.</t>
  </si>
  <si>
    <t xml:space="preserve">Party-wise closing balance (Opening 26,534.45; Debit 1,688.20; Credit 106.90)</t>
  </si>
  <si>
    <t xml:space="preserve">EAST &amp;WEST FACTORY</t>
  </si>
  <si>
    <t xml:space="preserve">Party-wise closing balance (Opening 26,680.00; Debit 0.00; Credit 0.00)</t>
  </si>
  <si>
    <t xml:space="preserve">ERAM HYDRAULICS COMPANY</t>
  </si>
  <si>
    <t xml:space="preserve">Party-wise closing balance (Opening 11,500.00; Debit 151,673.50; Credit 137,936.75)</t>
  </si>
  <si>
    <t xml:space="preserve">PRIMETECH INTERNATIONAL</t>
  </si>
  <si>
    <t xml:space="preserve">Party-wise closing balance (Opening -13,315.25; Debit 148,160.25; Credit 111,262.00)</t>
  </si>
  <si>
    <t xml:space="preserve">SAHARY AL-ALAMEEN COMPANY</t>
  </si>
  <si>
    <t xml:space="preserve">Party-wise closing balance (Opening 58,739.96; Debit 60,770.60; Credit 96,343.20)</t>
  </si>
  <si>
    <t xml:space="preserve">MAROUJ RAWAN ADVERTISING AND PUBLICITY AGENCY (NOUSHAD)</t>
  </si>
  <si>
    <t xml:space="preserve">Party-wise closing balance (Opening 0.40; Debit 25,042.23; Credit 2,917.00)</t>
  </si>
  <si>
    <t xml:space="preserve">JANA LINES ADVERTISING</t>
  </si>
  <si>
    <t xml:space="preserve">Party-wise closing balance (Opening 0.00; Debit 34,626.50; Credit 12,937.50)</t>
  </si>
  <si>
    <t xml:space="preserve">ERAM PRINTING AND PACKAGING FACTORY CO.</t>
  </si>
  <si>
    <t xml:space="preserve">Party-wise closing balance (Opening 14,766.90; Debit 38,192.50; Credit 31,385.40)</t>
  </si>
  <si>
    <t xml:space="preserve">GULF YOUTH ADVERTISING AGENCY</t>
  </si>
  <si>
    <t xml:space="preserve">Party-wise closing balance (Opening 3,407.00; Debit 138,001.15; Credit 119,997.70)</t>
  </si>
  <si>
    <t xml:space="preserve">OUR INDUSTRIAL COMPANY</t>
  </si>
  <si>
    <t xml:space="preserve">Party-wise closing balance (Opening 0.00; Debit 26,055.76; Credit 6,655.26)</t>
  </si>
  <si>
    <t xml:space="preserve">HIGHNESS DEVELOPMENT WORKSHOP</t>
  </si>
  <si>
    <t xml:space="preserve">Party-wise closing balance (Opening 12,962.73; Debit 78,010.25; Credit 72,118.00)</t>
  </si>
  <si>
    <t xml:space="preserve">WORLD FAFA TRADING CO.</t>
  </si>
  <si>
    <t xml:space="preserve">Party-wise closing balance (Opening 18,594.03; Debit 39,290.64; Credit 39,774.00)</t>
  </si>
  <si>
    <t xml:space="preserve">ZRAR SIGN</t>
  </si>
  <si>
    <t xml:space="preserve">Party-wise closing balance (Opening 5,650.45; Debit 144,481.41; Credit 132,246.85)</t>
  </si>
  <si>
    <t xml:space="preserve">KOMBAN-WILD ELEPHANT COMPANY LIMITED ONE PERSON</t>
  </si>
  <si>
    <t xml:space="preserve">Party-wise closing balance (Opening 4,611.50; Debit 42,364.85; Credit 30,713.05)</t>
  </si>
  <si>
    <t xml:space="preserve">INDUSTRIAL FABRICATION FACTORY</t>
  </si>
  <si>
    <t xml:space="preserve">Party-wise closing balance (Opening 0.00; Debit 0.00; Credit 14,817.00)</t>
  </si>
  <si>
    <t xml:space="preserve">GULF GRACE ENGINEERING</t>
  </si>
  <si>
    <t xml:space="preserve">Party-wise closing balance (Opening 35,898.48; Debit 52,724.05; Credit 73,845.50)</t>
  </si>
  <si>
    <t xml:space="preserve">COMPLITION EXCELLENT WORK EST:</t>
  </si>
  <si>
    <t xml:space="preserve">Party-wise closing balance (Opening -7,000.00; Debit 31,274.83; Credit 10,000.00)</t>
  </si>
  <si>
    <t xml:space="preserve">RSH MATERIAL COMPANY</t>
  </si>
  <si>
    <t xml:space="preserve">Party-wise closing balance (Opening -29,890.00; Debit 56,239.30; Credit 13,989.25)</t>
  </si>
  <si>
    <t xml:space="preserve">BROOQ AL KHALEEJ GENERAL CONTRACTING COMPANY IS A ONE-PERSON LIMITED LIABILITY C</t>
  </si>
  <si>
    <t xml:space="preserve">Party-wise closing balance (Opening 0.00; Debit 26,239.55; Credit 14,103.60)</t>
  </si>
  <si>
    <t xml:space="preserve">TRI-ATOMIC ELECTRICAL TRAD EST:</t>
  </si>
  <si>
    <t xml:space="preserve">Party-wise closing balance (Opening 0.00; Debit 25,650.18; Credit 15,000.00)</t>
  </si>
  <si>
    <t xml:space="preserve">SALMAN BIN SALE STEEL PRODUCT COMPANY</t>
  </si>
  <si>
    <t xml:space="preserve">Party-wise closing balance (Opening 12,764.10; Debit 40,727.25; Credit 42,965.15)</t>
  </si>
  <si>
    <t xml:space="preserve">AL MAJDOUIE MANUFACTURING COMPANY</t>
  </si>
  <si>
    <t xml:space="preserve">Party-wise closing balance (Opening 25,300.75; Debit 148,074.86; Credit 163,906.91)</t>
  </si>
  <si>
    <t xml:space="preserve">TECHNICAL LINES TRADING ESTABLISHMENT</t>
  </si>
  <si>
    <t xml:space="preserve">Party-wise closing balance (Opening 17,345.72; Debit 31,986.97; Credit 40,284.22)</t>
  </si>
  <si>
    <t xml:space="preserve">SMEET ELEVATOR FOUNDATION</t>
  </si>
  <si>
    <t xml:space="preserve">Party-wise closing balance (Opening 8,852.65; Debit 172.50; Credit 172.00)</t>
  </si>
  <si>
    <t xml:space="preserve">ALI MANEA AL YAMI TRADING ESTABLISHMENT</t>
  </si>
  <si>
    <t xml:space="preserve">Party-wise closing balance (Opening 0.00; Debit 111,088.52; Credit 118,742.17)</t>
  </si>
  <si>
    <t xml:space="preserve">CREATIVE STEEL FACTORYCOMPANY FOR INDUSTRY</t>
  </si>
  <si>
    <t xml:space="preserve">Party-wise closing balance (Opening 3,894.28; Debit 52,234.73; Credit 48,493.20)</t>
  </si>
  <si>
    <t xml:space="preserve">BUSINESS LEGEND GENERAL CONTRACTING COMPANY</t>
  </si>
  <si>
    <t xml:space="preserve">Party-wise closing balance (Opening 0.00; Debit 36,889.70; Credit 29,414.70)</t>
  </si>
  <si>
    <t xml:space="preserve">AROZAN</t>
  </si>
  <si>
    <t xml:space="preserve">Party-wise closing balance (Opening -1,988.50; Debit 15,320.80; Credit 6,158.60)</t>
  </si>
  <si>
    <t xml:space="preserve">INTERNATIONAL AGENT CO.</t>
  </si>
  <si>
    <t xml:space="preserve">Party-wise closing balance (Opening -24,002.40; Debit 75,462.44; Credit 45,000.00)</t>
  </si>
  <si>
    <t xml:space="preserve">ADVANCED METAL RUBBER COMPANY FOR INDUSTRY</t>
  </si>
  <si>
    <t xml:space="preserve">Party-wise closing balance (Opening 17,964.23; Debit 30,981.00; Credit 42,510.98)</t>
  </si>
  <si>
    <t xml:space="preserve">AL OTHMAN WOOD INDUSTRIES</t>
  </si>
  <si>
    <t xml:space="preserve">Party-wise closing balance (Opening 0.00; Debit 40,313.19; Credit 34,412.54)</t>
  </si>
  <si>
    <t xml:space="preserve">AL MADA  AL AQRAB MANUFACTURING COMPANY </t>
  </si>
  <si>
    <t xml:space="preserve">Party-wise closing balance (Opening 0.00; Debit 20,372.25; Credit 14,507.25)</t>
  </si>
  <si>
    <t xml:space="preserve">WHITE GRAPHICS ADVERTISING AND PUBLICITY COMPANY </t>
  </si>
  <si>
    <t xml:space="preserve">Party-wise closing balance (Opening 33,002.70; Debit 15,186.90; Credit 42,675.10)</t>
  </si>
  <si>
    <t xml:space="preserve">WORLD LINE ADVERTISING</t>
  </si>
  <si>
    <t xml:space="preserve">Party-wise closing balance (Opening -5,500.00; Debit 0.00; Credit 0.00)</t>
  </si>
  <si>
    <t xml:space="preserve">AL-RAYAN SPECIALIZED GENERAL CONTRACTING COMPANY</t>
  </si>
  <si>
    <t xml:space="preserve">Party-wise closing balance (Opening 0.00; Debit 0.00; Credit 5,400.00)</t>
  </si>
  <si>
    <t xml:space="preserve">KHALIFA  ADVERTISING AGENCY</t>
  </si>
  <si>
    <t xml:space="preserve">Party-wise closing balance (Opening 41,976.85; Debit 237,830.93; Credit 275,000.00)</t>
  </si>
  <si>
    <t xml:space="preserve">GLOBAL LIFT FACTORY</t>
  </si>
  <si>
    <t xml:space="preserve">Party-wise closing balance (Opening -10,804.25; Debit 62,664.15; Credit 56,659.85)</t>
  </si>
  <si>
    <t xml:space="preserve">YOUSEF ALI AL-YAMI TECHNICAL SERVICES EST.</t>
  </si>
  <si>
    <t xml:space="preserve">Party-wise closing balance (Opening 0.00; Debit 84,658.40; Credit 79,898.55)</t>
  </si>
  <si>
    <t xml:space="preserve">CREATIVE MAKE IT PERFECT</t>
  </si>
  <si>
    <t xml:space="preserve">Party-wise closing balance (Opening 0.00; Debit 0.00; Credit 4,657.50)</t>
  </si>
  <si>
    <t xml:space="preserve">WE SUPPLY TRADING COMPANY</t>
  </si>
  <si>
    <t xml:space="preserve">Party-wise closing balance (Opening 0.00; Debit 0.00; Credit 4,312.00)</t>
  </si>
  <si>
    <t xml:space="preserve">HISHAM BIN ALAWI BIN AHMED AL MOUSAWI FACTORY</t>
  </si>
  <si>
    <t xml:space="preserve">Party-wise closing balance (Opening -9,884.25; Debit 95,455.88; Credit 89,740.38)</t>
  </si>
  <si>
    <t xml:space="preserve">AL SHAKHS TRADING CO</t>
  </si>
  <si>
    <t xml:space="preserve">Party-wise closing balance (Opening 2,027.05; Debit 27,219.35; Credit 25,279.30)</t>
  </si>
  <si>
    <t xml:space="preserve">ARABIAN AXLES INDUSTRIAL COMPANY</t>
  </si>
  <si>
    <t xml:space="preserve">Party-wise closing balance (Opening 0.00; Debit 37,453.20; Credit 33,520.20)</t>
  </si>
  <si>
    <t xml:space="preserve">MOHAMMED RADHI BIN DHIAB AL-ENAZI CONTRACTING EST</t>
  </si>
  <si>
    <t xml:space="preserve">Party-wise closing balance (Opening 0.00; Debit 0.00; Credit 3,795.00)</t>
  </si>
  <si>
    <t xml:space="preserve">HAMAD INDUSTRIAL COMPANY</t>
  </si>
  <si>
    <t xml:space="preserve">Party-wise closing balance (Opening 0.00; Debit 33,528.20; Credit 29,857.40)</t>
  </si>
  <si>
    <t xml:space="preserve">AL FINOON ADVERTISING</t>
  </si>
  <si>
    <t xml:space="preserve">Party-wise closing balance (Opening 7,804.99; Debit 26,357.14; Credit 30,737.93)</t>
  </si>
  <si>
    <t xml:space="preserve">COMPANY FULADH AL MUSTAQBAL </t>
  </si>
  <si>
    <t xml:space="preserve">Party-wise closing balance (Opening 0.25; Debit 15,545.70; Credit 12,762.95)</t>
  </si>
  <si>
    <t xml:space="preserve">ADVANCED ELECTRICAL SYSTEMS TRADING EST</t>
  </si>
  <si>
    <t xml:space="preserve">Party-wise closing balance (Opening 0.00; Debit 3,795.00; Credit 6,526.25)</t>
  </si>
  <si>
    <t xml:space="preserve">TABARAK FACTORY FOR RESTAURANT EQUIPMENT</t>
  </si>
  <si>
    <t xml:space="preserve">Party-wise closing balance (Opening 2,711.70; Debit 2,725.00; Credit 2,725.00)</t>
  </si>
  <si>
    <t xml:space="preserve">EBDAAT QAWS MUHAQB CONTRACTING COMPANY IS A ONE-PERSON COMPANY.</t>
  </si>
  <si>
    <t xml:space="preserve">Party-wise closing balance (Opening 0.00; Debit 0.00; Credit 2,702.50)</t>
  </si>
  <si>
    <t xml:space="preserve">SENSORTECH SAUDI CO.LTD</t>
  </si>
  <si>
    <t xml:space="preserve">Party-wise closing balance (Opening 10,396.60; Debit 0.00; Credit 7,751.12)</t>
  </si>
  <si>
    <t xml:space="preserve">SALAMA RADIATOR FACTORY</t>
  </si>
  <si>
    <t xml:space="preserve">Party-wise closing balance (Opening 2,167.75; Debit 32,913.10; Credit 32,467.10)</t>
  </si>
  <si>
    <t xml:space="preserve">GULF TIME TRADING EST SHAHEEL</t>
  </si>
  <si>
    <t xml:space="preserve">Party-wise closing balance (Opening 4,991.00; Debit 13,168.63; Credit 15,649.75)</t>
  </si>
  <si>
    <t xml:space="preserve">DALRAZZAQ MOHAMMED AL-YOUSHA CO</t>
  </si>
  <si>
    <t xml:space="preserve">Party-wise closing balance (Opening 0.00; Debit 0.00; Credit 2,174.00)</t>
  </si>
  <si>
    <t xml:space="preserve">SAUDI METAL SCAFFOLDING FACTORY COMPANY [SSF]</t>
  </si>
  <si>
    <t xml:space="preserve">Party-wise closing balance (Opening 12,017.50; Debit 254,435.20; Credit 264,314.00)</t>
  </si>
  <si>
    <t xml:space="preserve">MAADEN AL-SHAM BLACKSMITHING COMPANY</t>
  </si>
  <si>
    <t xml:space="preserve">Party-wise closing balance (Opening 5,576.50; Debit 3,450.00; Credit 7,000.00)</t>
  </si>
  <si>
    <t xml:space="preserve">AL KHODHARIYA TURNERY EST</t>
  </si>
  <si>
    <t xml:space="preserve">Party-wise closing balance (Opening 1,966.90; Debit 6,051.30; Credit 6,051.30)</t>
  </si>
  <si>
    <t xml:space="preserve">ECNOMICAL STEPS TRADING EST</t>
  </si>
  <si>
    <t xml:space="preserve">Party-wise closing balance (Opening 0.00; Debit 7,561.25; Credit 9,527.75)</t>
  </si>
  <si>
    <t xml:space="preserve">AMINKO ADVANCED METAL CO. EST (ANWAR ABDULLA)</t>
  </si>
  <si>
    <t xml:space="preserve">Party-wise closing balance (Opening 0.00; Debit 1,771.00; Credit 0.00)</t>
  </si>
  <si>
    <t xml:space="preserve">TRENDY INTEERIORS COMPANY</t>
  </si>
  <si>
    <t xml:space="preserve">Party-wise closing balance (Opening 0.00; Debit 2,244.80; Credit 519.80)</t>
  </si>
  <si>
    <t xml:space="preserve">DUBAI TECHNICAL MACHINE</t>
  </si>
  <si>
    <t xml:space="preserve">Party-wise closing balance (Opening 0.00; Debit 28,901.05; Credit 27,176.05)</t>
  </si>
  <si>
    <t xml:space="preserve">TECHNICAL SOURCE INDUSTRIAL SERVICES EST</t>
  </si>
  <si>
    <t xml:space="preserve">Party-wise closing balance (Opening -1,550.00; Debit 3,113.70; Credit 3,113.70)</t>
  </si>
  <si>
    <t xml:space="preserve">NITAJA  INDUSTRIAL FOOD COMPANY</t>
  </si>
  <si>
    <t xml:space="preserve">Party-wise closing balance (Opening 0.00; Debit 1,500.00; Credit 3,041.00)</t>
  </si>
  <si>
    <t xml:space="preserve">MARASI AL JAZEERA GLASS FACTORY</t>
  </si>
  <si>
    <t xml:space="preserve">Party-wise closing balance (Opening 0.00; Debit 724.50; Credit 2,224.50)</t>
  </si>
  <si>
    <t xml:space="preserve">MOHAMED ABDELHAMID </t>
  </si>
  <si>
    <t xml:space="preserve">Party-wise closing balance (Opening 0.00; Debit 0.00; Credit 1,450.00)</t>
  </si>
  <si>
    <t xml:space="preserve">SAMA  ADVERTISING COMPANY LTD</t>
  </si>
  <si>
    <t xml:space="preserve">Party-wise closing balance (Opening 3,277.50; Debit 36,115.75; Credit 38,231.75)</t>
  </si>
  <si>
    <t xml:space="preserve">CLOUD SEVEN TRADING AND CONTRACTING COMPANY</t>
  </si>
  <si>
    <t xml:space="preserve">Party-wise closing balance (Opening 0.00; Debit 943.00; Credit 0.00)</t>
  </si>
  <si>
    <t xml:space="preserve">SAAB ENERGY SOLUTIONS </t>
  </si>
  <si>
    <t xml:space="preserve">Party-wise closing balance (Opening 0.00; Debit 3,156.50; Credit 2,265.25)</t>
  </si>
  <si>
    <t xml:space="preserve">ROMA CASTLE</t>
  </si>
  <si>
    <t xml:space="preserve">Party-wise closing balance (Opening 0.25; Debit 6,107.41; Credit 5,328.86)</t>
  </si>
  <si>
    <t xml:space="preserve">NATAAJ FOOD INDUSTRIAL COMPANY</t>
  </si>
  <si>
    <t xml:space="preserve">Party-wise closing balance (Opening 0.00; Debit 0.00; Credit 759.00)</t>
  </si>
  <si>
    <t xml:space="preserve">INNOVATION SYSTEM &amp; CONTROLS</t>
  </si>
  <si>
    <t xml:space="preserve">Party-wise closing balance (Opening 0.00; Debit 0.00; Credit 700.00)</t>
  </si>
  <si>
    <t xml:space="preserve">QATRAT SADEEM WATER BOTTLING CO</t>
  </si>
  <si>
    <t xml:space="preserve">Party-wise closing balance (Opening 0.00; Debit 513.50; Credit 1,150.50)</t>
  </si>
  <si>
    <t xml:space="preserve">ERAM TECH ALUMINUM SOLUTIONS</t>
  </si>
  <si>
    <t xml:space="preserve">Party-wise closing balance (Opening 1,657.45; Debit 1,219.00; Credit 2,266.00)</t>
  </si>
  <si>
    <t xml:space="preserve">TALAL MOHAMMED AL-FURAIJI TRADING AND CONTRACTING COMPANY</t>
  </si>
  <si>
    <t xml:space="preserve">Party-wise closing balance (Opening 0.00; Debit 8,280.00; Credit 7,705.00)</t>
  </si>
  <si>
    <t xml:space="preserve">HAND PRINT</t>
  </si>
  <si>
    <t xml:space="preserve">Party-wise closing balance (Opening 0.00; Debit 1,533.50; Credit 1,004.50)</t>
  </si>
  <si>
    <t xml:space="preserve">ALAA  LNTL. TRADING CO.FOR FOUNDATION EQUIPMENT</t>
  </si>
  <si>
    <t xml:space="preserve">Party-wise closing balance (Opening 0.00; Debit 0.00; Credit 515.20)</t>
  </si>
  <si>
    <t xml:space="preserve">GULF BUSINESS HORIZONS COMPANY FOR GENERAL CONTRACTING LIMITED</t>
  </si>
  <si>
    <t xml:space="preserve">Party-wise closing balance (Opening 0.00; Debit 1,185.40; Credit 1,685.40)</t>
  </si>
  <si>
    <t xml:space="preserve">SAMER MAKKI AL AWAMI MAINTENANCE EST</t>
  </si>
  <si>
    <t xml:space="preserve">Party-wise closing balance (Opening 0.00; Debit 2,990.00; Credit 3,490.00)</t>
  </si>
  <si>
    <t xml:space="preserve">YOUSEF MOHAMMED BIN ABDULLAH AL MUTAWA MARBLE AND STONE FACTORY</t>
  </si>
  <si>
    <t xml:space="preserve">Party-wise closing balance (Opening 0.00; Debit 0.00; Credit 500.00)</t>
  </si>
  <si>
    <t xml:space="preserve">SAMAA TECHNOLOGIES COMPANY LTD</t>
  </si>
  <si>
    <t xml:space="preserve">Party-wise closing balance (Opening 0.00; Debit 460.00; Credit 0.00)</t>
  </si>
  <si>
    <t xml:space="preserve">TABARAK INDUSTRIAL EQUIPMENT FACTORY COMPANY</t>
  </si>
  <si>
    <t xml:space="preserve">Party-wise closing balance (Opening 0.00; Debit 4,916.25; Credit 4,536.75)</t>
  </si>
  <si>
    <t xml:space="preserve">DAN ADVERTISING</t>
  </si>
  <si>
    <t xml:space="preserve">Party-wise closing balance (Opening 522.10; Debit 918.75; Credit 1,068.35)</t>
  </si>
  <si>
    <t xml:space="preserve">MASDAR GLASS </t>
  </si>
  <si>
    <t xml:space="preserve">Party-wise closing balance (Opening 0.00; Debit 2,198.00; Credit 1,876.00)</t>
  </si>
  <si>
    <t xml:space="preserve">PROJECTS LINKS TRADING CONTRACTING CO.</t>
  </si>
  <si>
    <t xml:space="preserve">Party-wise closing balance (Opening -4,347.00; Debit 4,650.60; Credit 0.00)</t>
  </si>
  <si>
    <t xml:space="preserve">NABATAT CONTRACTING COMPANY</t>
  </si>
  <si>
    <t xml:space="preserve">Party-wise closing balance (Opening 0.00; Debit 4,900.00; Credit 4,600.00)</t>
  </si>
  <si>
    <t xml:space="preserve">IBDAA ALSHAM</t>
  </si>
  <si>
    <t xml:space="preserve">Party-wise closing balance (Opening 287.51; Debit 49,222.51; Credit 49,222.51)</t>
  </si>
  <si>
    <t xml:space="preserve">BASANT ARAB CONTRACTING ESTABLISHMENT</t>
  </si>
  <si>
    <t xml:space="preserve">Party-wise closing balance (Opening 0.00; Debit 0.00; Credit 280.00)</t>
  </si>
  <si>
    <t xml:space="preserve">GOLDEN ESSENTIALS TRADING EST</t>
  </si>
  <si>
    <t xml:space="preserve">Party-wise closing balance (Opening 0.00; Debit 2,304.60; Credit 2,028.60)</t>
  </si>
  <si>
    <t xml:space="preserve">AL-TAQWA TRADING COMPANY, ONE PERSON</t>
  </si>
  <si>
    <t xml:space="preserve">Party-wise closing balance (Opening 0.00; Debit 7,130.00; Credit 6,875.00)</t>
  </si>
  <si>
    <t xml:space="preserve">DAYAN &amp; REHAN GENERAL CONTRACTING COMPANY</t>
  </si>
  <si>
    <t xml:space="preserve">Party-wise closing balance (Opening 0.00; Debit 1,840.00; Credit 1,600.00)</t>
  </si>
  <si>
    <t xml:space="preserve">AL-HUMAIDI INTERNATIONAL FOOD COMPANY LIMITED</t>
  </si>
  <si>
    <t xml:space="preserve">Party-wise closing balance (Opening 0.00; Debit 0.00; Credit 200.00)</t>
  </si>
  <si>
    <t xml:space="preserve">QTP AL KHALEEJ EST.</t>
  </si>
  <si>
    <t xml:space="preserve">Party-wise closing balance (Opening 0.00; Debit 862.75; Credit 667.75)</t>
  </si>
  <si>
    <t xml:space="preserve">GULF GREATIVITY COMPANY</t>
  </si>
  <si>
    <t xml:space="preserve">Party-wise closing balance (Opening 0.00; Debit 0.00; Credit 149.50)</t>
  </si>
  <si>
    <t xml:space="preserve">FOUR PILLARS FOR GENERAL CONTRACTING</t>
  </si>
  <si>
    <t xml:space="preserve">Party-wise closing balance (Opening 0.00; Debit 2,763.25; Credit 2,623.25)</t>
  </si>
  <si>
    <t xml:space="preserve">MAJD METALS FACTORY FOR INDUSTRY</t>
  </si>
  <si>
    <t xml:space="preserve">Party-wise closing balance (Opening 0.00; Debit 1,296.00; Credit 1,196.00)</t>
  </si>
  <si>
    <t xml:space="preserve">REEM GENERAL CONTRACTING</t>
  </si>
  <si>
    <t xml:space="preserve">Party-wise closing balance (Opening 71.00; Debit 0.00; Credit 0.00)</t>
  </si>
  <si>
    <t xml:space="preserve">ARMTCO TRADING ESTABLISHMENT</t>
  </si>
  <si>
    <t xml:space="preserve">Party-wise closing balance (Opening 0.00; Debit 0.00; Credit 69.00)</t>
  </si>
  <si>
    <t xml:space="preserve">ABDUL RAHMAN S. A. AL OTAISHAN FACTORY FOR METAL INDUSTRIES</t>
  </si>
  <si>
    <t xml:space="preserve">Party-wise closing balance (Opening -0.58; Debit 0.58; Credit 0.00)</t>
  </si>
  <si>
    <t xml:space="preserve">DHYAA AL ALWAN PRESS CO.</t>
  </si>
  <si>
    <t xml:space="preserve">Party-wise closing balance (Opening 75.90; Debit 34.50; Credit 110.40)</t>
  </si>
  <si>
    <t xml:space="preserve">ASSURE TECHNO TRADING COMPANY</t>
  </si>
  <si>
    <t xml:space="preserve">Party-wise closing balance (Opening 0.62; Debit 0.00; Credit 0.62)</t>
  </si>
  <si>
    <t xml:space="preserve">ALRASHED BUILDING MATERIALS CO</t>
  </si>
  <si>
    <t xml:space="preserve">Party-wise closing balance (Opening 13.01; Debit 0.00; Credit 13.01)</t>
  </si>
  <si>
    <t xml:space="preserve">KYAN ALARABIYA FOR FOOD SERVICES</t>
  </si>
  <si>
    <t xml:space="preserve">Party-wise closing balance (Opening 66.70; Debit 0.00; Credit 66.70)</t>
  </si>
  <si>
    <t xml:space="preserve">AL MADI TRADING COMPANY</t>
  </si>
  <si>
    <t xml:space="preserve">Party-wise closing balance (Opening 0.10; Debit 273.78; Credit 273.88)</t>
  </si>
  <si>
    <t xml:space="preserve">AUSTRALIAN BUILDING TECHNOLOGY LIMITED COMPANY</t>
  </si>
  <si>
    <t xml:space="preserve">Party-wise closing balance (Opening -0.05; Debit 80.06; Credit 80.01)</t>
  </si>
  <si>
    <t xml:space="preserve">FAROOJ AL JAZEERA    CHICKEN EST</t>
  </si>
  <si>
    <t xml:space="preserve">Party-wise closing balance (Opening 0.87; Debit 0.00; Credit 0.87)</t>
  </si>
  <si>
    <t xml:space="preserve">AL RAYAN</t>
  </si>
  <si>
    <t xml:space="preserve">Party-wise closing balance (Opening -0.35; Debit 0.35; Credit 0.00)</t>
  </si>
  <si>
    <t xml:space="preserve">AL HAFFAR CONTRACTING COMPANY</t>
  </si>
  <si>
    <t xml:space="preserve">Party-wise closing balance (Opening 18.18; Debit 0.00; Credit 18.18)</t>
  </si>
  <si>
    <t xml:space="preserve">شركة الرائم للمقاولات</t>
  </si>
  <si>
    <t xml:space="preserve">Party-wise closing balance (Opening -0.01; Debit 0.01; Credit 0.00)</t>
  </si>
  <si>
    <t xml:space="preserve">AAMAL AL ARIF TRADING EST</t>
  </si>
  <si>
    <t xml:space="preserve">Party-wise closing balance (Opening 0.00; Debit 650.00; Credit 650.00)</t>
  </si>
  <si>
    <t xml:space="preserve">ABA  HSAIN TRADING GROUP</t>
  </si>
  <si>
    <t xml:space="preserve">Party-wise closing balance (Opening 0.00; Debit 7,300.20; Credit 7,300.20)</t>
  </si>
  <si>
    <t xml:space="preserve">ABCPA - ASHRAF BASSAS&amp;PARTNERS</t>
  </si>
  <si>
    <t xml:space="preserve">Party-wise closing balance (Opening 0.00; Debit 16,675.00; Credit 16,675.00)</t>
  </si>
  <si>
    <t xml:space="preserve">ABDULLAH TALAB TRADING EST.</t>
  </si>
  <si>
    <t xml:space="preserve">Party-wise closing balance (Opening 0.00; Debit 500.00; Credit 500.00)</t>
  </si>
  <si>
    <t xml:space="preserve">ABDULLMOHSEN AL MARIQ TRADING EST</t>
  </si>
  <si>
    <t xml:space="preserve">Party-wise closing balance (Opening 0.00; Debit 1,030.00; Credit 1,030.00)</t>
  </si>
  <si>
    <t xml:space="preserve">ABSOLUTE SOLUTION COMPANY FOR IRON</t>
  </si>
  <si>
    <t xml:space="preserve">Party-wise closing balance (Opening 0.00; Debit 6,613.45; Credit 6,613.45)</t>
  </si>
  <si>
    <t xml:space="preserve">ACCURATE MANAGEMENT SYSTEM TRADING EST[POLOSYS]</t>
  </si>
  <si>
    <t xml:space="preserve">Party-wise closing balance (Opening 0.00; Debit 690.00; Credit 690.00)</t>
  </si>
  <si>
    <t xml:space="preserve">ADARK ALBINA TRADING EST</t>
  </si>
  <si>
    <t xml:space="preserve">Party-wise closing balance (Opening 0.00; Debit 13,641.30; Credit 13,641.30)</t>
  </si>
  <si>
    <t xml:space="preserve">ADDAMEGH FOR INDUSTRIAL SOLUTION EST</t>
  </si>
  <si>
    <t xml:space="preserve">Party-wise closing balance (Opening 0.00; Debit 2,470.15; Credit 2,470.15)</t>
  </si>
  <si>
    <t xml:space="preserve">AGE STEEL TRADING COMPANY</t>
  </si>
  <si>
    <t xml:space="preserve">Party-wise closing balance (Opening 0.00; Debit 5,071.50; Credit 5,071.50)</t>
  </si>
  <si>
    <t xml:space="preserve">AHMED AL ZAHRANI EST</t>
  </si>
  <si>
    <t xml:space="preserve">Party-wise closing balance (Opening 0.00; Debit 35.00; Credit 35.00)</t>
  </si>
  <si>
    <t xml:space="preserve">AHMED M. ALOMAIR SONS CO.</t>
  </si>
  <si>
    <t xml:space="preserve">Party-wise closing balance (Opening 0.00; Debit 348,577.11; Credit 348,577.11)</t>
  </si>
  <si>
    <t xml:space="preserve">AL AFDAL AL THANIA TRADING CO</t>
  </si>
  <si>
    <t xml:space="preserve">Party-wise closing balance (Opening 0.00; Debit 1,803.75; Credit 1,803.75)</t>
  </si>
  <si>
    <t xml:space="preserve">AL AMAD AL BAEED COMPANY LTD</t>
  </si>
  <si>
    <t xml:space="preserve">Party-wise closing balance (Opening 0.00; Debit 8,818.00; Credit 8,818.00)</t>
  </si>
  <si>
    <t xml:space="preserve">AL ANDALUS TRADING CO.</t>
  </si>
  <si>
    <t xml:space="preserve">Party-wise closing balance (Opening 0.00; Debit 26,102.90; Credit 26,102.90)</t>
  </si>
  <si>
    <t xml:space="preserve">AL BAWARDI BUILDING MAERIALS</t>
  </si>
  <si>
    <t xml:space="preserve">Party-wise closing balance (Opening 0.00; Debit 20,718.65; Credit 20,718.65)</t>
  </si>
  <si>
    <t xml:space="preserve">AL EBDAA  AL  SHARQI</t>
  </si>
  <si>
    <t xml:space="preserve">Party-wise closing balance (Opening 0.00; Debit 6,180.60; Credit 6,180.60)</t>
  </si>
  <si>
    <t xml:space="preserve">AL HUSSAM TECHNICAL TRADING CO</t>
  </si>
  <si>
    <t xml:space="preserve">Party-wise closing balance (Opening 0.00; Debit 143.75; Credit 143.75)</t>
  </si>
  <si>
    <t xml:space="preserve">AL JAZERA AL ASRIYA EST</t>
  </si>
  <si>
    <t xml:space="preserve">Party-wise closing balance (Opening 0.00; Debit 175.00; Credit 175.00)</t>
  </si>
  <si>
    <t xml:space="preserve">AL KHALAF INDUSTRY CO.</t>
  </si>
  <si>
    <t xml:space="preserve">Party-wise closing balance (Opening 0.00; Debit 100.00; Credit 100.00)</t>
  </si>
  <si>
    <t xml:space="preserve">AL KHOBAR MALL TRADING COMPANY</t>
  </si>
  <si>
    <t xml:space="preserve">Party-wise closing balance (Opening 0.00; Debit 2,790.36; Credit 2,790.36)</t>
  </si>
  <si>
    <t xml:space="preserve">AL NABA  AL MUMAYAZ TRADING EST</t>
  </si>
  <si>
    <t xml:space="preserve">Party-wise closing balance (Opening 0.00; Debit 3,651.25; Credit 3,651.25)</t>
  </si>
  <si>
    <t xml:space="preserve">AL OGLAH TRADING EST</t>
  </si>
  <si>
    <t xml:space="preserve">Party-wise closing balance (Opening 0.00; Debit 366.00; Credit 366.00)</t>
  </si>
  <si>
    <t xml:space="preserve">AL QARYAN GROUP FOR TRADING INDUSTRY</t>
  </si>
  <si>
    <t xml:space="preserve">Party-wise closing balance (Opening 0.00; Debit 11,081.00; Credit 11,081.00)</t>
  </si>
  <si>
    <t xml:space="preserve">AL RAJHI BUILDING &amp; CONSTRUCTION CO.</t>
  </si>
  <si>
    <t xml:space="preserve">Party-wise closing balance (Opening 0.00; Debit 11,349.55; Credit 11,349.55)</t>
  </si>
  <si>
    <t xml:space="preserve">AL RAJHI TAKAFUL COOPERATIVE INSURANCE</t>
  </si>
  <si>
    <t xml:space="preserve">Party-wise closing balance (Opening 0.00; Debit 1,895.43; Credit 1,895.43)</t>
  </si>
  <si>
    <t xml:space="preserve">AL SAEED CAR SHOWROOM</t>
  </si>
  <si>
    <t xml:space="preserve">Party-wise closing balance (Opening 2,300.00; Debit 0.00; Credit 2,300.00)</t>
  </si>
  <si>
    <t xml:space="preserve">AL SAGR INSURANCE</t>
  </si>
  <si>
    <t xml:space="preserve">Party-wise closing balance (Opening 0.00; Debit 18,032.70; Credit 18,032.70)</t>
  </si>
  <si>
    <t xml:space="preserve">AL WASAT AL BADEEL TRADING COMPANY</t>
  </si>
  <si>
    <t xml:space="preserve">Party-wise closing balance (Opening 0.00; Debit 18,193.00; Credit 18,193.00)</t>
  </si>
  <si>
    <t xml:space="preserve">AL YAZIDI FOR TRADING CO.</t>
  </si>
  <si>
    <t xml:space="preserve">Party-wise closing balance (Opening 0.00; Debit 3,829.50; Credit 3,829.50)</t>
  </si>
  <si>
    <t xml:space="preserve">ALAA  FOR BUILDING MATERIALS EST</t>
  </si>
  <si>
    <t xml:space="preserve">Party-wise closing balance (Opening 0.00; Debit 1,606.00; Credit 1,606.00)</t>
  </si>
  <si>
    <t xml:space="preserve">ALAIDE AL SHARQI EST</t>
  </si>
  <si>
    <t xml:space="preserve">Party-wise closing balance (Opening 0.00; Debit 20,325.00; Credit 20,325.00)</t>
  </si>
  <si>
    <t xml:space="preserve">AL-ASHAL AL-MUTAMAYEZ CONTRACTING</t>
  </si>
  <si>
    <t xml:space="preserve">Party-wise closing balance (Opening 0.00; Debit 182,401.50; Credit 182,401.50)</t>
  </si>
  <si>
    <t xml:space="preserve">AL-AZZANI TRADING CO.</t>
  </si>
  <si>
    <t xml:space="preserve">Party-wise closing balance (Opening 0.00; Debit 16.00; Credit 16.00)</t>
  </si>
  <si>
    <t xml:space="preserve">ALBAWARDI BUILDING MATERIALS CO.LLC</t>
  </si>
  <si>
    <t xml:space="preserve">Party-wise closing balance (Opening 22.65; Debit 32,880.55; Credit 32,903.20)</t>
  </si>
  <si>
    <t xml:space="preserve">AL-ESTEQMAH PRITING PRESS CO</t>
  </si>
  <si>
    <t xml:space="preserve">Party-wise closing balance (Opening 0.00; Debit 517.50; Credit 517.50)</t>
  </si>
  <si>
    <t xml:space="preserve">ALHARAM PERFECT MACHINERY EQUIPMENT CO LLC</t>
  </si>
  <si>
    <t xml:space="preserve">Party-wise closing balance (Opening 0.00; Debit 2,701.90; Credit 2,701.90)</t>
  </si>
  <si>
    <t xml:space="preserve">AL-HAWAIYA FOR INDUSTRIAL SOLUTIONS</t>
  </si>
  <si>
    <t xml:space="preserve">Party-wise closing balance (Opening 0.00; Debit 55.03; Credit 55.03)</t>
  </si>
  <si>
    <t xml:space="preserve">ALHERAFEEN ALMAHARAH COMPANY</t>
  </si>
  <si>
    <t xml:space="preserve">Party-wise closing balance (Opening 0.00; Debit 5,437.50; Credit 5,437.50)</t>
  </si>
  <si>
    <t xml:space="preserve">ALKAFAA LIMITED COMPANY</t>
  </si>
  <si>
    <t xml:space="preserve">Party-wise closing balance (Opening 0.00; Debit 155,186.64; Credit 155,186.64)</t>
  </si>
  <si>
    <t xml:space="preserve">AL-MAALY TRADING SERVICES CO.</t>
  </si>
  <si>
    <t xml:space="preserve">Party-wise closing balance (Opening 0.00; Debit 2,155.00; Credit 2,155.00)</t>
  </si>
  <si>
    <t xml:space="preserve">AL-NAFI STEEL CO. LTD</t>
  </si>
  <si>
    <t xml:space="preserve">Party-wise closing balance (Opening 0.00; Debit 56,986.10; Credit 56,986.10)</t>
  </si>
  <si>
    <t xml:space="preserve">ALQUTUF FUTURE EST </t>
  </si>
  <si>
    <t xml:space="preserve">Party-wise closing balance (Opening 0.00; Debit 2,530.00; Credit 2,530.00)</t>
  </si>
  <si>
    <t xml:space="preserve">AL-ROWAD AL ARAB</t>
  </si>
  <si>
    <t xml:space="preserve">AL-TUWAIJRI INDUSTRIAL EQUIPEMNT COMPANY</t>
  </si>
  <si>
    <t xml:space="preserve">Party-wise closing balance (Opening 0.00; Debit 66.83; Credit 66.83)</t>
  </si>
  <si>
    <t xml:space="preserve">ALWAN ALWAJIHA EST</t>
  </si>
  <si>
    <t xml:space="preserve">Party-wise closing balance (Opening 0.00; Debit 276.00; Credit 276.00)</t>
  </si>
  <si>
    <t xml:space="preserve">AMTAR TRADING COMPANY LLC</t>
  </si>
  <si>
    <t xml:space="preserve">Party-wise closing balance (Opening 0.00; Debit 2,412.00; Credit 2,412.00)</t>
  </si>
  <si>
    <t xml:space="preserve">ANALYTIX ARABIA</t>
  </si>
  <si>
    <t xml:space="preserve">Party-wise closing balance (Opening 0.00; Debit 11,390.00; Credit 11,390.00)</t>
  </si>
  <si>
    <t xml:space="preserve">ARAB ENGINEERING TRADING EST</t>
  </si>
  <si>
    <t xml:space="preserve">Party-wise closing balance (Opening -644.00; Debit 7,451.43; Credit 6,807.43)</t>
  </si>
  <si>
    <t xml:space="preserve">ARN WORLD TRADING EST</t>
  </si>
  <si>
    <t xml:space="preserve">Party-wise closing balance (Opening 0.00; Debit 34.50; Credit 34.50)</t>
  </si>
  <si>
    <t xml:space="preserve">ARTAL ALMADINA TRADING COMPANY</t>
  </si>
  <si>
    <t xml:space="preserve">Party-wise closing balance (Opening 0.00; Debit 10,650.15; Credit 10,650.15)</t>
  </si>
  <si>
    <t xml:space="preserve">ATTIEH TRADING COMPANY LTD PURCHASE</t>
  </si>
  <si>
    <t xml:space="preserve">Party-wise closing balance (Opening 0.00; Debit 172,052.03; Credit 172,052.03)</t>
  </si>
  <si>
    <t xml:space="preserve">AUTHORIZED DEALER FO SPRING WORLD FACTORY COMPANY</t>
  </si>
  <si>
    <t xml:space="preserve">Party-wise closing balance (Opening 0.00; Debit 541.00; Credit 541.00)</t>
  </si>
  <si>
    <t xml:space="preserve">BANDAR N TWELVE COMPANY</t>
  </si>
  <si>
    <t xml:space="preserve">Party-wise closing balance (Opening 0.00; Debit 1,840.00; Credit 1,840.00)</t>
  </si>
  <si>
    <t xml:space="preserve">BASSAM SHARQ FOR TRADIND EST</t>
  </si>
  <si>
    <t xml:space="preserve">Party-wise closing balance (Opening 0.00; Debit 453.51; Credit 453.51)</t>
  </si>
  <si>
    <t xml:space="preserve">BELTS STORE CO</t>
  </si>
  <si>
    <t xml:space="preserve">Party-wise closing balance (Opening 0.00; Debit 1,653.00; Credit 1,653.00)</t>
  </si>
  <si>
    <t xml:space="preserve">BIN HASHIM&amp; AL-HUSSAIN CO</t>
  </si>
  <si>
    <t xml:space="preserve">Party-wise closing balance (Opening 0.00; Debit 145.00; Credit 145.00)</t>
  </si>
  <si>
    <t xml:space="preserve">CARPENTRY WORLD TRADING EST</t>
  </si>
  <si>
    <t xml:space="preserve">Party-wise closing balance (Opening 0.00; Debit 934.95; Credit 934.95)</t>
  </si>
  <si>
    <t xml:space="preserve">CENTER FOR OVER ALL GYPSAM SERVICE</t>
  </si>
  <si>
    <t xml:space="preserve">Party-wise closing balance (Opening 0.00; Debit 768.20; Credit 768.20)</t>
  </si>
  <si>
    <t xml:space="preserve">CHINESE HOME TRADING COMPANY</t>
  </si>
  <si>
    <t xml:space="preserve">Party-wise closing balance (Opening 0.00; Debit 14,769.24; Credit 14,769.24)</t>
  </si>
  <si>
    <t xml:space="preserve">COMPUTER SCIENCE FOUNDATION</t>
  </si>
  <si>
    <t xml:space="preserve">Party-wise closing balance (Opening 0.00; Debit 3,680.00; Credit 3,680.00)</t>
  </si>
  <si>
    <t xml:space="preserve">DAWOOD AHMED AL SHIZAWI TRD EST SERVICE</t>
  </si>
  <si>
    <t xml:space="preserve">Party-wise closing balance (Opening 0.00; Debit 13,257.75; Credit 13,257.75)</t>
  </si>
  <si>
    <t xml:space="preserve">DHAHIYA ELECTRONIC TRADING</t>
  </si>
  <si>
    <t xml:space="preserve">Party-wise closing balance (Opening 0.00; Debit 74.00; Credit 74.00)</t>
  </si>
  <si>
    <t xml:space="preserve">DIAMOND TOOLS EST</t>
  </si>
  <si>
    <t xml:space="preserve">Party-wise closing balance (Opening 0.00; Debit 2,585.90; Credit 2,585.90)</t>
  </si>
  <si>
    <t xml:space="preserve">EASTERN OIL COPORATION FOR MAINTENANCE</t>
  </si>
  <si>
    <t xml:space="preserve">Party-wise closing balance (Opening 0.00; Debit 161.00; Credit 161.00)</t>
  </si>
  <si>
    <t xml:space="preserve">EFFECTIVE MACHINERIES TRADING EST</t>
  </si>
  <si>
    <t xml:space="preserve">ELEGANT ADVERTISING AGENCY</t>
  </si>
  <si>
    <t xml:space="preserve">Party-wise closing balance (Opening 0.00; Debit 522.85; Credit 522.85)</t>
  </si>
  <si>
    <t xml:space="preserve">ELORA  AL ARABIA TRADING</t>
  </si>
  <si>
    <t xml:space="preserve">Party-wise closing balance (Opening 0.00; Debit 1,462.80; Credit 1,462.80)</t>
  </si>
  <si>
    <t xml:space="preserve">EQUIMENT PARTS EXPERTS TRADING CO</t>
  </si>
  <si>
    <t xml:space="preserve">Party-wise closing balance (Opening 0.00; Debit 515.00; Credit 515.00)</t>
  </si>
  <si>
    <t xml:space="preserve">EXCELLENCE PRICES COMPANY LTD</t>
  </si>
  <si>
    <t xml:space="preserve">Party-wise closing balance (Opening 0.00; Debit 10,206.25; Credit 10,206.25)</t>
  </si>
  <si>
    <t xml:space="preserve">EXPERTISE SOLUTION CORPORATION FOR ENVIRONMENTAL CONSULTING</t>
  </si>
  <si>
    <t xml:space="preserve">Party-wise closing balance (Opening 0.00; Debit 4,830.00; Credit 4,830.00)</t>
  </si>
  <si>
    <t xml:space="preserve">FABRICAST ARABIAN TRADING COMPANY</t>
  </si>
  <si>
    <t xml:space="preserve">Party-wise closing balance (Opening 0.00; Debit 1,380.00; Credit 1,380.00)</t>
  </si>
  <si>
    <t xml:space="preserve">FACTORY OF AL-AZMAN STEEL GALVANIZING COMPANY</t>
  </si>
  <si>
    <t xml:space="preserve">Party-wise closing balance (Opening -7,636.00; Debit 51,833.60; Credit 44,197.60)</t>
  </si>
  <si>
    <t xml:space="preserve">FIRST FOUNDATION TRAD EST</t>
  </si>
  <si>
    <t xml:space="preserve">Party-wise closing balance (Opening 0.00; Debit 1,444.40; Credit 1,444.40)</t>
  </si>
  <si>
    <t xml:space="preserve">FIT FLOW TRADING COMPANY</t>
  </si>
  <si>
    <t xml:space="preserve">Party-wise closing balance (Opening 0.00; Debit 115.00; Credit 115.00)</t>
  </si>
  <si>
    <t xml:space="preserve">FLORAH TRADING EST</t>
  </si>
  <si>
    <t xml:space="preserve">Party-wise closing balance (Opening 0.00; Debit 1,253.75; Credit 1,253.75)</t>
  </si>
  <si>
    <t xml:space="preserve">GHOSOON EASTERN ADVERTISING AGENCY</t>
  </si>
  <si>
    <t xml:space="preserve">Party-wise closing balance (Opening 0.00; Debit 580.75; Credit 580.75)</t>
  </si>
  <si>
    <t xml:space="preserve">GLOBAL PAINTS TRADING EST</t>
  </si>
  <si>
    <t xml:space="preserve">Party-wise closing balance (Opening 0.00; Debit 87.00; Credit 87.00)</t>
  </si>
  <si>
    <t xml:space="preserve">GLOBAL STAR FOUNDATION</t>
  </si>
  <si>
    <t xml:space="preserve">Party-wise closing balance (Opening 0.00; Debit 575.00; Credit 575.00)</t>
  </si>
  <si>
    <t xml:space="preserve">GOLDEN CUT STEEL FABRICATION COMPANY</t>
  </si>
  <si>
    <t xml:space="preserve">Party-wise closing balance (Opening 0.00; Debit 12,075.00; Credit 12,075.00)</t>
  </si>
  <si>
    <t xml:space="preserve">GOLDEN SHADE METAL INDUSTRIES COMPANY</t>
  </si>
  <si>
    <t xml:space="preserve">Party-wise closing balance (Opening 0.00; Debit 11,520.00; Credit 11,520.00)</t>
  </si>
  <si>
    <t xml:space="preserve">GOLDEN STAR FOUNDATION FOR THERMAL IND</t>
  </si>
  <si>
    <t xml:space="preserve">Party-wise closing balance (Opening 0.00; Debit 400.00; Credit 400.00)</t>
  </si>
  <si>
    <t xml:space="preserve">GULF AL-TAWAFAQ TRADING CO.</t>
  </si>
  <si>
    <t xml:space="preserve">Party-wise closing balance (Opening 0.00; Debit 125.00; Credit 125.00)</t>
  </si>
  <si>
    <t xml:space="preserve">HAYA  ARABIA INDUSTRIAL COMPANY</t>
  </si>
  <si>
    <t xml:space="preserve">HEEM TRADING COMPANY</t>
  </si>
  <si>
    <t xml:space="preserve">Party-wise closing balance (Opening 3,005.00; Debit 11,094.00; Credit 14,099.00)</t>
  </si>
  <si>
    <t xml:space="preserve">HUGE METAL FACTORY FOR INDUSTRY</t>
  </si>
  <si>
    <t xml:space="preserve">Party-wise closing balance (Opening 0.00; Debit 20,000.75; Credit 20,000.75)</t>
  </si>
  <si>
    <t xml:space="preserve">HUSSEIN ABDUL QADIR BIN ABDUL KARIM AL JAMIE TRD EST</t>
  </si>
  <si>
    <t xml:space="preserve">Party-wise closing balance (Opening 0.00; Debit 173.00; Credit 173.00)</t>
  </si>
  <si>
    <t xml:space="preserve">IBRAHIM AL FARES &amp; BEVERAGES TRADING CO.</t>
  </si>
  <si>
    <t xml:space="preserve">Party-wise closing balance (Opening 0.00; Debit 1,289.19; Credit 1,289.19)</t>
  </si>
  <si>
    <t xml:space="preserve">IDEAL SOURCE FOR TRADING CO</t>
  </si>
  <si>
    <t xml:space="preserve">Party-wise closing balance (Opening 0.00; Debit 25,058.00; Credit 25,058.00)</t>
  </si>
  <si>
    <t xml:space="preserve">INTEGRAL OFFICE  SYSTEMS</t>
  </si>
  <si>
    <t xml:space="preserve">JABAL AL-ZAWI TRADING CO</t>
  </si>
  <si>
    <t xml:space="preserve">Party-wise closing balance (Opening 0.00; Debit 49.00; Credit 49.00)</t>
  </si>
  <si>
    <t xml:space="preserve">JAMAN ABD RABUH AL-ZHRANI TRADING EST</t>
  </si>
  <si>
    <t xml:space="preserve">Party-wise closing balance (Opening 0.00; Debit 747.50; Credit 747.50)</t>
  </si>
  <si>
    <t xml:space="preserve">JASSIM SAIF AMER ALJABERI TRADING EST</t>
  </si>
  <si>
    <t xml:space="preserve">Party-wise closing balance (Opening 0.00; Debit 60.00; Credit 60.00)</t>
  </si>
  <si>
    <t xml:space="preserve">JAWAHIR AL-SHARQ CORPORATION</t>
  </si>
  <si>
    <t xml:space="preserve">Party-wise closing balance (Opening 0.00; Debit 75.00; Credit 75.00)</t>
  </si>
  <si>
    <t xml:space="preserve">JAZEERAT AL BINAA TRADING EST.</t>
  </si>
  <si>
    <t xml:space="preserve">Party-wise closing balance (Opening 0.00; Debit 6,900.90; Credit 6,900.90)</t>
  </si>
  <si>
    <t xml:space="preserve">JOUD AL TAWFEER TRADING COMPANY</t>
  </si>
  <si>
    <t xml:space="preserve">Party-wise closing balance (Opening 0.00; Debit 107.90; Credit 107.90)</t>
  </si>
  <si>
    <t xml:space="preserve">KAIFIYAT AL BENA'A TRAD. EST.</t>
  </si>
  <si>
    <t xml:space="preserve">Party-wise closing balance (Opening 0.00; Debit 695.00; Credit 695.00)</t>
  </si>
  <si>
    <t xml:space="preserve">KHAIR ZAMAN FOR PLASTIC PRODUCTS</t>
  </si>
  <si>
    <t xml:space="preserve">Party-wise closing balance (Opening 0.00; Debit 425.04; Credit 425.04)</t>
  </si>
  <si>
    <t xml:space="preserve">KHUSHEM CORPORATION</t>
  </si>
  <si>
    <t xml:space="preserve">Party-wise closing balance (Opening 0.00; Debit 1,676.70; Credit 1,676.70)</t>
  </si>
  <si>
    <t xml:space="preserve">KUSHEIM CORPORATION</t>
  </si>
  <si>
    <t xml:space="preserve">Party-wise closing balance (Opening 0.00; Debit 28.74; Credit 28.74)</t>
  </si>
  <si>
    <t xml:space="preserve">LAMAR TRAVEL </t>
  </si>
  <si>
    <t xml:space="preserve">Party-wise closing balance (Opening 0.00; Debit 15,180.00; Credit 15,180.00)</t>
  </si>
  <si>
    <t xml:space="preserve">MADAD GATE TRADING CO.</t>
  </si>
  <si>
    <t xml:space="preserve">Party-wise closing balance (Opening 0.75; Debit 0.00; Credit 0.75)</t>
  </si>
  <si>
    <t xml:space="preserve">MADAR BUILDING MATERIALS CO LTD</t>
  </si>
  <si>
    <t xml:space="preserve">Party-wise closing balance (Opening 0.00; Debit 12,841.25; Credit 12,841.25)</t>
  </si>
  <si>
    <t xml:space="preserve">MARI SALIM AL ASMAN TRADING EST</t>
  </si>
  <si>
    <t xml:space="preserve">Party-wise closing balance (Opening 0.00; Debit 511.75; Credit 511.75)</t>
  </si>
  <si>
    <t xml:space="preserve">MASDAR AL FOLAZ TRADING</t>
  </si>
  <si>
    <t xml:space="preserve">Party-wise closing balance (Opening 0.00; Debit 21,615.52; Credit 21,615.52)</t>
  </si>
  <si>
    <t xml:space="preserve">MASDAR AL-MAADAEN CO.</t>
  </si>
  <si>
    <t xml:space="preserve">Party-wise closing balance (Opening 0.00; Debit 2,559.00; Credit 2,559.00)</t>
  </si>
  <si>
    <t xml:space="preserve">MASDAR TECHNICAL SUPPLIES</t>
  </si>
  <si>
    <t xml:space="preserve">Party-wise closing balance (Opening 0.00; Debit 4,595.99; Credit 4,595.99)</t>
  </si>
  <si>
    <t xml:space="preserve">MDT ARABIA TRADING COMPANY</t>
  </si>
  <si>
    <t xml:space="preserve">Party-wise closing balance (Opening 0.00; Debit 2,590.00; Credit 2,590.00)</t>
  </si>
  <si>
    <t xml:space="preserve">MECSTAR EQUIPMENT TRADING EST</t>
  </si>
  <si>
    <t xml:space="preserve">Party-wise closing balance (Opening 0.00; Debit 345.00; Credit 345.00)</t>
  </si>
  <si>
    <t xml:space="preserve">METAL INDUSTRIAL SERVICES LIMITED COMPANY</t>
  </si>
  <si>
    <t xml:space="preserve">Party-wise closing balance (Opening 0.00; Debit 1,081.00; Credit 1,081.00)</t>
  </si>
  <si>
    <t xml:space="preserve">MINAA ALBADAEE CO.</t>
  </si>
  <si>
    <t xml:space="preserve">Party-wise closing balance (Opening 0.00; Debit 15.53; Credit 15.53)</t>
  </si>
  <si>
    <t xml:space="preserve">MISBAH AL DAHIYA ELECTRICAL APPLIANCES EST</t>
  </si>
  <si>
    <t xml:space="preserve">Party-wise closing balance (Opening 0.00; Debit 646.00; Credit 646.00)</t>
  </si>
  <si>
    <t xml:space="preserve">MITWALI STEEL PRODUCTS FACTORY CO.</t>
  </si>
  <si>
    <t xml:space="preserve">Party-wise closing balance (Opening -0.88; Debit 246,397.88; Credit 246,397.00)</t>
  </si>
  <si>
    <t xml:space="preserve">MODERN DEVELOPMENT FACTORY</t>
  </si>
  <si>
    <t xml:space="preserve">Party-wise closing balance (Opening 0.00; Debit 1,001.00; Credit 1,001.00)</t>
  </si>
  <si>
    <t xml:space="preserve">MOH,D AL -MOROHEN EST  TRADING</t>
  </si>
  <si>
    <t xml:space="preserve">Party-wise closing balance (Opening 0.00; Debit 7,000.00; Credit 7,000.00)</t>
  </si>
  <si>
    <t xml:space="preserve">MOHAFEZ ELECTRICAL CONTROL SYSTEMS</t>
  </si>
  <si>
    <t xml:space="preserve">Party-wise closing balance (Opening 0.00; Debit 12,055.00; Credit 12,055.00)</t>
  </si>
  <si>
    <t xml:space="preserve">MOHAMMED A  AL-AWANI TRADING COMPANY</t>
  </si>
  <si>
    <t xml:space="preserve">MOHAMMED A. AL-AWANI TRADING COMPANY</t>
  </si>
  <si>
    <t xml:space="preserve">Party-wise closing balance (Opening 0.00; Debit 500.25; Credit 500.25)</t>
  </si>
  <si>
    <t xml:space="preserve">MOHAMMED ALI  AL-RAHAN ENGINEERING</t>
  </si>
  <si>
    <t xml:space="preserve">Party-wise closing balance (Opening 0.00; Debit 2,484.00; Credit 2,484.00)</t>
  </si>
  <si>
    <t xml:space="preserve">MOHAMMED FATHI AL-ZAYER TRADING ESTABLISHMENT</t>
  </si>
  <si>
    <t xml:space="preserve">Party-wise closing balance (Opening 0.00; Debit 19,124.50; Credit 19,124.50)</t>
  </si>
  <si>
    <t xml:space="preserve">NAJM AL- BAYARIQ TRADING EST</t>
  </si>
  <si>
    <t xml:space="preserve">Party-wise closing balance (Opening 0.00; Debit 1,092.51; Credit 1,092.51)</t>
  </si>
  <si>
    <t xml:space="preserve">NOOR INDUSTRIAL TRADING COMPANY</t>
  </si>
  <si>
    <t xml:space="preserve">Party-wise closing balance (Opening 0.00; Debit 21,792.50; Credit 21,792.50)</t>
  </si>
  <si>
    <t xml:space="preserve">OCEAN BUILDING TRADING EST</t>
  </si>
  <si>
    <t xml:space="preserve">Party-wise closing balance (Opening 0.00; Debit 1,719.25; Credit 1,719.25)</t>
  </si>
  <si>
    <t xml:space="preserve">OCEAN WINGS TRADING COMPANY</t>
  </si>
  <si>
    <t xml:space="preserve">Party-wise closing balance (Opening 0.00; Debit 19,550.00; Credit 19,550.00)</t>
  </si>
  <si>
    <t xml:space="preserve">OTHMAN AL USAIMI &amp; PARTNERS TRD. CO. </t>
  </si>
  <si>
    <t xml:space="preserve">Party-wise closing balance (Opening 0.00; Debit 20,806.29; Credit 20,806.29)</t>
  </si>
  <si>
    <t xml:space="preserve">OUR GULF STAR EQUIPMENT RENTAL EST</t>
  </si>
  <si>
    <t xml:space="preserve">Party-wise closing balance (Opening 0.00; Debit 86.25; Credit 86.25)</t>
  </si>
  <si>
    <t xml:space="preserve">PULSE MANAGEMENT SERVICES TRADING EST</t>
  </si>
  <si>
    <t xml:space="preserve">Party-wise closing balance (Opening 0.00; Debit 9,775.00; Credit 9,775.00)</t>
  </si>
  <si>
    <t xml:space="preserve">RAD TRADE GENERAL TRADING</t>
  </si>
  <si>
    <t xml:space="preserve">Party-wise closing balance (Opening 0.00; Debit 390.50; Credit 390.50)</t>
  </si>
  <si>
    <t xml:space="preserve">RAKAEZ AL DAMMAM FOR EQUIPMENT EST</t>
  </si>
  <si>
    <t xml:space="preserve">Party-wise closing balance (Opening 0.00; Debit 2,397.75; Credit 2,397.75)</t>
  </si>
  <si>
    <t xml:space="preserve">RAMIZ ABBAS SHOUKHAT</t>
  </si>
  <si>
    <t xml:space="preserve">Party-wise closing balance (Opening 0.00; Debit 600.00; Credit 600.00)</t>
  </si>
  <si>
    <t xml:space="preserve">RAWDAN FOR BUILDING MAT</t>
  </si>
  <si>
    <t xml:space="preserve">RED LINE CO FOR SPARE PARTS</t>
  </si>
  <si>
    <t xml:space="preserve">Party-wise closing balance (Opening 0.00; Debit 177.00; Credit 177.00)</t>
  </si>
  <si>
    <t xml:space="preserve">S.M HILAL AL OTAIBI TRADING EST</t>
  </si>
  <si>
    <t xml:space="preserve">Party-wise closing balance (Opening 0.00; Debit 9,968.66; Credit 9,968.66)</t>
  </si>
  <si>
    <t xml:space="preserve">SACO WORLD</t>
  </si>
  <si>
    <t xml:space="preserve">Party-wise closing balance (Opening 0.00; Debit 108.85; Credit 108.85)</t>
  </si>
  <si>
    <t xml:space="preserve">SAHR TRADING</t>
  </si>
  <si>
    <t xml:space="preserve">Party-wise closing balance (Opening -586.50; Debit 104,293.50; Credit 103,707.00)</t>
  </si>
  <si>
    <t xml:space="preserve">SALABA-FASTENERS</t>
  </si>
  <si>
    <t xml:space="preserve">Party-wise closing balance (Opening 0.00; Debit 79.00; Credit 79.00)</t>
  </si>
  <si>
    <t xml:space="preserve">SALEH ABDULLAH ALI AL RAJHI &amp; CO.</t>
  </si>
  <si>
    <t xml:space="preserve">Party-wise closing balance (Opening 0.00; Debit 4,312.50; Credit 4,312.50)</t>
  </si>
  <si>
    <t xml:space="preserve">SALHA MOHAMMAD JARAD AL GHAMDHI TRAD.EST</t>
  </si>
  <si>
    <t xml:space="preserve">Party-wise closing balance (Opening 0.00; Debit 12,953.70; Credit 12,953.70)</t>
  </si>
  <si>
    <t xml:space="preserve">SALMAN ZEMAM AL KHALIDI GROUP CO</t>
  </si>
  <si>
    <t xml:space="preserve">Party-wise closing balance (Opening 0.00; Debit 84,780.00; Credit 84,780.00)</t>
  </si>
  <si>
    <t xml:space="preserve">SAMI NASSER AHMED N.TRADING EST.</t>
  </si>
  <si>
    <t xml:space="preserve">Party-wise closing balance (Opening 0.00; Debit 80.00; Credit 80.00)</t>
  </si>
  <si>
    <t xml:space="preserve">SASH FOR FURNITURE PAINTS &amp; DECOR</t>
  </si>
  <si>
    <t xml:space="preserve">Party-wise closing balance (Opening 0.00; Debit 54.00; Credit 54.00)</t>
  </si>
  <si>
    <t xml:space="preserve">SAUD AUDH ANAZI TRADING EST</t>
  </si>
  <si>
    <t xml:space="preserve">Party-wise closing balance (Opening 0.00; Debit 5,934.00; Credit 5,934.00)</t>
  </si>
  <si>
    <t xml:space="preserve">SAUDI DIESEL EQUIPMENT</t>
  </si>
  <si>
    <t xml:space="preserve">Party-wise closing balance (Opening 0.00; Debit 89,700.00; Credit 89,700.00)</t>
  </si>
  <si>
    <t xml:space="preserve">SAUDI FURNITURE EST</t>
  </si>
  <si>
    <t xml:space="preserve">SHAABAN STEEL CO, LTD</t>
  </si>
  <si>
    <t xml:space="preserve">Party-wise closing balance (Opening 0.00; Debit 430.00; Credit 430.00)</t>
  </si>
  <si>
    <t xml:space="preserve">SHUAA  ABDULLAH AL-AKKAS TRADING EST. </t>
  </si>
  <si>
    <t xml:space="preserve">Party-wise closing balance (Opening 21.75; Debit 577.00; Credit 598.75)</t>
  </si>
  <si>
    <t xml:space="preserve">SHUTTER GATE TRADING L.L.C</t>
  </si>
  <si>
    <t xml:space="preserve">Party-wise closing balance (Opening 0.00; Debit 21,567.02; Credit 21,567.02)</t>
  </si>
  <si>
    <t xml:space="preserve">SIGN WAY TRADING</t>
  </si>
  <si>
    <t xml:space="preserve">Party-wise closing balance (Opening 0.00; Debit 226.50; Credit 226.50)</t>
  </si>
  <si>
    <t xml:space="preserve">SOLAR SPECTRUM TECH</t>
  </si>
  <si>
    <t xml:space="preserve">Party-wise closing balance (Opening 0.00; Debit 4,340.00; Credit 4,340.00)</t>
  </si>
  <si>
    <t xml:space="preserve">STARS CONSTRUCTION TRADING CO</t>
  </si>
  <si>
    <t xml:space="preserve">STEEL FORCE TRADINGCOMPANY</t>
  </si>
  <si>
    <t xml:space="preserve">Party-wise closing balance (Opening 0.00; Debit 27,382.66; Credit 27,382.66)</t>
  </si>
  <si>
    <t xml:space="preserve">STEEL SUPPORT TRADING EST</t>
  </si>
  <si>
    <t xml:space="preserve">Party-wise closing balance (Opening 0.00; Debit 97,404.01; Credit 97,404.01)</t>
  </si>
  <si>
    <t xml:space="preserve">STEEL ZONE TRADING CO.</t>
  </si>
  <si>
    <t xml:space="preserve">Party-wise closing balance (Opening 770.55; Debit 14,879.40; Credit 15,649.95)</t>
  </si>
  <si>
    <t xml:space="preserve">SUPPLIES PLUS TRADING EST</t>
  </si>
  <si>
    <t xml:space="preserve">Party-wise closing balance (Opening 0.00; Debit 40.25; Credit 40.25)</t>
  </si>
  <si>
    <t xml:space="preserve">TEMPLATE TRADING EST</t>
  </si>
  <si>
    <t xml:space="preserve">Party-wise closing balance (Opening -7,497.75; Debit 9,550.35; Credit 2,052.60)</t>
  </si>
  <si>
    <t xml:space="preserve">UNITED SUPPLERS EST FOR INDUSTRIAL SERVICE</t>
  </si>
  <si>
    <t xml:space="preserve">Party-wise closing balance (Opening 0.00; Debit 3,134.80; Credit 3,134.80)</t>
  </si>
  <si>
    <t xml:space="preserve">VISION PRINTING PRESS COMPANY</t>
  </si>
  <si>
    <t xml:space="preserve">Party-wise closing balance (Opening 0.00; Debit 3,577.70; Credit 3,577.70)</t>
  </si>
  <si>
    <t xml:space="preserve">WAHAB AL JAZEERA TRADING CO</t>
  </si>
  <si>
    <t xml:space="preserve">Party-wise closing balance (Opening 0.00; Debit 92.00; Credit 92.00)</t>
  </si>
  <si>
    <t xml:space="preserve">WASIL MODERN DECORATION EST</t>
  </si>
  <si>
    <t xml:space="preserve">Party-wise closing balance (Opening 0.00; Debit 424.00; Credit 424.00)</t>
  </si>
  <si>
    <t xml:space="preserve">WATAN TRADING COMPANY [NBC]</t>
  </si>
  <si>
    <t xml:space="preserve">Party-wise closing balance (Opening 0.00; Debit 509.15; Credit 509.15)</t>
  </si>
  <si>
    <t xml:space="preserve">WHITE PANTHER</t>
  </si>
  <si>
    <t xml:space="preserve">Party-wise closing balance (Opening 0.00; Debit 103.50; Credit 103.50)</t>
  </si>
  <si>
    <t xml:space="preserve">WORLD INTEGRATED CONTRACTING EST</t>
  </si>
  <si>
    <t xml:space="preserve">Party-wise closing balance (Opening 0.00; Debit 281.75; Credit 281.75)</t>
  </si>
  <si>
    <t xml:space="preserve">WORLD WOOD CO.FOR TRADING CO</t>
  </si>
  <si>
    <t xml:space="preserve">Party-wise closing balance (Opening 0.00; Debit 172.00; Credit 172.00)</t>
  </si>
  <si>
    <t xml:space="preserve">YASSER MOHAMMED SALEH AL ALI TRAD EST</t>
  </si>
  <si>
    <t xml:space="preserve">ZAHARA  ASAD AL-SADAH WORKSHOP</t>
  </si>
  <si>
    <t xml:space="preserve">Party-wise closing balance (Opening 0.00; Debit 1,851.80; Credit 1,851.80)</t>
  </si>
  <si>
    <t xml:space="preserve">ZAMIL GROUP TRADE AND SERVICES CO LTD</t>
  </si>
  <si>
    <t xml:space="preserve">Party-wise closing balance (Opening 0.00; Debit 16,606.00; Credit 16,606.00)</t>
  </si>
  <si>
    <t xml:space="preserve">AAB BUSUBAIT TRADING EST</t>
  </si>
  <si>
    <t xml:space="preserve">Party-wise closing balance (Opening 5,759.60; Debit 0.00; Credit 5,759.60)</t>
  </si>
  <si>
    <t xml:space="preserve">AL EMAD AL QAWI EQUIPMENT CO.</t>
  </si>
  <si>
    <t xml:space="preserve">Party-wise closing balance (Opening 0.00; Debit 4,652.90; Credit 4,652.90)</t>
  </si>
  <si>
    <t xml:space="preserve">Cash Sales</t>
  </si>
  <si>
    <t xml:space="preserve">Party-wise closing balance (Opening 0.00; Debit 31,133.28; Credit 31,133.28)</t>
  </si>
  <si>
    <t xml:space="preserve">COLOR OCEAN</t>
  </si>
  <si>
    <t xml:space="preserve">Party-wise closing balance (Opening 0.00; Debit 39,807.35; Credit 39,807.35)</t>
  </si>
  <si>
    <t xml:space="preserve">DONYA  ADVERTISING</t>
  </si>
  <si>
    <t xml:space="preserve">Party-wise closing balance (Opening 0.00; Debit 11,575.75; Credit 11,575.75)</t>
  </si>
  <si>
    <t xml:space="preserve">EAST COAST ADVERTISING AGENCY</t>
  </si>
  <si>
    <t xml:space="preserve">Party-wise closing balance (Opening 878.20; Debit 23,972.33; Credit 24,850.53)</t>
  </si>
  <si>
    <t xml:space="preserve">EASTERN STEEL LATHE FOR METAL</t>
  </si>
  <si>
    <t xml:space="preserve">Party-wise closing balance (Opening 0.00; Debit 137,476.75; Credit 137,476.75)</t>
  </si>
  <si>
    <t xml:space="preserve">ECHO SKYLINE</t>
  </si>
  <si>
    <t xml:space="preserve">Party-wise closing balance (Opening -4,000.00; Debit 33,966.09; Credit 29,966.09)</t>
  </si>
  <si>
    <t xml:space="preserve">FUTURE SIGN</t>
  </si>
  <si>
    <t xml:space="preserve">Party-wise closing balance (Opening 0.00; Debit 11,639.15; Credit 11,639.15)</t>
  </si>
  <si>
    <t xml:space="preserve">GOLDEN DESIGN ADVERTISING AGENCY</t>
  </si>
  <si>
    <t xml:space="preserve">Party-wise closing balance (Opening -100.00; Debit 1,112.00; Credit 1,012.00)</t>
  </si>
  <si>
    <t xml:space="preserve">GULF CONSOLIDATED CONTRACTORS COMPANY</t>
  </si>
  <si>
    <t xml:space="preserve">Party-wise closing balance (Opening 1,610.00; Debit 20,569.48; Credit 22,179.48)</t>
  </si>
  <si>
    <t xml:space="preserve">WORLD SUNRISE EST. (LIBU)</t>
  </si>
  <si>
    <t xml:space="preserve">Party-wise closing balance (Opening 5,164.25; Debit 0.00; Credit 5,164.25)</t>
  </si>
  <si>
    <t xml:space="preserve">MAROOJ RAWAN</t>
  </si>
  <si>
    <t xml:space="preserve">Party-wise closing balance (Opening 7,266.86; Debit 0.00; Credit 7,266.86)</t>
  </si>
  <si>
    <t xml:space="preserve">NAWRAS ADVERISING AGENCY</t>
  </si>
  <si>
    <t xml:space="preserve">Party-wise closing balance (Opening 0.00; Debit 3,036.00; Credit 3,036.00)</t>
  </si>
  <si>
    <t xml:space="preserve">POWER LINK</t>
  </si>
  <si>
    <t xml:space="preserve">Party-wise closing balance (Opening -17,000.00; Debit 17,000.00; Credit 0.00)</t>
  </si>
  <si>
    <t xml:space="preserve">RAFIA MOHAMMED AL QARNI EST</t>
  </si>
  <si>
    <t xml:space="preserve">Party-wise closing balance (Opening 0.00; Debit 13,124.50; Credit 13,124.50)</t>
  </si>
  <si>
    <t xml:space="preserve">SAAD SALEM AL DOSSARY EST WORKSHOP</t>
  </si>
  <si>
    <t xml:space="preserve">Party-wise closing balance (Opening 4,674.20; Debit 0.00; Credit 4,674.20)</t>
  </si>
  <si>
    <t xml:space="preserve">SAAD REFRIGARATION</t>
  </si>
  <si>
    <t xml:space="preserve">Party-wise closing balance (Opening 0.00; Debit 15.00; Credit 15.00)</t>
  </si>
  <si>
    <t xml:space="preserve">SHAEEL AL HAJRI TRADING &amp; CONTRACTING CO.</t>
  </si>
  <si>
    <t xml:space="preserve">Party-wise closing balance (Opening 1,903.56; Debit 0.00; Credit 1,903.56)</t>
  </si>
  <si>
    <t xml:space="preserve">STAR HOUSE METAL WORK SHOP</t>
  </si>
  <si>
    <t xml:space="preserve">Party-wise closing balance (Opening 0.00; Debit 13,353.25; Credit 13,353.25)</t>
  </si>
  <si>
    <t xml:space="preserve">OMEGA METAL SERVICES COMPANY </t>
  </si>
  <si>
    <t xml:space="preserve">Party-wise closing balance (Opening 0.00; Debit 12,708.00; Credit 12,708.00)</t>
  </si>
  <si>
    <t xml:space="preserve">TRANS COUNTRY INDUSTRIAL COMPANY</t>
  </si>
  <si>
    <t xml:space="preserve">Party-wise closing balance (Opening 0.00; Debit 57,099.85; Credit 57,099.85)</t>
  </si>
  <si>
    <t xml:space="preserve">AL MANA HOSPITAL</t>
  </si>
  <si>
    <t xml:space="preserve">Party-wise closing balance (Opening 0.00; Debit 1,236.31; Credit 1,236.31)</t>
  </si>
  <si>
    <t xml:space="preserve">SARA  AL OMAIRY SIGN PRINTING EST.</t>
  </si>
  <si>
    <t xml:space="preserve">Party-wise closing balance (Opening -1,575.00; Debit 1,575.00; Credit 0.00)</t>
  </si>
  <si>
    <t xml:space="preserve">FIRE AND HAZARD CONTROL EQUIPMENT CO.LTD [REDA]</t>
  </si>
  <si>
    <t xml:space="preserve">Party-wise closing balance (Opening 0.00; Debit 35,568.35; Credit 35,568.35)</t>
  </si>
  <si>
    <t xml:space="preserve">MAGIC TOUCH PRESS</t>
  </si>
  <si>
    <t xml:space="preserve">Party-wise closing balance (Opening 0.00; Debit 1,753.75; Credit 1,753.75)</t>
  </si>
  <si>
    <t xml:space="preserve">COOL POINT</t>
  </si>
  <si>
    <t xml:space="preserve">Party-wise closing balance (Opening 0.00; Debit 2,206.85; Credit 2,206.85)</t>
  </si>
  <si>
    <t xml:space="preserve">YOUSUF AL ALI FOR TRADING EST.</t>
  </si>
  <si>
    <t xml:space="preserve">Party-wise closing balance (Opening 0.00; Debit 6,899.24; Credit 6,899.24)</t>
  </si>
  <si>
    <t xml:space="preserve">EUROPEAN WORLD CONT EST</t>
  </si>
  <si>
    <t xml:space="preserve">Party-wise closing balance (Opening 276.00; Debit 0.00; Credit 276.00)</t>
  </si>
  <si>
    <t xml:space="preserve">MAHFOUZE SAEED AL-GHAMDI EST</t>
  </si>
  <si>
    <t xml:space="preserve">Party-wise closing balance (Opening 0.00; Debit 33.00; Credit 33.00)</t>
  </si>
  <si>
    <t xml:space="preserve">AYAN ZAMAN RESTAURANT</t>
  </si>
  <si>
    <t xml:space="preserve">Party-wise closing balance (Opening -10,000.00; Debit 56,099.75; Credit 46,099.75)</t>
  </si>
  <si>
    <t xml:space="preserve">TRUOS GROUP OF COMPANIES</t>
  </si>
  <si>
    <t xml:space="preserve">Party-wise closing balance (Opening 4,081.52; Debit 3,908.15; Credit 7,989.67)</t>
  </si>
  <si>
    <t xml:space="preserve">AL ZAHARANI INDUSTRIAL MAINTENANCE</t>
  </si>
  <si>
    <t xml:space="preserve">Party-wise closing balance (Opening 0.00; Debit 7,751.50; Credit 7,751.50)</t>
  </si>
  <si>
    <t xml:space="preserve">OTIS</t>
  </si>
  <si>
    <t xml:space="preserve">Party-wise closing balance (Opening 0.00; Debit 36,131.70; Credit 36,131.70)</t>
  </si>
  <si>
    <t xml:space="preserve">NATIONAL GALVANIZING&amp;COTING FACTORY</t>
  </si>
  <si>
    <t xml:space="preserve">AL MANSOORI STAINLES STEEL FABRICATION</t>
  </si>
  <si>
    <t xml:space="preserve">Party-wise closing balance (Opening 2,632.85; Debit 0.00; Credit 2,632.85)</t>
  </si>
  <si>
    <t xml:space="preserve">KHALEEJ AFAN PRINTING PRESS</t>
  </si>
  <si>
    <t xml:space="preserve">Party-wise closing balance (Opening 0.00; Debit 21,332.05; Credit 21,332.05)</t>
  </si>
  <si>
    <t xml:space="preserve">RMS AL KHOBAR  ADVERTISING AGENCY</t>
  </si>
  <si>
    <t xml:space="preserve">Party-wise closing balance (Opening 250.00; Debit 0.00; Credit 250.00)</t>
  </si>
  <si>
    <t xml:space="preserve">NAEEL AL KHAIR LATHE FOR METALS</t>
  </si>
  <si>
    <t xml:space="preserve">Party-wise closing balance (Opening -50.00; Debit 16,332.85; Credit 16,282.85)</t>
  </si>
  <si>
    <t xml:space="preserve">CRAYONZ ADVERTISING</t>
  </si>
  <si>
    <t xml:space="preserve">Party-wise closing balance (Opening 0.00; Debit 317.50; Credit 317.50)</t>
  </si>
  <si>
    <t xml:space="preserve">CUSTOMER 112</t>
  </si>
  <si>
    <t xml:space="preserve">Party-wise closing balance (Opening -8,911.11; Debit 27,801.21; Credit 18,890.10)</t>
  </si>
  <si>
    <t xml:space="preserve">ANWAR ABDULLA   AL-MULAIFI CON.EST</t>
  </si>
  <si>
    <t xml:space="preserve">Party-wise closing balance (Opening 1,295.30; Debit 12,023.83; Credit 13,319.13)</t>
  </si>
  <si>
    <t xml:space="preserve">HARDWORKS ADVERTISING EST</t>
  </si>
  <si>
    <t xml:space="preserve">Party-wise closing balance (Opening 0.00; Debit 7,935.00; Credit 7,935.00)</t>
  </si>
  <si>
    <t xml:space="preserve">AL HOKAIL</t>
  </si>
  <si>
    <t xml:space="preserve">Party-wise closing balance (Opening -3,951.25; Debit 5,077.25; Credit 1,126.00)</t>
  </si>
  <si>
    <t xml:space="preserve">MOHAMED ALI AL RAHAN ENGINERING</t>
  </si>
  <si>
    <t xml:space="preserve">Party-wise closing balance (Opening 0.00; Debit 1,752.60; Credit 1,752.60)</t>
  </si>
  <si>
    <t xml:space="preserve">NEON AL MESHKAH ADVERTISING AGENCY</t>
  </si>
  <si>
    <t xml:space="preserve">Party-wise closing balance (Opening -1,145.00; Debit 1,145.00; Credit 0.00)</t>
  </si>
  <si>
    <t xml:space="preserve">AL SUHAIMI PUMP SYSTEMS COMPANY</t>
  </si>
  <si>
    <t xml:space="preserve">Party-wise closing balance (Opening 0.00; Debit 1,739.95; Credit 1,739.95)</t>
  </si>
  <si>
    <t xml:space="preserve">ITCO</t>
  </si>
  <si>
    <t xml:space="preserve">Party-wise closing balance (Opening 747.50; Debit 195.50; Credit 943.00)</t>
  </si>
  <si>
    <t xml:space="preserve">INDUSTRIAL ENGINEERING PROGRESS FACTORY CO.</t>
  </si>
  <si>
    <t xml:space="preserve">Party-wise closing balance (Opening 120.90; Debit 5,025.50; Credit 5,146.40)</t>
  </si>
  <si>
    <t xml:space="preserve">AL JABAL FACTORY COMPANY</t>
  </si>
  <si>
    <t xml:space="preserve">Party-wise closing balance (Opening 373.80; Debit 184.00; Credit 557.80)</t>
  </si>
  <si>
    <t xml:space="preserve">SAAD MOHAMMED AL DOSSARY WORSHOP</t>
  </si>
  <si>
    <t xml:space="preserve">Party-wise closing balance (Opening 0.00; Debit 455.40; Credit 455.40)</t>
  </si>
  <si>
    <t xml:space="preserve">MOHAMMED CAR</t>
  </si>
  <si>
    <t xml:space="preserve">Party-wise closing balance (Opening -250.00; Debit 250.00; Credit 0.00)</t>
  </si>
  <si>
    <t xml:space="preserve">ALSAADA  ADVERTISING COMPANY</t>
  </si>
  <si>
    <t xml:space="preserve">Party-wise closing balance (Opening 0.00; Debit 16,895.08; Credit 16,895.08)</t>
  </si>
  <si>
    <t xml:space="preserve">ALFAOW TRADING GROUP</t>
  </si>
  <si>
    <t xml:space="preserve">Party-wise closing balance (Opening 0.50; Debit 4,554.00; Credit 4,554.50)</t>
  </si>
  <si>
    <t xml:space="preserve">BIDAYA  ADVERTISING</t>
  </si>
  <si>
    <t xml:space="preserve">Party-wise closing balance (Opening 868.45; Debit 0.00; Credit 868.45)</t>
  </si>
  <si>
    <t xml:space="preserve">JASSIM HASSAN AL AHDARI EST:</t>
  </si>
  <si>
    <t xml:space="preserve">Party-wise closing balance (Opening -115.00; Debit 9,755.70; Credit 9,640.70)</t>
  </si>
  <si>
    <t xml:space="preserve">IBDAA SHAM</t>
  </si>
  <si>
    <t xml:space="preserve">Party-wise closing balance (Opening 105.00; Debit 0.00; Credit 105.00)</t>
  </si>
  <si>
    <t xml:space="preserve">SCHINDLER </t>
  </si>
  <si>
    <t xml:space="preserve">Party-wise closing balance (Opening 0.00; Debit 920.00; Credit 920.00)</t>
  </si>
  <si>
    <t xml:space="preserve">MIZAT AL KHALEEJ PROJECT SUPPORT SERVIES CO.</t>
  </si>
  <si>
    <t xml:space="preserve">Party-wise closing balance (Opening 0.00; Debit 3,614.08; Credit 3,614.08)</t>
  </si>
  <si>
    <t xml:space="preserve">UNIQUE </t>
  </si>
  <si>
    <t xml:space="preserve">Party-wise closing balance (Opening -1,000.00; Debit 1,000.00; Credit 0.00)</t>
  </si>
  <si>
    <t xml:space="preserve"> المصنع السعودي للسقالات المعدنية</t>
  </si>
  <si>
    <t xml:space="preserve">Party-wise closing balance (Opening -91.00; Debit 91.00; Credit 0.00)</t>
  </si>
  <si>
    <t xml:space="preserve">POWER LIFT TRADING EST.</t>
  </si>
  <si>
    <t xml:space="preserve">Party-wise closing balance (Opening 0.00; Debit 9,533.00; Credit 9,533.00)</t>
  </si>
  <si>
    <t xml:space="preserve">A  2 Z</t>
  </si>
  <si>
    <t xml:space="preserve">DILSHAD LOAN</t>
  </si>
  <si>
    <t xml:space="preserve">Party-wise closing balance (Opening -445.00; Debit 445.00; Credit 0.00)</t>
  </si>
  <si>
    <t xml:space="preserve">TABUK PHARMACEUTICAL MANUFACTURING</t>
  </si>
  <si>
    <t xml:space="preserve">Party-wise closing balance (Opening 0.00; Debit 1,708.25; Credit 1,708.25)</t>
  </si>
  <si>
    <t xml:space="preserve">SCORE ARABIA SERVICES</t>
  </si>
  <si>
    <t xml:space="preserve">Party-wise closing balance (Opening 0.00; Debit 4,255.00; Credit 4,255.00)</t>
  </si>
  <si>
    <t xml:space="preserve">المصنع السعودي للسقالات المعدنية</t>
  </si>
  <si>
    <t xml:space="preserve">Party-wise closing balance (Opening 0.00; Debit 91.00; Credit 91.00)</t>
  </si>
  <si>
    <t xml:space="preserve">MODERN DEVELOPMENT WORKSHOP</t>
  </si>
  <si>
    <t xml:space="preserve">Party-wise closing balance (Opening 1,550.00; Debit 0.00; Credit 1,550.00)</t>
  </si>
  <si>
    <t xml:space="preserve">ABDULLAH MOHAMMED AL ZUNAIDI EST</t>
  </si>
  <si>
    <t xml:space="preserve">Party-wise closing balance (Opening 0.00; Debit 20,735.75; Credit 20,735.75)</t>
  </si>
  <si>
    <t xml:space="preserve">TOWER PLANNING TRADING CO .LTD.</t>
  </si>
  <si>
    <t xml:space="preserve">Party-wise closing balance (Opening 0.00; Debit 8,883.75; Credit 8,883.75)</t>
  </si>
  <si>
    <t xml:space="preserve">EYAS ADVERTISING</t>
  </si>
  <si>
    <t xml:space="preserve">Party-wise closing balance (Opening 1,610.00; Debit 4,915.68; Credit 6,525.68)</t>
  </si>
  <si>
    <t xml:space="preserve">FACTORY FUTURE METAL INDUSTRY</t>
  </si>
  <si>
    <t xml:space="preserve">Party-wise closing balance (Opening 690.00; Debit 14,160.80; Credit 14,850.80)</t>
  </si>
  <si>
    <t xml:space="preserve">NOUF SALEH ELIAS AL ANZI GENERAL CONTRACTING EST.</t>
  </si>
  <si>
    <t xml:space="preserve">Party-wise closing balance (Opening -2.00; Debit 2.00; Credit 0.00)</t>
  </si>
  <si>
    <t xml:space="preserve">MAYSAAN AL SHARK</t>
  </si>
  <si>
    <t xml:space="preserve">Party-wise closing balance (Opening -100.00; Debit 100.00; Credit 0.00)</t>
  </si>
  <si>
    <t xml:space="preserve">DAR QUBA</t>
  </si>
  <si>
    <t xml:space="preserve">Party-wise closing balance (Opening 0.00; Debit 502.50; Credit 502.50)</t>
  </si>
  <si>
    <t xml:space="preserve">SAEED ALAWI AL HAMZA STEEL FABRICATION</t>
  </si>
  <si>
    <t xml:space="preserve">Party-wise closing balance (Opening 0.00; Debit 1,076.40; Credit 1,076.40)</t>
  </si>
  <si>
    <t xml:space="preserve">INDUSTRIAL TRADING CONTRACTING CO.</t>
  </si>
  <si>
    <t xml:space="preserve">Party-wise closing balance (Opening 276.25; Debit 1,083.30; Credit 1,359.55)</t>
  </si>
  <si>
    <t xml:space="preserve">FACTORY FUTURE</t>
  </si>
  <si>
    <t xml:space="preserve">Party-wise closing balance (Opening 0.00; Debit 227.70; Credit 227.70)</t>
  </si>
  <si>
    <t xml:space="preserve">MUHASIN AL GHAMDI</t>
  </si>
  <si>
    <t xml:space="preserve">Party-wise closing balance (Opening -200.00; Debit 200.00; Credit 0.00)</t>
  </si>
  <si>
    <t xml:space="preserve">HASSAN LAFI AL SHAMMARI TURNERY </t>
  </si>
  <si>
    <t xml:space="preserve">Party-wise closing balance (Opening 35.58; Debit 35.58; Credit 71.16)</t>
  </si>
  <si>
    <t xml:space="preserve">KGT</t>
  </si>
  <si>
    <t xml:space="preserve">Party-wise closing balance (Opening 0.00; Debit 2,802.56; Credit 2,802.56)</t>
  </si>
  <si>
    <t xml:space="preserve">DHAHRAN AL ARABI ALUMINUM FACTORY CO.</t>
  </si>
  <si>
    <t xml:space="preserve">Party-wise closing balance (Opening 0.00; Debit 4,540.35; Credit 4,540.35)</t>
  </si>
  <si>
    <t xml:space="preserve">TAMAYOUZ GIFTS</t>
  </si>
  <si>
    <t xml:space="preserve">Party-wise closing balance (Opening 0.00; Debit 1,370.80; Credit 1,370.80)</t>
  </si>
  <si>
    <t xml:space="preserve">RAMZI SULEIMAN ABUBUSHAIT TRADING SERVICES EST.</t>
  </si>
  <si>
    <t xml:space="preserve">Party-wise closing balance (Opening 0.00; Debit 13,455.00; Credit 13,455.00)</t>
  </si>
  <si>
    <t xml:space="preserve">AHMED SULTAN AL SHAMRI</t>
  </si>
  <si>
    <t xml:space="preserve">Party-wise closing balance (Opening 0.00; Debit 16,450.75; Credit 16,450.75)</t>
  </si>
  <si>
    <t xml:space="preserve">GLOBAL INNOVATION CONTRACTING CO.</t>
  </si>
  <si>
    <t xml:space="preserve">Party-wise closing balance (Opening 52,228.40; Debit 19,338.40; Credit 71,566.80)</t>
  </si>
  <si>
    <t xml:space="preserve">IBRAHIM AL DULIJAN</t>
  </si>
  <si>
    <t xml:space="preserve">Party-wise closing balance (Opening 0.00; Debit 387.55; Credit 387.55)</t>
  </si>
  <si>
    <t xml:space="preserve">ALI</t>
  </si>
  <si>
    <t xml:space="preserve">RALCO INDUSTRIAL SERVICES CO</t>
  </si>
  <si>
    <t xml:space="preserve">Party-wise closing balance (Opening -637.00; Debit 32,608.73; Credit 31,971.73)</t>
  </si>
  <si>
    <t xml:space="preserve">WHITE STEEL INDUSTRY CO</t>
  </si>
  <si>
    <t xml:space="preserve">Party-wise closing balance (Opening 0.00; Debit 1,552.00; Credit 1,552.00)</t>
  </si>
  <si>
    <t xml:space="preserve">LEETH FUTURE COMPANY</t>
  </si>
  <si>
    <t xml:space="preserve">Party-wise closing balance (Opening -500.00; Debit 500.00; Credit 0.00)</t>
  </si>
  <si>
    <t xml:space="preserve">ALBAWARDI TOOLS &amp; HARDWARE CO. LLC</t>
  </si>
  <si>
    <t xml:space="preserve">Party-wise closing balance (Opening -3,000.00; Debit 3,000.00; Credit 0.00)</t>
  </si>
  <si>
    <t xml:space="preserve">BRIGHT STAR ADVERTISING L.L.C</t>
  </si>
  <si>
    <t xml:space="preserve">Party-wise closing balance (Opening 2,163.15; Debit 3,697.25; Credit 5,860.40)</t>
  </si>
  <si>
    <t xml:space="preserve">FARHA M S JPHAM</t>
  </si>
  <si>
    <t xml:space="preserve">Party-wise closing balance (Opening 0.00; Debit 35.65; Credit 35.65)</t>
  </si>
  <si>
    <t xml:space="preserve">RESHAT AL FANNAN ADVERTISING EST</t>
  </si>
  <si>
    <t xml:space="preserve">Party-wise closing balance (Opening -7,703.00; Debit 11,344.25; Credit 3,641.25)</t>
  </si>
  <si>
    <t xml:space="preserve">AL MANAAR HUM GENERAL CONTRACTING</t>
  </si>
  <si>
    <t xml:space="preserve">Party-wise closing balance (Opening -0.50; Debit 0.50; Credit 0.00)</t>
  </si>
  <si>
    <t xml:space="preserve">AL YAMAMA COMPANY FOR TRADING AND CONTRACTING</t>
  </si>
  <si>
    <t xml:space="preserve">Party-wise closing balance (Opening 0.00; Debit 230.00; Credit 230.00)</t>
  </si>
  <si>
    <t xml:space="preserve">ASIA OROUBA TRADING CO.</t>
  </si>
  <si>
    <t xml:space="preserve">Party-wise closing balance (Opening 2,679.50; Debit 11,578.20; Credit 14,257.70)</t>
  </si>
  <si>
    <t xml:space="preserve">GOLDEN SHADE</t>
  </si>
  <si>
    <t xml:space="preserve">Party-wise closing balance (Opening -12,000.00; Debit 12,140.00; Credit 140.00)</t>
  </si>
  <si>
    <t xml:space="preserve">KFUPM</t>
  </si>
  <si>
    <t xml:space="preserve">Party-wise closing balance (Opening 0.00; Debit 2,980.00; Credit 2,980.00)</t>
  </si>
  <si>
    <t xml:space="preserve">NOORA</t>
  </si>
  <si>
    <t xml:space="preserve">Party-wise closing balance (Opening 0.00; Debit 36,000.00; Credit 36,000.00)</t>
  </si>
  <si>
    <t xml:space="preserve">SARAYA CONTRACTING EST.</t>
  </si>
  <si>
    <t xml:space="preserve">Party-wise closing balance (Opening -207.00; Debit 1,242.00; Credit 1,035.00)</t>
  </si>
  <si>
    <t xml:space="preserve">GULF ARCHITECT FOR CONTRACTING</t>
  </si>
  <si>
    <t xml:space="preserve">Party-wise closing balance (Opening 287.50; Debit 0.00; Credit 287.50)</t>
  </si>
  <si>
    <t xml:space="preserve">DESERT SIDES INTERNATIONAL CONTRACTING COMPANY</t>
  </si>
  <si>
    <t xml:space="preserve">Party-wise closing balance (Opening -10,455.80; Debit 19,653.50; Credit 9,197.70)</t>
  </si>
  <si>
    <t xml:space="preserve">MEAD AL JAZEERA TRADING ESTABLISHMENT</t>
  </si>
  <si>
    <t xml:space="preserve">Party-wise closing balance (Opening 0.00; Debit 19,808.75; Credit 19,808.75)</t>
  </si>
  <si>
    <t xml:space="preserve">PRECISION ARABIA</t>
  </si>
  <si>
    <t xml:space="preserve">Party-wise closing balance (Opening 227.50; Debit 6,869.94; Credit 7,097.44)</t>
  </si>
  <si>
    <t xml:space="preserve">TECHNO SOURCE</t>
  </si>
  <si>
    <t xml:space="preserve">Party-wise closing balance (Opening 0.00; Debit 402.50; Credit 402.50)</t>
  </si>
  <si>
    <t xml:space="preserve">AHMED YAHYA NASSER AL-YAMI CONTRACTING EST</t>
  </si>
  <si>
    <t xml:space="preserve">Party-wise closing balance (Opening 0.00; Debit 10,542.05; Credit 10,542.05)</t>
  </si>
  <si>
    <t xml:space="preserve">SMART BOX FACTORY FOR INDUSTRY COMPANY</t>
  </si>
  <si>
    <t xml:space="preserve">Party-wise closing balance (Opening 4,140.00; Debit 44,269.25; Credit 48,409.25)</t>
  </si>
  <si>
    <t xml:space="preserve">VINSUB INTERNATIONAL CONTRACTING CO.</t>
  </si>
  <si>
    <t xml:space="preserve">Party-wise closing balance (Opening 93.63; Debit 31,668.70; Credit 31,762.33)</t>
  </si>
  <si>
    <t xml:space="preserve">FUTURE LIFTS </t>
  </si>
  <si>
    <t xml:space="preserve">Party-wise closing balance (Opening 0.70; Debit 37,740.98; Credit 37,741.68)</t>
  </si>
  <si>
    <t xml:space="preserve">KING FAHD UNIVERSITY OF PETROLEUM AND MINERALS</t>
  </si>
  <si>
    <t xml:space="preserve">Party-wise closing balance (Opening 0.00; Debit 1,580.00; Credit 1,580.00)</t>
  </si>
  <si>
    <t xml:space="preserve">AL MULHEM PRINTING PRESS COMPANY</t>
  </si>
  <si>
    <t xml:space="preserve">Party-wise closing balance (Opening 0.00; Debit 1,218.01; Credit 1,218.01)</t>
  </si>
  <si>
    <t xml:space="preserve">NOUH HASSAN AL YAHYA FACTORY FOR INDUSTRY</t>
  </si>
  <si>
    <t xml:space="preserve">ERAM ARABIA LIMITED</t>
  </si>
  <si>
    <t xml:space="preserve">Party-wise closing balance (Opening -1,500.00; Debit 1,500.00; Credit 0.00)</t>
  </si>
  <si>
    <t xml:space="preserve">SHIRYAN INDUSTRIAL SERVICES</t>
  </si>
  <si>
    <t xml:space="preserve">Party-wise closing balance (Opening 0.00; Debit 5,290.80; Credit 5,290.80)</t>
  </si>
  <si>
    <t xml:space="preserve">MODERN WOOD PRODUCTS FACTORY COMPANY</t>
  </si>
  <si>
    <t xml:space="preserve">Party-wise closing balance (Opening 0.00; Debit 6,468.75; Credit 6,468.75)</t>
  </si>
  <si>
    <t xml:space="preserve">MODERN WOOD PRODUCTS</t>
  </si>
  <si>
    <t xml:space="preserve">Party-wise closing balance (Opening 0.50; Debit 780.85; Credit 781.35)</t>
  </si>
  <si>
    <t xml:space="preserve">ABDUL AZIZ</t>
  </si>
  <si>
    <t xml:space="preserve">Party-wise closing balance (Opening 0.00; Debit 1,050.00; Credit 1,050.00)</t>
  </si>
  <si>
    <t xml:space="preserve">HADI HAMAD AL HAMMAM MARAIN SERVICE COMPANY</t>
  </si>
  <si>
    <t xml:space="preserve">SWEDISH CARPENTRY</t>
  </si>
  <si>
    <t xml:space="preserve">Party-wise closing balance (Opening 0.00; Debit 30.00; Credit 30.00)</t>
  </si>
  <si>
    <t xml:space="preserve">KHALOOD TRADING CO</t>
  </si>
  <si>
    <t xml:space="preserve">Party-wise closing balance (Opening -115.00; Debit 3,811.75; Credit 3,696.75)</t>
  </si>
  <si>
    <t xml:space="preserve">MAROMIX FACTORY</t>
  </si>
  <si>
    <t xml:space="preserve">Party-wise closing balance (Opening 0.00; Debit 4,370.00; Credit 4,370.00)</t>
  </si>
  <si>
    <t xml:space="preserve">CUSTOMER- MABCO BRANCH 2</t>
  </si>
  <si>
    <t xml:space="preserve">Party-wise closing balance (Opening 862.50; Debit 0.00; Credit 862.50)</t>
  </si>
  <si>
    <t xml:space="preserve">MICROMETER TURNERY ENGINEERING</t>
  </si>
  <si>
    <t xml:space="preserve">Party-wise closing balance (Opening 1,050.00; Debit 0.00; Credit 1,050.00)</t>
  </si>
  <si>
    <t xml:space="preserve">DYNAMIC TECHMOLOGY EQUIPMENT CO </t>
  </si>
  <si>
    <t xml:space="preserve">Party-wise closing balance (Opening 115.00; Debit 0.00; Credit 115.00)</t>
  </si>
  <si>
    <t xml:space="preserve">PAKMON ENERGY EFFICENT EQUIPMENT MANUFACTURING LLC</t>
  </si>
  <si>
    <t xml:space="preserve">Party-wise closing balance (Opening 828.00; Debit 0.00; Credit 828.00)</t>
  </si>
  <si>
    <t xml:space="preserve">ASAS PROJECTS</t>
  </si>
  <si>
    <t xml:space="preserve">Party-wise closing balance (Opening 100.50; Debit 0.00; Credit 100.50)</t>
  </si>
  <si>
    <t xml:space="preserve">شركة دعائم للصناعات المعدنية</t>
  </si>
  <si>
    <t xml:space="preserve">Party-wise closing balance (Opening 430.00; Debit 0.00; Credit 430.00)</t>
  </si>
  <si>
    <t xml:space="preserve">INDUSTRIAL STEEL MATAL WORKSHOP</t>
  </si>
  <si>
    <t xml:space="preserve">Party-wise closing balance (Opening 0.00; Debit 1,656.00; Credit 1,656.00)</t>
  </si>
  <si>
    <t xml:space="preserve">AL KHATRUYA STEEL WORK SHOP</t>
  </si>
  <si>
    <t xml:space="preserve">Party-wise closing balance (Opening 400.00; Debit 0.00; Credit 400.00)</t>
  </si>
  <si>
    <t xml:space="preserve">OMRAN ARABIA INDUSTRIAL COMPANY, A SINGLE-PERSON COMPANY</t>
  </si>
  <si>
    <t xml:space="preserve">Party-wise closing balance (Opening 0.00; Debit 50.00; Credit 50.00)</t>
  </si>
  <si>
    <t xml:space="preserve">JAWAD ABUSALEH</t>
  </si>
  <si>
    <t xml:space="preserve">Party-wise closing balance (Opening 50.00; Debit 0.00; Credit 50.00)</t>
  </si>
  <si>
    <t xml:space="preserve">ASDAF EASTERN MACHINERY AND EQUIPMENT</t>
  </si>
  <si>
    <t xml:space="preserve">Party-wise closing balance (Opening 0.00; Debit 6,665.40; Credit 6,665.40)</t>
  </si>
  <si>
    <t xml:space="preserve">شركه سي جي سي للمصاعد الكهربائيه</t>
  </si>
  <si>
    <t xml:space="preserve">Party-wise closing balance (Opening 500.00; Debit 0.00; Credit 500.00)</t>
  </si>
  <si>
    <t xml:space="preserve">IBTHIKAR GULF TRADING</t>
  </si>
  <si>
    <t xml:space="preserve">SRI ENERGY</t>
  </si>
  <si>
    <t xml:space="preserve">Party-wise closing balance (Opening 40.00; Debit 40.00; Credit 80.00)</t>
  </si>
  <si>
    <t xml:space="preserve">QUICKSAND GLOBAL</t>
  </si>
  <si>
    <t xml:space="preserve">Party-wise closing balance (Opening 17.50; Debit 460.00; Credit 477.50)</t>
  </si>
  <si>
    <t xml:space="preserve">LASER INTERNATIONAL CONTRACTING CO</t>
  </si>
  <si>
    <t xml:space="preserve">Party-wise closing balance (Opening 8,808.03; Debit 6,958.65; Credit 15,766.68)</t>
  </si>
  <si>
    <t xml:space="preserve">MUNTAZA MARKET</t>
  </si>
  <si>
    <t xml:space="preserve">Party-wise closing balance (Opening 0.00; Debit 807.30; Credit 807.30)</t>
  </si>
  <si>
    <t xml:space="preserve">LAYAN AL TATOWRAT CONTRACTING EST</t>
  </si>
  <si>
    <t xml:space="preserve">Party-wise closing balance (Opening -4,122.00; Debit 4,122.00; Credit 0.00)</t>
  </si>
  <si>
    <t xml:space="preserve">COBALT CONTRACTING COMPANY LTD</t>
  </si>
  <si>
    <t xml:space="preserve">Party-wise closing balance (Opening 0.00; Debit 15,415.73; Credit 15,415.73)</t>
  </si>
  <si>
    <t xml:space="preserve">AL FAKHAMA FURNITURE FACTORY</t>
  </si>
  <si>
    <t xml:space="preserve">Party-wise closing balance (Opening 0.00; Debit 496.60; Credit 496.60)</t>
  </si>
  <si>
    <t xml:space="preserve">AUTHENTIX SAUDI ARABIA  LTD</t>
  </si>
  <si>
    <t xml:space="preserve">Party-wise closing balance (Opening 0.00; Debit 21,728.70; Credit 21,728.70)</t>
  </si>
  <si>
    <t xml:space="preserve">BUSINESS LEGENDS EST</t>
  </si>
  <si>
    <t xml:space="preserve">Party-wise closing balance (Opening 0.00; Debit 6,940.00; Credit 6,940.00)</t>
  </si>
  <si>
    <t xml:space="preserve">MOHAMED AHAMMAD</t>
  </si>
  <si>
    <t xml:space="preserve">Party-wise closing balance (Opening -860.00; Debit 860.00; Credit 0.00)</t>
  </si>
  <si>
    <t xml:space="preserve">ABOOBAQAR</t>
  </si>
  <si>
    <t xml:space="preserve">Party-wise closing balance (Opening 22.00; Debit 0.00; Credit 22.00)</t>
  </si>
  <si>
    <t xml:space="preserve">ALI HASSAN AL-DAHHAN COMPANY</t>
  </si>
  <si>
    <t xml:space="preserve">Party-wise closing balance (Opening 0.00; Debit 679.65; Credit 679.65)</t>
  </si>
  <si>
    <t xml:space="preserve">ALI GARAMULLAH AL SHAMRANI CONTRACTING EST.</t>
  </si>
  <si>
    <t xml:space="preserve">Party-wise closing balance (Opening 0.00; Debit 356.50; Credit 356.50)</t>
  </si>
  <si>
    <t xml:space="preserve">MEMORY GULF CONTRACTING</t>
  </si>
  <si>
    <t xml:space="preserve">Party-wise closing balance (Opening 0.00; Debit 6,608.48; Credit 6,608.48)</t>
  </si>
  <si>
    <t xml:space="preserve">HAMAD FAHAD ALAWAD GENERAL CONT CO.</t>
  </si>
  <si>
    <t xml:space="preserve">Party-wise closing balance (Opening 0.00; Debit 42,849.00; Credit 42,849.00)</t>
  </si>
  <si>
    <t xml:space="preserve">BUILDING TECHNOLOGY LTD</t>
  </si>
  <si>
    <t xml:space="preserve">ARWEQAT AL FAKHAMA EST</t>
  </si>
  <si>
    <t xml:space="preserve">Party-wise closing balance (Opening 0.00; Debit 2,622.00; Credit 2,622.00)</t>
  </si>
  <si>
    <t xml:space="preserve">SHAWAHED AL-OMRAN ADVANCED CONTRACTING CO.</t>
  </si>
  <si>
    <t xml:space="preserve">Party-wise closing balance (Opening 0.00; Debit 4,997.55; Credit 4,997.55)</t>
  </si>
  <si>
    <t xml:space="preserve">CHICKEN FLAVOURS</t>
  </si>
  <si>
    <t xml:space="preserve">Party-wise closing balance (Opening 1,495.00; Debit 0.00; Credit 1,495.00)</t>
  </si>
  <si>
    <t xml:space="preserve">KHALED ALMAJDOUIE ADVERTISING</t>
  </si>
  <si>
    <t xml:space="preserve">Party-wise closing balance (Opening 1,208.00; Debit 0.00; Credit 1,208.00)</t>
  </si>
  <si>
    <t xml:space="preserve">ADD TECH ADVERTISING AGENCY</t>
  </si>
  <si>
    <t xml:space="preserve">Party-wise closing balance (Opening 0.00; Debit 609.50; Credit 609.50)</t>
  </si>
  <si>
    <t xml:space="preserve">AHMAD MOHAMAD EL ABTAH FACTORY</t>
  </si>
  <si>
    <t xml:space="preserve">Party-wise closing balance (Opening -3,000.00; Debit 3,264.50; Credit 264.50)</t>
  </si>
  <si>
    <t xml:space="preserve">POWER CONTROL SYSTEM TRADING CO.</t>
  </si>
  <si>
    <t xml:space="preserve">Party-wise closing balance (Opening 0.00; Debit 3,200.00; Credit 3,200.00)</t>
  </si>
  <si>
    <t xml:space="preserve">DIWAN AL ARABIA  ADV AGENCY</t>
  </si>
  <si>
    <t xml:space="preserve">Party-wise closing balance (Opening 0.00; Debit 3,697.25; Credit 3,697.25)</t>
  </si>
  <si>
    <t xml:space="preserve">AL RASHID TRADING &amp; CONTRACING CO.</t>
  </si>
  <si>
    <t xml:space="preserve">Party-wise closing balance (Opening 0.00; Debit 1,035.00; Credit 1,035.00)</t>
  </si>
  <si>
    <t xml:space="preserve">LIFTECH EQUIPMENT</t>
  </si>
  <si>
    <t xml:space="preserve">Party-wise closing balance (Opening 0.00; Debit 532.90; Credit 532.90)</t>
  </si>
  <si>
    <t xml:space="preserve">ICON TECH GENERAL CONTRACTING CO.</t>
  </si>
  <si>
    <t xml:space="preserve">Party-wise closing balance (Opening 2,037.50; Debit 0.00; Credit 2,037.50)</t>
  </si>
  <si>
    <t xml:space="preserve">COOPER WORLD FACTORY</t>
  </si>
  <si>
    <t xml:space="preserve">Party-wise closing balance (Opening 0.00; Debit 6,760.28; Credit 6,760.28)</t>
  </si>
  <si>
    <t xml:space="preserve">مطاعم المذاق العثماني</t>
  </si>
  <si>
    <t xml:space="preserve">ART LINE ADVERTISING AGENCY</t>
  </si>
  <si>
    <t xml:space="preserve">Party-wise closing balance (Opening 0.00; Debit 6,179.50; Credit 6,179.50)</t>
  </si>
  <si>
    <t xml:space="preserve">UNITED INDUSTRIAL INSPECTION SERVICES CO.</t>
  </si>
  <si>
    <t xml:space="preserve">Party-wise closing balance (Opening 0.40; Debit 1,045.50; Credit 1,045.90)</t>
  </si>
  <si>
    <t xml:space="preserve">SAEED SAHMAN AL SHAHRANI TRADING EST.</t>
  </si>
  <si>
    <t xml:space="preserve">Party-wise closing balance (Opening 0.00; Debit 11,005.50; Credit 11,005.50)</t>
  </si>
  <si>
    <t xml:space="preserve">ARSHAD ABDULLAH AL-SALEH &amp; PARTNERS CO.</t>
  </si>
  <si>
    <t xml:space="preserve">Party-wise closing balance (Opening 0.00; Debit 28.75; Credit 28.75)</t>
  </si>
  <si>
    <t xml:space="preserve">مؤسسة مستويات للمقاولات</t>
  </si>
  <si>
    <t xml:space="preserve">Party-wise closing balance (Opening 460.00; Debit 0.00; Credit 460.00)</t>
  </si>
  <si>
    <t xml:space="preserve">SAUDI BOILER MAINTENANCE COMPANY</t>
  </si>
  <si>
    <t xml:space="preserve">Party-wise closing balance (Opening 0.00; Debit 1,004.80; Credit 1,004.80)</t>
  </si>
  <si>
    <t xml:space="preserve">SAZE COMPANY FOR ADVERTISING</t>
  </si>
  <si>
    <t xml:space="preserve">HATAN UNITED TRADING EST</t>
  </si>
  <si>
    <t xml:space="preserve">Party-wise closing balance (Opening 2,415.00; Debit 3,271.75; Credit 5,686.75)</t>
  </si>
  <si>
    <t xml:space="preserve">AL RASHID RTCC DAMMAM</t>
  </si>
  <si>
    <t xml:space="preserve">SAUDI ARABIAN TRADING CONSTRUCTION COMPANY</t>
  </si>
  <si>
    <t xml:space="preserve">Party-wise closing balance (Opening -30,636.00; Debit 58,494.08; Credit 27,858.08)</t>
  </si>
  <si>
    <t xml:space="preserve">THARIK AL FAN MAHDOUDA COMPANY</t>
  </si>
  <si>
    <t xml:space="preserve">Party-wise closing balance (Opening 1,293.75; Debit 0.00; Credit 1,293.75)</t>
  </si>
  <si>
    <t xml:space="preserve">شركة طريق الفن</t>
  </si>
  <si>
    <t xml:space="preserve">Party-wise closing balance (Opening -2,242.50; Debit 2,242.50; Credit 0.00)</t>
  </si>
  <si>
    <t xml:space="preserve">GULF INDUSTRIAL COMPLEX</t>
  </si>
  <si>
    <t xml:space="preserve">Party-wise closing balance (Opening 0.00; Debit 7,473.20; Credit 7,473.20)</t>
  </si>
  <si>
    <t xml:space="preserve">RAIQ COMPANY</t>
  </si>
  <si>
    <t xml:space="preserve">Party-wise closing balance (Opening 0.00; Debit 2,000.00; Credit 2,000.00)</t>
  </si>
  <si>
    <t xml:space="preserve">STAR MAX TRADING COMPANY</t>
  </si>
  <si>
    <t xml:space="preserve">Party-wise closing balance (Opening 0.00; Debit 5,339.70; Credit 5,339.70)</t>
  </si>
  <si>
    <t xml:space="preserve">TAIBA</t>
  </si>
  <si>
    <t xml:space="preserve">MODERN MACHINERY TRADING COMPANY</t>
  </si>
  <si>
    <t xml:space="preserve">Party-wise closing balance (Opening 0.00; Debit 362.25; Credit 362.25)</t>
  </si>
  <si>
    <t xml:space="preserve">AL BABTAIN METALOGALVA CO.LTD</t>
  </si>
  <si>
    <t xml:space="preserve">Party-wise closing balance (Opening 0.00; Debit 116,396.10; Credit 116,396.10)</t>
  </si>
  <si>
    <t xml:space="preserve">SHADEN COMPANY FOR PRINTING ADVERTISING</t>
  </si>
  <si>
    <t xml:space="preserve">Party-wise closing balance (Opening 1,186.80; Debit 3,887.00; Credit 5,073.80)</t>
  </si>
  <si>
    <t xml:space="preserve">FLUIDPOWER CO. FOR EQUIP. MAINTENANANCE</t>
  </si>
  <si>
    <t xml:space="preserve">Party-wise closing balance (Opening 0.00; Debit 38,611.83; Credit 38,611.83)</t>
  </si>
  <si>
    <t xml:space="preserve">ADAM ARTS ADVERTISING EST</t>
  </si>
  <si>
    <t xml:space="preserve">Party-wise closing balance (Opening 517.50; Debit 0.00; Credit 517.50)</t>
  </si>
  <si>
    <t xml:space="preserve">GULF STAR </t>
  </si>
  <si>
    <t xml:space="preserve">Party-wise closing balance (Opening 178.00; Debit 12,282.40; Credit 12,460.40)</t>
  </si>
  <si>
    <t xml:space="preserve">شركة ابياتنا التطويرية للمقاولات</t>
  </si>
  <si>
    <t xml:space="preserve">Party-wise closing balance (Opening 0.00; Debit 7,492.25; Credit 7,492.25)</t>
  </si>
  <si>
    <t xml:space="preserve">تعمير عرعر للمقاولات العامة</t>
  </si>
  <si>
    <t xml:space="preserve">Party-wise closing balance (Opening 600.25; Debit 0.00; Credit 600.25)</t>
  </si>
  <si>
    <t xml:space="preserve">THE INTERNATIONAL ELECTRICAL PRODUCTS CO.</t>
  </si>
  <si>
    <t xml:space="preserve">Party-wise closing balance (Opening 0.00; Debit 8,022.40; Credit 8,022.40)</t>
  </si>
  <si>
    <t xml:space="preserve">NOMI CONTRACTING COMPANY</t>
  </si>
  <si>
    <t xml:space="preserve">Party-wise closing balance (Opening -6,000.00; Debit 6,000.00; Credit 0.00)</t>
  </si>
  <si>
    <t xml:space="preserve">RAHIMA  POLTRY COMPANY LIMITED</t>
  </si>
  <si>
    <t xml:space="preserve">Party-wise closing balance (Opening 0.00; Debit 9,660.00; Credit 9,660.00)</t>
  </si>
  <si>
    <t xml:space="preserve">GULF TIMING EST</t>
  </si>
  <si>
    <t xml:space="preserve">Party-wise closing balance (Opening 0.00; Debit 40,606.50; Credit 40,606.50)</t>
  </si>
  <si>
    <t xml:space="preserve">شركة مصنع عبداللطيف محمد العرفج</t>
  </si>
  <si>
    <t xml:space="preserve">KANNAN A GLORING TRADING EST</t>
  </si>
  <si>
    <t xml:space="preserve">Party-wise closing balance (Opening 0.50; Debit 99.50; Credit 100.00)</t>
  </si>
  <si>
    <t xml:space="preserve">LIGHT PRINTING PRESS</t>
  </si>
  <si>
    <t xml:space="preserve">AL FAJR AL HADITH ADVERTISING</t>
  </si>
  <si>
    <t xml:space="preserve">Party-wise closing balance (Opening 0.00; Debit 100.63; Credit 100.63)</t>
  </si>
  <si>
    <t xml:space="preserve">MOTOR SORCE</t>
  </si>
  <si>
    <t xml:space="preserve">Party-wise closing balance (Opening 0.00; Debit 1,195.00; Credit 1,195.00)</t>
  </si>
  <si>
    <t xml:space="preserve">NATIONAL PLASTIC ROPE FACTORY</t>
  </si>
  <si>
    <t xml:space="preserve">Party-wise closing balance (Opening 0.00; Debit 552.00; Credit 552.00)</t>
  </si>
  <si>
    <t xml:space="preserve">AL AREEN COMPANY</t>
  </si>
  <si>
    <t xml:space="preserve">Party-wise closing balance (Opening 0.00; Debit 403.65; Credit 403.65)</t>
  </si>
  <si>
    <t xml:space="preserve">WISSAM ALKHALEEJ ACARYLIC CO.</t>
  </si>
  <si>
    <t xml:space="preserve">Party-wise closing balance (Opening 0.00; Debit 9,927.51; Credit 9,927.51)</t>
  </si>
  <si>
    <t xml:space="preserve">MISHAL SAUD AL-FARAJ TRADING EST</t>
  </si>
  <si>
    <t xml:space="preserve">Party-wise closing balance (Opening 0.00; Debit 30,590.00; Credit 30,590.00)</t>
  </si>
  <si>
    <t xml:space="preserve">AHMAD NASSER AL BINALI</t>
  </si>
  <si>
    <t xml:space="preserve">AL KHOBAR GARDENS ADVERTISING </t>
  </si>
  <si>
    <t xml:space="preserve">Party-wise closing balance (Opening 0.00; Debit 19,311.66; Credit 19,311.66)</t>
  </si>
  <si>
    <t xml:space="preserve">ELNESOORELTHALATHA</t>
  </si>
  <si>
    <t xml:space="preserve">Party-wise closing balance (Opening -1,700.00; Debit 1,700.00; Credit 0.00)</t>
  </si>
  <si>
    <t xml:space="preserve">MUHAMED HASSAN SHARBENI CO.</t>
  </si>
  <si>
    <t xml:space="preserve">Party-wise closing balance (Opening 0.00; Debit 57.50; Credit 57.50)</t>
  </si>
  <si>
    <t xml:space="preserve">ARTLAND INDUSTRIAL MARKETING CO.</t>
  </si>
  <si>
    <t xml:space="preserve">Party-wise closing balance (Opening 0.00; Debit 3,390.00; Credit 3,390.00)</t>
  </si>
  <si>
    <t xml:space="preserve">ESSA SALMAN AL-DOSSARY TRAD.EST</t>
  </si>
  <si>
    <t xml:space="preserve">Party-wise closing balance (Opening 345.00; Debit 0.00; Credit 345.00)</t>
  </si>
  <si>
    <t xml:space="preserve">MAZ BUSINESS GRUOP </t>
  </si>
  <si>
    <t xml:space="preserve">Party-wise closing balance (Opening -25.00; Debit 270.00; Credit 245.00)</t>
  </si>
  <si>
    <t xml:space="preserve">GREAT VALVE GENERAL CONTRACTING</t>
  </si>
  <si>
    <t xml:space="preserve">Party-wise closing balance (Opening 0.60; Debit 2,050.45; Credit 2,051.05)</t>
  </si>
  <si>
    <t xml:space="preserve">YAZID AL ADWANI CONTRACTING</t>
  </si>
  <si>
    <t xml:space="preserve">Party-wise closing balance (Opening 0.00; Debit 3,141.85; Credit 3,141.85)</t>
  </si>
  <si>
    <t xml:space="preserve">MS AL MUSK UNION SCIENTIFIC TRD.EST</t>
  </si>
  <si>
    <t xml:space="preserve">Party-wise closing balance (Opening -8,500.00; Debit 8,500.00; Credit 0.00)</t>
  </si>
  <si>
    <t xml:space="preserve">WATAD MIDDLE EAST</t>
  </si>
  <si>
    <t xml:space="preserve">Party-wise closing balance (Opening 0.00; Debit 3,605.25; Credit 3,605.25)</t>
  </si>
  <si>
    <t xml:space="preserve">ATTIEH TRADING COMPANY LTD SALES</t>
  </si>
  <si>
    <t xml:space="preserve">Party-wise closing balance (Opening 0.00; Debit 42,297.00; Credit 42,297.00)</t>
  </si>
  <si>
    <t xml:space="preserve">AL ZAHARA  AZAD AL SAADA</t>
  </si>
  <si>
    <t xml:space="preserve">IKKPF</t>
  </si>
  <si>
    <t xml:space="preserve">Party-wise closing balance (Opening 0.00; Debit 3,122.00; Credit 3,122.00)</t>
  </si>
  <si>
    <t xml:space="preserve">BAIT AL MAWADA CO.</t>
  </si>
  <si>
    <t xml:space="preserve">Party-wise closing balance (Opening 0.00; Debit 300.00; Credit 300.00)</t>
  </si>
  <si>
    <t xml:space="preserve">NAJI ALI BOSROUR GROUP</t>
  </si>
  <si>
    <t xml:space="preserve">Party-wise closing balance (Opening 0.00; Debit 46.00; Credit 46.00)</t>
  </si>
  <si>
    <t xml:space="preserve">FLUID FORCE COMPANY FOR INDUSTRY</t>
  </si>
  <si>
    <t xml:space="preserve">Party-wise closing balance (Opening 0.00; Debit 1,758.32; Credit 1,758.32)</t>
  </si>
  <si>
    <t xml:space="preserve">CREATIVE VISION TRADING COMPANY IS A ONE-PERSON COMPANY.</t>
  </si>
  <si>
    <t xml:space="preserve">Party-wise closing balance (Opening -1,554.00; Debit 9,357.55; Credit 7,803.55)</t>
  </si>
  <si>
    <t xml:space="preserve">RAINBOW PRINTING COMPANY</t>
  </si>
  <si>
    <t xml:space="preserve">Party-wise closing balance (Opening 0.00; Debit 414.00; Credit 414.00)</t>
  </si>
  <si>
    <t xml:space="preserve">BUNYAN GULF TRADING</t>
  </si>
  <si>
    <t xml:space="preserve">SHARAYA CONTRACTING EST.</t>
  </si>
  <si>
    <t xml:space="preserve">Party-wise closing balance (Opening 0.00; Debit 172.50; Credit 172.50)</t>
  </si>
  <si>
    <t xml:space="preserve">SULTAN SAD AL DARA  MAINTENACE WORKSHOP</t>
  </si>
  <si>
    <t xml:space="preserve">Party-wise closing balance (Opening 0.00; Debit 391.00; Credit 391.00)</t>
  </si>
  <si>
    <t xml:space="preserve">شركة ساحة الانشاءات للتجارة</t>
  </si>
  <si>
    <t xml:space="preserve">SKILLS</t>
  </si>
  <si>
    <t xml:space="preserve">WATEEN HANEEN EST</t>
  </si>
  <si>
    <t xml:space="preserve">Party-wise closing balance (Opening 60.01; Debit 0.00; Credit 60.01)</t>
  </si>
  <si>
    <t xml:space="preserve">CENTURY HORIZONS METAL INDUSTRIES</t>
  </si>
  <si>
    <t xml:space="preserve">IMRAN AL ARABIA</t>
  </si>
  <si>
    <t xml:space="preserve">DAYAN &amp; REHAN TRADING EST.</t>
  </si>
  <si>
    <t xml:space="preserve">Party-wise closing balance (Opening -150.00; Debit 21,514.20; Credit 21,364.20)</t>
  </si>
  <si>
    <t xml:space="preserve">شركة لموسى والسريع </t>
  </si>
  <si>
    <t xml:space="preserve">Party-wise closing balance (Opening -400.00; Debit 400.00; Credit 0.00)</t>
  </si>
  <si>
    <t xml:space="preserve">ALI RAMADAN</t>
  </si>
  <si>
    <t xml:space="preserve">Party-wise closing balance (Opening 975.00; Debit 0.00; Credit 975.00)</t>
  </si>
  <si>
    <t xml:space="preserve">SAUDI MEDIA SYSTEMS COMPANY</t>
  </si>
  <si>
    <t xml:space="preserve">Party-wise closing balance (Opening 0.00; Debit 5,364.75; Credit 5,364.75)</t>
  </si>
  <si>
    <t xml:space="preserve">TARA TOOTHBRUSH COMPANY</t>
  </si>
  <si>
    <t xml:space="preserve">Party-wise closing balance (Opening 0.00; Debit 2,208.00; Credit 2,208.00)</t>
  </si>
  <si>
    <t xml:space="preserve">PRUDENT SAUDI ARABIA  LIMITED</t>
  </si>
  <si>
    <t xml:space="preserve">Party-wise closing balance (Opening 187.05; Debit 200.00; Credit 387.05)</t>
  </si>
  <si>
    <t xml:space="preserve">NESR</t>
  </si>
  <si>
    <t xml:space="preserve">Party-wise closing balance (Opening 0.00; Debit 1,745.20; Credit 1,745.20)</t>
  </si>
  <si>
    <t xml:space="preserve">GULF WATER</t>
  </si>
  <si>
    <t xml:space="preserve">Party-wise closing balance (Opening 0.00; Debit 207.00; Credit 207.00)</t>
  </si>
  <si>
    <t xml:space="preserve">AHMED M. AL-ABTAH FACTORY FOR INDUSTRY</t>
  </si>
  <si>
    <t xml:space="preserve">Party-wise closing balance (Opening 0.00; Debit 98.90; Credit 98.90)</t>
  </si>
  <si>
    <t xml:space="preserve">شركة الافكار الخشبية</t>
  </si>
  <si>
    <t xml:space="preserve">ABDUL AZIZ IBRAHIM AL-OUFY TRADING EST.</t>
  </si>
  <si>
    <t xml:space="preserve">Party-wise closing balance (Opening 0.00; Debit 2,276.00; Credit 2,276.00)</t>
  </si>
  <si>
    <t xml:space="preserve">AL-ADWANI CONTRACTING</t>
  </si>
  <si>
    <t xml:space="preserve">Party-wise closing balance (Opening 0.00; Debit 874.00; Credit 874.00)</t>
  </si>
  <si>
    <t xml:space="preserve">URANUS MARINE</t>
  </si>
  <si>
    <t xml:space="preserve">Party-wise closing balance (Opening 0.00; Debit 12,282.00; Credit 12,282.00)</t>
  </si>
  <si>
    <t xml:space="preserve">NEW PROTACTION WORKSHP</t>
  </si>
  <si>
    <t xml:space="preserve">FAST TURRET LATHE FOR METALS</t>
  </si>
  <si>
    <t xml:space="preserve">Party-wise closing balance (Opening 0.00; Debit 4,054.00; Credit 4,054.00)</t>
  </si>
  <si>
    <t xml:space="preserve">وكالة شغف</t>
  </si>
  <si>
    <t xml:space="preserve">Party-wise closing balance (Opening -50.00; Debit 50.00; Credit 0.00)</t>
  </si>
  <si>
    <t xml:space="preserve">AL ARIN COMPANY</t>
  </si>
  <si>
    <t xml:space="preserve">AL HOKAIL MEDICAL GROUP</t>
  </si>
  <si>
    <t xml:space="preserve">Party-wise closing balance (Opening 0.00; Debit 960.25; Credit 960.25)</t>
  </si>
  <si>
    <t xml:space="preserve">ALRAWAFID GENERAL CONTRACTING COMPANY</t>
  </si>
  <si>
    <t xml:space="preserve">Party-wise closing balance (Opening 1,173.50; Debit 0.00; Credit 1,173.50)</t>
  </si>
  <si>
    <t xml:space="preserve">AL EMAMMA</t>
  </si>
  <si>
    <t xml:space="preserve">ALMTQNWN ALMUHRAH LLMQAWL</t>
  </si>
  <si>
    <t xml:space="preserve">Party-wise closing balance (Opening 2,035.50; Debit 0.00; Credit 2,035.50)</t>
  </si>
  <si>
    <t xml:space="preserve">AWAD SAHIMAN KMSHEE</t>
  </si>
  <si>
    <t xml:space="preserve">Party-wise closing balance (Opening 0.00; Debit 8,308.75; Credit 8,308.75)</t>
  </si>
  <si>
    <t xml:space="preserve">AL BADIL NET CONTRACTING COMPANY</t>
  </si>
  <si>
    <t xml:space="preserve">Party-wise closing balance (Opening 0.00; Debit 5,429.80; Credit 5,429.80)</t>
  </si>
  <si>
    <t xml:space="preserve">TATCO </t>
  </si>
  <si>
    <t xml:space="preserve">Party-wise closing balance (Opening 0.00; Debit 717.25; Credit 717.25)</t>
  </si>
  <si>
    <t xml:space="preserve">MODERN TECHNICAL EST.</t>
  </si>
  <si>
    <t xml:space="preserve">Party-wise closing balance (Opening 0.00; Debit 285.00; Credit 285.00)</t>
  </si>
  <si>
    <t xml:space="preserve">REEM AL MAHA TRADING EST</t>
  </si>
  <si>
    <t xml:space="preserve">Party-wise closing balance (Opening 100.00; Debit 1,550.20; Credit 1,650.20)</t>
  </si>
  <si>
    <t xml:space="preserve">ALHAJRY OVERSEAS</t>
  </si>
  <si>
    <t xml:space="preserve">Party-wise closing balance (Opening 292.00; Debit 0.00; Credit 292.00)</t>
  </si>
  <si>
    <t xml:space="preserve">TAKAMUL ALAFKAR PRINTING</t>
  </si>
  <si>
    <t xml:space="preserve">Party-wise closing balance (Opening 0.00; Debit 2,597.50; Credit 2,597.50)</t>
  </si>
  <si>
    <t xml:space="preserve">AL ATTIA TRADING EST.</t>
  </si>
  <si>
    <t xml:space="preserve">Party-wise closing balance (Opening 0.00; Debit 10,465.00; Credit 10,465.00)</t>
  </si>
  <si>
    <t xml:space="preserve">ALTOGA TRADING COMPANY</t>
  </si>
  <si>
    <t xml:space="preserve">AL KHORAYEF COMPANY</t>
  </si>
  <si>
    <t xml:space="preserve">Party-wise closing balance (Opening 0.00; Debit 184.00; Credit 184.00)</t>
  </si>
  <si>
    <t xml:space="preserve">UNIQUE HOSPITALITY</t>
  </si>
  <si>
    <t xml:space="preserve">SAUDI ARABIAN STEEL CANS MANUFACTURS</t>
  </si>
  <si>
    <t xml:space="preserve">Party-wise closing balance (Opening 0.00; Debit 422.00; Credit 422.00)</t>
  </si>
  <si>
    <t xml:space="preserve">PRECISION METALS INDUSTRY COMPANY </t>
  </si>
  <si>
    <t xml:space="preserve">Party-wise closing balance (Opening 0.00; Debit 36,359.19; Credit 36,359.19)</t>
  </si>
  <si>
    <t xml:space="preserve">INITIAL CONSTRUCTION EST.FOR METAL WORKS</t>
  </si>
  <si>
    <t xml:space="preserve">Party-wise closing balance (Opening 0.00; Debit 523.25; Credit 523.25)</t>
  </si>
  <si>
    <t xml:space="preserve">SAWARINA TRADING EST</t>
  </si>
  <si>
    <t xml:space="preserve">Party-wise closing balance (Opening 0.00; Debit 136.85; Credit 136.85)</t>
  </si>
  <si>
    <t xml:space="preserve">MUFEED ABDURAB AL HASA KAISUM </t>
  </si>
  <si>
    <t xml:space="preserve">Party-wise closing balance (Opening 0.00; Debit 2,426.50; Credit 2,426.50)</t>
  </si>
  <si>
    <t xml:space="preserve">AL RAFIA CONTRACTING </t>
  </si>
  <si>
    <t xml:space="preserve">Party-wise closing balance (Opening 0.00; Debit 1,104.00; Credit 1,104.00)</t>
  </si>
  <si>
    <t xml:space="preserve">MANAR AL ASIMAH TRADING CO</t>
  </si>
  <si>
    <t xml:space="preserve">Party-wise closing balance (Opening 0.00; Debit 69.00; Credit 69.00)</t>
  </si>
  <si>
    <t xml:space="preserve">SAMAK DINE INDIAN REST</t>
  </si>
  <si>
    <t xml:space="preserve">Party-wise closing balance (Opening 1,437.50; Debit 0.00; Credit 1,437.50)</t>
  </si>
  <si>
    <t xml:space="preserve">ZMD RADIATOR FACTORY</t>
  </si>
  <si>
    <t xml:space="preserve">Party-wise closing balance (Opening 0.00; Debit 696.00; Credit 696.00)</t>
  </si>
  <si>
    <t xml:space="preserve">SMART DESIGN AGENCY FOR ADVERTISING</t>
  </si>
  <si>
    <t xml:space="preserve">Party-wise closing balance (Opening 0.00; Debit 1,078.00; Credit 1,078.00)</t>
  </si>
  <si>
    <t xml:space="preserve">ARABIAN METALS</t>
  </si>
  <si>
    <t xml:space="preserve">Party-wise closing balance (Opening 13,226.15; Debit 16,519.75; Credit 29,745.90)</t>
  </si>
  <si>
    <t xml:space="preserve">AL SAQOOR STAR TAILORING CO.</t>
  </si>
  <si>
    <t xml:space="preserve">Party-wise closing balance (Opening 0.00; Debit 11,339.00; Credit 11,339.00)</t>
  </si>
  <si>
    <t xml:space="preserve">ASKA SOLUTION</t>
  </si>
  <si>
    <t xml:space="preserve">Party-wise closing balance (Opening 0.00; Debit 1,000.00; Credit 1,000.00)</t>
  </si>
  <si>
    <t xml:space="preserve">AL RAYAN TECHNICAL AND MAINTENANCE</t>
  </si>
  <si>
    <t xml:space="preserve">Party-wise closing balance (Opening 0.00; Debit 151.80; Credit 151.80)</t>
  </si>
  <si>
    <t xml:space="preserve">BANAD AL-SAMEE MAINTENANCE FUNDATION</t>
  </si>
  <si>
    <t xml:space="preserve">GULF TECHNICAL FACTORY</t>
  </si>
  <si>
    <t xml:space="preserve">Party-wise closing balance (Opening 2,219.50; Debit 241.50; Credit 2,461.00)</t>
  </si>
  <si>
    <t xml:space="preserve">KINZ METAL PRODUCTS COMPANY</t>
  </si>
  <si>
    <t xml:space="preserve">Party-wise closing balance (Opening 0.00; Debit 5,675.25; Credit 5,675.25)</t>
  </si>
  <si>
    <t xml:space="preserve">RAJANA  ALUMINUM FACTORY</t>
  </si>
  <si>
    <t xml:space="preserve">MODERN FACTORY</t>
  </si>
  <si>
    <t xml:space="preserve">BAITELDEEN SWEETES AND BEAKERY</t>
  </si>
  <si>
    <t xml:space="preserve">Party-wise closing balance (Opening 0.00; Debit 7,245.00; Credit 7,245.00)</t>
  </si>
  <si>
    <t xml:space="preserve">UNITED SPARK GENARAL CONTRACTING CO.</t>
  </si>
  <si>
    <t xml:space="preserve">Party-wise closing balance (Opening 0.00; Debit 1,029.00; Credit 1,029.00)</t>
  </si>
  <si>
    <t xml:space="preserve">AMJAD ABDULAZIZ AL HOGAIL FUEL COMPANY</t>
  </si>
  <si>
    <t xml:space="preserve">Party-wise closing balance (Opening 0.00; Debit 1,201.75; Credit 1,201.75)</t>
  </si>
  <si>
    <t xml:space="preserve">ARIF AL- HALOON</t>
  </si>
  <si>
    <t xml:space="preserve">Party-wise closing balance (Opening -90.00; Debit 90.00; Credit 0.00)</t>
  </si>
  <si>
    <t xml:space="preserve">FAROOJ AL JAZEERA CHICKEN EST</t>
  </si>
  <si>
    <t xml:space="preserve">Party-wise closing balance (Opening 0.00; Debit 253.00; Credit 253.00)</t>
  </si>
  <si>
    <t xml:space="preserve">SAME COMPANY</t>
  </si>
  <si>
    <t xml:space="preserve">Party-wise closing balance (Opening 483.00; Debit 0.00; Credit 483.00)</t>
  </si>
  <si>
    <t xml:space="preserve">SAMI MOHAMMED ALYAMI</t>
  </si>
  <si>
    <t xml:space="preserve">DIESEL MACHNERY TRADING EST</t>
  </si>
  <si>
    <t xml:space="preserve">SHALIL STON</t>
  </si>
  <si>
    <t xml:space="preserve">Party-wise closing balance (Opening 1.00; Debit 0.00; Credit 1.00)</t>
  </si>
  <si>
    <t xml:space="preserve">SHENGLI SHENGHUA FOR CONTRACTING</t>
  </si>
  <si>
    <t xml:space="preserve">Party-wise closing balance (Opening 0.00; Debit 53,751.00; Credit 53,751.00)</t>
  </si>
  <si>
    <t xml:space="preserve">R &amp; N ELEVATORS</t>
  </si>
  <si>
    <t xml:space="preserve">MANSOUR  AL MANSOUR </t>
  </si>
  <si>
    <t xml:space="preserve">Party-wise closing balance (Opening 0.00; Debit 18,980.01; Credit 18,980.01)</t>
  </si>
  <si>
    <t xml:space="preserve">SMALL DETAILS ADVERTISING AND PUBLICITY ESTABLISHMENT</t>
  </si>
  <si>
    <t xml:space="preserve">Party-wise closing balance (Opening 0.00; Debit 320.00; Credit 320.00)</t>
  </si>
  <si>
    <t xml:space="preserve">INTERNATIONAL SECURITY &amp; COMMUNICATIONS CO</t>
  </si>
  <si>
    <t xml:space="preserve">Party-wise closing balance (Opening 0.00; Debit 4,400.00; Credit 4,400.00)</t>
  </si>
  <si>
    <t xml:space="preserve">GOLDEN SAND ENERGY GENERAL</t>
  </si>
  <si>
    <t xml:space="preserve">Party-wise closing balance (Opening 0.00; Debit 6,440.00; Credit 6,440.00)</t>
  </si>
  <si>
    <t xml:space="preserve">INDUSTRIAL DIVICES TRADING EST</t>
  </si>
  <si>
    <t xml:space="preserve">Party-wise closing balance (Opening 0.00; Debit 10,781.25; Credit 10,781.25)</t>
  </si>
  <si>
    <t xml:space="preserve">INSPECTION AND TECHNICAL SORVEY COMPANY</t>
  </si>
  <si>
    <t xml:space="preserve">Party-wise closing balance (Opening 0.00; Debit 948.75; Credit 948.75)</t>
  </si>
  <si>
    <t xml:space="preserve">LEVELS GENERAL CONTRACTING COMPANY IS A ONE PERSON COMPANY</t>
  </si>
  <si>
    <t xml:space="preserve">Party-wise closing balance (Opening -119.00; Debit 119.00; Credit 0.00)</t>
  </si>
  <si>
    <t xml:space="preserve">EMDAD TECHNICAL SERVICES SUPPLY COMPANY</t>
  </si>
  <si>
    <t xml:space="preserve">ZAMAN ALQAIM INDUSTRIAL FACTORY COMPANY</t>
  </si>
  <si>
    <t xml:space="preserve">Party-wise closing balance (Opening 1,782.50; Debit 0.00; Credit 1,782.50)</t>
  </si>
  <si>
    <t xml:space="preserve">ARAB PROMISE METAL WORKSHOP</t>
  </si>
  <si>
    <t xml:space="preserve">Party-wise closing balance (Opening 0.00; Debit 6,736.70; Credit 6,736.70)</t>
  </si>
  <si>
    <t xml:space="preserve">GOLDEN PAPER ADVERTISING AND PUBLICITY COMPANY IS A ONE-PERSON COMPANY.</t>
  </si>
  <si>
    <t xml:space="preserve">Party-wise closing balance (Opening 0.00; Debit 14,433.75; Credit 14,433.75)</t>
  </si>
  <si>
    <t xml:space="preserve">MODERN DEFERGENTS FACTORY</t>
  </si>
  <si>
    <t xml:space="preserve">Party-wise closing balance (Opening 0.00; Debit 850.00; Credit 850.00)</t>
  </si>
  <si>
    <t xml:space="preserve">AL SHARQ  WOOL FACTORY</t>
  </si>
  <si>
    <t xml:space="preserve">Party-wise closing balance (Opening 591.50; Debit 6,865.00; Credit 7,456.50)</t>
  </si>
  <si>
    <t xml:space="preserve">BAMA  ARABIA  PECORITION</t>
  </si>
  <si>
    <t xml:space="preserve">Party-wise closing balance (Opening 0.00; Debit 10,177.50; Credit 10,177.50)</t>
  </si>
  <si>
    <t xml:space="preserve">RAWAIYA AL ETHAD INDUSTRIAL FACTORY</t>
  </si>
  <si>
    <t xml:space="preserve">Party-wise closing balance (Opening 759.00; Debit 0.00; Credit 759.00)</t>
  </si>
  <si>
    <t xml:space="preserve">OTB KHALEEJ</t>
  </si>
  <si>
    <t xml:space="preserve">ABDULLAH  MAJID AL GHAMDI EST</t>
  </si>
  <si>
    <t xml:space="preserve">Party-wise closing balance (Opening 0.00; Debit 192.00; Credit 192.00)</t>
  </si>
  <si>
    <t xml:space="preserve">DELVAL FLOW CONTROLS MIDDLE EAST LIMITED</t>
  </si>
  <si>
    <t xml:space="preserve">Party-wise closing balance (Opening 0.00; Debit 289.80; Credit 289.80)</t>
  </si>
  <si>
    <t xml:space="preserve">ELEGANZA INTERNATIONAL FURNITURE COMPANY</t>
  </si>
  <si>
    <t xml:space="preserve">MAJID ABDUL MAJEED AL FARAJ GENERAL CONTRACTING ESTABLISHMENT</t>
  </si>
  <si>
    <t xml:space="preserve">Party-wise closing balance (Opening 0.00; Debit 101.20; Credit 101.20)</t>
  </si>
  <si>
    <t xml:space="preserve">TALAL</t>
  </si>
  <si>
    <t xml:space="preserve">Party-wise closing balance (Opening -130.00; Debit 130.00; Credit 0.00)</t>
  </si>
  <si>
    <t xml:space="preserve">PETRONASH  ARABIA</t>
  </si>
  <si>
    <t xml:space="preserve">RAWAJ AL ARABI INDUSTRIAL COMPANY IS A ONE PERSON COMPANY</t>
  </si>
  <si>
    <t xml:space="preserve">Party-wise closing balance (Opening 0.00; Debit 3,105.00; Credit 3,105.00)</t>
  </si>
  <si>
    <t xml:space="preserve">BAWAREJ AL KHAIR TRADING AND CONTRACTING COMPANY</t>
  </si>
  <si>
    <t xml:space="preserve">Party-wise closing balance (Opening 0.00; Debit 310.50; Credit 310.50)</t>
  </si>
  <si>
    <t xml:space="preserve">HAMAT ADVANCE INDUSTRIAL</t>
  </si>
  <si>
    <t xml:space="preserve">Party-wise closing balance (Opening 0.00; Debit 110.40; Credit 110.40)</t>
  </si>
  <si>
    <t xml:space="preserve">SKY ROSES</t>
  </si>
  <si>
    <t xml:space="preserve">Party-wise closing balance (Opening 0.50; Debit 0.00; Credit 0.50)</t>
  </si>
  <si>
    <t xml:space="preserve">KELLER</t>
  </si>
  <si>
    <t xml:space="preserve">UNIQUE ERA FOR STEEL WORKS</t>
  </si>
  <si>
    <t xml:space="preserve">Party-wise closing balance (Opening 0.00; Debit 1,552.50; Credit 1,552.50)</t>
  </si>
  <si>
    <t xml:space="preserve">GOOD WEATHER TRADING </t>
  </si>
  <si>
    <t xml:space="preserve">Party-wise closing balance (Opening 0.00; Debit 1,242.00; Credit 1,242.00)</t>
  </si>
  <si>
    <t xml:space="preserve">SHADEN ARABIA PRINTING CO</t>
  </si>
  <si>
    <t xml:space="preserve">Party-wise closing balance (Opening 0.00; Debit 1,884.26; Credit 1,884.26)</t>
  </si>
  <si>
    <t xml:space="preserve">SAUDI BASIC TECHNOLOGY CO LTD</t>
  </si>
  <si>
    <t xml:space="preserve">Party-wise closing balance (Opening 0.00; Debit 25.00; Credit 25.00)</t>
  </si>
  <si>
    <t xml:space="preserve">KAYAN AL MASHRIQ TRD EST</t>
  </si>
  <si>
    <t xml:space="preserve">APPLICATION SYSTEM TRD EST</t>
  </si>
  <si>
    <t xml:space="preserve">Party-wise closing balance (Opening 0.00; Debit 960.00; Credit 960.00)</t>
  </si>
  <si>
    <t xml:space="preserve">NOV SAUDI ARABIA COMPANY</t>
  </si>
  <si>
    <t xml:space="preserve">Party-wise closing balance (Opening 0.00; Debit 840.01; Credit 840.01)</t>
  </si>
  <si>
    <t xml:space="preserve">RAKAZ LOGISTICS SERVICES CORPORATION</t>
  </si>
  <si>
    <t xml:space="preserve">Party-wise closing balance (Opening 0.00; Debit 210.00; Credit 210.00)</t>
  </si>
  <si>
    <t xml:space="preserve">AL-KAWTHAR GULF LOGISTICS SERVICES COMPANY IS A LIMITED LIABILITY COMPANY</t>
  </si>
  <si>
    <t xml:space="preserve">Party-wise closing balance (Opening 0.00; Debit 640.00; Credit 640.00)</t>
  </si>
  <si>
    <t xml:space="preserve">SHANAMIN INTERNATIONAL COMPANY</t>
  </si>
  <si>
    <t xml:space="preserve">Party-wise closing balance (Opening -1,050.00; Debit 1,370.00; Credit 320.00)</t>
  </si>
  <si>
    <t xml:space="preserve">ROYA INTERNATIONAL CAR MAINTENANCE COMPANY IS A ONE PERSON COMPANY</t>
  </si>
  <si>
    <t xml:space="preserve">Party-wise closing balance (Opening 0.00; Debit 870.08; Credit 870.08)</t>
  </si>
  <si>
    <t xml:space="preserve">WAJA COMAPNY</t>
  </si>
  <si>
    <t xml:space="preserve">Party-wise closing balance (Opening 0.00; Debit 952.20; Credit 952.20)</t>
  </si>
  <si>
    <t xml:space="preserve">BLITZ</t>
  </si>
  <si>
    <t xml:space="preserve">Party-wise closing balance (Opening 0.00; Debit 2,300.00; Credit 2,300.00)</t>
  </si>
  <si>
    <t xml:space="preserve">BEYAN  AL  FAHAMA</t>
  </si>
  <si>
    <t xml:space="preserve">Party-wise closing balance (Opening 27.00; Debit 0.00; Credit 27.00)</t>
  </si>
  <si>
    <t xml:space="preserve">ABYATNA DEVELOPMENT CONTRACTING COMPANY</t>
  </si>
  <si>
    <t xml:space="preserve">Party-wise closing balance (Opening 0.00; Debit 23,719.90; Credit 23,719.90)</t>
  </si>
  <si>
    <t xml:space="preserve">TEAM ROAD EST FOR WATER DESALINATION</t>
  </si>
  <si>
    <t xml:space="preserve">Party-wise closing balance (Opening -1,000.00; Debit 8,466.53; Credit 7,466.53)</t>
  </si>
  <si>
    <t xml:space="preserve">AL-FIDHA AL-RAQIYYA FOUNDATION FOR PRECIOUS METALS</t>
  </si>
  <si>
    <t xml:space="preserve">DIFFERENT DIRECTIONS TRANSPORT ESTABLISHMENT</t>
  </si>
  <si>
    <t xml:space="preserve">Party-wise closing balance (Opening 0.00; Debit 3,357.25; Credit 3,357.25)</t>
  </si>
  <si>
    <t xml:space="preserve">FAISAL YOUSEF AL-SAHLI SCRAP &amp; SCRAP EST</t>
  </si>
  <si>
    <t xml:space="preserve">Party-wise closing balance (Opening 0.00; Debit 3,215.40; Credit 3,215.40)</t>
  </si>
  <si>
    <t xml:space="preserve">SHADEN ARAB PRINTING COMPANY </t>
  </si>
  <si>
    <t xml:space="preserve">Party-wise closing balance (Opening 0.00; Debit 14,135.80; Credit 14,135.80)</t>
  </si>
  <si>
    <t xml:space="preserve">FAKHR ASIA GENERAL CONTRACTING COMPANY IS A ONE-PERSON COMPANY.</t>
  </si>
  <si>
    <t xml:space="preserve">Party-wise closing balance (Opening 0.00; Debit 1,039.60; Credit 1,039.60)</t>
  </si>
  <si>
    <t xml:space="preserve">GULF FALCON TRADING COMPANY</t>
  </si>
  <si>
    <t xml:space="preserve">Party-wise closing balance (Opening -2,226.40; Debit 2,226.40; Credit 0.00)</t>
  </si>
  <si>
    <t xml:space="preserve">FRESHCO ARAB TRADING COMPANY IS A ONE-PERSON COMPANY.</t>
  </si>
  <si>
    <t xml:space="preserve">Party-wise closing balance (Opening 0.00; Debit 1,150.00; Credit 1,150.00)</t>
  </si>
  <si>
    <t xml:space="preserve">AL SHARQ POLYSTYRENE FACTORY LTD</t>
  </si>
  <si>
    <t xml:space="preserve">Party-wise closing balance (Opening -200.00; Debit 1,150.00; Credit 950.00)</t>
  </si>
  <si>
    <t xml:space="preserve">STEEL ZONE COMPANY</t>
  </si>
  <si>
    <t xml:space="preserve">Party-wise closing balance (Opening 0.00; Debit 3,197.00; Credit 3,197.00)</t>
  </si>
  <si>
    <t xml:space="preserve">EJAR SAUDI CRANES&amp; EQUIPMENT</t>
  </si>
  <si>
    <t xml:space="preserve">Party-wise closing balance (Opening 0.00; Debit 5,155.50; Credit 5,155.50)</t>
  </si>
  <si>
    <t xml:space="preserve">GULF INTERNATIONAL ELECTRIC POWER COMPANY LIMITED</t>
  </si>
  <si>
    <t xml:space="preserve">Party-wise closing balance (Opening 0.00; Debit 4,650.60; Credit 4,650.60)</t>
  </si>
  <si>
    <t xml:space="preserve">UNIVERSAL COLD STORE FOOD PRODUCTS FACTORY</t>
  </si>
  <si>
    <t xml:space="preserve">Party-wise closing balance (Opening 0.00; Debit 437.00; Credit 437.00)</t>
  </si>
  <si>
    <t xml:space="preserve">CREATIVITY GENERAL CONTRACTING  ESTABLISHMENT</t>
  </si>
  <si>
    <t xml:space="preserve">Party-wise closing balance (Opening 0.00; Debit 82.80; Credit 82.80)</t>
  </si>
  <si>
    <t xml:space="preserve">AL SAMAH METAL TRADING COMPANY</t>
  </si>
  <si>
    <t xml:space="preserve">Party-wise closing balance (Opening 0.00; Debit 398.48; Credit 398.48)</t>
  </si>
  <si>
    <t xml:space="preserve">JOINT GLOBAL BUSINESS COMPANY</t>
  </si>
  <si>
    <t xml:space="preserve">Party-wise closing balance (Opening 0.00; Debit 514.28; Credit 514.28)</t>
  </si>
  <si>
    <t xml:space="preserve">SAADIA TURNARY</t>
  </si>
  <si>
    <t xml:space="preserve">Party-wise closing balance (Opening 0.00; Debit 1,400.01; Credit 1,400.01)</t>
  </si>
  <si>
    <t xml:space="preserve">FAHAD HAMED HAMDAN AL-GHAMDI FOUNDATION FOR CATERING SERVICES</t>
  </si>
  <si>
    <t xml:space="preserve">PURE SEASONS WATER AND AIR SOLUTIONS</t>
  </si>
  <si>
    <t xml:space="preserve">Party-wise closing balance (Opening 0.00; Debit 5,888.00; Credit 5,888.00)</t>
  </si>
  <si>
    <t xml:space="preserve">WHITE ROADS GENERAL CONTRACTING ESTABLISHMENT</t>
  </si>
  <si>
    <t xml:space="preserve">EWAA REAL ESTATE DEVELOPMENT COMPANY</t>
  </si>
  <si>
    <t xml:space="preserve">ELEGANCE COMPANY</t>
  </si>
  <si>
    <t xml:space="preserve">ARWEQAT AL FAKHAMA </t>
  </si>
  <si>
    <t xml:space="preserve">AL ANUD ARABIA TRADING COMPANY</t>
  </si>
  <si>
    <t xml:space="preserve">Party-wise closing balance (Opening 0.00; Debit 460.00; Credit 460.00)</t>
  </si>
  <si>
    <t xml:space="preserve">SMART DECISIONS TRADING COMPANY</t>
  </si>
  <si>
    <t xml:space="preserve">Party-wise closing balance (Opening 0.00; Debit 1,259.25; Credit 1,259.25)</t>
  </si>
  <si>
    <t xml:space="preserve">FLUID POWER TRADING</t>
  </si>
  <si>
    <t xml:space="preserve">Party-wise closing balance (Opening 0.00; Debit 8,683.60; Credit 8,683.60)</t>
  </si>
  <si>
    <t xml:space="preserve">MOHAMMED AL AJIMI CONTRACTING ESTABLISHMENT</t>
  </si>
  <si>
    <t xml:space="preserve">ELAF GATE FACTORY FOR INDUSTRY</t>
  </si>
  <si>
    <t xml:space="preserve">SULTAN BANI AL-SUBAIE EST</t>
  </si>
  <si>
    <t xml:space="preserve">Party-wise closing balance (Opening 0.00; Debit 200.00; Credit 200.00)</t>
  </si>
  <si>
    <t xml:space="preserve">EASTERN LEADERSHIP CONTRACTING ESTABLISHMENT</t>
  </si>
  <si>
    <t xml:space="preserve">Party-wise closing balance (Opening 0.00; Debit 80.50; Credit 80.50)</t>
  </si>
  <si>
    <t xml:space="preserve">ADVANCED MACHINES FOR INDUSTRIAL SERVICES CO</t>
  </si>
  <si>
    <t xml:space="preserve">POLY COAT ATLANTIC CONTRACTING COMPANY </t>
  </si>
  <si>
    <t xml:space="preserve">Party-wise closing balance (Opening 0.00; Debit 2,185.00; Credit 2,185.00)</t>
  </si>
  <si>
    <t xml:space="preserve">ZAREEQ BUSINESS CONTRACTING EST</t>
  </si>
  <si>
    <t xml:space="preserve">Party-wise closing balance (Opening 0.00; Debit 17.25; Credit 17.25)</t>
  </si>
  <si>
    <t xml:space="preserve">ARAB COMPANY FOR TRADING PETROLEUM PRODUCTS</t>
  </si>
  <si>
    <t xml:space="preserve">Party-wise closing balance (Opening 0.00; Debit 620.00; Credit 620.00)</t>
  </si>
  <si>
    <t xml:space="preserve">MITSUBISHI ELECTRIC SAUDI LTD</t>
  </si>
  <si>
    <t xml:space="preserve">RASHID JAFFAL OBAID AL SHAMMARI GENERAL CO EST</t>
  </si>
  <si>
    <t xml:space="preserve">SAUDI MARKETING  COMPANY</t>
  </si>
  <si>
    <t xml:space="preserve">Party-wise closing balance (Opening 0.00; Debit 2,859.00; Credit 2,859.00)</t>
  </si>
  <si>
    <t xml:space="preserve">INNOVATION PRODUCTION COMPANY FOR CARPENTRY IS A ONE-PERSON COMPANY.</t>
  </si>
  <si>
    <t xml:space="preserve">Party-wise closing balance (Opening 0.00; Debit 800.00; Credit 800.00)</t>
  </si>
  <si>
    <t xml:space="preserve">GIZA ARAB SYSTEMS COMPANY</t>
  </si>
  <si>
    <t xml:space="preserve">Party-wise closing balance (Opening 0.00; Debit 120.00; Credit 120.00)</t>
  </si>
  <si>
    <t xml:space="preserve">HUSSEIN RADHI AL-SAMEEN WORKSHOP</t>
  </si>
  <si>
    <t xml:space="preserve">Party-wise closing balance (Opening 0.00; Debit 350.00; Credit 350.00)</t>
  </si>
  <si>
    <t xml:space="preserve">ABDULLAH HAMOUD AL SHUWAIER SONS TRADING &amp; CONTRACTING COMPANY</t>
  </si>
  <si>
    <t xml:space="preserve">Party-wise closing balance (Opening 0.00; Debit 21,624.60; Credit 21,624.60)</t>
  </si>
  <si>
    <t xml:space="preserve">SARAY REAL ESTATE CO</t>
  </si>
  <si>
    <t xml:space="preserve">Party-wise closing balance (Opening 0.00; Debit 8,009.80; Credit 8,009.80)</t>
  </si>
  <si>
    <t xml:space="preserve">NATIONAL DISTINGUISHED COMPANY FOR ICE CREAM PRODUCTS</t>
  </si>
  <si>
    <t xml:space="preserve">AL-AKMAL ENERGY COMPANY</t>
  </si>
  <si>
    <t xml:space="preserve">Party-wise closing balance (Opening 0.00; Debit 4,183.50; Credit 4,183.50)</t>
  </si>
  <si>
    <t xml:space="preserve">ZIAD MOHAMMED DARWISH &amp; PARTNERS RADIATOR FACTORY COMPANY</t>
  </si>
  <si>
    <t xml:space="preserve">AL MARWAN GENERAL CONTRACTING COMPANY BRANCH</t>
  </si>
  <si>
    <t xml:space="preserve">AFAQ AL-ZIYAD CONTRACTING COMPANY </t>
  </si>
  <si>
    <t xml:space="preserve">Party-wise closing balance (Opening 0.00; Debit 299.00; Credit 299.00)</t>
  </si>
  <si>
    <t xml:space="preserve">GLOBAL BUILDING CONTRACTING COMPANY</t>
  </si>
  <si>
    <t xml:space="preserve">BANDAR HADI SALLOUM GENERAL CONTRACTING ESTABLISHMENT</t>
  </si>
  <si>
    <t xml:space="preserve">HOME STARS MANUFACTURING </t>
  </si>
  <si>
    <t xml:space="preserve">ELECTRONIC COMPANY</t>
  </si>
  <si>
    <t xml:space="preserve">PRIME ARABIA CONTRACTING CO.</t>
  </si>
  <si>
    <t xml:space="preserve">SANTA FE PRO OPERATION &amp; MAINTENANCE COMPANY</t>
  </si>
  <si>
    <t xml:space="preserve">Party-wise closing balance (Opening 0.00; Debit 4,715.00; Credit 4,715.00)</t>
  </si>
  <si>
    <t xml:space="preserve">TISSA   ATGAHAT</t>
  </si>
  <si>
    <t xml:space="preserve">Party-wise closing balance (Opening 0.00; Debit 1,092.50; Credit 1,092.50)</t>
  </si>
  <si>
    <t xml:space="preserve">EMPEROR INTERNATIONAL TRADING SERVICES COMPANY</t>
  </si>
  <si>
    <t xml:space="preserve">Party-wise closing balance (Opening 0.00; Debit 2,771.50; Credit 2,771.50)</t>
  </si>
  <si>
    <t xml:space="preserve">DIAMOND BUILDING CONTRACTING EST.</t>
  </si>
  <si>
    <t xml:space="preserve">Party-wise closing balance (Opening 0.00; Debit 1,817.00; Credit 1,817.00)</t>
  </si>
  <si>
    <t xml:space="preserve">ARKAD ENGINEERING AND CONSTRUCTION COMPANY</t>
  </si>
  <si>
    <t xml:space="preserve">Party-wise closing balance (Opening 0.00; Debit 7,678.20; Credit 7,678.20)</t>
  </si>
  <si>
    <t xml:space="preserve">MANAL ADVANCED LATHE</t>
  </si>
  <si>
    <t xml:space="preserve">FURSAN AL SHARQIYA TRADING COMPANY (ONE PERSON COMPANY)</t>
  </si>
  <si>
    <t xml:space="preserve">Party-wise closing balance (Opening 0.00; Debit 24,346.10; Credit 24,346.10)</t>
  </si>
  <si>
    <t xml:space="preserve">AFTAB FOODS COMPANY LLC</t>
  </si>
  <si>
    <t xml:space="preserve">Party-wise closing balance (Opening 0.00; Debit 1,396.10; Credit 1,396.10)</t>
  </si>
  <si>
    <t xml:space="preserve">AIM</t>
  </si>
  <si>
    <t xml:space="preserve">Party-wise closing balance (Opening 0.00; Debit 632.50; Credit 632.50)</t>
  </si>
  <si>
    <t xml:space="preserve">KHALED BAHJAT KHALIFA GENERAL CONTRACTING ESTABLISHMENT</t>
  </si>
  <si>
    <t xml:space="preserve">Party-wise closing balance (Opening 0.00; Debit 239.00; Credit 239.00)</t>
  </si>
  <si>
    <t xml:space="preserve">UNITED GULF INTERNATIONAL TRADING COMPANY</t>
  </si>
  <si>
    <t xml:space="preserve">Party-wise closing balance (Opening 0.00; Debit 25,599.00; Credit 25,599.00)</t>
  </si>
  <si>
    <t xml:space="preserve">TAMKEEN ARABIA TRADING &amp; CONTRACTING COMPANY</t>
  </si>
  <si>
    <t xml:space="preserve">Party-wise closing balance (Opening 0.00; Debit 14,869.50; Credit 14,869.50)</t>
  </si>
  <si>
    <t xml:space="preserve">AKBA  ADVERTISING  AGENCY</t>
  </si>
  <si>
    <t xml:space="preserve">Party-wise closing balance (Opening 0.00; Debit 12,820.00; Credit 12,820.00)</t>
  </si>
  <si>
    <t xml:space="preserve">ALI  A   AL-SHAMRANI TRADING&amp; TRADING COST.EST</t>
  </si>
  <si>
    <t xml:space="preserve">Party-wise closing balance (Opening 0.00; Debit 138.00; Credit 138.00)</t>
  </si>
  <si>
    <t xml:space="preserve">KHALED RASHID AL SUWAIGH TRADING ESTABLISHMENT</t>
  </si>
  <si>
    <t xml:space="preserve">Party-wise closing balance (Opening 0.00; Debit 280.00; Credit 280.00)</t>
  </si>
  <si>
    <t xml:space="preserve">ALF AL-DHAHABIA SWEETS HOLDING COMPANY</t>
  </si>
  <si>
    <t xml:space="preserve">GUARDIAN TECHNICAL CONTRACTING COMPANY IS A ONE-PERSON COMPANY.</t>
  </si>
  <si>
    <t xml:space="preserve">Party-wise closing balance (Opening 0.00; Debit 805.00; Credit 805.00)</t>
  </si>
  <si>
    <t xml:space="preserve">ASALA  AL WAJEEH CARPENTRY COMPANY</t>
  </si>
  <si>
    <t xml:space="preserve">SPRING BLACKSMITH WORKSHOP</t>
  </si>
  <si>
    <t xml:space="preserve">Party-wise closing balance (Opening 0.00; Debit 235.00; Credit 235.00)</t>
  </si>
  <si>
    <t xml:space="preserve">GLOBAL COMPANY FOR MODERN COPYING AND PRINTING</t>
  </si>
  <si>
    <t xml:space="preserve">Party-wise closing balance (Opening 0.00; Debit 148.93; Credit 148.93)</t>
  </si>
  <si>
    <t xml:space="preserve">OPTIMAL PATHS PAINTS COMPANY</t>
  </si>
  <si>
    <t xml:space="preserve">Party-wise closing balance (Opening 0.00; Debit 1,322.50; Credit 1,322.50)</t>
  </si>
  <si>
    <t xml:space="preserve">KHALED BAHJAT KHALIFA GENERAL CONTRACTING  ESTABLISHMENT</t>
  </si>
  <si>
    <t xml:space="preserve">Party-wise closing balance (Opening 0.00; Debit 1,316.00; Credit 1,316.00)</t>
  </si>
  <si>
    <t xml:space="preserve">INNOVATIVE ALTERNATIVES TRADING EST.</t>
  </si>
  <si>
    <t xml:space="preserve">EASTERN CREATIVITY WORKSHOP FOR BLACKSMITHING AND ALUMINUM</t>
  </si>
  <si>
    <t xml:space="preserve">SULTAN MAHNA BIN ABDULLAH AL-ASSAF GENERAL CONTRACTING ESTABLISHMENT</t>
  </si>
  <si>
    <t xml:space="preserve">Party-wise closing balance (Opening 0.00; Debit 603.75; Credit 603.75)</t>
  </si>
  <si>
    <t xml:space="preserve">ALTURA  MIDDLE EAST GENERAL CONTRACTING COMPANY</t>
  </si>
  <si>
    <t xml:space="preserve">Party-wise closing balance (Opening 0.00; Debit 24,937.75; Credit 24,937.75)</t>
  </si>
  <si>
    <t xml:space="preserve">SHAMS DAMMAM CONTRACTING ESTABLISHMENT, OWNED BY ABDULLAH MOHAMMED AL-DOSARI</t>
  </si>
  <si>
    <t xml:space="preserve">Party-wise closing balance (Opening 0.00; Debit 3,018.00; Credit 3,018.00)</t>
  </si>
  <si>
    <t xml:space="preserve">YOUSEF AL YOUSEF CONTRACTING ESTABLISHMENT</t>
  </si>
  <si>
    <t xml:space="preserve">Party-wise closing balance (Opening 0.00; Debit 130.00; Credit 130.00)</t>
  </si>
  <si>
    <t xml:space="preserve">KOCH  ENGINEERED SOLUTIONS </t>
  </si>
  <si>
    <t xml:space="preserve">Party-wise closing balance (Opening 0.00; Debit 9,487.50; Credit 9,487.50)</t>
  </si>
  <si>
    <t xml:space="preserve">ABRICAN  COMPANY LIMITED</t>
  </si>
  <si>
    <t xml:space="preserve">BANI COMPANY LIMITED</t>
  </si>
  <si>
    <t xml:space="preserve">Party-wise closing balance (Opening 0.00; Debit 776.25; Credit 776.25)</t>
  </si>
  <si>
    <t xml:space="preserve">QURAM METAL INDUSTRIES FACTORY COMPANY</t>
  </si>
  <si>
    <t xml:space="preserve">Party-wise closing balance (Opening 0.00; Debit 968.30; Credit 968.30)</t>
  </si>
  <si>
    <t xml:space="preserve"> STABILITY WORLD </t>
  </si>
  <si>
    <t xml:space="preserve">TRUSTRIDE TRADING EST</t>
  </si>
  <si>
    <t xml:space="preserve">Party-wise closing balance (Opening 0.00; Debit 7,779.25; Credit 7,779.25)</t>
  </si>
  <si>
    <t xml:space="preserve">GULF PORT TRADING COMPANY ONE PERSON</t>
  </si>
  <si>
    <t xml:space="preserve">HOUSE OF SPICES</t>
  </si>
  <si>
    <t xml:space="preserve">Party-wise closing balance (Opening 0.00; Debit 483.00; Credit 483.00)</t>
  </si>
  <si>
    <t xml:space="preserve">AL WAHA AC RAQIYYA  CONTRACTING EST</t>
  </si>
  <si>
    <t xml:space="preserve">Party-wise closing balance (Opening 0.00; Debit 732.55; Credit 732.55)</t>
  </si>
  <si>
    <t xml:space="preserve">YOUSEF ABDULLAH JUBARAH TRADING EST</t>
  </si>
  <si>
    <t xml:space="preserve">Party-wise closing balance (Opening 0.00; Debit 38,079.85; Credit 38,079.85)</t>
  </si>
  <si>
    <t xml:space="preserve">SAUDI FRIENDS ENGINEERING CO.</t>
  </si>
  <si>
    <t xml:space="preserve">Party-wise closing balance (Opening 0.00; Debit 260.00; Credit 260.00)</t>
  </si>
  <si>
    <t xml:space="preserve">MAJID ABDUL MAJEED AL FARAJ GENERAL CONTRACTING  ESTABLISHMENT</t>
  </si>
  <si>
    <t xml:space="preserve">INDUSTRIAL HYDRAULIC SERVICES AND ENGINEERING METAL FORMING COMPANY</t>
  </si>
  <si>
    <t xml:space="preserve">BAIT AL MAWADA  CO.</t>
  </si>
  <si>
    <t xml:space="preserve">AL  AZZAZ STEEL AND PIPES COMPANY</t>
  </si>
  <si>
    <t xml:space="preserve">Party-wise closing balance (Opening 0.00; Debit 33,540.90; Credit 33,540.90)</t>
  </si>
  <si>
    <t xml:space="preserve">ASRAR AL-TAKAMOL ADVERTISING AGENCY</t>
  </si>
  <si>
    <t xml:space="preserve">AL- JOAIB FURNITURE FACTORY</t>
  </si>
  <si>
    <t xml:space="preserve">RIYADH AL SHARQIYA</t>
  </si>
  <si>
    <t xml:space="preserve">Party-wise closing balance (Opening 0.00; Debit 14,685.50; Credit 14,685.50)</t>
  </si>
  <si>
    <t xml:space="preserve">SALEH SAEED JARWAN AL-GHAMDI TRADING ESTABLISHMENT</t>
  </si>
  <si>
    <t xml:space="preserve">EASTERN SANDS CONTRACTING ESTABLISHMENT</t>
  </si>
  <si>
    <t xml:space="preserve">ABDULLAH BIN MOHAMMED AL BALUSHI</t>
  </si>
  <si>
    <t xml:space="preserve">Party-wise closing balance (Opening 0.00; Debit 120.75; Credit 120.75)</t>
  </si>
  <si>
    <t xml:space="preserve">AL SAAD TRADING COMPANY BRANCH</t>
  </si>
  <si>
    <t xml:space="preserve">Party-wise closing balance (Opening 0.00; Debit 945.00; Credit 945.00)</t>
  </si>
  <si>
    <t xml:space="preserve">NASEEM AL-THAQ NASSER TRADING ESTABLISHMENT</t>
  </si>
  <si>
    <t xml:space="preserve">Party-wise closing balance (Opening 0.00; Debit 2,676.00; Credit 2,676.00)</t>
  </si>
  <si>
    <t xml:space="preserve">CIVEL DEVELOPMENT ASSOCIATION</t>
  </si>
  <si>
    <t xml:space="preserve">Party-wise closing balance (Opening 0.00; Debit 13,450.00; Credit 13,450.00)</t>
  </si>
  <si>
    <t xml:space="preserve">MOHAMMED FAHD AL AJMI SONS TRANSPORT COMPANY</t>
  </si>
  <si>
    <t xml:space="preserve">INCO PRECAST CONCRETE FACTORY</t>
  </si>
  <si>
    <t xml:space="preserve">Party-wise closing balance (Opening 0.00; Debit 2,645.00; Credit 2,645.00)</t>
  </si>
  <si>
    <t xml:space="preserve">ARAB TECHNOLOGY</t>
  </si>
  <si>
    <t xml:space="preserve">Party-wise closing balance (Opening 0.00; Debit 26,658.25; Credit 26,658.25)</t>
  </si>
  <si>
    <t xml:space="preserve">DELTA INTERNATIONAL OFFICE FOR OFFICE SUPPLIES AND TOOLS</t>
  </si>
  <si>
    <t xml:space="preserve">Party-wise closing balance (Opening 0.00; Debit 7,101.50; Credit 7,101.50)</t>
  </si>
  <si>
    <t xml:space="preserve">AL SAADA  ADVERTISING COMPANY</t>
  </si>
  <si>
    <t xml:space="preserve">الشركة السعودية المتاجر الشاملة</t>
  </si>
  <si>
    <t xml:space="preserve">WHITE VISION WOOD INDUSTRIES COMPANY IS A ONE-PERSON COMPANY.</t>
  </si>
  <si>
    <t xml:space="preserve">Party-wise closing balance (Opening 0.00; Debit 64.00; Credit 64.00)</t>
  </si>
  <si>
    <t xml:space="preserve">MODERN IDEA GENERAL CONTRACTIN </t>
  </si>
  <si>
    <t xml:space="preserve">Party-wise closing balance (Opening 0.00; Debit 1,426.00; Credit 1,426.00)</t>
  </si>
  <si>
    <t xml:space="preserve">MARMUQA BARIZ CONTRACTING AND SERVICES CO.</t>
  </si>
  <si>
    <t xml:space="preserve">Party-wise closing balance (Opening 0.00; Debit 32,476.00; Credit 32,476.00)</t>
  </si>
  <si>
    <t xml:space="preserve">AL AMEEN COMPANY</t>
  </si>
  <si>
    <t xml:space="preserve">Party-wise closing balance (Opening 0.00; Debit 17,019.25; Credit 17,019.25)</t>
  </si>
  <si>
    <t xml:space="preserve">ADVANCED WATER SOLUTIONS CO., LTD.</t>
  </si>
  <si>
    <t xml:space="preserve">Party-wise closing balance (Opening 0.00; Debit 1,374.25; Credit 1,374.25)</t>
  </si>
  <si>
    <t xml:space="preserve">DIAA ALWAN PRINTING COMPANY IS A ONE-PERSON COMPANY.</t>
  </si>
  <si>
    <t xml:space="preserve">Party-wise closing balance (Opening 0.00; Debit 1,113.00; Credit 1,113.00)</t>
  </si>
  <si>
    <t xml:space="preserve">RADHI AL SULTAN TRD EST.</t>
  </si>
  <si>
    <t xml:space="preserve">Party-wise closing balance (Opening 0.00; Debit 368.00; Credit 368.00)</t>
  </si>
  <si>
    <t xml:space="preserve">AL SHEIKH INTERNATIONAL CARS GROUP WORKSHOP, A BRANCH OF AL SHEIKH INTERNATIONAL</t>
  </si>
  <si>
    <t xml:space="preserve">MODERN INNOVATIVE DOORS</t>
  </si>
  <si>
    <t xml:space="preserve">Party-wise closing balance (Opening 0.00; Debit 355.00; Credit 355.00)</t>
  </si>
  <si>
    <t xml:space="preserve">KINGDOM SOURCES TRADING COMPANY</t>
  </si>
  <si>
    <t xml:space="preserve">Party-wise closing balance (Opening 0.00; Debit 585.00; Credit 585.00)</t>
  </si>
  <si>
    <t xml:space="preserve">WHITE SHIELDS GENERAL CO.EST</t>
  </si>
  <si>
    <t xml:space="preserve">Party-wise closing balance (Opening 0.00; Debit 12,880.00; Credit 12,880.00)</t>
  </si>
  <si>
    <t xml:space="preserve">CORNER OF CREATIVITY ADVERTISING</t>
  </si>
  <si>
    <t xml:space="preserve">Party-wise closing balance (Opening 0.00; Debit 830.50; Credit 830.50)</t>
  </si>
  <si>
    <t xml:space="preserve">MOHAMMED HAMOOD AL RASHIDI GEN CONT EST</t>
  </si>
  <si>
    <t xml:space="preserve">Party-wise closing balance (Opening 0.00; Debit 4,814.82; Credit 4,814.82)</t>
  </si>
  <si>
    <t xml:space="preserve">BRAND PLUS MARKETING ARABIA CO</t>
  </si>
  <si>
    <t xml:space="preserve">CIVIL WORKS COMPANY</t>
  </si>
  <si>
    <t xml:space="preserve">Party-wise closing balance (Opening 0.00; Debit 284.50; Credit 284.50)</t>
  </si>
  <si>
    <t xml:space="preserve">ARK WORLD GROUP CONTRACTING COMPANY IS A ONE-PERSON COMPANY.</t>
  </si>
  <si>
    <t xml:space="preserve">Party-wise closing balance (Opening 0.00; Debit 235.01; Credit 235.01)</t>
  </si>
  <si>
    <t xml:space="preserve">ALAMOUDI CENTER</t>
  </si>
  <si>
    <t xml:space="preserve">BIDAIYAH QIMAT AL IBDAA EST</t>
  </si>
  <si>
    <t xml:space="preserve">Party-wise closing balance (Opening 0.00; Debit 2,070.00; Credit 2,070.00)</t>
  </si>
  <si>
    <t xml:space="preserve">AKBAR ALI AL-KHADRAWI CONTRACTING ESTABLISHMENT</t>
  </si>
  <si>
    <t xml:space="preserve">Party-wise closing balance (Opening 0.00; Debit 19,180.00; Credit 19,180.00)</t>
  </si>
  <si>
    <t xml:space="preserve">AKMAH INTERNATIONAL CONTRACTING COMPANY</t>
  </si>
  <si>
    <t xml:space="preserve">Party-wise closing balance (Opening 0.00; Debit 2,149.62; Credit 2,149.62)</t>
  </si>
  <si>
    <t xml:space="preserve">GOOD ELEVATORS CONTRACTING COMPANY</t>
  </si>
  <si>
    <t xml:space="preserve">AL-HAZMI INTERNATIONAL COMPANY</t>
  </si>
  <si>
    <t xml:space="preserve">VALUE MANAGEMENT AND PROJECT SUPPORT COMPANY FOR CONTRACTING AND TRAINING</t>
  </si>
  <si>
    <t xml:space="preserve">Party-wise closing balance (Opening 0.00; Debit 6,166.00; Credit 6,166.00)</t>
  </si>
  <si>
    <t xml:space="preserve">MAHE HYDRAULIC  SOLUTIONS TRADING COMPANY</t>
  </si>
  <si>
    <t xml:space="preserve">Party-wise closing balance (Opening 0.00; Debit 18,400.00; Credit 18,400.00)</t>
  </si>
  <si>
    <t xml:space="preserve">RAWAA AL MAJALIS FACTORY FOR INDUSTRY COMPANY IS A ONE-PERSON COMPANY.</t>
  </si>
  <si>
    <t xml:space="preserve">Party-wise closing balance (Opening 0.00; Debit 977.50; Credit 977.50)</t>
  </si>
  <si>
    <t xml:space="preserve">SKYLINE ELEVATOR COMPANY IS A ONE-PERSON COMPANY.</t>
  </si>
  <si>
    <t xml:space="preserve">NOOR NATIONAL MAINTENANCE ESTABLISHMENT</t>
  </si>
  <si>
    <t xml:space="preserve">Party-wise closing balance (Opening 0.00; Debit 862.50; Credit 862.50)</t>
  </si>
  <si>
    <t xml:space="preserve">ADVANCED ELECTRIC CONTROL SYSTEMS CO</t>
  </si>
  <si>
    <t xml:space="preserve">Party-wise closing balance (Opening 0.00; Debit 1,141.50; Credit 1,141.50)</t>
  </si>
  <si>
    <t xml:space="preserve">WAVE LAKE CORNER CONTRACTING COMPANY IS A ONE-PERSON COMPANY.</t>
  </si>
  <si>
    <t xml:space="preserve">JAVALE AL KHALIGIA FOR GENERAL CONTRACTING COMPANY</t>
  </si>
  <si>
    <t xml:space="preserve">Party-wise closing balance (Opening 0.00; Debit 2,760.00; Credit 2,760.00)</t>
  </si>
  <si>
    <t xml:space="preserve">TECHNICAL CONSTRUCTION SERVICES EQUIPMENT COMPANY IS A ONE-PERSON COMPANY.</t>
  </si>
  <si>
    <t xml:space="preserve">ARAB EXCELLENCE SERVICES COMPANY FOR AIR CONDITIONING AND REFRIGERATION</t>
  </si>
  <si>
    <t xml:space="preserve">PRIME INTERNATIONAL EXHIBITIONS AND CONFERENCES ORGANIZATION</t>
  </si>
  <si>
    <t xml:space="preserve">Party-wise closing balance (Opening 0.00; Debit 914.02; Credit 914.02)</t>
  </si>
  <si>
    <t xml:space="preserve">ENVIRONMENTAL TEXTILES TRADING EST.</t>
  </si>
  <si>
    <t xml:space="preserve">Party-wise closing balance (Opening 0.00; Debit 89.00; Credit 89.00)</t>
  </si>
  <si>
    <t xml:space="preserve">EDDY SPECIALIZED TRADING COMPANY</t>
  </si>
  <si>
    <t xml:space="preserve">Party-wise closing balance (Opening 0.00; Debit 1,952.70; Credit 1,952.70)</t>
  </si>
  <si>
    <t xml:space="preserve">REDHA</t>
  </si>
  <si>
    <t xml:space="preserve">Party-wise closing balance (Opening 0.00; Debit 700.00; Credit 700.00)</t>
  </si>
  <si>
    <t xml:space="preserve">BAZI TRADING AND CONTRACTING COMPANY LIMITED</t>
  </si>
  <si>
    <t xml:space="preserve">Party-wise closing balance (Opening 0.00; Debit 3,333.20; Credit 3,333.20)</t>
  </si>
  <si>
    <t xml:space="preserve">MAKAN RAEL EST</t>
  </si>
  <si>
    <t xml:space="preserve">Party-wise closing balance (Opening 0.00; Debit 322.00; Credit 322.00)</t>
  </si>
  <si>
    <t xml:space="preserve">SAMO CONTRACTING EST</t>
  </si>
  <si>
    <t xml:space="preserve">ENOVA FOR FACILITY &amp; ENERGY MANAGEMENT</t>
  </si>
  <si>
    <t xml:space="preserve">Party-wise closing balance (Opening 0.00; Debit 126.50; Credit 126.50)</t>
  </si>
  <si>
    <t xml:space="preserve">SIDRA AL-ITQAN GENERAL CONTRACTING COMPANY</t>
  </si>
  <si>
    <t xml:space="preserve">Party-wise closing balance (Opening 0.00; Debit 120.33; Credit 120.33)</t>
  </si>
  <si>
    <t xml:space="preserve">SAMAM AL RIZQ TRADING COMPANY</t>
  </si>
  <si>
    <t xml:space="preserve">Party-wise closing balance (Opening 0.00; Debit 15,032.75; Credit 15,032.75)</t>
  </si>
  <si>
    <t xml:space="preserve">ARSAL OPERATION AND MAINTENANCE COMPANY</t>
  </si>
  <si>
    <t xml:space="preserve">Party-wise closing balance (Opening 0.00; Debit 1,368.26; Credit 1,368.26)</t>
  </si>
  <si>
    <t xml:space="preserve">AL KHORAYEF  COMPANY</t>
  </si>
  <si>
    <t xml:space="preserve">AL-SATR AL-RAFEE' ADVERTISING AND PUBLICITY ESTABLISHMENT</t>
  </si>
  <si>
    <t xml:space="preserve">PREMIUM  PRODUCTION SYSTEM</t>
  </si>
  <si>
    <t xml:space="preserve">Party-wise closing balance (Opening 0.00; Debit 657.80; Credit 657.80)</t>
  </si>
  <si>
    <t xml:space="preserve">BLACK ROCK ARABIA LIMITED</t>
  </si>
  <si>
    <t xml:space="preserve">Party-wise closing balance (Opening 0.00; Debit 333.50; Credit 333.50)</t>
  </si>
  <si>
    <t xml:space="preserve">TAWAZI TRADING COMPANY</t>
  </si>
  <si>
    <t xml:space="preserve">NASSER AND AWAD AL-YAMI TRADING AND CONTRACTING COMPANY</t>
  </si>
  <si>
    <t xml:space="preserve">Party-wise closing balance (Opening 0.00; Debit 2,116.00; Credit 2,116.00)</t>
  </si>
  <si>
    <t xml:space="preserve">EXTEND OUR SURVIVAL LIES QUALITY</t>
  </si>
  <si>
    <t xml:space="preserve">Party-wise closing balance (Opening 0.00; Debit 12,650.01; Credit 12,650.01)</t>
  </si>
  <si>
    <t xml:space="preserve">NOOF SALEH A  AL-ANAZI EST FOR CO.</t>
  </si>
  <si>
    <t xml:space="preserve">KHALED ABDUL LATIF AL-MALHAM TRADING COMPANY</t>
  </si>
  <si>
    <t xml:space="preserve">AL RAYYAN TECHNICAL MAINTENANCE COMPANY IS A ONE-PERSON COMPANY.</t>
  </si>
  <si>
    <t xml:space="preserve">Party-wise closing balance (Opening 0.00; Debit 860.00; Credit 860.00)</t>
  </si>
  <si>
    <t xml:space="preserve">RAMZI ALUMINUM GLASS FACTORY</t>
  </si>
  <si>
    <t xml:space="preserve">Party-wise closing balance (Opening 0.00; Debit 1,160.00; Credit 1,160.00)</t>
  </si>
  <si>
    <t xml:space="preserve">AL THAMINTH</t>
  </si>
  <si>
    <t xml:space="preserve">Party-wise closing balance (Opening 0.00; Debit 1,600.00; Credit 1,600.00)</t>
  </si>
  <si>
    <t xml:space="preserve">BASKET BREAD FACTORY</t>
  </si>
  <si>
    <t xml:space="preserve">Party-wise closing balance (Opening 0.00; Debit 309.50; Credit 309.50)</t>
  </si>
  <si>
    <t xml:space="preserve">MAFTECH</t>
  </si>
  <si>
    <t xml:space="preserve">Party-wise closing balance (Opening 0.00; Debit 6,900.00; Credit 6,900.00)</t>
  </si>
  <si>
    <t xml:space="preserve">FENCE AND BARBED WIRE TECHNOLOGY FACTORY</t>
  </si>
  <si>
    <t xml:space="preserve">Party-wise closing balance (Opening 0.00; Debit 555.00; Credit 555.00)</t>
  </si>
  <si>
    <t xml:space="preserve">SAUDI FORMICA PANELS COMPANY</t>
  </si>
  <si>
    <t xml:space="preserve">Party-wise closing balance (Opening 0.00; Debit 510.00; Credit 510.00)</t>
  </si>
  <si>
    <t xml:space="preserve">GHAYAL ADVERTISING&amp;PRINTING CO.</t>
  </si>
  <si>
    <t xml:space="preserve">SOLIDARITY SERVICES COMPANY LIMITED</t>
  </si>
  <si>
    <t xml:space="preserve">Party-wise closing balance (Opening 0.00; Debit 461.00; Credit 461.00)</t>
  </si>
  <si>
    <t xml:space="preserve">AQUD LINES PROJECT MANAGEMENT ESTABLISHMENT</t>
  </si>
  <si>
    <t xml:space="preserve">Party-wise closing balance (Opening 0.00; Debit 7,299.05; Credit 7,299.05)</t>
  </si>
  <si>
    <t xml:space="preserve">NUQBAH INTREGATED CO</t>
  </si>
  <si>
    <t xml:space="preserve">AL RAYAN TECHNICAL &amp; MAINTENANCE</t>
  </si>
  <si>
    <t xml:space="preserve">Party-wise closing balance (Opening 0.00; Debit 280.05; Credit 280.05)</t>
  </si>
  <si>
    <t xml:space="preserve">METAL WOOD INDUSTRIES COMPANY</t>
  </si>
  <si>
    <t xml:space="preserve">AL-MALHAM COMPANY FOR INDUSTRY AND CONTRACTING, OWNED BY FAHD SALEH AL-MALHAM AN</t>
  </si>
  <si>
    <t xml:space="preserve">Party-wise closing balance (Opening 0.00; Debit 1,748.00; Credit 1,748.00)</t>
  </si>
  <si>
    <t xml:space="preserve">KIAN WOOD CARPENTRY WORKSHOP</t>
  </si>
  <si>
    <t xml:space="preserve">HIMMAT AL ARAB</t>
  </si>
  <si>
    <t xml:space="preserve">Party-wise closing balance (Opening 0.00; Debit 180.00; Credit 180.00)</t>
  </si>
  <si>
    <t xml:space="preserve">FAWZY INTERNATIONAL INDUSTRY COMPANY - ONE PERSON COMPANY</t>
  </si>
  <si>
    <t xml:space="preserve">ARCON ADVANCED CONTRACTING COMPANY (ONE-PERSON LIMITED LIABILITY COMPANY)</t>
  </si>
  <si>
    <t xml:space="preserve">Party-wise closing balance (Opening 0.00; Debit 509.50; Credit 509.50)</t>
  </si>
  <si>
    <t xml:space="preserve">AL RAAD TRADING AND CONTRACTING EST., OWNED BY FAWZI AL ZAMIL (REGISTRATION CANC</t>
  </si>
  <si>
    <t xml:space="preserve">ALBAWARDI TOOLS &amp; HARDWARE COMPANY .LLC</t>
  </si>
  <si>
    <t xml:space="preserve">AHMED BIN MOHAMMED BIN RASHID AL ASKAR</t>
  </si>
  <si>
    <t xml:space="preserve">Party-wise closing balance (Opening 0.00; Debit 2,512.75; Credit 2,512.75)</t>
  </si>
  <si>
    <t xml:space="preserve">AL SUWAIKET FACTORY INTERIOR COMPANY</t>
  </si>
  <si>
    <t xml:space="preserve">Party-wise closing balance (Opening 0.00; Debit 945.30; Credit 945.30)</t>
  </si>
  <si>
    <t xml:space="preserve">SAUDI ARABIA SPACEMAKER COMPANY</t>
  </si>
  <si>
    <t xml:space="preserve">Party-wise closing balance (Opening 0.00; Debit 185.00; Credit 185.00)</t>
  </si>
  <si>
    <t xml:space="preserve">ISNAD AND IMDAD CONTRACTING COMPANY</t>
  </si>
  <si>
    <t xml:space="preserve">Party-wise closing balance (Opening 0.00; Debit 796.02; Credit 796.02)</t>
  </si>
  <si>
    <t xml:space="preserve">STAR DIMENSIONS GENERAL CONTRACTING ESTABLISHMENT</t>
  </si>
  <si>
    <t xml:space="preserve">Party-wise closing balance (Opening 0.00; Debit 4,450.50; Credit 4,450.50)</t>
  </si>
  <si>
    <t xml:space="preserve">AJYAL PETROLEUM AND ENERGY TRANSPORT COMPANY IS A ONE-PERSON COMPANY.</t>
  </si>
  <si>
    <t xml:space="preserve">INTEGRATED NETWORKS COMPANY.</t>
  </si>
  <si>
    <t xml:space="preserve">YASSER BIN AHMED AL SAIF GENERAL CONTRACTING ESTABLISHMENT</t>
  </si>
  <si>
    <t xml:space="preserve">Party-wise closing balance (Opening 0.00; Debit 3,220.00; Credit 3,220.00)</t>
  </si>
  <si>
    <t xml:space="preserve">HUSSEIN BIN KHAWITAM BIN ALI AL MAHRI TRADING ESTABLISHMENT</t>
  </si>
  <si>
    <t xml:space="preserve">Party-wise closing balance (Opening 0.00; Debit 316.25; Credit 316.25)</t>
  </si>
  <si>
    <t xml:space="preserve">BRIDGE SUPPLIES TRADING EST.</t>
  </si>
  <si>
    <t xml:space="preserve">Party-wise closing balance (Opening 0.00; Debit 1,200.00; Credit 1,200.00)</t>
  </si>
  <si>
    <t xml:space="preserve">AL-ATHAB CONTRACTING COMPANY</t>
  </si>
  <si>
    <t xml:space="preserve">ARSHAD ABDULLAH AL SALEH AND PARTNERS COMPANY</t>
  </si>
  <si>
    <t xml:space="preserve">Party-wise closing balance (Opening 0.00; Debit 238.00; Credit 238.00)</t>
  </si>
  <si>
    <t xml:space="preserve">DIAMOND DOOR GENERAL CONTRACTING ESTABLISHMENT</t>
  </si>
  <si>
    <t xml:space="preserve">MATHIFON MIDDLE EAST INDUSTRIES COMPANY IS A SOLE PROPRIETORSHIP.</t>
  </si>
  <si>
    <t xml:space="preserve">Party-wise closing balance (Opening 0.00; Debit 598.00; Credit 598.00)</t>
  </si>
  <si>
    <t xml:space="preserve">MAGRABI HOSPITALS AND CENTERS COMPANY</t>
  </si>
  <si>
    <t xml:space="preserve">Party-wise closing balance (Opening 0.00; Debit 150.00; Credit 150.00)</t>
  </si>
  <si>
    <t xml:space="preserve">ALI BIN QASHASH AL-OMARI GENERAL CONTRACTING COMPANY</t>
  </si>
  <si>
    <t xml:space="preserve">Party-wise closing balance (Opening 0.00; Debit 1,207.50; Credit 1,207.50)</t>
  </si>
  <si>
    <t xml:space="preserve">AL JAZEERA MAINTENANCE TRADING COMPANY</t>
  </si>
  <si>
    <t xml:space="preserve">ZAHRAA BINT ASAAD BIN AHMED AL-SADA GLASS FACTORY ESTABLISHMENT</t>
  </si>
  <si>
    <t xml:space="preserve">Party-wise closing balance (Opening 0.00; Debit 348.50; Credit 348.50)</t>
  </si>
  <si>
    <t xml:space="preserve">AL-RAFI'A CONTRACTING COMPANY</t>
  </si>
  <si>
    <t xml:space="preserve">Party-wise closing balance (Opening 0.00; Debit 2,875.00; Credit 2,875.00)</t>
  </si>
  <si>
    <t xml:space="preserve">LAMSET DESIGNER ADVERTISING AGENCY</t>
  </si>
  <si>
    <t xml:space="preserve">HALA TRADING COMPANY</t>
  </si>
  <si>
    <t xml:space="preserve">Party-wise closing balance (Opening 0.00; Debit 6,590.40; Credit 6,590.40)</t>
  </si>
  <si>
    <t xml:space="preserve">ITQAN AL SANAA FACTORY FOR INDUSTRY</t>
  </si>
  <si>
    <t xml:space="preserve">Party-wise closing balance (Opening 0.00; Debit 1,070.00; Credit 1,070.00)</t>
  </si>
  <si>
    <t xml:space="preserve">FAHD TALAL BIN YOUSEF MUSA GENERAL CONTRACTING ESTABLISHMENT</t>
  </si>
  <si>
    <t xml:space="preserve">ZAN DECORATION ESTABLISHMENT</t>
  </si>
  <si>
    <t xml:space="preserve">WOOD LANDS ENERGY SERVICE CO</t>
  </si>
  <si>
    <t xml:space="preserve">Party-wise closing balance (Opening 0.00; Debit 10,473.00; Credit 10,473.00)</t>
  </si>
  <si>
    <t xml:space="preserve">PHASE CONTRACTING COMPANY</t>
  </si>
  <si>
    <t xml:space="preserve">ABBAS</t>
  </si>
  <si>
    <t xml:space="preserve">Party-wise closing balance (Opening 0.00; Debit 170.00; Credit 170.00)</t>
  </si>
  <si>
    <t xml:space="preserve">SPEED ​​ POINT TRADING EST.</t>
  </si>
  <si>
    <t xml:space="preserve">Party-wise closing balance (Opening 0.00; Debit 47,723.00; Credit 47,723.00)</t>
  </si>
  <si>
    <t xml:space="preserve">INDUSTRIAL EQUIPMENT TRADING CORPORATION</t>
  </si>
  <si>
    <t xml:space="preserve">BANDAR BIN MOHAMMED AL HAJRI COMPANY LIMITED</t>
  </si>
  <si>
    <t xml:space="preserve">Party-wise closing balance (Opening 0.00; Debit 1,472.00; Credit 1,472.00)</t>
  </si>
  <si>
    <t xml:space="preserve">ALSHARQIA GIFT ADVERTISING AGENCY</t>
  </si>
  <si>
    <t xml:space="preserve">Party-wise closing balance (Opening 0.00; Debit 132.25; Credit 132.25)</t>
  </si>
  <si>
    <t xml:space="preserve">AL-TALI PROFESSIONAL TRADING COMPANY</t>
  </si>
  <si>
    <t xml:space="preserve">ARAB EAST POWER.</t>
  </si>
  <si>
    <t xml:space="preserve">Party-wise closing balance (Opening 0.00; Debit 18,043.50; Credit 18,043.50)</t>
  </si>
  <si>
    <t xml:space="preserve">CASHA CONTIONCTON CONTRACTING</t>
  </si>
  <si>
    <t xml:space="preserve">Party-wise closing balance (Opening 0.00; Debit 586.50; Credit 586.50)</t>
  </si>
  <si>
    <t xml:space="preserve">LAMASAT ADVERTISING AND PUBLICITY ESTABLISHMENT</t>
  </si>
  <si>
    <t xml:space="preserve">Party-wise closing balance (Opening 0.00; Debit 8,878.00; Credit 8,878.00)</t>
  </si>
  <si>
    <t xml:space="preserve">SITAL AL SHAM</t>
  </si>
  <si>
    <t xml:space="preserve">Party-wise closing balance (Opening 0.00; Debit 195.50; Credit 195.50)</t>
  </si>
  <si>
    <t xml:space="preserve">AL DANA ARCHITECTURAL GENERAL CONTRACTING EST.</t>
  </si>
  <si>
    <t xml:space="preserve">SAMAMA AL RIZQ TRADING CO.</t>
  </si>
  <si>
    <t xml:space="preserve">Party-wise closing balance (Opening 0.00; Debit 3,857.10; Credit 3,857.10)</t>
  </si>
  <si>
    <t xml:space="preserve">GOAL QUALITY COMPANY LIMITED</t>
  </si>
  <si>
    <t xml:space="preserve">Party-wise closing balance (Opening 0.00; Debit 3,634.00; Credit 3,634.00)</t>
  </si>
  <si>
    <t xml:space="preserve">ISSAM MOHAMMED KHAIRY QABBANI FACTORY FOR PLASTIC AND INSULATION COMPANY</t>
  </si>
  <si>
    <t xml:space="preserve">HAFIL TRANSPORT COMPANY</t>
  </si>
  <si>
    <t xml:space="preserve">Party-wise closing balance (Opening 0.00; Debit 193.20; Credit 193.20)</t>
  </si>
  <si>
    <t xml:space="preserve">GOLDEN WORKSHOP</t>
  </si>
  <si>
    <t xml:space="preserve">NASMA  AND PARTNERS CONTRACTING CO</t>
  </si>
  <si>
    <t xml:space="preserve">Party-wise closing balance (Opening 0.00; Debit 55,240.00; Credit 55,240.00)</t>
  </si>
  <si>
    <t xml:space="preserve">AL ATQAN FANIYE CONTRACTING</t>
  </si>
  <si>
    <t xml:space="preserve">AL-KHAREEF WATER AND ENERGY TECHNOLOGY COMPANY</t>
  </si>
  <si>
    <t xml:space="preserve">AL-GIHAZ CONTRACTING COMPANY</t>
  </si>
  <si>
    <t xml:space="preserve">Party-wise closing balance (Opening 0.00; Debit 943.50; Credit 943.50)</t>
  </si>
  <si>
    <t xml:space="preserve">STAR LINKS CORPORATION</t>
  </si>
  <si>
    <t xml:space="preserve">JAFAR </t>
  </si>
  <si>
    <t xml:space="preserve">BRIQ AL-NIZAK BLACKSMITH AND ALUMINUM WORKSHOP</t>
  </si>
  <si>
    <t xml:space="preserve">KHALIL IBRAHIM AL-ESSA TRADING ESTABLISHMENT</t>
  </si>
  <si>
    <t xml:space="preserve">Party-wise closing balance (Opening 0.00; Debit 23,333.50; Credit 23,333.50)</t>
  </si>
  <si>
    <t xml:space="preserve">MAZAYA EIGHTH COMPANY LIMITED</t>
  </si>
  <si>
    <t xml:space="preserve">Party-wise closing balance (Opening 0.00; Debit 3,701.50; Credit 3,701.50)</t>
  </si>
  <si>
    <t xml:space="preserve">SUPER LIFT TRADING</t>
  </si>
  <si>
    <t xml:space="preserve">Party-wise closing balance (Opening 0.00; Debit 15,226.00; Credit 15,226.00)</t>
  </si>
  <si>
    <t xml:space="preserve">WASAM AL KHALEEJ ACRYLIC PRODUCTS FACTORY IS A ONE-PERSON COMPANY.</t>
  </si>
  <si>
    <t xml:space="preserve">JOURI AL SHARQ INDUSTRIAL COMPANY (ONE PERSON COMPANY)</t>
  </si>
  <si>
    <t xml:space="preserve">Party-wise closing balance (Opening 0.00; Debit 69.50; Credit 69.50)</t>
  </si>
  <si>
    <t xml:space="preserve">GULF POWER MARINE COMPANY</t>
  </si>
  <si>
    <t xml:space="preserve">THREE CLOUDS TRADING COMPANY</t>
  </si>
  <si>
    <t xml:space="preserve">Party-wise closing balance (Opening 0.00; Debit 2,640.00; Credit 2,640.00)</t>
  </si>
  <si>
    <t xml:space="preserve">GIZA  ARAB SYSTEMS COMPANY</t>
  </si>
  <si>
    <t xml:space="preserve">Party-wise closing balance (Opening 0.00; Debit 149.50; Credit 149.50)</t>
  </si>
  <si>
    <t xml:space="preserve">SHROOQ AL KHALEEJ MACHINE SHOP</t>
  </si>
  <si>
    <t xml:space="preserve">Party-wise closing balance (Opening 0.00; Debit 85.00; Credit 85.00)</t>
  </si>
  <si>
    <t xml:space="preserve">ISUZU MOTORS SAUDI ARABIA </t>
  </si>
  <si>
    <t xml:space="preserve">Party-wise closing balance (Opening 0.00; Debit 3,018.75; Credit 3,018.75)</t>
  </si>
  <si>
    <t xml:space="preserve">FOOD ELEMENTS COMPANY FOR FOOD PRODUCTS</t>
  </si>
  <si>
    <t xml:space="preserve">BEST COMMERCIAL CLASSIFICATION INSTITUTION</t>
  </si>
  <si>
    <t xml:space="preserve">Party-wise closing balance (Opening 0.00; Debit 1,535.00; Credit 1,535.00)</t>
  </si>
  <si>
    <t xml:space="preserve">KHALED BAHGAT KHALIFA</t>
  </si>
  <si>
    <t xml:space="preserve">MASDAR INJAZ TRADING ESTABLISHMENT</t>
  </si>
  <si>
    <t xml:space="preserve">Party-wise closing balance (Opening 0.00; Debit 2,914.10; Credit 2,914.10)</t>
  </si>
  <si>
    <t xml:space="preserve">MOHAMMED AL-SAFFAR STATIONERY LIBRARY FOUNDATION</t>
  </si>
  <si>
    <t xml:space="preserve">UP END ARABIA  LLC</t>
  </si>
  <si>
    <t xml:space="preserve">Party-wise closing balance (Opening 0.00; Debit 2,999.20; Credit 2,999.20)</t>
  </si>
  <si>
    <t xml:space="preserve">ALIA MOHAMMED AJIMAN TRADING COMPANY</t>
  </si>
  <si>
    <t xml:space="preserve">FUEL TECHNIOLOGY CO</t>
  </si>
  <si>
    <t xml:space="preserve">MANAFI ALTWREED TRADING EST</t>
  </si>
  <si>
    <t xml:space="preserve">NAIF MOHAMMED AL-GHAMDI REAL ESTATE DEVELOPMENT AND INVESTMENT COMPANY</t>
  </si>
  <si>
    <t xml:space="preserve">Party-wise closing balance (Opening 0.00; Debit 3,146.40; Credit 3,146.40)</t>
  </si>
  <si>
    <t xml:space="preserve">CHINA RAILWAY CONSTRUCTION CORPORATION LIMITED</t>
  </si>
  <si>
    <t xml:space="preserve">Party-wise closing balance (Opening 0.00; Debit 1,700.00; Credit 1,700.00)</t>
  </si>
  <si>
    <t xml:space="preserve">ABDULLAH SAAD AL MANSOOR EST</t>
  </si>
  <si>
    <t xml:space="preserve">Party-wise closing balance (Opening 0.00; Debit 34.45; Credit 34.45)</t>
  </si>
  <si>
    <t xml:space="preserve">GULF ARCHITECTS CONTRACTING COMPANY</t>
  </si>
  <si>
    <t xml:space="preserve">Party-wise closing balance (Opening 0.00; Debit 270.00; Credit 270.00)</t>
  </si>
  <si>
    <t xml:space="preserve">AL-MALHAM COMPANY FOR INDUSTRY AND CONTRACTING, OWNED BY FAHD SALEH AL-MALHAM </t>
  </si>
  <si>
    <t xml:space="preserve">Party-wise closing balance (Opening 0.00; Debit 3,712.60; Credit 3,712.60)</t>
  </si>
  <si>
    <t xml:space="preserve">ASIA INNOVATION CONTRACTING COMPANY</t>
  </si>
  <si>
    <t xml:space="preserve">Party-wise closing balance (Opening 0.00; Debit 7,063.88; Credit 7,063.88)</t>
  </si>
  <si>
    <t xml:space="preserve">KHALEEJ AL KOUSHAR</t>
  </si>
  <si>
    <t xml:space="preserve">Party-wise closing balance (Opening 0.00; Debit 1,006.25; Credit 1,006.25)</t>
  </si>
  <si>
    <t xml:space="preserve">CLARITY BEAUTY MEDICAL COMPLEX COMPANY</t>
  </si>
  <si>
    <t xml:space="preserve">Party-wise closing balance (Opening 0.00; Debit 424.65; Credit 424.65)</t>
  </si>
  <si>
    <t xml:space="preserve">KHALIFA SALEH AL-DOSSARY TRADING EST</t>
  </si>
  <si>
    <t xml:space="preserve">ZAKARIYA  ABDULLAH ALI AL SUBAITI CON. EST</t>
  </si>
  <si>
    <t xml:space="preserve">ITLALAT DESIGNS GENERAL CONTRACTING EST.</t>
  </si>
  <si>
    <t xml:space="preserve">COOL GATE COMPANY</t>
  </si>
  <si>
    <t xml:space="preserve">Party-wise closing balance (Opening 0.00; Debit 4,094.00; Credit 4,094.00)</t>
  </si>
  <si>
    <t xml:space="preserve">X ARENA COMPANY</t>
  </si>
  <si>
    <t xml:space="preserve">Party-wise closing balance (Opening 0.00; Debit 16,445.00; Credit 16,445.00)</t>
  </si>
  <si>
    <t xml:space="preserve">IDEAL PRECAST COMPANY</t>
  </si>
  <si>
    <t xml:space="preserve">Party-wise closing balance (Opening 0.00; Debit 265.00; Credit 265.00)</t>
  </si>
  <si>
    <t xml:space="preserve">RADIX SAUDI TRADING COMPANY</t>
  </si>
  <si>
    <t xml:space="preserve">Party-wise closing balance (Opening 0.00; Debit 3,593.75; Credit 3,593.75)</t>
  </si>
  <si>
    <t xml:space="preserve">POWER LINE SOLUTIONS TRADING COMPANY IS A ONE-PERSON COMPANY.</t>
  </si>
  <si>
    <t xml:space="preserve">Party-wise closing balance (Opening 0.00; Debit 1,702.00; Credit 1,702.00)</t>
  </si>
  <si>
    <t xml:space="preserve">EWAN AL SHARQ FACTORY FOR INDUSTRY</t>
  </si>
  <si>
    <t xml:space="preserve">Party-wise closing balance (Opening 0.00; Debit 287.50; Credit 287.50)</t>
  </si>
  <si>
    <t xml:space="preserve">YAQOUB YOUSEF AL-NAJIDI GLASS FACTORY</t>
  </si>
  <si>
    <t xml:space="preserve">ZEAL ADVANCED CONTRACTING EST</t>
  </si>
  <si>
    <t xml:space="preserve">FURNITURE LINES FACTORY FOR INDUSTRY</t>
  </si>
  <si>
    <t xml:space="preserve">Party-wise closing balance (Opening 0.00; Debit 1,023.50; Credit 1,023.50)</t>
  </si>
  <si>
    <t xml:space="preserve">SAMAH METALS ESTABLISHMENT</t>
  </si>
  <si>
    <t xml:space="preserve">Party-wise closing balance (Opening 0.00; Debit 1,105.15; Credit 1,105.15)</t>
  </si>
  <si>
    <t xml:space="preserve">AL FEKRAH AL MUMAIZAH GENERAL CONTRACTING</t>
  </si>
  <si>
    <t xml:space="preserve">Party-wise closing balance (Opening 0.00; Debit 4,071.00; Credit 4,071.00)</t>
  </si>
  <si>
    <t xml:space="preserve">IBRAHIM SHAFIQ REDAN TRADING AND CONTRACTING COMPANY</t>
  </si>
  <si>
    <t xml:space="preserve">Party-wise closing balance (Opening 0.00; Debit 989.00; Credit 989.00)</t>
  </si>
  <si>
    <t xml:space="preserve">AL-ULYA POULTRY COMPANY</t>
  </si>
  <si>
    <t xml:space="preserve">Party-wise closing balance (Opening 0.00; Debit 1,086.75; Credit 1,086.75)</t>
  </si>
  <si>
    <t xml:space="preserve">BUSINESS EVENTS IDEA COMPANY</t>
  </si>
  <si>
    <t xml:space="preserve">Party-wise closing balance (Opening 0.00; Debit 330.00; Credit 330.00)</t>
  </si>
  <si>
    <t xml:space="preserve">ENERGY ENGINEER CONTRACTING ESTABLISHMENT</t>
  </si>
  <si>
    <t xml:space="preserve">ESSENTIALS OF THE JOURNEY CARS FOUNDATION</t>
  </si>
  <si>
    <t xml:space="preserve">Party-wise closing balance (Opening 0.00; Debit 490.25; Credit 490.25)</t>
  </si>
  <si>
    <t xml:space="preserve">SAUDI ARABIAN TRADING AND CONSTRUCTION COMPANY, A CLOSED JOINT STOCK COMPANY</t>
  </si>
  <si>
    <t xml:space="preserve">Party-wise closing balance (Opening 0.00; Debit 1,811.25; Credit 1,811.25)</t>
  </si>
  <si>
    <t xml:space="preserve">ASAS HOME DECORATION ESTABLISHMENT</t>
  </si>
  <si>
    <t xml:space="preserve">Party-wise closing balance (Opening 0.00; Debit 644.00; Credit 644.00)</t>
  </si>
  <si>
    <t xml:space="preserve">AL-ZAYLAEI DIVERSIFIED AGRICULTURAL INDUSTRIES COMPANY LIMITED IS A ONE-PERSON C</t>
  </si>
  <si>
    <t xml:space="preserve">Party-wise closing balance (Opening 0.00; Debit 3,933.00; Credit 3,933.00)</t>
  </si>
  <si>
    <t xml:space="preserve">CHERRY TREES COFFEE CATERING</t>
  </si>
  <si>
    <t xml:space="preserve">SECURITY FENCE FOUNDATION FOR COMMUNICATIONS AND INFORMATION TECHNOLOGY</t>
  </si>
  <si>
    <t xml:space="preserve">Party-wise closing balance (Opening 0.00; Debit 1,942.75; Credit 1,942.75)</t>
  </si>
  <si>
    <t xml:space="preserve">EBTIKAR ALWAN TRADING EST.</t>
  </si>
  <si>
    <t xml:space="preserve">FAJR LIGHTING TRADING COMPANY</t>
  </si>
  <si>
    <t xml:space="preserve">GULF LABORATORY FOR VERIFICATION AND CONFORMITY COMPANY</t>
  </si>
  <si>
    <t xml:space="preserve">GULF PACK TRANSPORT ESTABLISHMENT</t>
  </si>
  <si>
    <t xml:space="preserve">Party-wise closing balance (Opening 0.00; Debit 7,700.00; Credit 7,700.00)</t>
  </si>
  <si>
    <t xml:space="preserve">OUR PAST SHAWARMA BUFFET FOR FAST FOOD</t>
  </si>
  <si>
    <t xml:space="preserve">AESSEAL SAUDI ARABIA CO. LTD</t>
  </si>
  <si>
    <t xml:space="preserve">BLESSING  TRIANGLE ENGINEERING TECHNOLOGY FACTORY</t>
  </si>
  <si>
    <t xml:space="preserve">AL-AREF FLEX BUSINESS TRADING EST.</t>
  </si>
  <si>
    <t xml:space="preserve">Party-wise closing balance (Opening 0.00; Debit 822.50; Credit 822.50)</t>
  </si>
  <si>
    <t xml:space="preserve">TAIBA SAUDI GLASS FACTORY IS A ONE-PERSON COMPANY.</t>
  </si>
  <si>
    <t xml:space="preserve">Party-wise closing balance (Opening 0.00; Debit 5,351.50; Credit 5,351.50)</t>
  </si>
  <si>
    <t xml:space="preserve">RIPPLE GULF GEN  CONT EST</t>
  </si>
  <si>
    <t xml:space="preserve">Party-wise closing balance (Opening 0.00; Debit 3,938.75; Credit 3,938.75)</t>
  </si>
  <si>
    <t xml:space="preserve">CONTINUING ENERGIES EST FOR GENERAL CONTRACTING</t>
  </si>
  <si>
    <t xml:space="preserve">Party-wise closing balance (Opening 0.00; Debit 2,415.00; Credit 2,415.00)</t>
  </si>
  <si>
    <t xml:space="preserve">SEALAND CONTRACTING COMPANY</t>
  </si>
  <si>
    <t xml:space="preserve">Party-wise closing balance (Opening 0.00; Debit 5,995.50; Credit 5,995.50)</t>
  </si>
  <si>
    <t xml:space="preserve">DURRAT AL KHALEEJ TOWERS CENTER</t>
  </si>
  <si>
    <t xml:space="preserve">CUPAL CONRACTING COMPANY</t>
  </si>
  <si>
    <t xml:space="preserve">ABC EGYPT BRANCH</t>
  </si>
  <si>
    <t xml:space="preserve">OZY BURGER RESTAURANT FOR CATERING</t>
  </si>
  <si>
    <t xml:space="preserve">Party-wise closing balance (Opening 0.00; Debit 513.75; Credit 513.75)</t>
  </si>
  <si>
    <t xml:space="preserve">ALI MOHAMMED AL-AJINA TRADING AND CONTRACTING COMPANY LIMITED</t>
  </si>
  <si>
    <t xml:space="preserve">HASSAN ALI ABU ERSHID MARKEETING</t>
  </si>
  <si>
    <t xml:space="preserve">Party-wise closing balance (Opening 0.00; Debit 23.00; Credit 23.00)</t>
  </si>
  <si>
    <t xml:space="preserve">INFINITY WORK TRADING COMPANY</t>
  </si>
  <si>
    <t xml:space="preserve">Party-wise closing balance (Opening 0.00; Debit 1,886.00; Credit 1,886.00)</t>
  </si>
  <si>
    <t xml:space="preserve">BLUE THUNDERBOLT WORKSHOP</t>
  </si>
  <si>
    <t xml:space="preserve">MUFREH MARZOUQ AL-HARBI &amp; PARTNERS CO., LTD.</t>
  </si>
  <si>
    <t xml:space="preserve">Party-wise closing balance (Opening 0.00; Debit 517.00; Credit 517.00)</t>
  </si>
  <si>
    <t xml:space="preserve">FEYAFY REFRIGERATION &amp; AIR CONDITIONING EST</t>
  </si>
  <si>
    <t xml:space="preserve">Party-wise closing balance (Opening 0.00; Debit 2,471.00; Credit 2,471.00)</t>
  </si>
  <si>
    <t xml:space="preserve">FIRST DEVELOPERS COMPANYFOR INDUSTRY</t>
  </si>
  <si>
    <t xml:space="preserve">KHUSHEIM COMPANY FOR INDUSTRIA</t>
  </si>
  <si>
    <t xml:space="preserve">AL-TOWEELEB-AMEEN M AL-TOWEELEB TRADING</t>
  </si>
  <si>
    <t xml:space="preserve">TOP  SPEED CONTRACTING COMPANY</t>
  </si>
  <si>
    <t xml:space="preserve">AL-AMIN DEVELOPMENT AND TRADE COMPANY LIMITED</t>
  </si>
  <si>
    <t xml:space="preserve">Party-wise closing balance (Opening 0.00; Debit 3,615.00; Credit 3,615.00)</t>
  </si>
  <si>
    <t xml:space="preserve">TBK METAL BULDING TRUST </t>
  </si>
  <si>
    <t xml:space="preserve">Party-wise closing balance (Opening 0.00; Debit 4,019.25; Credit 4,019.25)</t>
  </si>
  <si>
    <t xml:space="preserve">MAARIF SOLUTIONS GENERAL CONTRACTING ESTABLISHMENT</t>
  </si>
  <si>
    <t xml:space="preserve">Party-wise closing balance (Opening 0.00; Debit 4,838.80; Credit 4,838.80)</t>
  </si>
  <si>
    <t xml:space="preserve">ALWAKALA TRADING EST</t>
  </si>
  <si>
    <t xml:space="preserve">Party-wise closing balance (Opening 0.00; Debit 18.00; Credit 18.00)</t>
  </si>
  <si>
    <t xml:space="preserve">EAST INDUSTRIAL MECHANISMS CENTER</t>
  </si>
  <si>
    <t xml:space="preserve">AL SAFA  ALUMINUM COMPANY AND FACTORY FOR ALUMINUM MANUFACTURING AND CONTRACTING</t>
  </si>
  <si>
    <t xml:space="preserve">AL SABAH GOLDEN INDUSTRIAL COMPANY IS A ONE-PERSON COMPANY.</t>
  </si>
  <si>
    <t xml:space="preserve">OSSAMA  A. ZAINY FOR CONTRACTING ONE PERSON CO.</t>
  </si>
  <si>
    <t xml:space="preserve">Party-wise closing balance (Opening 0.00; Debit 524.40; Credit 524.40)</t>
  </si>
  <si>
    <t xml:space="preserve">GULF WINDOW RESTAURANT CATERING ESTABLISHMENT</t>
  </si>
  <si>
    <t xml:space="preserve">AL MADA COMPANY</t>
  </si>
  <si>
    <t xml:space="preserve">Party-wise closing balance (Opening 0.00; Debit 3,450.00; Credit 3,450.00)</t>
  </si>
  <si>
    <t xml:space="preserve">SMART DEVICE SOLUTIONS ESTABLISHMENT FOR ELECTRICAL APPLIANCES</t>
  </si>
  <si>
    <t xml:space="preserve">Party-wise closing balance (Opening 0.00; Debit 1,494.10; Credit 1,494.10)</t>
  </si>
  <si>
    <t xml:space="preserve">ITHRAA DAMMAM REAL ESTATE COMPANY</t>
  </si>
  <si>
    <t xml:space="preserve">Party-wise closing balance (Opening 0.00; Debit 258.75; Credit 258.75)</t>
  </si>
  <si>
    <t xml:space="preserve">OAK HOME COMPANY</t>
  </si>
  <si>
    <t xml:space="preserve">VAL PAPER PRODUCTS COMPANY</t>
  </si>
  <si>
    <t xml:space="preserve">GLOBAL FLORAL  AL  ARABIYA FOR TRADING COMPANY</t>
  </si>
  <si>
    <t xml:space="preserve">IBRAHIM AL-ESSA AND PARTNER TRADING AND CONTRACTING COMPANY</t>
  </si>
  <si>
    <t xml:space="preserve">COMMERCIAL ALLOTMENTS COMPANY</t>
  </si>
  <si>
    <t xml:space="preserve">Party-wise closing balance (Opening 0.00; Debit 319.70; Credit 319.70)</t>
  </si>
  <si>
    <t xml:space="preserve">GRACE PLUS CONTRACTING COMPANY</t>
  </si>
  <si>
    <t xml:space="preserve">JABAL AL-SAMMAN GENERAL CONTRACTING COMPANY</t>
  </si>
  <si>
    <t xml:space="preserve">Party-wise closing balance (Opening 0.00; Debit 1,943.50; Credit 1,943.50)</t>
  </si>
  <si>
    <t xml:space="preserve">AL-AJOU GROUP TRADING COMPANY.</t>
  </si>
  <si>
    <t xml:space="preserve">ADVANCE PRECISION MEASUREMENT COMPANY</t>
  </si>
  <si>
    <t xml:space="preserve">Party-wise closing balance (Opening 0.00; Debit 17,898.60; Credit 17,898.60)</t>
  </si>
  <si>
    <t xml:space="preserve">AL-FAHD TRADING, INDUSTRY AND CONTRACTING COMPANY, A CLOSED JOINT STOCK COMPANY</t>
  </si>
  <si>
    <t xml:space="preserve">Party-wise closing balance (Opening 0.00; Debit 110.00; Credit 110.00)</t>
  </si>
  <si>
    <t xml:space="preserve">AL-BAWANI INTERNATIONAL COMPANY</t>
  </si>
  <si>
    <t xml:space="preserve">BASELINE ARABIAN BOLTS CO., LTD.</t>
  </si>
  <si>
    <t xml:space="preserve">Party-wise closing balance (Opening 0.00; Debit 28,290.00; Credit 28,290.00)</t>
  </si>
  <si>
    <t xml:space="preserve">AL-MAZID TRANSPORT AND TOWING COMPANY</t>
  </si>
  <si>
    <t xml:space="preserve">Party-wise closing balance (Opening 0.00; Debit 143.00; Credit 143.00)</t>
  </si>
  <si>
    <t xml:space="preserve">ZAKARIA BIN ABDULLAH BIN ALI AL-SUBAITI TRADING ESTABLISHMENT</t>
  </si>
  <si>
    <t xml:space="preserve">Party-wise closing balance (Opening 0.00; Debit 96.00; Credit 96.00)</t>
  </si>
  <si>
    <t xml:space="preserve">IKHTIAR ASSAFWA FOOD FACTORY</t>
  </si>
  <si>
    <t xml:space="preserve">MODERN TECHNOLOGIES GENERAL CONTRACTING ESTABLISHMENT</t>
  </si>
  <si>
    <t xml:space="preserve">Party-wise closing balance (Opening 0.00; Debit 5,805.00; Credit 5,805.00)</t>
  </si>
  <si>
    <t xml:space="preserve">DALOUK CONTRACTING COMPANY IS A ONE-PERSON COMPANY</t>
  </si>
  <si>
    <t xml:space="preserve">THREE D INDUSTRY COMPANY</t>
  </si>
  <si>
    <t xml:space="preserve">Party-wise closing balance (Opening 0.00; Debit 540.00; Credit 540.00)</t>
  </si>
  <si>
    <t xml:space="preserve">ARABIAN MILLS COMPANY LIMITED</t>
  </si>
  <si>
    <t xml:space="preserve">AL-ANJAZ AL-AKHAYR  COMPANY</t>
  </si>
  <si>
    <t xml:space="preserve">DONGYONG ARABIA CO., LTD.</t>
  </si>
  <si>
    <t xml:space="preserve">FIRST DEVELOPERS COMPANY FOR INDUSTRY</t>
  </si>
  <si>
    <t xml:space="preserve">MODERNITY LEGEND TRADING ESTABLISHMENT</t>
  </si>
  <si>
    <t xml:space="preserve">Party-wise closing balance (Opening 0.00; Debit 6,025.00; Credit 6,025.00)</t>
  </si>
  <si>
    <t xml:space="preserve">SUPPORT POWER CONTRACTING EST</t>
  </si>
  <si>
    <t xml:space="preserve">BISMI ADVERTISING</t>
  </si>
  <si>
    <t xml:space="preserve">FUTURE SOLUTIONS AUTO MAINTENANCE ESTABLISHMENT</t>
  </si>
  <si>
    <t xml:space="preserve">TRITON ARAB TRADING COMPANY</t>
  </si>
  <si>
    <t xml:space="preserve">Party-wise closing balance (Opening 0.00; Debit 5,290.00; Credit 5,290.00)</t>
  </si>
  <si>
    <t xml:space="preserve">BLUE SPARK CONTRACTING COMPANY IS A ONE-PERSON COMPANY.</t>
  </si>
  <si>
    <t xml:space="preserve">Party-wise closing balance (Opening 0.00; Debit 90.00; Credit 90.00)</t>
  </si>
  <si>
    <t xml:space="preserve">AL- GHADEER COMPANY INDUSTRIAL</t>
  </si>
  <si>
    <t xml:space="preserve">FIRST GULF CORNER COMPANY FOR CAR MAINTENANCE</t>
  </si>
  <si>
    <t xml:space="preserve">Party-wise closing balance (Opening 0.00; Debit 135.00; Credit 135.00)</t>
  </si>
  <si>
    <t xml:space="preserve">KHAFAIF AL KHALEEJ FAST FOOD RESTAURANT</t>
  </si>
  <si>
    <t xml:space="preserve">Party-wise closing balance (Opening 0.00; Debit 235.75; Credit 235.75)</t>
  </si>
  <si>
    <t xml:space="preserve">ARAB INTIQAL LOGISTICS SERVICES ESTABLISHMENT</t>
  </si>
  <si>
    <t xml:space="preserve">BISSAN UNITED CONTRACTING ESTABLISHMENT</t>
  </si>
  <si>
    <t xml:space="preserve">FONOUN ALWALEED INDUSTRIAL CO</t>
  </si>
  <si>
    <t xml:space="preserve">ELEGANT DEVELOPMENT BUILDING ESTABLISHMENT</t>
  </si>
  <si>
    <t xml:space="preserve">SKYLINE LIMITED COMPANY</t>
  </si>
  <si>
    <t xml:space="preserve">Party-wise closing balance (Opening 0.00; Debit 3,162.50; Credit 3,162.50)</t>
  </si>
  <si>
    <t xml:space="preserve">AUSTRALIAN CONSTRUCTION TECHNOLOGY COMPANY LIMITED</t>
  </si>
  <si>
    <t xml:space="preserve">Party-wise closing balance (Opening 0.00; Debit 1,679.00; Credit 1,679.00)</t>
  </si>
  <si>
    <t xml:space="preserve">NAJMAT DAR AL-ZAIN COMMERCIAL SERVICES ESTABLISHMENT</t>
  </si>
  <si>
    <t xml:space="preserve">Party-wise closing balance (Opening 0.00; Debit 20.00; Credit 20.00)</t>
  </si>
  <si>
    <t xml:space="preserve">TRUE BLUE TRADING COMPANY</t>
  </si>
  <si>
    <t xml:space="preserve">ARABIAN TECHNICAL SOURCE COMPANY FOR INDUSTRIAL SERVICES</t>
  </si>
  <si>
    <t xml:space="preserve">Party-wise closing balance (Opening 0.00; Debit 2,346.00; Credit 2,346.00)</t>
  </si>
  <si>
    <t xml:space="preserve">TALAWIN ADVERTISING AND PUBLICITY AGENCY</t>
  </si>
  <si>
    <t xml:space="preserve">MOHAMMED BIN ATYIYAH AL-ESSA TRADING ESTABLISHMENT</t>
  </si>
  <si>
    <t xml:space="preserve">AHMED MISFER ABDULLAH JALALA HEAVY EQUIPMENT RENTAL EST</t>
  </si>
  <si>
    <t xml:space="preserve">MUSAED SALLAB AL-RUWAILI CONTRACTING ESTABLISHMENT</t>
  </si>
  <si>
    <t xml:space="preserve">Party-wise closing balance (Opening 0.00; Debit 837.00; Credit 837.00)</t>
  </si>
  <si>
    <t xml:space="preserve">WASEL WEONE COMPANY </t>
  </si>
  <si>
    <t xml:space="preserve">Party-wise closing balance (Opening 0.00; Debit 20,700.00; Credit 20,700.00)</t>
  </si>
  <si>
    <t xml:space="preserve">DELTA  -VALLEYS CONTRACTING COMPANY</t>
  </si>
  <si>
    <t xml:space="preserve">Party-wise closing balance (Opening 0.00; Debit 1,372.00; Credit 1,372.00)</t>
  </si>
  <si>
    <t xml:space="preserve">FUSION AXIS INDUSTRIAL COMPANY</t>
  </si>
  <si>
    <t xml:space="preserve">Party-wise closing balance (Opening 0.00; Debit 5,493.55; Credit 5,493.55)</t>
  </si>
  <si>
    <t xml:space="preserve">FRESH FOOD COMPANY</t>
  </si>
  <si>
    <t xml:space="preserve">AL-KAYAN TECHNICAL ELEVATORS COMPANY</t>
  </si>
  <si>
    <t xml:space="preserve">MAJID TAHER AL-ABBAD ADVERTISING AND PUBLICITY AGENCY</t>
  </si>
  <si>
    <t xml:space="preserve">Party-wise closing balance (Opening 0.00; Debit 12,420.00; Credit 12,420.00)</t>
  </si>
  <si>
    <t xml:space="preserve">MODERN SUFI FACTORY COMPANY FOR INDUSTRY</t>
  </si>
  <si>
    <t xml:space="preserve">Party-wise closing balance (Opening 0.00; Debit 1,300.00; Credit 1,300.00)</t>
  </si>
  <si>
    <t xml:space="preserve">MAJED MUSA ISSA QADDOURA ESTABLISHMENT FOR WEDDINGS AND EVENTS</t>
  </si>
  <si>
    <t xml:space="preserve">MARBLE AND GRANITE TECHNOLOGY COMPANY</t>
  </si>
  <si>
    <t xml:space="preserve">Party-wise closing balance (Opening 0.00; Debit 1,046.50; Credit 1,046.50)</t>
  </si>
  <si>
    <t xml:space="preserve">BAAS GLOBAL MARINE SERVICES (BGMS)</t>
  </si>
  <si>
    <t xml:space="preserve">Party-wise closing balance (Opening 0.00; Debit 905.60; Credit 905.60)</t>
  </si>
  <si>
    <t xml:space="preserve">GREEN PALM FACTORY FOR INDUSTRY</t>
  </si>
  <si>
    <t xml:space="preserve">AL-NAJAH TRADING COMPANY</t>
  </si>
  <si>
    <t xml:space="preserve">HISAKA MIDDLE EAST COMPANY</t>
  </si>
  <si>
    <t xml:space="preserve">NOVA  AAM FOR GENERAL CONTRACTING COMPANY</t>
  </si>
  <si>
    <t xml:space="preserve">SHAJARAT AL-DURR CATERING COMPANY</t>
  </si>
  <si>
    <t xml:space="preserve">Party-wise closing balance (Opening 0.00; Debit 15,440.00; Credit 15,440.00)</t>
  </si>
  <si>
    <t xml:space="preserve">ANIS AKHTAR MAINTENANCE DIVISION SUPPORT STEPS INDUSTRIAL SERVICES</t>
  </si>
  <si>
    <t xml:space="preserve">BRIGHT COMMERCIAL LIGHTING COMPANY</t>
  </si>
  <si>
    <t xml:space="preserve">CLOUDS HEAD ADVERTISING</t>
  </si>
  <si>
    <t xml:space="preserve">ASAS TECHNICAL WORKS CONTRACTING ESTABLISHMENT</t>
  </si>
  <si>
    <t xml:space="preserve">EBTEKAR AL-KHALIJ TRADING EST</t>
  </si>
  <si>
    <t xml:space="preserve">JANAT AL-THAQ TRADING EST.</t>
  </si>
  <si>
    <t xml:space="preserve">Party-wise closing balance (Opening 0.00; Debit 5,853.50; Credit 5,853.50)</t>
  </si>
  <si>
    <t xml:space="preserve">RAYYAN AL KHAIR LATHE</t>
  </si>
  <si>
    <t xml:space="preserve">Party-wise closing balance (Opening 0.00; Debit 3,499.13; Credit 3,499.13)</t>
  </si>
  <si>
    <t xml:space="preserve">JUPITER CONTRACTING COMPANY</t>
  </si>
  <si>
    <t xml:space="preserve">Party-wise closing balance (Opening 0.00; Debit 62,065.50; Credit 62,065.50)</t>
  </si>
  <si>
    <t xml:space="preserve">AL-QAT'A AL-MUTBTARA GENERAL CONTRACTING COMPANY</t>
  </si>
  <si>
    <t xml:space="preserve">Party-wise closing balance (Opening 0.00; Debit 529.00; Credit 529.00)</t>
  </si>
  <si>
    <t xml:space="preserve">HASSAN ALI BIN IBRAHIM AL RABAH ALUMINUM FACTORY ESTABLISHMENT</t>
  </si>
  <si>
    <t xml:space="preserve">METRA TRADING ESTABLISHMENT</t>
  </si>
  <si>
    <t xml:space="preserve">ABDUL AZIZ ABDUL RAHMAN BUSUBAIT FIBERGLASS COMPANY LLC</t>
  </si>
  <si>
    <t xml:space="preserve">Party-wise closing balance (Opening 0.00; Debit 724.50; Credit 724.50)</t>
  </si>
  <si>
    <t xml:space="preserve">TARIQ AL- TAGHYIR COMMERCIAL EST</t>
  </si>
  <si>
    <t xml:space="preserve">RIVER  ENGINEERING CONTRACTING COMPANY </t>
  </si>
  <si>
    <t xml:space="preserve">Party-wise closing balance (Opening 0.00; Debit 292.00; Credit 292.00)</t>
  </si>
  <si>
    <t xml:space="preserve">ANAS AL NOOR COMPANY</t>
  </si>
  <si>
    <t xml:space="preserve">Party-wise closing balance (Opening 0.00; Debit 7,360.00; Credit 7,360.00)</t>
  </si>
  <si>
    <t xml:space="preserve">FINE ART LINE ADVERTISING COMPANY</t>
  </si>
  <si>
    <t xml:space="preserve">Party-wise closing balance (Opening 0.00; Debit 201.75; Credit 201.75)</t>
  </si>
  <si>
    <t xml:space="preserve">MAALJA AL-JABAL LTD</t>
  </si>
  <si>
    <t xml:space="preserve">Party-wise closing balance (Opening 0.00; Debit 782.50; Credit 782.50)</t>
  </si>
  <si>
    <t xml:space="preserve">PRECIOUS STARS SUPPORT TRADING ESTABLISHMENT</t>
  </si>
  <si>
    <t xml:space="preserve">Party-wise closing balance (Opening 0.00; Debit 27,005.45; Credit 27,005.45)</t>
  </si>
  <si>
    <t xml:space="preserve">PROFESSIONAL INSULATION TECHNOLOGY CONTRACTING COMPANY</t>
  </si>
  <si>
    <t xml:space="preserve">GULF HYDRAULIC AND PNEUMATIC TRADING ESTABLISHMENT</t>
  </si>
  <si>
    <t xml:space="preserve">ABED AL- MISHAL TRADING EST</t>
  </si>
  <si>
    <t xml:space="preserve">Party-wise closing balance (Opening 0.00; Debit 5,865.00; Credit 5,865.00)</t>
  </si>
  <si>
    <t xml:space="preserve">ASAS COMMERCIAL OILS COMPANY</t>
  </si>
  <si>
    <t xml:space="preserve">Party-wise closing balance (Opening 0.00; Debit 279.00; Credit 279.00)</t>
  </si>
  <si>
    <t xml:space="preserve">AL-HAL UNITED TRANSPORTATION COMPANY</t>
  </si>
  <si>
    <t xml:space="preserve">FAST OPERATIONS AND MAINTENCE CO</t>
  </si>
  <si>
    <t xml:space="preserve">POWERTECH PERFECT SOLUTION COMPANY</t>
  </si>
  <si>
    <t xml:space="preserve">Party-wise closing balance (Opening 0.00; Debit 1,913.60; Credit 1,913.60)</t>
  </si>
  <si>
    <t xml:space="preserve">ZAWAYA AL KHALEEJ ADVERTISING COMPANY</t>
  </si>
  <si>
    <t xml:space="preserve">ALFA  MARINE INDUSTRIAL SERVICES COMPANY</t>
  </si>
  <si>
    <t xml:space="preserve">AL MADAR AL MUMTAZ TRADING</t>
  </si>
  <si>
    <t xml:space="preserve">Party-wise closing balance (Opening 0.00; Debit 15,904.50; Credit 15,904.50)</t>
  </si>
  <si>
    <t xml:space="preserve">METAL EXPERT MAINTENANCE ESTABLISHMENT</t>
  </si>
  <si>
    <t xml:space="preserve">GULF TIME TRADING EST</t>
  </si>
  <si>
    <t xml:space="preserve">Party-wise closing balance (Opening 0.00; Debit 27,312.50; Credit 27,312.50)</t>
  </si>
  <si>
    <t xml:space="preserve">YANAMA TRADING COMPANY</t>
  </si>
  <si>
    <t xml:space="preserve">Party-wise closing balance (Opening 0.00; Debit 14,168.00; Credit 14,168.00)</t>
  </si>
  <si>
    <t xml:space="preserve">DALIA  AL SHARQ METAL LATHE </t>
  </si>
  <si>
    <t xml:space="preserve">SMART GULF CONTRACTING COMPANY</t>
  </si>
  <si>
    <t xml:space="preserve">ATTIEH STEEL COMPANY LTD</t>
  </si>
  <si>
    <t xml:space="preserve">FUTURE PACKAGE COMPANY FOR INDUSTRY</t>
  </si>
  <si>
    <t xml:space="preserve">Party-wise closing balance (Opening 0.00; Debit 3,737.50; Credit 3,737.50)</t>
  </si>
  <si>
    <t xml:space="preserve">WE FIVE ARABIA LIMITED</t>
  </si>
  <si>
    <t xml:space="preserve">AL-AMAM GENERAL CONTRACTING COMPANY, A SINGLE-PERSON COMPANY.</t>
  </si>
  <si>
    <t xml:space="preserve">AL-AZZAZ PAPER MANUFACTURING COMPANY IS A SOLE PROPRIETORSHIP.</t>
  </si>
  <si>
    <t xml:space="preserve">Party-wise closing balance (Opening 0.00; Debit 6,601.65; Credit 6,601.65)</t>
  </si>
  <si>
    <t xml:space="preserve">YAMAL ALTEEB RESTURANT</t>
  </si>
  <si>
    <t xml:space="preserve">Party-wise closing balance (Opening 0.00; Debit 212.75; Credit 212.75)</t>
  </si>
  <si>
    <t xml:space="preserve">CREDO ATHEER ESTABLISHMENT</t>
  </si>
  <si>
    <t xml:space="preserve">BEST PRINT</t>
  </si>
  <si>
    <t xml:space="preserve">Party-wise closing balance (Opening 0.00; Debit 13,800.00; Credit 13,800.00)</t>
  </si>
  <si>
    <t xml:space="preserve"> SAFETY SOLUTIONS</t>
  </si>
  <si>
    <t xml:space="preserve">MODERN ERA AGENCY</t>
  </si>
  <si>
    <t xml:space="preserve">Party-wise closing balance (Opening 0.00; Debit 55.00; Credit 55.00)</t>
  </si>
  <si>
    <t xml:space="preserve">MONTHER AL SADAH</t>
  </si>
  <si>
    <t xml:space="preserve">AL-RUSAFA INDUSTRIAL TECHNOLOGY FACTORY</t>
  </si>
  <si>
    <t xml:space="preserve">RAYYAN GULF WATER DESALINATION CORPORATION</t>
  </si>
  <si>
    <t xml:space="preserve">Party-wise closing balance (Opening 0.00; Debit 883.20; Credit 883.20)</t>
  </si>
  <si>
    <t xml:space="preserve">THE BEST CHOICE CENTER FOR VEHICLES MAINTENANCE</t>
  </si>
  <si>
    <t xml:space="preserve">FARAD TRADING COMPANY</t>
  </si>
  <si>
    <t xml:space="preserve">GULF PARAMOUNT  BRANCH OF COMPANY LLC</t>
  </si>
  <si>
    <t xml:space="preserve">Party-wise closing balance (Opening 0.00; Debit 6,404.35; Credit 6,404.35)</t>
  </si>
  <si>
    <t xml:space="preserve">ABDULRAHMAN AHMED AL RAJHI GENERAL CONTRACTING COMPANY</t>
  </si>
  <si>
    <t xml:space="preserve">OUR UNIQUE MARINE FISH COMPANY</t>
  </si>
  <si>
    <t xml:space="preserve">Party-wise closing balance (Opening 0.00; Debit 16,500.15; Credit 16,500.15)</t>
  </si>
  <si>
    <t xml:space="preserve">NOOR INTERNATIONAL COMPANY LIMITED</t>
  </si>
  <si>
    <t xml:space="preserve">BUSINESS SERVICE EQUIPMENT RETAL COMPANY</t>
  </si>
  <si>
    <t xml:space="preserve">SAGE BUILDINGS CONTRACTING ESTABLISHMENT</t>
  </si>
  <si>
    <t xml:space="preserve">JADRANE AL-KHULAIJ AL-MUSTAGHEBEL</t>
  </si>
  <si>
    <t xml:space="preserve">GREEN EAST ENVIRONMENTAL INTL TRD EST</t>
  </si>
  <si>
    <t xml:space="preserve">Party-wise closing balance (Opening 0.00; Debit 819.95; Credit 819.95)</t>
  </si>
  <si>
    <t xml:space="preserve">SHAWARMER FOOD CO LLC</t>
  </si>
  <si>
    <t xml:space="preserve">AL-SAHEL TECHNICAL EST  INDUSTRIAL SERVICES</t>
  </si>
  <si>
    <t xml:space="preserve">Party-wise closing balance (Opening 0.00; Debit 4,680.50; Credit 4,680.50)</t>
  </si>
  <si>
    <t xml:space="preserve">GUARDIAN LTD</t>
  </si>
  <si>
    <t xml:space="preserve">AL MAQBOOL BUILD GENERAL CONTRACTING COMPANY</t>
  </si>
  <si>
    <t xml:space="preserve">Party-wise closing balance (Opening 0.00; Debit 271.40; Credit 271.40)</t>
  </si>
  <si>
    <t xml:space="preserve">KIFAH EASTERN METAL LATHE EST</t>
  </si>
  <si>
    <t xml:space="preserve">Party-wise closing balance (Opening 0.00; Debit 6,350.00; Credit 6,350.00)</t>
  </si>
  <si>
    <t xml:space="preserve">MANSOUR AHMED AL-MOHAMMADI CONTRACTING COMPANY</t>
  </si>
  <si>
    <t xml:space="preserve">Party-wise closing balance (Opening 0.00; Debit 1,058.00; Credit 1,058.00)</t>
  </si>
  <si>
    <t xml:space="preserve">FADAK AL ROUH SWEETS COMPANY</t>
  </si>
  <si>
    <t xml:space="preserve">METAL CONTRACTS COMPANY FOR INDUSTRY</t>
  </si>
  <si>
    <t xml:space="preserve">Party-wise closing balance (Opening 0.00; Debit 155.00; Credit 155.00)</t>
  </si>
  <si>
    <t xml:space="preserve">MURADEF METAL FACTORY STEEL INDUSTRIAL SERVICES EST</t>
  </si>
  <si>
    <t xml:space="preserve">CITY LIGHT TRADING COMPANY</t>
  </si>
  <si>
    <t xml:space="preserve">TADWIR AL JAZIRAH TRADING COMPANY LLC</t>
  </si>
  <si>
    <t xml:space="preserve">YOUSEF ABDULLAH JUBARAH  PARTNERS &amp; COMPANY</t>
  </si>
  <si>
    <t xml:space="preserve">Party-wise closing balance (Opening 0.00; Debit 1,959.60; Credit 1,959.60)</t>
  </si>
  <si>
    <t xml:space="preserve">BLITZ FACTORY FOR INDUSTRIAL</t>
  </si>
  <si>
    <t xml:space="preserve">GOLDEN FLAME CONTRACTING</t>
  </si>
  <si>
    <t xml:space="preserve">BRANCH OF CHINA  HARBOUR ENGINEERING CO. LTD</t>
  </si>
  <si>
    <t xml:space="preserve">HEET INDUSTRIAL COMPANY</t>
  </si>
  <si>
    <t xml:space="preserve">Party-wise closing balance (Opening 0.00; Debit 13,328.50; Credit 13,328.50)</t>
  </si>
  <si>
    <t xml:space="preserve">HUAYU ARABIAN CONTRACTING COMPANY</t>
  </si>
  <si>
    <t xml:space="preserve">HUSSAIN MANSOUR ALHERZ CONTRACTING</t>
  </si>
  <si>
    <t xml:space="preserve">BURK AL-MAWAD FOR BUILDING MATERIALS</t>
  </si>
  <si>
    <t xml:space="preserve">KHALID JUMA  AWAD AL-SUWAYED TRADING EST</t>
  </si>
  <si>
    <t xml:space="preserve">ABRICAN CO LTD</t>
  </si>
  <si>
    <t xml:space="preserve">SHAMOUKH AL ALAM GENERAL CONTRACTING ESTABLISHMENT</t>
  </si>
  <si>
    <t xml:space="preserve">NEXUS METALS TRADING EST</t>
  </si>
  <si>
    <t xml:space="preserve">AJADA GENERAL CONTRACTING</t>
  </si>
  <si>
    <t xml:space="preserve">DAWN CALM CAFE FOR SERVING</t>
  </si>
  <si>
    <t xml:space="preserve">HAMCO ARABIA  PSD</t>
  </si>
  <si>
    <t xml:space="preserve">Party-wise closing balance (Opening 0.00; Debit 1,041.90; Credit 1,041.90)</t>
  </si>
  <si>
    <t xml:space="preserve">BRANCH ZAKARIYA NASSER AL ISMAIL TRADING &amp; CONTRACTING CO</t>
  </si>
  <si>
    <t xml:space="preserve">DYNAMIC ADVERTISING AND MARKETING COMPANY</t>
  </si>
  <si>
    <t xml:space="preserve">MOHAMMED ABDUL AZIZ AL-RAZIZ AL-ANQARI  SAFETY EQUIPMENT EST</t>
  </si>
  <si>
    <t xml:space="preserve">Validation checks</t>
  </si>
  <si>
    <t xml:space="preserve">#</t>
  </si>
  <si>
    <t xml:space="preserve">Check</t>
  </si>
  <si>
    <t xml:space="preserve">Result</t>
  </si>
  <si>
    <t xml:space="preserve">Detail</t>
  </si>
  <si>
    <t xml:space="preserve">P1 – population composition (By ledger: AR file only | By side: AR + Supplier Advances)</t>
  </si>
  <si>
    <t xml:space="preserve">P2 – population composition (By ledger: AP file only | By side: AP + Customer Advances)</t>
  </si>
  <si>
    <t xml:space="preserve">P1 – every item above materiality is selected</t>
  </si>
  <si>
    <t xml:space="preserve">P2 – every item above materiality is selected</t>
  </si>
  <si>
    <t xml:space="preserve">P1 – no above-materiality item in the below-materiality selection population</t>
  </si>
  <si>
    <t xml:space="preserve">Selection ranks exist only for below-materiality items</t>
  </si>
  <si>
    <t xml:space="preserve">P2 – no above-materiality item in the below-materiality selection population</t>
  </si>
  <si>
    <t xml:space="preserve">Same test, whole population</t>
  </si>
  <si>
    <t xml:space="preserve">P1 – below-materiality sample size equals calculated n</t>
  </si>
  <si>
    <t xml:space="preserve">P2 – below-materiality sample size equals calculated n</t>
  </si>
  <si>
    <t xml:space="preserve">No duplicate within any list, none in both above and random</t>
  </si>
  <si>
    <t xml:space="preserve">Index overlap tested across all four lists</t>
  </si>
  <si>
    <t xml:space="preserve">ABS values correctly calculated</t>
  </si>
  <si>
    <t xml:space="preserve">ABS(Original Amount) = Absolute Amount for every row</t>
  </si>
  <si>
    <t xml:space="preserve">Original amounts tie to source control totals (AR 1,063,968.99; AP 30,390.50)</t>
  </si>
  <si>
    <t xml:space="preserve">Materiality = 10,000 as provided</t>
  </si>
  <si>
    <t xml:space="preserve">Above lists sorted by Absolute Amount, largest first</t>
  </si>
  <si>
    <t xml:space="preserve">Both above-materiality lists</t>
  </si>
  <si>
    <t xml:space="preserve">Below-materiality lists sorted correctly (Highest value: Absolute Amount high→low; Random: Random Number high→low)</t>
  </si>
  <si>
    <t xml:space="preserve">Both below-materiality lists</t>
  </si>
  <si>
    <t xml:space="preserve">List capacity (above ≤ 150 per population; n ≤ 100)</t>
  </si>
  <si>
    <t xml:space="preserve">Sample sheets have fixed capacity</t>
  </si>
  <si>
    <t xml:space="preserve">Missing data: Reference Number / Date / Ledger Code</t>
  </si>
  <si>
    <t xml:space="preserve">REVIEW</t>
  </si>
  <si>
    <t xml:space="preserve">Blank for all items – source files are party-wise totals</t>
  </si>
  <si>
    <t xml:space="preserve">Nil-balance parties excluded and listed</t>
  </si>
  <si>
    <t xml:space="preserve">Original Amount</t>
  </si>
  <si>
    <t xml:space="preserve">Source (file / row)</t>
  </si>
  <si>
    <t xml:space="preserve">Population index (helper)</t>
  </si>
  <si>
    <t xml:space="preserve">Excluded from both populations – nil closing balance</t>
  </si>
  <si>
    <t xml:space="preserve">These parties have a closing balance of zero, so they have no sign (receivable/advance or payable) and no balance to test. Listed for traceability; nothing was deleted from the source files.</t>
  </si>
  <si>
    <t xml:space="preserve">Closing</t>
  </si>
  <si>
    <t xml:space="preserve">Reason</t>
  </si>
  <si>
    <t xml:space="preserve">Nil closing balance – excluded from sampling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</si>
</sst>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"/>
    <numFmt numFmtId="167" formatCode="#,##0.00;\(#,##0.00\);\-"/>
    <numFmt numFmtId="168" formatCode="0.000000"/>
    <numFmt numFmtId="169" formatCode="General"/>
    <numFmt numFmtId="170" formatCode="[&lt;1]0.000000;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EB9C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FFEB9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4" min="3" style="0" width="24"/>
    <col collapsed="false" customWidth="true" hidden="false" outlineLevel="0" max="5" min="5" style="0" width="14"/>
    <col collapsed="false" customWidth="true" hidden="false" outlineLevel="0" max="6" min="6" style="0" width="44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  <c r="C3" s="3"/>
      <c r="D3" s="3"/>
      <c r="E3" s="3"/>
    </row>
    <row r="4" customFormat="false" ht="15" hidden="false" customHeight="false" outlineLevel="0" collapsed="false">
      <c r="B4" s="4" t="s">
        <v>2</v>
      </c>
      <c r="C4" s="5" t="s">
        <v>3</v>
      </c>
      <c r="D4" s="6" t="s">
        <v>4</v>
      </c>
    </row>
    <row r="5" customFormat="false" ht="15" hidden="false" customHeight="false" outlineLevel="0" collapsed="false">
      <c r="B5" s="4" t="s">
        <v>5</v>
      </c>
      <c r="C5" s="7" t="n">
        <v>10000</v>
      </c>
      <c r="D5" s="6" t="s">
        <v>6</v>
      </c>
    </row>
    <row r="6" customFormat="false" ht="15" hidden="false" customHeight="false" outlineLevel="0" collapsed="false">
      <c r="B6" s="4" t="s">
        <v>7</v>
      </c>
      <c r="C6" s="8" t="n">
        <v>0.5</v>
      </c>
      <c r="D6" s="6" t="str">
        <f aca="false">"Sampling interval = materiality ÷ confidence factor = "&amp;TEXT($C$5/$C$6,"#,##0.00")</f>
        <v>Sampling interval = materiality ÷ confidence factor = 20,000.00</v>
      </c>
    </row>
    <row r="7" customFormat="false" ht="15" hidden="false" customHeight="false" outlineLevel="0" collapsed="false">
      <c r="B7" s="4" t="s">
        <v>8</v>
      </c>
      <c r="C7" s="9" t="n">
        <f aca="false">IF($C$18=0,0,MIN($C$18,MAX(1,ROUND($C$19/($C$5/$C$6),0))))</f>
        <v>9</v>
      </c>
      <c r="D7" s="6" t="str">
        <f aca="false">"Calculated: ROUND(below-materiality value "&amp;TEXT($C$19,"#,##0.00")&amp;" ÷ interval) – no risk-level cap"</f>
        <v>Calculated: ROUND(below-materiality value 185,567.52 ÷ interval) – no risk-level cap</v>
      </c>
    </row>
    <row r="8" customFormat="false" ht="15" hidden="false" customHeight="false" outlineLevel="0" collapsed="false">
      <c r="B8" s="4" t="s">
        <v>9</v>
      </c>
      <c r="C8" s="9" t="n">
        <f aca="false">IF($D$18=0,0,MIN($D$18,MAX(1,ROUND($D$19/($C$5/$C$6),0))))</f>
        <v>1</v>
      </c>
      <c r="D8" s="6" t="str">
        <f aca="false">"Calculated: ROUND(below-materiality value "&amp;TEXT($D$19,"#,##0.00")&amp;" ÷ interval) – no risk-level cap"</f>
        <v>Calculated: ROUND(below-materiality value 13,344.30 ÷ interval) – no risk-level cap</v>
      </c>
    </row>
    <row r="9" customFormat="false" ht="15" hidden="false" customHeight="false" outlineLevel="0" collapsed="false">
      <c r="B9" s="4" t="s">
        <v>10</v>
      </c>
      <c r="C9" s="5" t="s">
        <v>11</v>
      </c>
      <c r="D9" s="6" t="s">
        <v>12</v>
      </c>
    </row>
    <row r="10" customFormat="false" ht="15" hidden="false" customHeight="false" outlineLevel="0" collapsed="false">
      <c r="B10" s="4" t="s">
        <v>13</v>
      </c>
      <c r="C10" s="10" t="s">
        <v>14</v>
      </c>
      <c r="D10" s="6" t="s">
        <v>15</v>
      </c>
    </row>
    <row r="11" customFormat="false" ht="15" hidden="false" customHeight="false" outlineLevel="0" collapsed="false">
      <c r="B11" s="2" t="s">
        <v>16</v>
      </c>
      <c r="C11" s="3"/>
      <c r="D11" s="3"/>
      <c r="E11" s="3"/>
    </row>
    <row r="12" customFormat="false" ht="33.75" hidden="false" customHeight="true" outlineLevel="0" collapsed="false">
      <c r="B12" s="11" t="s">
        <v>17</v>
      </c>
      <c r="C12" s="11" t="str">
        <f aca="false">IF($C$4="By ledger","AR Population (AR file: receivables + customer advances)","Receivable Side (AR + Supplier Advances)")</f>
        <v>AR Population (AR file: receivables + customer advances)</v>
      </c>
      <c r="D12" s="11" t="str">
        <f aca="false">IF($C$4="By ledger","AP Population (AP file: payables + supplier advances)","Payable Side (AP + Customer Advances)")</f>
        <v>AP Population (AP file: payables + supplier advances)</v>
      </c>
    </row>
    <row r="13" customFormat="false" ht="15" hidden="false" customHeight="false" outlineLevel="0" collapsed="false">
      <c r="B13" s="12" t="s">
        <v>18</v>
      </c>
      <c r="C13" s="13" t="n">
        <f aca="false">$C$5</f>
        <v>10000</v>
      </c>
      <c r="D13" s="13" t="n">
        <f aca="false">$C$5</f>
        <v>10000</v>
      </c>
    </row>
    <row r="14" customFormat="false" ht="15" hidden="false" customHeight="false" outlineLevel="0" collapsed="false">
      <c r="B14" s="12" t="s">
        <v>19</v>
      </c>
      <c r="C14" s="13" t="n">
        <f aca="false">COUNTIFS(Population!$O$2:$O$1092,"Population 1")</f>
        <v>115</v>
      </c>
      <c r="D14" s="13" t="n">
        <f aca="false">COUNTIFS(Population!$O$2:$O$1092,"Population 2")</f>
        <v>13</v>
      </c>
    </row>
    <row r="15" customFormat="false" ht="15" hidden="false" customHeight="false" outlineLevel="0" collapsed="false">
      <c r="B15" s="12" t="s">
        <v>20</v>
      </c>
      <c r="C15" s="14" t="n">
        <f aca="false">SUMIFS(Population!$M$2:$M$1092,Population!$O$2:$O$1092,"Population 1")</f>
        <v>1364773.59</v>
      </c>
      <c r="D15" s="14" t="n">
        <f aca="false">SUMIFS(Population!$M$2:$M$1092,Population!$O$2:$O$1092,"Population 2")</f>
        <v>326289.5</v>
      </c>
    </row>
    <row r="16" customFormat="false" ht="15" hidden="false" customHeight="false" outlineLevel="0" collapsed="false">
      <c r="B16" s="12" t="s">
        <v>21</v>
      </c>
      <c r="C16" s="13" t="n">
        <f aca="false">COUNTIFS(Population!$O$2:$O$1092,"Population 1",Population!$P$2:$P$1092,"Above Materiality")</f>
        <v>37</v>
      </c>
      <c r="D16" s="13" t="n">
        <f aca="false">COUNTIFS(Population!$O$2:$O$1092,"Population 2",Population!$P$2:$P$1092,"Above Materiality")</f>
        <v>4</v>
      </c>
    </row>
    <row r="17" customFormat="false" ht="15" hidden="false" customHeight="false" outlineLevel="0" collapsed="false">
      <c r="B17" s="12" t="s">
        <v>22</v>
      </c>
      <c r="C17" s="13" t="n">
        <f aca="false">COUNT('1_P1 Above'!$L$5:$L$154)</f>
        <v>37</v>
      </c>
      <c r="D17" s="13" t="n">
        <f aca="false">COUNT('3_P2 Above'!$L$5:$L$154)</f>
        <v>4</v>
      </c>
    </row>
    <row r="18" customFormat="false" ht="15" hidden="false" customHeight="false" outlineLevel="0" collapsed="false">
      <c r="B18" s="12" t="s">
        <v>23</v>
      </c>
      <c r="C18" s="13" t="n">
        <f aca="false">COUNTIFS(Population!$O$2:$O$1092,"Population 1",Population!$P$2:$P$1092,"Below Materiality")</f>
        <v>78</v>
      </c>
      <c r="D18" s="13" t="n">
        <f aca="false">COUNTIFS(Population!$O$2:$O$1092,"Population 2",Population!$P$2:$P$1092,"Below Materiality")</f>
        <v>9</v>
      </c>
    </row>
    <row r="19" customFormat="false" ht="15" hidden="false" customHeight="false" outlineLevel="0" collapsed="false">
      <c r="B19" s="12" t="s">
        <v>24</v>
      </c>
      <c r="C19" s="14" t="n">
        <f aca="false">SUMIFS(Population!$M$2:$M$1092,Population!$O$2:$O$1092,"Population 1",Population!$P$2:$P$1092,"Below Materiality")</f>
        <v>185567.52</v>
      </c>
      <c r="D19" s="14" t="n">
        <f aca="false">SUMIFS(Population!$M$2:$M$1092,Population!$O$2:$O$1092,"Population 2",Population!$P$2:$P$1092,"Below Materiality")</f>
        <v>13344.3</v>
      </c>
    </row>
    <row r="20" customFormat="false" ht="15" hidden="false" customHeight="false" outlineLevel="0" collapsed="false">
      <c r="B20" s="12" t="s">
        <v>25</v>
      </c>
      <c r="C20" s="13" t="n">
        <f aca="false">$C$7</f>
        <v>9</v>
      </c>
      <c r="D20" s="13" t="n">
        <f aca="false">$C$8</f>
        <v>1</v>
      </c>
    </row>
    <row r="21" customFormat="false" ht="15" hidden="false" customHeight="false" outlineLevel="0" collapsed="false">
      <c r="B21" s="12" t="s">
        <v>26</v>
      </c>
      <c r="C21" s="13" t="n">
        <f aca="false">COUNT('2_P1 Below Sample'!$L$5:$L$104)</f>
        <v>9</v>
      </c>
      <c r="D21" s="13" t="n">
        <f aca="false">COUNT('4_P2 Below Sample'!$L$5:$L$104)</f>
        <v>1</v>
      </c>
    </row>
    <row r="23" customFormat="false" ht="15" hidden="false" customHeight="false" outlineLevel="0" collapsed="false">
      <c r="B23" s="2" t="s">
        <v>27</v>
      </c>
      <c r="C23" s="3"/>
      <c r="D23" s="3"/>
      <c r="E23" s="3"/>
    </row>
    <row r="24" customFormat="false" ht="24" hidden="false" customHeight="true" outlineLevel="0" collapsed="false">
      <c r="B24" s="11" t="s">
        <v>28</v>
      </c>
      <c r="C24" s="11" t="s">
        <v>29</v>
      </c>
      <c r="D24" s="11" t="s">
        <v>30</v>
      </c>
      <c r="E24" s="11" t="s">
        <v>31</v>
      </c>
    </row>
    <row r="25" customFormat="false" ht="15" hidden="false" customHeight="false" outlineLevel="0" collapsed="false">
      <c r="B25" s="12" t="s">
        <v>32</v>
      </c>
      <c r="C25" s="15" t="n">
        <f aca="false">COUNTIFS(Population!$N$2:$N$1092,B25)</f>
        <v>85</v>
      </c>
      <c r="D25" s="16" t="n">
        <f aca="false">SUMIFS(Population!$M$2:$M$1092,Population!$N$2:$N$1092,B25)</f>
        <v>1214371.29</v>
      </c>
      <c r="E25" s="12" t="str">
        <f aca="false">"Population 1"</f>
        <v>Population 1</v>
      </c>
      <c r="F25" s="6" t="s">
        <v>33</v>
      </c>
    </row>
    <row r="26" customFormat="false" ht="15" hidden="false" customHeight="false" outlineLevel="0" collapsed="false">
      <c r="B26" s="12" t="s">
        <v>34</v>
      </c>
      <c r="C26" s="15" t="n">
        <f aca="false">COUNTIFS(Population!$N$2:$N$1092,B26)</f>
        <v>5</v>
      </c>
      <c r="D26" s="16" t="n">
        <f aca="false">SUMIFS(Population!$M$2:$M$1092,Population!$N$2:$N$1092,B26)</f>
        <v>178340</v>
      </c>
      <c r="E26" s="12" t="str">
        <f aca="false">IF($C$4="By ledger","Population 2","Population 1")</f>
        <v>Population 2</v>
      </c>
      <c r="F26" s="6" t="s">
        <v>35</v>
      </c>
    </row>
    <row r="27" customFormat="false" ht="15" hidden="false" customHeight="false" outlineLevel="0" collapsed="false">
      <c r="B27" s="12" t="s">
        <v>36</v>
      </c>
      <c r="C27" s="15" t="n">
        <f aca="false">COUNTIFS(Population!$N$2:$N$1092,B27)</f>
        <v>8</v>
      </c>
      <c r="D27" s="16" t="n">
        <f aca="false">SUMIFS(Population!$M$2:$M$1092,Population!$N$2:$N$1092,B27)</f>
        <v>147949.5</v>
      </c>
      <c r="E27" s="12" t="str">
        <f aca="false">"Population 2"</f>
        <v>Population 2</v>
      </c>
      <c r="F27" s="6" t="s">
        <v>37</v>
      </c>
    </row>
    <row r="28" customFormat="false" ht="15" hidden="false" customHeight="false" outlineLevel="0" collapsed="false">
      <c r="B28" s="12" t="s">
        <v>38</v>
      </c>
      <c r="C28" s="15" t="n">
        <f aca="false">COUNTIFS(Population!$N$2:$N$1092,B28)</f>
        <v>30</v>
      </c>
      <c r="D28" s="16" t="n">
        <f aca="false">SUMIFS(Population!$M$2:$M$1092,Population!$N$2:$N$1092,B28)</f>
        <v>150402.3</v>
      </c>
      <c r="E28" s="12" t="str">
        <f aca="false">IF($C$4="By ledger","Population 1","Population 2")</f>
        <v>Population 1</v>
      </c>
      <c r="F28" s="6" t="s">
        <v>39</v>
      </c>
    </row>
    <row r="29" customFormat="false" ht="15" hidden="false" customHeight="false" outlineLevel="0" collapsed="false">
      <c r="B29" s="12" t="s">
        <v>40</v>
      </c>
      <c r="C29" s="15" t="n">
        <f aca="false">COUNTIFS(Population!$N$2:$N$1092,"Nil balance")</f>
        <v>963</v>
      </c>
      <c r="D29" s="16" t="n">
        <v>0</v>
      </c>
      <c r="E29" s="12" t="s">
        <v>41</v>
      </c>
    </row>
    <row r="31" customFormat="false" ht="15" hidden="false" customHeight="false" outlineLevel="0" collapsed="false">
      <c r="B31" s="4" t="s">
        <v>42</v>
      </c>
    </row>
    <row r="32" customFormat="false" ht="15" hidden="false" customHeight="false" outlineLevel="0" collapsed="false">
      <c r="B32" s="17" t="s">
        <v>43</v>
      </c>
    </row>
    <row r="33" customFormat="false" ht="15" hidden="false" customHeight="false" outlineLevel="0" collapsed="false">
      <c r="B33" s="17" t="s">
        <v>44</v>
      </c>
    </row>
    <row r="34" customFormat="false" ht="15" hidden="false" customHeight="false" outlineLevel="0" collapsed="false">
      <c r="B34" s="17" t="str">
        <f aca="false">IF($C$4="By ledger","Population 1 = AR file (receivables + customer advances). Population 2 = AP file (payables + supplier advances). Tested separately, never combined.","Population 1 = AR + Supplier Advances (debit balances). Population 2 = AP + Customer Advances (credit balances). Never combined.")</f>
        <v>Population 1 = AR file (receivables + customer advances). Population 2 = AP file (payables + supplier advances). Tested separately, never combined.</v>
      </c>
    </row>
    <row r="35" customFormat="false" ht="15" hidden="false" customHeight="false" outlineLevel="0" collapsed="false">
      <c r="B35" s="17" t="s">
        <v>45</v>
      </c>
    </row>
    <row r="36" customFormat="false" ht="15" hidden="false" customHeight="false" outlineLevel="0" collapsed="false">
      <c r="B36" s="17" t="s">
        <v>46</v>
      </c>
    </row>
    <row r="37" customFormat="false" ht="15" hidden="false" customHeight="false" outlineLevel="0" collapsed="false">
      <c r="B37" s="17" t="s">
        <v>47</v>
      </c>
    </row>
  </sheetData>
  <dataValidations count="3">
    <dataValidation allowBlank="false" error="Choose 0.5, 0.75 or 1." errorStyle="stop" errorTitle="Confidence factor" operator="between" showDropDown="false" showErrorMessage="true" showInputMessage="false" sqref="C6" type="list">
      <formula1>"0.5,0.75,1"</formula1>
      <formula2>0</formula2>
    </dataValidation>
    <dataValidation allowBlank="false" error="Choose By ledger or By side." errorStyle="stop" errorTitle="Population basis" operator="between" showDropDown="false" showErrorMessage="true" showInputMessage="false" sqref="C4" type="list">
      <formula1>"By ledger,By side"</formula1>
      <formula2>0</formula2>
    </dataValidation>
    <dataValidation allowBlank="false" error="Choose Highest value or Random." errorStyle="stop" errorTitle="Method" operator="between" showDropDown="false" showErrorMessage="true" showInputMessage="false" sqref="C9" type="list">
      <formula1>"Highest value,Random"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46"/>
    <col collapsed="false" customWidth="true" hidden="false" outlineLevel="0" max="6" min="6" style="0" width="6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1" min="9" style="0" width="14"/>
    <col collapsed="false" customWidth="true" hidden="false" outlineLevel="0" max="13" min="12" style="0" width="17"/>
    <col collapsed="false" customWidth="true" hidden="false" outlineLevel="0" max="14" min="14" style="0" width="20"/>
    <col collapsed="false" customWidth="true" hidden="false" outlineLevel="0" max="15" min="15" style="0" width="13"/>
    <col collapsed="false" customWidth="true" hidden="false" outlineLevel="0" max="16" min="16" style="0" width="26"/>
    <col collapsed="false" customWidth="true" hidden="false" outlineLevel="0" max="17" min="17" style="0" width="16"/>
    <col collapsed="false" customWidth="true" hidden="false" outlineLevel="0" max="19" min="18" style="0" width="9"/>
    <col collapsed="false" customWidth="true" hidden="false" outlineLevel="0" max="20" min="20" style="0" width="14"/>
    <col collapsed="false" customWidth="true" hidden="false" outlineLevel="0" max="22" min="21" style="0" width="16"/>
  </cols>
  <sheetData>
    <row r="1" customFormat="false" ht="45" hidden="false" customHeight="true" outlineLevel="0" collapsed="false">
      <c r="A1" s="11" t="s">
        <v>48</v>
      </c>
      <c r="B1" s="11" t="s">
        <v>49</v>
      </c>
      <c r="C1" s="11" t="s">
        <v>50</v>
      </c>
      <c r="D1" s="11" t="s">
        <v>51</v>
      </c>
      <c r="E1" s="11" t="s">
        <v>52</v>
      </c>
      <c r="F1" s="11" t="s">
        <v>53</v>
      </c>
      <c r="G1" s="11" t="s">
        <v>54</v>
      </c>
      <c r="H1" s="11" t="s">
        <v>55</v>
      </c>
      <c r="I1" s="11" t="s">
        <v>56</v>
      </c>
      <c r="J1" s="11" t="s">
        <v>57</v>
      </c>
      <c r="K1" s="11" t="s">
        <v>58</v>
      </c>
      <c r="L1" s="11" t="s">
        <v>59</v>
      </c>
      <c r="M1" s="11" t="s">
        <v>60</v>
      </c>
      <c r="N1" s="11" t="s">
        <v>61</v>
      </c>
      <c r="O1" s="11" t="s">
        <v>31</v>
      </c>
      <c r="P1" s="11" t="s">
        <v>62</v>
      </c>
      <c r="Q1" s="11" t="s">
        <v>63</v>
      </c>
      <c r="R1" s="11" t="s">
        <v>64</v>
      </c>
      <c r="S1" s="11" t="s">
        <v>65</v>
      </c>
      <c r="T1" s="11" t="s">
        <v>66</v>
      </c>
      <c r="U1" s="11" t="s">
        <v>67</v>
      </c>
      <c r="V1" s="11" t="s">
        <v>68</v>
      </c>
    </row>
    <row r="2" customFormat="false" ht="15" hidden="false" customHeight="false" outlineLevel="0" collapsed="false">
      <c r="A2" s="18" t="n">
        <v>1</v>
      </c>
      <c r="B2" s="18"/>
      <c r="C2" s="18"/>
      <c r="D2" s="18"/>
      <c r="E2" s="18" t="s">
        <v>69</v>
      </c>
      <c r="F2" s="18" t="s">
        <v>70</v>
      </c>
      <c r="G2" s="18" t="s">
        <v>71</v>
      </c>
      <c r="H2" s="18" t="n">
        <v>90</v>
      </c>
      <c r="I2" s="19" t="n">
        <v>0</v>
      </c>
      <c r="J2" s="19" t="n">
        <v>177190.2</v>
      </c>
      <c r="K2" s="19" t="n">
        <v>0</v>
      </c>
      <c r="L2" s="19" t="n">
        <v>177190.2</v>
      </c>
      <c r="M2" s="19" t="n">
        <f aca="false">ABS(L2)</f>
        <v>177190.2</v>
      </c>
      <c r="N2" s="18" t="str">
        <f aca="false">IF(L2=0,"Nil balance",IF(G2="AR file",IF(L2&gt;0,"Accounts Receivable","Customer Advances"),IF(L2&lt;0,"Accounts Payable","Supplier Advances")))</f>
        <v>Supplier Advances</v>
      </c>
      <c r="O2" s="18" t="str">
        <f aca="false">IF(L2=0,"Excluded",IF(Summary!$C$4="By ledger",IF(G2="AR file","Population 1","Population 2"),IF(L2&gt;0,"Population 1","Population 2")))</f>
        <v>Population 2</v>
      </c>
      <c r="P2" s="18" t="str">
        <f aca="false">IF(O2="Excluded","Excluded – nil closing balance",IF(M2&gt;Summary!$C$5,"Above Materiality","Below Materiality"))</f>
        <v>Above Materiality</v>
      </c>
      <c r="Q2" s="20" t="str">
        <f aca="false">IF(P2="Below Materiality",T2,"")</f>
        <v/>
      </c>
      <c r="R2" s="21" t="n">
        <f aca="false">IF(P2="Above Materiality",COUNTIFS($O$2:$O$1092,O2,$P$2:$P$1092,"Above Materiality",$M$2:$M$1092,"&gt;"&amp;M2)+COUNTIFS($O$2:$O$1092,O2,$P$2:$P$1092,"Above Materiality",$M$2:$M$1092,M2,$A$2:$A$1092,"&lt;"&amp;A2)+1,"")</f>
        <v>1</v>
      </c>
      <c r="S2" s="21" t="str">
        <f aca="false">IF(P2&lt;&gt;"Below Materiality","",IF(Summary!$C$9="Random",COUNTIFS($O$2:$O$1092,O2,$Q$2:$Q$1092,"&gt;"&amp;Q2)+1,COUNTIFS($O$2:$O$1092,O2,$P$2:$P$1092,"Below Materiality",$M$2:$M$1092,"&gt;"&amp;M2)+COUNTIFS($O$2:$O$1092,O2,$P$2:$P$1092,"Below Materiality",$M$2:$M$1092,M2,$A$2:$A$1092,"&lt;"&amp;A2)+1))</f>
        <v/>
      </c>
      <c r="T2" s="22" t="n">
        <v>0.987730888301574</v>
      </c>
      <c r="U2" s="21" t="str">
        <f aca="false">IF(R2="","",O2&amp;"|A|"&amp;R2)</f>
        <v>Population 2|A|1</v>
      </c>
      <c r="V2" s="21" t="str">
        <f aca="false">IF(S2="","",O2&amp;"|R|"&amp;S2)</f>
        <v/>
      </c>
    </row>
    <row r="3" customFormat="false" ht="15" hidden="false" customHeight="false" outlineLevel="0" collapsed="false">
      <c r="A3" s="18" t="n">
        <v>2</v>
      </c>
      <c r="B3" s="18"/>
      <c r="C3" s="18"/>
      <c r="D3" s="18"/>
      <c r="E3" s="18" t="s">
        <v>72</v>
      </c>
      <c r="F3" s="18" t="s">
        <v>73</v>
      </c>
      <c r="G3" s="18" t="s">
        <v>74</v>
      </c>
      <c r="H3" s="18" t="n">
        <v>409</v>
      </c>
      <c r="I3" s="19" t="n">
        <v>275982.75</v>
      </c>
      <c r="J3" s="19" t="n">
        <v>955512.58</v>
      </c>
      <c r="K3" s="19" t="n">
        <v>1129685.18</v>
      </c>
      <c r="L3" s="19" t="n">
        <v>101810.15</v>
      </c>
      <c r="M3" s="19" t="n">
        <f aca="false">ABS(L3)</f>
        <v>101810.15</v>
      </c>
      <c r="N3" s="18" t="str">
        <f aca="false">IF(L3=0,"Nil balance",IF(G3="AR file",IF(L3&gt;0,"Accounts Receivable","Customer Advances"),IF(L3&lt;0,"Accounts Payable","Supplier Advances")))</f>
        <v>Accounts Receivable</v>
      </c>
      <c r="O3" s="18" t="str">
        <f aca="false">IF(L3=0,"Excluded",IF(Summary!$C$4="By ledger",IF(G3="AR file","Population 1","Population 2"),IF(L3&gt;0,"Population 1","Population 2")))</f>
        <v>Population 1</v>
      </c>
      <c r="P3" s="18" t="str">
        <f aca="false">IF(O3="Excluded","Excluded – nil closing balance",IF(M3&gt;Summary!$C$5,"Above Materiality","Below Materiality"))</f>
        <v>Above Materiality</v>
      </c>
      <c r="Q3" s="20" t="str">
        <f aca="false">IF(P3="Below Materiality",T3,"")</f>
        <v/>
      </c>
      <c r="R3" s="21" t="n">
        <f aca="false">IF(P3="Above Materiality",COUNTIFS($O$2:$O$1092,O3,$P$2:$P$1092,"Above Materiality",$M$2:$M$1092,"&gt;"&amp;M3)+COUNTIFS($O$2:$O$1092,O3,$P$2:$P$1092,"Above Materiality",$M$2:$M$1092,M3,$A$2:$A$1092,"&lt;"&amp;A3)+1,"")</f>
        <v>1</v>
      </c>
      <c r="S3" s="21" t="str">
        <f aca="false">IF(P3&lt;&gt;"Below Materiality","",IF(Summary!$C$9="Random",COUNTIFS($O$2:$O$1092,O3,$Q$2:$Q$1092,"&gt;"&amp;Q3)+1,COUNTIFS($O$2:$O$1092,O3,$P$2:$P$1092,"Below Materiality",$M$2:$M$1092,"&gt;"&amp;M3)+COUNTIFS($O$2:$O$1092,O3,$P$2:$P$1092,"Below Materiality",$M$2:$M$1092,M3,$A$2:$A$1092,"&lt;"&amp;A3)+1))</f>
        <v/>
      </c>
      <c r="T3" s="22" t="n">
        <v>0.789327922954422</v>
      </c>
      <c r="U3" s="21" t="str">
        <f aca="false">IF(R3="","",O3&amp;"|A|"&amp;R3)</f>
        <v>Population 1|A|1</v>
      </c>
      <c r="V3" s="21" t="str">
        <f aca="false">IF(S3="","",O3&amp;"|R|"&amp;S3)</f>
        <v/>
      </c>
    </row>
    <row r="4" customFormat="false" ht="15" hidden="false" customHeight="false" outlineLevel="0" collapsed="false">
      <c r="A4" s="18" t="n">
        <v>3</v>
      </c>
      <c r="B4" s="18"/>
      <c r="C4" s="18"/>
      <c r="D4" s="18"/>
      <c r="E4" s="18" t="s">
        <v>75</v>
      </c>
      <c r="F4" s="18" t="s">
        <v>76</v>
      </c>
      <c r="G4" s="18" t="s">
        <v>74</v>
      </c>
      <c r="H4" s="18" t="n">
        <v>276</v>
      </c>
      <c r="I4" s="19" t="n">
        <v>90920.3</v>
      </c>
      <c r="J4" s="19" t="n">
        <v>2081.5</v>
      </c>
      <c r="K4" s="19" t="n">
        <v>2081.5</v>
      </c>
      <c r="L4" s="19" t="n">
        <v>90920.3</v>
      </c>
      <c r="M4" s="19" t="n">
        <f aca="false">ABS(L4)</f>
        <v>90920.3</v>
      </c>
      <c r="N4" s="18" t="str">
        <f aca="false">IF(L4=0,"Nil balance",IF(G4="AR file",IF(L4&gt;0,"Accounts Receivable","Customer Advances"),IF(L4&lt;0,"Accounts Payable","Supplier Advances")))</f>
        <v>Accounts Receivable</v>
      </c>
      <c r="O4" s="18" t="str">
        <f aca="false">IF(L4=0,"Excluded",IF(Summary!$C$4="By ledger",IF(G4="AR file","Population 1","Population 2"),IF(L4&gt;0,"Population 1","Population 2")))</f>
        <v>Population 1</v>
      </c>
      <c r="P4" s="18" t="str">
        <f aca="false">IF(O4="Excluded","Excluded – nil closing balance",IF(M4&gt;Summary!$C$5,"Above Materiality","Below Materiality"))</f>
        <v>Above Materiality</v>
      </c>
      <c r="Q4" s="20" t="str">
        <f aca="false">IF(P4="Below Materiality",T4,"")</f>
        <v/>
      </c>
      <c r="R4" s="21" t="n">
        <f aca="false">IF(P4="Above Materiality",COUNTIFS($O$2:$O$1092,O4,$P$2:$P$1092,"Above Materiality",$M$2:$M$1092,"&gt;"&amp;M4)+COUNTIFS($O$2:$O$1092,O4,$P$2:$P$1092,"Above Materiality",$M$2:$M$1092,M4,$A$2:$A$1092,"&lt;"&amp;A4)+1,"")</f>
        <v>2</v>
      </c>
      <c r="S4" s="21" t="str">
        <f aca="false">IF(P4&lt;&gt;"Below Materiality","",IF(Summary!$C$9="Random",COUNTIFS($O$2:$O$1092,O4,$Q$2:$Q$1092,"&gt;"&amp;Q4)+1,COUNTIFS($O$2:$O$1092,O4,$P$2:$P$1092,"Below Materiality",$M$2:$M$1092,"&gt;"&amp;M4)+COUNTIFS($O$2:$O$1092,O4,$P$2:$P$1092,"Below Materiality",$M$2:$M$1092,M4,$A$2:$A$1092,"&lt;"&amp;A4)+1))</f>
        <v/>
      </c>
      <c r="T4" s="22" t="n">
        <v>0.23907870154502</v>
      </c>
      <c r="U4" s="21" t="str">
        <f aca="false">IF(R4="","",O4&amp;"|A|"&amp;R4)</f>
        <v>Population 1|A|2</v>
      </c>
      <c r="V4" s="21" t="str">
        <f aca="false">IF(S4="","",O4&amp;"|R|"&amp;S4)</f>
        <v/>
      </c>
    </row>
    <row r="5" customFormat="false" ht="15" hidden="false" customHeight="false" outlineLevel="0" collapsed="false">
      <c r="A5" s="18" t="n">
        <v>4</v>
      </c>
      <c r="B5" s="18"/>
      <c r="C5" s="18"/>
      <c r="D5" s="18"/>
      <c r="E5" s="18" t="s">
        <v>77</v>
      </c>
      <c r="F5" s="18" t="s">
        <v>78</v>
      </c>
      <c r="G5" s="18" t="s">
        <v>71</v>
      </c>
      <c r="H5" s="18" t="n">
        <v>161</v>
      </c>
      <c r="I5" s="19" t="n">
        <v>0</v>
      </c>
      <c r="J5" s="19" t="n">
        <v>153563</v>
      </c>
      <c r="K5" s="19" t="n">
        <v>225737</v>
      </c>
      <c r="L5" s="19" t="n">
        <v>-72174</v>
      </c>
      <c r="M5" s="19" t="n">
        <f aca="false">ABS(L5)</f>
        <v>72174</v>
      </c>
      <c r="N5" s="18" t="str">
        <f aca="false">IF(L5=0,"Nil balance",IF(G5="AR file",IF(L5&gt;0,"Accounts Receivable","Customer Advances"),IF(L5&lt;0,"Accounts Payable","Supplier Advances")))</f>
        <v>Accounts Payable</v>
      </c>
      <c r="O5" s="18" t="str">
        <f aca="false">IF(L5=0,"Excluded",IF(Summary!$C$4="By ledger",IF(G5="AR file","Population 1","Population 2"),IF(L5&gt;0,"Population 1","Population 2")))</f>
        <v>Population 2</v>
      </c>
      <c r="P5" s="18" t="str">
        <f aca="false">IF(O5="Excluded","Excluded – nil closing balance",IF(M5&gt;Summary!$C$5,"Above Materiality","Below Materiality"))</f>
        <v>Above Materiality</v>
      </c>
      <c r="Q5" s="20" t="str">
        <f aca="false">IF(P5="Below Materiality",T5,"")</f>
        <v/>
      </c>
      <c r="R5" s="21" t="n">
        <f aca="false">IF(P5="Above Materiality",COUNTIFS($O$2:$O$1092,O5,$P$2:$P$1092,"Above Materiality",$M$2:$M$1092,"&gt;"&amp;M5)+COUNTIFS($O$2:$O$1092,O5,$P$2:$P$1092,"Above Materiality",$M$2:$M$1092,M5,$A$2:$A$1092,"&lt;"&amp;A5)+1,"")</f>
        <v>2</v>
      </c>
      <c r="S5" s="21" t="str">
        <f aca="false">IF(P5&lt;&gt;"Below Materiality","",IF(Summary!$C$9="Random",COUNTIFS($O$2:$O$1092,O5,$Q$2:$Q$1092,"&gt;"&amp;Q5)+1,COUNTIFS($O$2:$O$1092,O5,$P$2:$P$1092,"Below Materiality",$M$2:$M$1092,"&gt;"&amp;M5)+COUNTIFS($O$2:$O$1092,O5,$P$2:$P$1092,"Below Materiality",$M$2:$M$1092,M5,$A$2:$A$1092,"&lt;"&amp;A5)+1))</f>
        <v/>
      </c>
      <c r="T5" s="22" t="n">
        <v>0.395110563733519</v>
      </c>
      <c r="U5" s="21" t="str">
        <f aca="false">IF(R5="","",O5&amp;"|A|"&amp;R5)</f>
        <v>Population 2|A|2</v>
      </c>
      <c r="V5" s="21" t="str">
        <f aca="false">IF(S5="","",O5&amp;"|R|"&amp;S5)</f>
        <v/>
      </c>
    </row>
    <row r="6" customFormat="false" ht="15" hidden="false" customHeight="false" outlineLevel="0" collapsed="false">
      <c r="A6" s="18" t="n">
        <v>5</v>
      </c>
      <c r="B6" s="18"/>
      <c r="C6" s="18"/>
      <c r="D6" s="18"/>
      <c r="E6" s="18" t="s">
        <v>79</v>
      </c>
      <c r="F6" s="18" t="s">
        <v>80</v>
      </c>
      <c r="G6" s="18" t="s">
        <v>74</v>
      </c>
      <c r="H6" s="18" t="n">
        <v>16</v>
      </c>
      <c r="I6" s="19" t="n">
        <v>58002.75</v>
      </c>
      <c r="J6" s="19" t="n">
        <v>0</v>
      </c>
      <c r="K6" s="19" t="n">
        <v>0</v>
      </c>
      <c r="L6" s="19" t="n">
        <v>58002.75</v>
      </c>
      <c r="M6" s="19" t="n">
        <f aca="false">ABS(L6)</f>
        <v>58002.75</v>
      </c>
      <c r="N6" s="18" t="str">
        <f aca="false">IF(L6=0,"Nil balance",IF(G6="AR file",IF(L6&gt;0,"Accounts Receivable","Customer Advances"),IF(L6&lt;0,"Accounts Payable","Supplier Advances")))</f>
        <v>Accounts Receivable</v>
      </c>
      <c r="O6" s="18" t="str">
        <f aca="false">IF(L6=0,"Excluded",IF(Summary!$C$4="By ledger",IF(G6="AR file","Population 1","Population 2"),IF(L6&gt;0,"Population 1","Population 2")))</f>
        <v>Population 1</v>
      </c>
      <c r="P6" s="18" t="str">
        <f aca="false">IF(O6="Excluded","Excluded – nil closing balance",IF(M6&gt;Summary!$C$5,"Above Materiality","Below Materiality"))</f>
        <v>Above Materiality</v>
      </c>
      <c r="Q6" s="20" t="str">
        <f aca="false">IF(P6="Below Materiality",T6,"")</f>
        <v/>
      </c>
      <c r="R6" s="21" t="n">
        <f aca="false">IF(P6="Above Materiality",COUNTIFS($O$2:$O$1092,O6,$P$2:$P$1092,"Above Materiality",$M$2:$M$1092,"&gt;"&amp;M6)+COUNTIFS($O$2:$O$1092,O6,$P$2:$P$1092,"Above Materiality",$M$2:$M$1092,M6,$A$2:$A$1092,"&lt;"&amp;A6)+1,"")</f>
        <v>3</v>
      </c>
      <c r="S6" s="21" t="str">
        <f aca="false">IF(P6&lt;&gt;"Below Materiality","",IF(Summary!$C$9="Random",COUNTIFS($O$2:$O$1092,O6,$Q$2:$Q$1092,"&gt;"&amp;Q6)+1,COUNTIFS($O$2:$O$1092,O6,$P$2:$P$1092,"Below Materiality",$M$2:$M$1092,"&gt;"&amp;M6)+COUNTIFS($O$2:$O$1092,O6,$P$2:$P$1092,"Below Materiality",$M$2:$M$1092,M6,$A$2:$A$1092,"&lt;"&amp;A6)+1))</f>
        <v/>
      </c>
      <c r="T6" s="22" t="n">
        <v>0.203189757253248</v>
      </c>
      <c r="U6" s="21" t="str">
        <f aca="false">IF(R6="","",O6&amp;"|A|"&amp;R6)</f>
        <v>Population 1|A|3</v>
      </c>
      <c r="V6" s="21" t="str">
        <f aca="false">IF(S6="","",O6&amp;"|R|"&amp;S6)</f>
        <v/>
      </c>
    </row>
    <row r="7" customFormat="false" ht="15" hidden="false" customHeight="false" outlineLevel="0" collapsed="false">
      <c r="A7" s="18" t="n">
        <v>6</v>
      </c>
      <c r="B7" s="18"/>
      <c r="C7" s="18"/>
      <c r="D7" s="18"/>
      <c r="E7" s="18" t="s">
        <v>81</v>
      </c>
      <c r="F7" s="18" t="s">
        <v>82</v>
      </c>
      <c r="G7" s="18" t="s">
        <v>74</v>
      </c>
      <c r="H7" s="18" t="n">
        <v>857</v>
      </c>
      <c r="I7" s="19" t="n">
        <v>0</v>
      </c>
      <c r="J7" s="19" t="n">
        <v>59641.88</v>
      </c>
      <c r="K7" s="19" t="n">
        <v>2199.38</v>
      </c>
      <c r="L7" s="19" t="n">
        <v>57442.5</v>
      </c>
      <c r="M7" s="19" t="n">
        <f aca="false">ABS(L7)</f>
        <v>57442.5</v>
      </c>
      <c r="N7" s="18" t="str">
        <f aca="false">IF(L7=0,"Nil balance",IF(G7="AR file",IF(L7&gt;0,"Accounts Receivable","Customer Advances"),IF(L7&lt;0,"Accounts Payable","Supplier Advances")))</f>
        <v>Accounts Receivable</v>
      </c>
      <c r="O7" s="18" t="str">
        <f aca="false">IF(L7=0,"Excluded",IF(Summary!$C$4="By ledger",IF(G7="AR file","Population 1","Population 2"),IF(L7&gt;0,"Population 1","Population 2")))</f>
        <v>Population 1</v>
      </c>
      <c r="P7" s="18" t="str">
        <f aca="false">IF(O7="Excluded","Excluded – nil closing balance",IF(M7&gt;Summary!$C$5,"Above Materiality","Below Materiality"))</f>
        <v>Above Materiality</v>
      </c>
      <c r="Q7" s="20" t="str">
        <f aca="false">IF(P7="Below Materiality",T7,"")</f>
        <v/>
      </c>
      <c r="R7" s="21" t="n">
        <f aca="false">IF(P7="Above Materiality",COUNTIFS($O$2:$O$1092,O7,$P$2:$P$1092,"Above Materiality",$M$2:$M$1092,"&gt;"&amp;M7)+COUNTIFS($O$2:$O$1092,O7,$P$2:$P$1092,"Above Materiality",$M$2:$M$1092,M7,$A$2:$A$1092,"&lt;"&amp;A7)+1,"")</f>
        <v>4</v>
      </c>
      <c r="S7" s="21" t="str">
        <f aca="false">IF(P7&lt;&gt;"Below Materiality","",IF(Summary!$C$9="Random",COUNTIFS($O$2:$O$1092,O7,$Q$2:$Q$1092,"&gt;"&amp;Q7)+1,COUNTIFS($O$2:$O$1092,O7,$P$2:$P$1092,"Below Materiality",$M$2:$M$1092,"&gt;"&amp;M7)+COUNTIFS($O$2:$O$1092,O7,$P$2:$P$1092,"Below Materiality",$M$2:$M$1092,M7,$A$2:$A$1092,"&lt;"&amp;A7)+1))</f>
        <v/>
      </c>
      <c r="T7" s="22" t="n">
        <v>0.735735825331518</v>
      </c>
      <c r="U7" s="21" t="str">
        <f aca="false">IF(R7="","",O7&amp;"|A|"&amp;R7)</f>
        <v>Population 1|A|4</v>
      </c>
      <c r="V7" s="21" t="str">
        <f aca="false">IF(S7="","",O7&amp;"|R|"&amp;S7)</f>
        <v/>
      </c>
    </row>
    <row r="8" customFormat="false" ht="15" hidden="false" customHeight="false" outlineLevel="0" collapsed="false">
      <c r="A8" s="18" t="n">
        <v>7</v>
      </c>
      <c r="B8" s="18"/>
      <c r="C8" s="18"/>
      <c r="D8" s="18"/>
      <c r="E8" s="18" t="s">
        <v>83</v>
      </c>
      <c r="F8" s="18" t="s">
        <v>84</v>
      </c>
      <c r="G8" s="18" t="s">
        <v>74</v>
      </c>
      <c r="H8" s="18" t="n">
        <v>478</v>
      </c>
      <c r="I8" s="19" t="n">
        <v>0</v>
      </c>
      <c r="J8" s="19" t="n">
        <v>56892.8</v>
      </c>
      <c r="K8" s="19" t="n">
        <v>772.8</v>
      </c>
      <c r="L8" s="19" t="n">
        <v>56120</v>
      </c>
      <c r="M8" s="19" t="n">
        <f aca="false">ABS(L8)</f>
        <v>56120</v>
      </c>
      <c r="N8" s="18" t="str">
        <f aca="false">IF(L8=0,"Nil balance",IF(G8="AR file",IF(L8&gt;0,"Accounts Receivable","Customer Advances"),IF(L8&lt;0,"Accounts Payable","Supplier Advances")))</f>
        <v>Accounts Receivable</v>
      </c>
      <c r="O8" s="18" t="str">
        <f aca="false">IF(L8=0,"Excluded",IF(Summary!$C$4="By ledger",IF(G8="AR file","Population 1","Population 2"),IF(L8&gt;0,"Population 1","Population 2")))</f>
        <v>Population 1</v>
      </c>
      <c r="P8" s="18" t="str">
        <f aca="false">IF(O8="Excluded","Excluded – nil closing balance",IF(M8&gt;Summary!$C$5,"Above Materiality","Below Materiality"))</f>
        <v>Above Materiality</v>
      </c>
      <c r="Q8" s="20" t="str">
        <f aca="false">IF(P8="Below Materiality",T8,"")</f>
        <v/>
      </c>
      <c r="R8" s="21" t="n">
        <f aca="false">IF(P8="Above Materiality",COUNTIFS($O$2:$O$1092,O8,$P$2:$P$1092,"Above Materiality",$M$2:$M$1092,"&gt;"&amp;M8)+COUNTIFS($O$2:$O$1092,O8,$P$2:$P$1092,"Above Materiality",$M$2:$M$1092,M8,$A$2:$A$1092,"&lt;"&amp;A8)+1,"")</f>
        <v>5</v>
      </c>
      <c r="S8" s="21" t="str">
        <f aca="false">IF(P8&lt;&gt;"Below Materiality","",IF(Summary!$C$9="Random",COUNTIFS($O$2:$O$1092,O8,$Q$2:$Q$1092,"&gt;"&amp;Q8)+1,COUNTIFS($O$2:$O$1092,O8,$P$2:$P$1092,"Below Materiality",$M$2:$M$1092,"&gt;"&amp;M8)+COUNTIFS($O$2:$O$1092,O8,$P$2:$P$1092,"Below Materiality",$M$2:$M$1092,M8,$A$2:$A$1092,"&lt;"&amp;A8)+1))</f>
        <v/>
      </c>
      <c r="T8" s="22" t="n">
        <v>0.430794147125114</v>
      </c>
      <c r="U8" s="21" t="str">
        <f aca="false">IF(R8="","",O8&amp;"|A|"&amp;R8)</f>
        <v>Population 1|A|5</v>
      </c>
      <c r="V8" s="21" t="str">
        <f aca="false">IF(S8="","",O8&amp;"|R|"&amp;S8)</f>
        <v/>
      </c>
    </row>
    <row r="9" customFormat="false" ht="15" hidden="false" customHeight="false" outlineLevel="0" collapsed="false">
      <c r="A9" s="18" t="n">
        <v>8</v>
      </c>
      <c r="B9" s="18"/>
      <c r="C9" s="18"/>
      <c r="D9" s="18"/>
      <c r="E9" s="18" t="s">
        <v>85</v>
      </c>
      <c r="F9" s="18" t="s">
        <v>86</v>
      </c>
      <c r="G9" s="18" t="s">
        <v>74</v>
      </c>
      <c r="H9" s="18" t="n">
        <v>216</v>
      </c>
      <c r="I9" s="19" t="n">
        <v>28188.06</v>
      </c>
      <c r="J9" s="19" t="n">
        <v>27128.5</v>
      </c>
      <c r="K9" s="19" t="n">
        <v>4150</v>
      </c>
      <c r="L9" s="19" t="n">
        <v>51166.56</v>
      </c>
      <c r="M9" s="19" t="n">
        <f aca="false">ABS(L9)</f>
        <v>51166.56</v>
      </c>
      <c r="N9" s="18" t="str">
        <f aca="false">IF(L9=0,"Nil balance",IF(G9="AR file",IF(L9&gt;0,"Accounts Receivable","Customer Advances"),IF(L9&lt;0,"Accounts Payable","Supplier Advances")))</f>
        <v>Accounts Receivable</v>
      </c>
      <c r="O9" s="18" t="str">
        <f aca="false">IF(L9=0,"Excluded",IF(Summary!$C$4="By ledger",IF(G9="AR file","Population 1","Population 2"),IF(L9&gt;0,"Population 1","Population 2")))</f>
        <v>Population 1</v>
      </c>
      <c r="P9" s="18" t="str">
        <f aca="false">IF(O9="Excluded","Excluded – nil closing balance",IF(M9&gt;Summary!$C$5,"Above Materiality","Below Materiality"))</f>
        <v>Above Materiality</v>
      </c>
      <c r="Q9" s="20" t="str">
        <f aca="false">IF(P9="Below Materiality",T9,"")</f>
        <v/>
      </c>
      <c r="R9" s="21" t="n">
        <f aca="false">IF(P9="Above Materiality",COUNTIFS($O$2:$O$1092,O9,$P$2:$P$1092,"Above Materiality",$M$2:$M$1092,"&gt;"&amp;M9)+COUNTIFS($O$2:$O$1092,O9,$P$2:$P$1092,"Above Materiality",$M$2:$M$1092,M9,$A$2:$A$1092,"&lt;"&amp;A9)+1,"")</f>
        <v>6</v>
      </c>
      <c r="S9" s="21" t="str">
        <f aca="false">IF(P9&lt;&gt;"Below Materiality","",IF(Summary!$C$9="Random",COUNTIFS($O$2:$O$1092,O9,$Q$2:$Q$1092,"&gt;"&amp;Q9)+1,COUNTIFS($O$2:$O$1092,O9,$P$2:$P$1092,"Below Materiality",$M$2:$M$1092,"&gt;"&amp;M9)+COUNTIFS($O$2:$O$1092,O9,$P$2:$P$1092,"Below Materiality",$M$2:$M$1092,M9,$A$2:$A$1092,"&lt;"&amp;A9)+1))</f>
        <v/>
      </c>
      <c r="T9" s="22" t="n">
        <v>0.953724324514416</v>
      </c>
      <c r="U9" s="21" t="str">
        <f aca="false">IF(R9="","",O9&amp;"|A|"&amp;R9)</f>
        <v>Population 1|A|6</v>
      </c>
      <c r="V9" s="21" t="str">
        <f aca="false">IF(S9="","",O9&amp;"|R|"&amp;S9)</f>
        <v/>
      </c>
    </row>
    <row r="10" customFormat="false" ht="15" hidden="false" customHeight="false" outlineLevel="0" collapsed="false">
      <c r="A10" s="18" t="n">
        <v>9</v>
      </c>
      <c r="B10" s="18"/>
      <c r="C10" s="18"/>
      <c r="D10" s="18"/>
      <c r="E10" s="18" t="s">
        <v>87</v>
      </c>
      <c r="F10" s="18" t="s">
        <v>88</v>
      </c>
      <c r="G10" s="18" t="s">
        <v>74</v>
      </c>
      <c r="H10" s="18" t="n">
        <v>51</v>
      </c>
      <c r="I10" s="19" t="n">
        <v>0</v>
      </c>
      <c r="J10" s="19" t="n">
        <v>22333</v>
      </c>
      <c r="K10" s="19" t="n">
        <v>69036</v>
      </c>
      <c r="L10" s="19" t="n">
        <v>-46703</v>
      </c>
      <c r="M10" s="19" t="n">
        <f aca="false">ABS(L10)</f>
        <v>46703</v>
      </c>
      <c r="N10" s="18" t="str">
        <f aca="false">IF(L10=0,"Nil balance",IF(G10="AR file",IF(L10&gt;0,"Accounts Receivable","Customer Advances"),IF(L10&lt;0,"Accounts Payable","Supplier Advances")))</f>
        <v>Customer Advances</v>
      </c>
      <c r="O10" s="18" t="str">
        <f aca="false">IF(L10=0,"Excluded",IF(Summary!$C$4="By ledger",IF(G10="AR file","Population 1","Population 2"),IF(L10&gt;0,"Population 1","Population 2")))</f>
        <v>Population 1</v>
      </c>
      <c r="P10" s="18" t="str">
        <f aca="false">IF(O10="Excluded","Excluded – nil closing balance",IF(M10&gt;Summary!$C$5,"Above Materiality","Below Materiality"))</f>
        <v>Above Materiality</v>
      </c>
      <c r="Q10" s="20" t="str">
        <f aca="false">IF(P10="Below Materiality",T10,"")</f>
        <v/>
      </c>
      <c r="R10" s="21" t="n">
        <f aca="false">IF(P10="Above Materiality",COUNTIFS($O$2:$O$1092,O10,$P$2:$P$1092,"Above Materiality",$M$2:$M$1092,"&gt;"&amp;M10)+COUNTIFS($O$2:$O$1092,O10,$P$2:$P$1092,"Above Materiality",$M$2:$M$1092,M10,$A$2:$A$1092,"&lt;"&amp;A10)+1,"")</f>
        <v>7</v>
      </c>
      <c r="S10" s="21" t="str">
        <f aca="false">IF(P10&lt;&gt;"Below Materiality","",IF(Summary!$C$9="Random",COUNTIFS($O$2:$O$1092,O10,$Q$2:$Q$1092,"&gt;"&amp;Q10)+1,COUNTIFS($O$2:$O$1092,O10,$P$2:$P$1092,"Below Materiality",$M$2:$M$1092,"&gt;"&amp;M10)+COUNTIFS($O$2:$O$1092,O10,$P$2:$P$1092,"Below Materiality",$M$2:$M$1092,M10,$A$2:$A$1092,"&lt;"&amp;A10)+1))</f>
        <v/>
      </c>
      <c r="T10" s="22" t="n">
        <v>0.208311843499545</v>
      </c>
      <c r="U10" s="21" t="str">
        <f aca="false">IF(R10="","",O10&amp;"|A|"&amp;R10)</f>
        <v>Population 1|A|7</v>
      </c>
      <c r="V10" s="21" t="str">
        <f aca="false">IF(S10="","",O10&amp;"|R|"&amp;S10)</f>
        <v/>
      </c>
    </row>
    <row r="11" customFormat="false" ht="15" hidden="false" customHeight="false" outlineLevel="0" collapsed="false">
      <c r="A11" s="18" t="n">
        <v>10</v>
      </c>
      <c r="B11" s="18"/>
      <c r="C11" s="18"/>
      <c r="D11" s="18"/>
      <c r="E11" s="18" t="s">
        <v>89</v>
      </c>
      <c r="F11" s="18" t="s">
        <v>90</v>
      </c>
      <c r="G11" s="18" t="s">
        <v>74</v>
      </c>
      <c r="H11" s="18" t="n">
        <v>199</v>
      </c>
      <c r="I11" s="19" t="n">
        <v>0</v>
      </c>
      <c r="J11" s="19" t="n">
        <v>80425.25</v>
      </c>
      <c r="K11" s="19" t="n">
        <v>39600.25</v>
      </c>
      <c r="L11" s="19" t="n">
        <v>40825</v>
      </c>
      <c r="M11" s="19" t="n">
        <f aca="false">ABS(L11)</f>
        <v>40825</v>
      </c>
      <c r="N11" s="18" t="str">
        <f aca="false">IF(L11=0,"Nil balance",IF(G11="AR file",IF(L11&gt;0,"Accounts Receivable","Customer Advances"),IF(L11&lt;0,"Accounts Payable","Supplier Advances")))</f>
        <v>Accounts Receivable</v>
      </c>
      <c r="O11" s="18" t="str">
        <f aca="false">IF(L11=0,"Excluded",IF(Summary!$C$4="By ledger",IF(G11="AR file","Population 1","Population 2"),IF(L11&gt;0,"Population 1","Population 2")))</f>
        <v>Population 1</v>
      </c>
      <c r="P11" s="18" t="str">
        <f aca="false">IF(O11="Excluded","Excluded – nil closing balance",IF(M11&gt;Summary!$C$5,"Above Materiality","Below Materiality"))</f>
        <v>Above Materiality</v>
      </c>
      <c r="Q11" s="20" t="str">
        <f aca="false">IF(P11="Below Materiality",T11,"")</f>
        <v/>
      </c>
      <c r="R11" s="21" t="n">
        <f aca="false">IF(P11="Above Materiality",COUNTIFS($O$2:$O$1092,O11,$P$2:$P$1092,"Above Materiality",$M$2:$M$1092,"&gt;"&amp;M11)+COUNTIFS($O$2:$O$1092,O11,$P$2:$P$1092,"Above Materiality",$M$2:$M$1092,M11,$A$2:$A$1092,"&lt;"&amp;A11)+1,"")</f>
        <v>8</v>
      </c>
      <c r="S11" s="21" t="str">
        <f aca="false">IF(P11&lt;&gt;"Below Materiality","",IF(Summary!$C$9="Random",COUNTIFS($O$2:$O$1092,O11,$Q$2:$Q$1092,"&gt;"&amp;Q11)+1,COUNTIFS($O$2:$O$1092,O11,$P$2:$P$1092,"Below Materiality",$M$2:$M$1092,"&gt;"&amp;M11)+COUNTIFS($O$2:$O$1092,O11,$P$2:$P$1092,"Below Materiality",$M$2:$M$1092,M11,$A$2:$A$1092,"&lt;"&amp;A11)+1))</f>
        <v/>
      </c>
      <c r="T11" s="22" t="n">
        <v>0.829859923342239</v>
      </c>
      <c r="U11" s="21" t="str">
        <f aca="false">IF(R11="","",O11&amp;"|A|"&amp;R11)</f>
        <v>Population 1|A|8</v>
      </c>
      <c r="V11" s="21" t="str">
        <f aca="false">IF(S11="","",O11&amp;"|R|"&amp;S11)</f>
        <v/>
      </c>
    </row>
    <row r="12" customFormat="false" ht="15" hidden="false" customHeight="false" outlineLevel="0" collapsed="false">
      <c r="A12" s="18" t="n">
        <v>11</v>
      </c>
      <c r="B12" s="18"/>
      <c r="C12" s="18"/>
      <c r="D12" s="18"/>
      <c r="E12" s="18" t="s">
        <v>91</v>
      </c>
      <c r="F12" s="18" t="s">
        <v>92</v>
      </c>
      <c r="G12" s="18" t="s">
        <v>74</v>
      </c>
      <c r="H12" s="18" t="n">
        <v>156</v>
      </c>
      <c r="I12" s="19" t="n">
        <v>95070.83</v>
      </c>
      <c r="J12" s="19" t="n">
        <v>2541.5</v>
      </c>
      <c r="K12" s="19" t="n">
        <v>56794</v>
      </c>
      <c r="L12" s="19" t="n">
        <v>40818.33</v>
      </c>
      <c r="M12" s="19" t="n">
        <f aca="false">ABS(L12)</f>
        <v>40818.33</v>
      </c>
      <c r="N12" s="18" t="str">
        <f aca="false">IF(L12=0,"Nil balance",IF(G12="AR file",IF(L12&gt;0,"Accounts Receivable","Customer Advances"),IF(L12&lt;0,"Accounts Payable","Supplier Advances")))</f>
        <v>Accounts Receivable</v>
      </c>
      <c r="O12" s="18" t="str">
        <f aca="false">IF(L12=0,"Excluded",IF(Summary!$C$4="By ledger",IF(G12="AR file","Population 1","Population 2"),IF(L12&gt;0,"Population 1","Population 2")))</f>
        <v>Population 1</v>
      </c>
      <c r="P12" s="18" t="str">
        <f aca="false">IF(O12="Excluded","Excluded – nil closing balance",IF(M12&gt;Summary!$C$5,"Above Materiality","Below Materiality"))</f>
        <v>Above Materiality</v>
      </c>
      <c r="Q12" s="20" t="str">
        <f aca="false">IF(P12="Below Materiality",T12,"")</f>
        <v/>
      </c>
      <c r="R12" s="21" t="n">
        <f aca="false">IF(P12="Above Materiality",COUNTIFS($O$2:$O$1092,O12,$P$2:$P$1092,"Above Materiality",$M$2:$M$1092,"&gt;"&amp;M12)+COUNTIFS($O$2:$O$1092,O12,$P$2:$P$1092,"Above Materiality",$M$2:$M$1092,M12,$A$2:$A$1092,"&lt;"&amp;A12)+1,"")</f>
        <v>9</v>
      </c>
      <c r="S12" s="21" t="str">
        <f aca="false">IF(P12&lt;&gt;"Below Materiality","",IF(Summary!$C$9="Random",COUNTIFS($O$2:$O$1092,O12,$Q$2:$Q$1092,"&gt;"&amp;Q12)+1,COUNTIFS($O$2:$O$1092,O12,$P$2:$P$1092,"Below Materiality",$M$2:$M$1092,"&gt;"&amp;M12)+COUNTIFS($O$2:$O$1092,O12,$P$2:$P$1092,"Below Materiality",$M$2:$M$1092,M12,$A$2:$A$1092,"&lt;"&amp;A12)+1))</f>
        <v/>
      </c>
      <c r="T12" s="22" t="n">
        <v>0.998697914475175</v>
      </c>
      <c r="U12" s="21" t="str">
        <f aca="false">IF(R12="","",O12&amp;"|A|"&amp;R12)</f>
        <v>Population 1|A|9</v>
      </c>
      <c r="V12" s="21" t="str">
        <f aca="false">IF(S12="","",O12&amp;"|R|"&amp;S12)</f>
        <v/>
      </c>
    </row>
    <row r="13" customFormat="false" ht="15" hidden="false" customHeight="false" outlineLevel="0" collapsed="false">
      <c r="A13" s="18" t="n">
        <v>12</v>
      </c>
      <c r="B13" s="18"/>
      <c r="C13" s="18"/>
      <c r="D13" s="18"/>
      <c r="E13" s="18" t="s">
        <v>93</v>
      </c>
      <c r="F13" s="18" t="s">
        <v>94</v>
      </c>
      <c r="G13" s="18" t="s">
        <v>74</v>
      </c>
      <c r="H13" s="18" t="n">
        <v>301</v>
      </c>
      <c r="I13" s="19" t="n">
        <v>0</v>
      </c>
      <c r="J13" s="19" t="n">
        <v>1060</v>
      </c>
      <c r="K13" s="19" t="n">
        <v>41425</v>
      </c>
      <c r="L13" s="19" t="n">
        <v>-40365</v>
      </c>
      <c r="M13" s="19" t="n">
        <f aca="false">ABS(L13)</f>
        <v>40365</v>
      </c>
      <c r="N13" s="18" t="str">
        <f aca="false">IF(L13=0,"Nil balance",IF(G13="AR file",IF(L13&gt;0,"Accounts Receivable","Customer Advances"),IF(L13&lt;0,"Accounts Payable","Supplier Advances")))</f>
        <v>Customer Advances</v>
      </c>
      <c r="O13" s="18" t="str">
        <f aca="false">IF(L13=0,"Excluded",IF(Summary!$C$4="By ledger",IF(G13="AR file","Population 1","Population 2"),IF(L13&gt;0,"Population 1","Population 2")))</f>
        <v>Population 1</v>
      </c>
      <c r="P13" s="18" t="str">
        <f aca="false">IF(O13="Excluded","Excluded – nil closing balance",IF(M13&gt;Summary!$C$5,"Above Materiality","Below Materiality"))</f>
        <v>Above Materiality</v>
      </c>
      <c r="Q13" s="20" t="str">
        <f aca="false">IF(P13="Below Materiality",T13,"")</f>
        <v/>
      </c>
      <c r="R13" s="21" t="n">
        <f aca="false">IF(P13="Above Materiality",COUNTIFS($O$2:$O$1092,O13,$P$2:$P$1092,"Above Materiality",$M$2:$M$1092,"&gt;"&amp;M13)+COUNTIFS($O$2:$O$1092,O13,$P$2:$P$1092,"Above Materiality",$M$2:$M$1092,M13,$A$2:$A$1092,"&lt;"&amp;A13)+1,"")</f>
        <v>10</v>
      </c>
      <c r="S13" s="21" t="str">
        <f aca="false">IF(P13&lt;&gt;"Below Materiality","",IF(Summary!$C$9="Random",COUNTIFS($O$2:$O$1092,O13,$Q$2:$Q$1092,"&gt;"&amp;Q13)+1,COUNTIFS($O$2:$O$1092,O13,$P$2:$P$1092,"Below Materiality",$M$2:$M$1092,"&gt;"&amp;M13)+COUNTIFS($O$2:$O$1092,O13,$P$2:$P$1092,"Below Materiality",$M$2:$M$1092,M13,$A$2:$A$1092,"&lt;"&amp;A13)+1))</f>
        <v/>
      </c>
      <c r="T13" s="22" t="n">
        <v>0.0996509154194937</v>
      </c>
      <c r="U13" s="21" t="str">
        <f aca="false">IF(R13="","",O13&amp;"|A|"&amp;R13)</f>
        <v>Population 1|A|10</v>
      </c>
      <c r="V13" s="21" t="str">
        <f aca="false">IF(S13="","",O13&amp;"|R|"&amp;S13)</f>
        <v/>
      </c>
    </row>
    <row r="14" customFormat="false" ht="15" hidden="false" customHeight="false" outlineLevel="0" collapsed="false">
      <c r="A14" s="18" t="n">
        <v>13</v>
      </c>
      <c r="B14" s="18"/>
      <c r="C14" s="18"/>
      <c r="D14" s="18"/>
      <c r="E14" s="18" t="s">
        <v>95</v>
      </c>
      <c r="F14" s="18" t="s">
        <v>96</v>
      </c>
      <c r="G14" s="18" t="s">
        <v>74</v>
      </c>
      <c r="H14" s="18" t="n">
        <v>94</v>
      </c>
      <c r="I14" s="19" t="n">
        <v>37988.75</v>
      </c>
      <c r="J14" s="19" t="n">
        <v>0</v>
      </c>
      <c r="K14" s="19" t="n">
        <v>0</v>
      </c>
      <c r="L14" s="19" t="n">
        <v>37988.75</v>
      </c>
      <c r="M14" s="19" t="n">
        <f aca="false">ABS(L14)</f>
        <v>37988.75</v>
      </c>
      <c r="N14" s="18" t="str">
        <f aca="false">IF(L14=0,"Nil balance",IF(G14="AR file",IF(L14&gt;0,"Accounts Receivable","Customer Advances"),IF(L14&lt;0,"Accounts Payable","Supplier Advances")))</f>
        <v>Accounts Receivable</v>
      </c>
      <c r="O14" s="18" t="str">
        <f aca="false">IF(L14=0,"Excluded",IF(Summary!$C$4="By ledger",IF(G14="AR file","Population 1","Population 2"),IF(L14&gt;0,"Population 1","Population 2")))</f>
        <v>Population 1</v>
      </c>
      <c r="P14" s="18" t="str">
        <f aca="false">IF(O14="Excluded","Excluded – nil closing balance",IF(M14&gt;Summary!$C$5,"Above Materiality","Below Materiality"))</f>
        <v>Above Materiality</v>
      </c>
      <c r="Q14" s="20" t="str">
        <f aca="false">IF(P14="Below Materiality",T14,"")</f>
        <v/>
      </c>
      <c r="R14" s="21" t="n">
        <f aca="false">IF(P14="Above Materiality",COUNTIFS($O$2:$O$1092,O14,$P$2:$P$1092,"Above Materiality",$M$2:$M$1092,"&gt;"&amp;M14)+COUNTIFS($O$2:$O$1092,O14,$P$2:$P$1092,"Above Materiality",$M$2:$M$1092,M14,$A$2:$A$1092,"&lt;"&amp;A14)+1,"")</f>
        <v>11</v>
      </c>
      <c r="S14" s="21" t="str">
        <f aca="false">IF(P14&lt;&gt;"Below Materiality","",IF(Summary!$C$9="Random",COUNTIFS($O$2:$O$1092,O14,$Q$2:$Q$1092,"&gt;"&amp;Q14)+1,COUNTIFS($O$2:$O$1092,O14,$P$2:$P$1092,"Below Materiality",$M$2:$M$1092,"&gt;"&amp;M14)+COUNTIFS($O$2:$O$1092,O14,$P$2:$P$1092,"Below Materiality",$M$2:$M$1092,M14,$A$2:$A$1092,"&lt;"&amp;A14)+1))</f>
        <v/>
      </c>
      <c r="T14" s="22" t="n">
        <v>0.0836384160454586</v>
      </c>
      <c r="U14" s="21" t="str">
        <f aca="false">IF(R14="","",O14&amp;"|A|"&amp;R14)</f>
        <v>Population 1|A|11</v>
      </c>
      <c r="V14" s="21" t="str">
        <f aca="false">IF(S14="","",O14&amp;"|R|"&amp;S14)</f>
        <v/>
      </c>
    </row>
    <row r="15" customFormat="false" ht="15" hidden="false" customHeight="false" outlineLevel="0" collapsed="false">
      <c r="A15" s="18" t="n">
        <v>14</v>
      </c>
      <c r="B15" s="18"/>
      <c r="C15" s="18"/>
      <c r="D15" s="18"/>
      <c r="E15" s="18" t="s">
        <v>97</v>
      </c>
      <c r="F15" s="18" t="s">
        <v>98</v>
      </c>
      <c r="G15" s="18" t="s">
        <v>74</v>
      </c>
      <c r="H15" s="18" t="n">
        <v>80</v>
      </c>
      <c r="I15" s="19" t="n">
        <v>28606.34</v>
      </c>
      <c r="J15" s="19" t="n">
        <v>148120.64</v>
      </c>
      <c r="K15" s="19" t="n">
        <v>140000</v>
      </c>
      <c r="L15" s="19" t="n">
        <v>36726.98</v>
      </c>
      <c r="M15" s="19" t="n">
        <f aca="false">ABS(L15)</f>
        <v>36726.98</v>
      </c>
      <c r="N15" s="18" t="str">
        <f aca="false">IF(L15=0,"Nil balance",IF(G15="AR file",IF(L15&gt;0,"Accounts Receivable","Customer Advances"),IF(L15&lt;0,"Accounts Payable","Supplier Advances")))</f>
        <v>Accounts Receivable</v>
      </c>
      <c r="O15" s="18" t="str">
        <f aca="false">IF(L15=0,"Excluded",IF(Summary!$C$4="By ledger",IF(G15="AR file","Population 1","Population 2"),IF(L15&gt;0,"Population 1","Population 2")))</f>
        <v>Population 1</v>
      </c>
      <c r="P15" s="18" t="str">
        <f aca="false">IF(O15="Excluded","Excluded – nil closing balance",IF(M15&gt;Summary!$C$5,"Above Materiality","Below Materiality"))</f>
        <v>Above Materiality</v>
      </c>
      <c r="Q15" s="20" t="str">
        <f aca="false">IF(P15="Below Materiality",T15,"")</f>
        <v/>
      </c>
      <c r="R15" s="21" t="n">
        <f aca="false">IF(P15="Above Materiality",COUNTIFS($O$2:$O$1092,O15,$P$2:$P$1092,"Above Materiality",$M$2:$M$1092,"&gt;"&amp;M15)+COUNTIFS($O$2:$O$1092,O15,$P$2:$P$1092,"Above Materiality",$M$2:$M$1092,M15,$A$2:$A$1092,"&lt;"&amp;A15)+1,"")</f>
        <v>12</v>
      </c>
      <c r="S15" s="21" t="str">
        <f aca="false">IF(P15&lt;&gt;"Below Materiality","",IF(Summary!$C$9="Random",COUNTIFS($O$2:$O$1092,O15,$Q$2:$Q$1092,"&gt;"&amp;Q15)+1,COUNTIFS($O$2:$O$1092,O15,$P$2:$P$1092,"Below Materiality",$M$2:$M$1092,"&gt;"&amp;M15)+COUNTIFS($O$2:$O$1092,O15,$P$2:$P$1092,"Below Materiality",$M$2:$M$1092,M15,$A$2:$A$1092,"&lt;"&amp;A15)+1))</f>
        <v/>
      </c>
      <c r="T15" s="22" t="n">
        <v>0.212943518495134</v>
      </c>
      <c r="U15" s="21" t="str">
        <f aca="false">IF(R15="","",O15&amp;"|A|"&amp;R15)</f>
        <v>Population 1|A|12</v>
      </c>
      <c r="V15" s="21" t="str">
        <f aca="false">IF(S15="","",O15&amp;"|R|"&amp;S15)</f>
        <v/>
      </c>
    </row>
    <row r="16" customFormat="false" ht="15" hidden="false" customHeight="false" outlineLevel="0" collapsed="false">
      <c r="A16" s="18" t="n">
        <v>15</v>
      </c>
      <c r="B16" s="18"/>
      <c r="C16" s="18"/>
      <c r="D16" s="18"/>
      <c r="E16" s="18" t="s">
        <v>99</v>
      </c>
      <c r="F16" s="18" t="s">
        <v>100</v>
      </c>
      <c r="G16" s="18" t="s">
        <v>74</v>
      </c>
      <c r="H16" s="18" t="n">
        <v>551</v>
      </c>
      <c r="I16" s="19" t="n">
        <v>0</v>
      </c>
      <c r="J16" s="19" t="n">
        <v>98350.88</v>
      </c>
      <c r="K16" s="19" t="n">
        <v>63155</v>
      </c>
      <c r="L16" s="19" t="n">
        <v>35195.88</v>
      </c>
      <c r="M16" s="19" t="n">
        <f aca="false">ABS(L16)</f>
        <v>35195.88</v>
      </c>
      <c r="N16" s="18" t="str">
        <f aca="false">IF(L16=0,"Nil balance",IF(G16="AR file",IF(L16&gt;0,"Accounts Receivable","Customer Advances"),IF(L16&lt;0,"Accounts Payable","Supplier Advances")))</f>
        <v>Accounts Receivable</v>
      </c>
      <c r="O16" s="18" t="str">
        <f aca="false">IF(L16=0,"Excluded",IF(Summary!$C$4="By ledger",IF(G16="AR file","Population 1","Population 2"),IF(L16&gt;0,"Population 1","Population 2")))</f>
        <v>Population 1</v>
      </c>
      <c r="P16" s="18" t="str">
        <f aca="false">IF(O16="Excluded","Excluded – nil closing balance",IF(M16&gt;Summary!$C$5,"Above Materiality","Below Materiality"))</f>
        <v>Above Materiality</v>
      </c>
      <c r="Q16" s="20" t="str">
        <f aca="false">IF(P16="Below Materiality",T16,"")</f>
        <v/>
      </c>
      <c r="R16" s="21" t="n">
        <f aca="false">IF(P16="Above Materiality",COUNTIFS($O$2:$O$1092,O16,$P$2:$P$1092,"Above Materiality",$M$2:$M$1092,"&gt;"&amp;M16)+COUNTIFS($O$2:$O$1092,O16,$P$2:$P$1092,"Above Materiality",$M$2:$M$1092,M16,$A$2:$A$1092,"&lt;"&amp;A16)+1,"")</f>
        <v>13</v>
      </c>
      <c r="S16" s="21" t="str">
        <f aca="false">IF(P16&lt;&gt;"Below Materiality","",IF(Summary!$C$9="Random",COUNTIFS($O$2:$O$1092,O16,$Q$2:$Q$1092,"&gt;"&amp;Q16)+1,COUNTIFS($O$2:$O$1092,O16,$P$2:$P$1092,"Below Materiality",$M$2:$M$1092,"&gt;"&amp;M16)+COUNTIFS($O$2:$O$1092,O16,$P$2:$P$1092,"Below Materiality",$M$2:$M$1092,M16,$A$2:$A$1092,"&lt;"&amp;A16)+1))</f>
        <v/>
      </c>
      <c r="T16" s="22" t="n">
        <v>0.109277444343784</v>
      </c>
      <c r="U16" s="21" t="str">
        <f aca="false">IF(R16="","",O16&amp;"|A|"&amp;R16)</f>
        <v>Population 1|A|13</v>
      </c>
      <c r="V16" s="21" t="str">
        <f aca="false">IF(S16="","",O16&amp;"|R|"&amp;S16)</f>
        <v/>
      </c>
    </row>
    <row r="17" customFormat="false" ht="15" hidden="false" customHeight="false" outlineLevel="0" collapsed="false">
      <c r="A17" s="18" t="n">
        <v>16</v>
      </c>
      <c r="B17" s="18"/>
      <c r="C17" s="18"/>
      <c r="D17" s="18"/>
      <c r="E17" s="18" t="s">
        <v>101</v>
      </c>
      <c r="F17" s="18" t="s">
        <v>102</v>
      </c>
      <c r="G17" s="18" t="s">
        <v>71</v>
      </c>
      <c r="H17" s="18" t="n">
        <v>43</v>
      </c>
      <c r="I17" s="19" t="n">
        <v>0</v>
      </c>
      <c r="J17" s="19" t="n">
        <v>165044.55</v>
      </c>
      <c r="K17" s="19" t="n">
        <v>198831.55</v>
      </c>
      <c r="L17" s="19" t="n">
        <v>-33787</v>
      </c>
      <c r="M17" s="19" t="n">
        <f aca="false">ABS(L17)</f>
        <v>33787</v>
      </c>
      <c r="N17" s="18" t="str">
        <f aca="false">IF(L17=0,"Nil balance",IF(G17="AR file",IF(L17&gt;0,"Accounts Receivable","Customer Advances"),IF(L17&lt;0,"Accounts Payable","Supplier Advances")))</f>
        <v>Accounts Payable</v>
      </c>
      <c r="O17" s="18" t="str">
        <f aca="false">IF(L17=0,"Excluded",IF(Summary!$C$4="By ledger",IF(G17="AR file","Population 1","Population 2"),IF(L17&gt;0,"Population 1","Population 2")))</f>
        <v>Population 2</v>
      </c>
      <c r="P17" s="18" t="str">
        <f aca="false">IF(O17="Excluded","Excluded – nil closing balance",IF(M17&gt;Summary!$C$5,"Above Materiality","Below Materiality"))</f>
        <v>Above Materiality</v>
      </c>
      <c r="Q17" s="20" t="str">
        <f aca="false">IF(P17="Below Materiality",T17,"")</f>
        <v/>
      </c>
      <c r="R17" s="21" t="n">
        <f aca="false">IF(P17="Above Materiality",COUNTIFS($O$2:$O$1092,O17,$P$2:$P$1092,"Above Materiality",$M$2:$M$1092,"&gt;"&amp;M17)+COUNTIFS($O$2:$O$1092,O17,$P$2:$P$1092,"Above Materiality",$M$2:$M$1092,M17,$A$2:$A$1092,"&lt;"&amp;A17)+1,"")</f>
        <v>3</v>
      </c>
      <c r="S17" s="21" t="str">
        <f aca="false">IF(P17&lt;&gt;"Below Materiality","",IF(Summary!$C$9="Random",COUNTIFS($O$2:$O$1092,O17,$Q$2:$Q$1092,"&gt;"&amp;Q17)+1,COUNTIFS($O$2:$O$1092,O17,$P$2:$P$1092,"Below Materiality",$M$2:$M$1092,"&gt;"&amp;M17)+COUNTIFS($O$2:$O$1092,O17,$P$2:$P$1092,"Below Materiality",$M$2:$M$1092,M17,$A$2:$A$1092,"&lt;"&amp;A17)+1))</f>
        <v/>
      </c>
      <c r="T17" s="22" t="n">
        <v>0.73942914071519</v>
      </c>
      <c r="U17" s="21" t="str">
        <f aca="false">IF(R17="","",O17&amp;"|A|"&amp;R17)</f>
        <v>Population 2|A|3</v>
      </c>
      <c r="V17" s="21" t="str">
        <f aca="false">IF(S17="","",O17&amp;"|R|"&amp;S17)</f>
        <v/>
      </c>
    </row>
    <row r="18" customFormat="false" ht="15" hidden="false" customHeight="false" outlineLevel="0" collapsed="false">
      <c r="A18" s="18" t="n">
        <v>17</v>
      </c>
      <c r="B18" s="18"/>
      <c r="C18" s="18"/>
      <c r="D18" s="18"/>
      <c r="E18" s="18" t="s">
        <v>103</v>
      </c>
      <c r="F18" s="18" t="s">
        <v>104</v>
      </c>
      <c r="G18" s="18" t="s">
        <v>74</v>
      </c>
      <c r="H18" s="18" t="n">
        <v>126</v>
      </c>
      <c r="I18" s="19" t="n">
        <v>0</v>
      </c>
      <c r="J18" s="19" t="n">
        <v>48788.75</v>
      </c>
      <c r="K18" s="19" t="n">
        <v>17526</v>
      </c>
      <c r="L18" s="19" t="n">
        <v>31262.75</v>
      </c>
      <c r="M18" s="19" t="n">
        <f aca="false">ABS(L18)</f>
        <v>31262.75</v>
      </c>
      <c r="N18" s="18" t="str">
        <f aca="false">IF(L18=0,"Nil balance",IF(G18="AR file",IF(L18&gt;0,"Accounts Receivable","Customer Advances"),IF(L18&lt;0,"Accounts Payable","Supplier Advances")))</f>
        <v>Accounts Receivable</v>
      </c>
      <c r="O18" s="18" t="str">
        <f aca="false">IF(L18=0,"Excluded",IF(Summary!$C$4="By ledger",IF(G18="AR file","Population 1","Population 2"),IF(L18&gt;0,"Population 1","Population 2")))</f>
        <v>Population 1</v>
      </c>
      <c r="P18" s="18" t="str">
        <f aca="false">IF(O18="Excluded","Excluded – nil closing balance",IF(M18&gt;Summary!$C$5,"Above Materiality","Below Materiality"))</f>
        <v>Above Materiality</v>
      </c>
      <c r="Q18" s="20" t="str">
        <f aca="false">IF(P18="Below Materiality",T18,"")</f>
        <v/>
      </c>
      <c r="R18" s="21" t="n">
        <f aca="false">IF(P18="Above Materiality",COUNTIFS($O$2:$O$1092,O18,$P$2:$P$1092,"Above Materiality",$M$2:$M$1092,"&gt;"&amp;M18)+COUNTIFS($O$2:$O$1092,O18,$P$2:$P$1092,"Above Materiality",$M$2:$M$1092,M18,$A$2:$A$1092,"&lt;"&amp;A18)+1,"")</f>
        <v>14</v>
      </c>
      <c r="S18" s="21" t="str">
        <f aca="false">IF(P18&lt;&gt;"Below Materiality","",IF(Summary!$C$9="Random",COUNTIFS($O$2:$O$1092,O18,$Q$2:$Q$1092,"&gt;"&amp;Q18)+1,COUNTIFS($O$2:$O$1092,O18,$P$2:$P$1092,"Below Materiality",$M$2:$M$1092,"&gt;"&amp;M18)+COUNTIFS($O$2:$O$1092,O18,$P$2:$P$1092,"Below Materiality",$M$2:$M$1092,M18,$A$2:$A$1092,"&lt;"&amp;A18)+1))</f>
        <v/>
      </c>
      <c r="T18" s="22" t="n">
        <v>0.670992902999121</v>
      </c>
      <c r="U18" s="21" t="str">
        <f aca="false">IF(R18="","",O18&amp;"|A|"&amp;R18)</f>
        <v>Population 1|A|14</v>
      </c>
      <c r="V18" s="21" t="str">
        <f aca="false">IF(S18="","",O18&amp;"|R|"&amp;S18)</f>
        <v/>
      </c>
    </row>
    <row r="19" customFormat="false" ht="15" hidden="false" customHeight="false" outlineLevel="0" collapsed="false">
      <c r="A19" s="18" t="n">
        <v>18</v>
      </c>
      <c r="B19" s="18"/>
      <c r="C19" s="18"/>
      <c r="D19" s="18"/>
      <c r="E19" s="18" t="s">
        <v>105</v>
      </c>
      <c r="F19" s="18" t="s">
        <v>106</v>
      </c>
      <c r="G19" s="18" t="s">
        <v>74</v>
      </c>
      <c r="H19" s="18" t="n">
        <v>117</v>
      </c>
      <c r="I19" s="19" t="n">
        <v>31130.62</v>
      </c>
      <c r="J19" s="19" t="n">
        <v>7683.15</v>
      </c>
      <c r="K19" s="19" t="n">
        <v>7684</v>
      </c>
      <c r="L19" s="19" t="n">
        <v>31129.77</v>
      </c>
      <c r="M19" s="19" t="n">
        <f aca="false">ABS(L19)</f>
        <v>31129.77</v>
      </c>
      <c r="N19" s="18" t="str">
        <f aca="false">IF(L19=0,"Nil balance",IF(G19="AR file",IF(L19&gt;0,"Accounts Receivable","Customer Advances"),IF(L19&lt;0,"Accounts Payable","Supplier Advances")))</f>
        <v>Accounts Receivable</v>
      </c>
      <c r="O19" s="18" t="str">
        <f aca="false">IF(L19=0,"Excluded",IF(Summary!$C$4="By ledger",IF(G19="AR file","Population 1","Population 2"),IF(L19&gt;0,"Population 1","Population 2")))</f>
        <v>Population 1</v>
      </c>
      <c r="P19" s="18" t="str">
        <f aca="false">IF(O19="Excluded","Excluded – nil closing balance",IF(M19&gt;Summary!$C$5,"Above Materiality","Below Materiality"))</f>
        <v>Above Materiality</v>
      </c>
      <c r="Q19" s="20" t="str">
        <f aca="false">IF(P19="Below Materiality",T19,"")</f>
        <v/>
      </c>
      <c r="R19" s="21" t="n">
        <f aca="false">IF(P19="Above Materiality",COUNTIFS($O$2:$O$1092,O19,$P$2:$P$1092,"Above Materiality",$M$2:$M$1092,"&gt;"&amp;M19)+COUNTIFS($O$2:$O$1092,O19,$P$2:$P$1092,"Above Materiality",$M$2:$M$1092,M19,$A$2:$A$1092,"&lt;"&amp;A19)+1,"")</f>
        <v>15</v>
      </c>
      <c r="S19" s="21" t="str">
        <f aca="false">IF(P19&lt;&gt;"Below Materiality","",IF(Summary!$C$9="Random",COUNTIFS($O$2:$O$1092,O19,$Q$2:$Q$1092,"&gt;"&amp;Q19)+1,COUNTIFS($O$2:$O$1092,O19,$P$2:$P$1092,"Below Materiality",$M$2:$M$1092,"&gt;"&amp;M19)+COUNTIFS($O$2:$O$1092,O19,$P$2:$P$1092,"Below Materiality",$M$2:$M$1092,M19,$A$2:$A$1092,"&lt;"&amp;A19)+1))</f>
        <v/>
      </c>
      <c r="T19" s="22" t="n">
        <v>0.728352864229232</v>
      </c>
      <c r="U19" s="21" t="str">
        <f aca="false">IF(R19="","",O19&amp;"|A|"&amp;R19)</f>
        <v>Population 1|A|15</v>
      </c>
      <c r="V19" s="21" t="str">
        <f aca="false">IF(S19="","",O19&amp;"|R|"&amp;S19)</f>
        <v/>
      </c>
    </row>
    <row r="20" customFormat="false" ht="15" hidden="false" customHeight="false" outlineLevel="0" collapsed="false">
      <c r="A20" s="18" t="n">
        <v>19</v>
      </c>
      <c r="B20" s="18"/>
      <c r="C20" s="18"/>
      <c r="D20" s="18"/>
      <c r="E20" s="18" t="s">
        <v>107</v>
      </c>
      <c r="F20" s="18" t="s">
        <v>108</v>
      </c>
      <c r="G20" s="18" t="s">
        <v>71</v>
      </c>
      <c r="H20" s="18" t="n">
        <v>157</v>
      </c>
      <c r="I20" s="19" t="n">
        <v>0</v>
      </c>
      <c r="J20" s="19" t="n">
        <v>763382</v>
      </c>
      <c r="K20" s="19" t="n">
        <v>793176</v>
      </c>
      <c r="L20" s="19" t="n">
        <v>-29794</v>
      </c>
      <c r="M20" s="19" t="n">
        <f aca="false">ABS(L20)</f>
        <v>29794</v>
      </c>
      <c r="N20" s="18" t="str">
        <f aca="false">IF(L20=0,"Nil balance",IF(G20="AR file",IF(L20&gt;0,"Accounts Receivable","Customer Advances"),IF(L20&lt;0,"Accounts Payable","Supplier Advances")))</f>
        <v>Accounts Payable</v>
      </c>
      <c r="O20" s="18" t="str">
        <f aca="false">IF(L20=0,"Excluded",IF(Summary!$C$4="By ledger",IF(G20="AR file","Population 1","Population 2"),IF(L20&gt;0,"Population 1","Population 2")))</f>
        <v>Population 2</v>
      </c>
      <c r="P20" s="18" t="str">
        <f aca="false">IF(O20="Excluded","Excluded – nil closing balance",IF(M20&gt;Summary!$C$5,"Above Materiality","Below Materiality"))</f>
        <v>Above Materiality</v>
      </c>
      <c r="Q20" s="20" t="str">
        <f aca="false">IF(P20="Below Materiality",T20,"")</f>
        <v/>
      </c>
      <c r="R20" s="21" t="n">
        <f aca="false">IF(P20="Above Materiality",COUNTIFS($O$2:$O$1092,O20,$P$2:$P$1092,"Above Materiality",$M$2:$M$1092,"&gt;"&amp;M20)+COUNTIFS($O$2:$O$1092,O20,$P$2:$P$1092,"Above Materiality",$M$2:$M$1092,M20,$A$2:$A$1092,"&lt;"&amp;A20)+1,"")</f>
        <v>4</v>
      </c>
      <c r="S20" s="21" t="str">
        <f aca="false">IF(P20&lt;&gt;"Below Materiality","",IF(Summary!$C$9="Random",COUNTIFS($O$2:$O$1092,O20,$Q$2:$Q$1092,"&gt;"&amp;Q20)+1,COUNTIFS($O$2:$O$1092,O20,$P$2:$P$1092,"Below Materiality",$M$2:$M$1092,"&gt;"&amp;M20)+COUNTIFS($O$2:$O$1092,O20,$P$2:$P$1092,"Below Materiality",$M$2:$M$1092,M20,$A$2:$A$1092,"&lt;"&amp;A20)+1))</f>
        <v/>
      </c>
      <c r="T20" s="22" t="n">
        <v>0.539414846292965</v>
      </c>
      <c r="U20" s="21" t="str">
        <f aca="false">IF(R20="","",O20&amp;"|A|"&amp;R20)</f>
        <v>Population 2|A|4</v>
      </c>
      <c r="V20" s="21" t="str">
        <f aca="false">IF(S20="","",O20&amp;"|R|"&amp;S20)</f>
        <v/>
      </c>
    </row>
    <row r="21" customFormat="false" ht="15" hidden="false" customHeight="false" outlineLevel="0" collapsed="false">
      <c r="A21" s="18" t="n">
        <v>20</v>
      </c>
      <c r="B21" s="18"/>
      <c r="C21" s="18"/>
      <c r="D21" s="18"/>
      <c r="E21" s="18" t="s">
        <v>109</v>
      </c>
      <c r="F21" s="18" t="s">
        <v>110</v>
      </c>
      <c r="G21" s="18" t="s">
        <v>74</v>
      </c>
      <c r="H21" s="18" t="n">
        <v>43</v>
      </c>
      <c r="I21" s="19" t="n">
        <v>23741.18</v>
      </c>
      <c r="J21" s="19" t="n">
        <v>8364.53</v>
      </c>
      <c r="K21" s="19" t="n">
        <v>3015</v>
      </c>
      <c r="L21" s="19" t="n">
        <v>29090.71</v>
      </c>
      <c r="M21" s="19" t="n">
        <f aca="false">ABS(L21)</f>
        <v>29090.71</v>
      </c>
      <c r="N21" s="18" t="str">
        <f aca="false">IF(L21=0,"Nil balance",IF(G21="AR file",IF(L21&gt;0,"Accounts Receivable","Customer Advances"),IF(L21&lt;0,"Accounts Payable","Supplier Advances")))</f>
        <v>Accounts Receivable</v>
      </c>
      <c r="O21" s="18" t="str">
        <f aca="false">IF(L21=0,"Excluded",IF(Summary!$C$4="By ledger",IF(G21="AR file","Population 1","Population 2"),IF(L21&gt;0,"Population 1","Population 2")))</f>
        <v>Population 1</v>
      </c>
      <c r="P21" s="18" t="str">
        <f aca="false">IF(O21="Excluded","Excluded – nil closing balance",IF(M21&gt;Summary!$C$5,"Above Materiality","Below Materiality"))</f>
        <v>Above Materiality</v>
      </c>
      <c r="Q21" s="20" t="str">
        <f aca="false">IF(P21="Below Materiality",T21,"")</f>
        <v/>
      </c>
      <c r="R21" s="21" t="n">
        <f aca="false">IF(P21="Above Materiality",COUNTIFS($O$2:$O$1092,O21,$P$2:$P$1092,"Above Materiality",$M$2:$M$1092,"&gt;"&amp;M21)+COUNTIFS($O$2:$O$1092,O21,$P$2:$P$1092,"Above Materiality",$M$2:$M$1092,M21,$A$2:$A$1092,"&lt;"&amp;A21)+1,"")</f>
        <v>16</v>
      </c>
      <c r="S21" s="21" t="str">
        <f aca="false">IF(P21&lt;&gt;"Below Materiality","",IF(Summary!$C$9="Random",COUNTIFS($O$2:$O$1092,O21,$Q$2:$Q$1092,"&gt;"&amp;Q21)+1,COUNTIFS($O$2:$O$1092,O21,$P$2:$P$1092,"Below Materiality",$M$2:$M$1092,"&gt;"&amp;M21)+COUNTIFS($O$2:$O$1092,O21,$P$2:$P$1092,"Below Materiality",$M$2:$M$1092,M21,$A$2:$A$1092,"&lt;"&amp;A21)+1))</f>
        <v/>
      </c>
      <c r="T21" s="22" t="n">
        <v>0.387704931722051</v>
      </c>
      <c r="U21" s="21" t="str">
        <f aca="false">IF(R21="","",O21&amp;"|A|"&amp;R21)</f>
        <v>Population 1|A|16</v>
      </c>
      <c r="V21" s="21" t="str">
        <f aca="false">IF(S21="","",O21&amp;"|R|"&amp;S21)</f>
        <v/>
      </c>
    </row>
    <row r="22" customFormat="false" ht="15" hidden="false" customHeight="false" outlineLevel="0" collapsed="false">
      <c r="A22" s="18" t="n">
        <v>21</v>
      </c>
      <c r="B22" s="18"/>
      <c r="C22" s="18"/>
      <c r="D22" s="18"/>
      <c r="E22" s="18" t="s">
        <v>111</v>
      </c>
      <c r="F22" s="18" t="s">
        <v>112</v>
      </c>
      <c r="G22" s="18" t="s">
        <v>74</v>
      </c>
      <c r="H22" s="18" t="n">
        <v>229</v>
      </c>
      <c r="I22" s="19" t="n">
        <v>26534.45</v>
      </c>
      <c r="J22" s="19" t="n">
        <v>1688.2</v>
      </c>
      <c r="K22" s="19" t="n">
        <v>106.9</v>
      </c>
      <c r="L22" s="19" t="n">
        <v>28115.75</v>
      </c>
      <c r="M22" s="19" t="n">
        <f aca="false">ABS(L22)</f>
        <v>28115.75</v>
      </c>
      <c r="N22" s="18" t="str">
        <f aca="false">IF(L22=0,"Nil balance",IF(G22="AR file",IF(L22&gt;0,"Accounts Receivable","Customer Advances"),IF(L22&lt;0,"Accounts Payable","Supplier Advances")))</f>
        <v>Accounts Receivable</v>
      </c>
      <c r="O22" s="18" t="str">
        <f aca="false">IF(L22=0,"Excluded",IF(Summary!$C$4="By ledger",IF(G22="AR file","Population 1","Population 2"),IF(L22&gt;0,"Population 1","Population 2")))</f>
        <v>Population 1</v>
      </c>
      <c r="P22" s="18" t="str">
        <f aca="false">IF(O22="Excluded","Excluded – nil closing balance",IF(M22&gt;Summary!$C$5,"Above Materiality","Below Materiality"))</f>
        <v>Above Materiality</v>
      </c>
      <c r="Q22" s="20" t="str">
        <f aca="false">IF(P22="Below Materiality",T22,"")</f>
        <v/>
      </c>
      <c r="R22" s="21" t="n">
        <f aca="false">IF(P22="Above Materiality",COUNTIFS($O$2:$O$1092,O22,$P$2:$P$1092,"Above Materiality",$M$2:$M$1092,"&gt;"&amp;M22)+COUNTIFS($O$2:$O$1092,O22,$P$2:$P$1092,"Above Materiality",$M$2:$M$1092,M22,$A$2:$A$1092,"&lt;"&amp;A22)+1,"")</f>
        <v>17</v>
      </c>
      <c r="S22" s="21" t="str">
        <f aca="false">IF(P22&lt;&gt;"Below Materiality","",IF(Summary!$C$9="Random",COUNTIFS($O$2:$O$1092,O22,$Q$2:$Q$1092,"&gt;"&amp;Q22)+1,COUNTIFS($O$2:$O$1092,O22,$P$2:$P$1092,"Below Materiality",$M$2:$M$1092,"&gt;"&amp;M22)+COUNTIFS($O$2:$O$1092,O22,$P$2:$P$1092,"Below Materiality",$M$2:$M$1092,M22,$A$2:$A$1092,"&lt;"&amp;A22)+1))</f>
        <v/>
      </c>
      <c r="T22" s="22" t="n">
        <v>0.633611866357966</v>
      </c>
      <c r="U22" s="21" t="str">
        <f aca="false">IF(R22="","",O22&amp;"|A|"&amp;R22)</f>
        <v>Population 1|A|17</v>
      </c>
      <c r="V22" s="21" t="str">
        <f aca="false">IF(S22="","",O22&amp;"|R|"&amp;S22)</f>
        <v/>
      </c>
    </row>
    <row r="23" customFormat="false" ht="15" hidden="false" customHeight="false" outlineLevel="0" collapsed="false">
      <c r="A23" s="18" t="n">
        <v>22</v>
      </c>
      <c r="B23" s="18"/>
      <c r="C23" s="18"/>
      <c r="D23" s="18"/>
      <c r="E23" s="18" t="s">
        <v>113</v>
      </c>
      <c r="F23" s="18" t="s">
        <v>114</v>
      </c>
      <c r="G23" s="18" t="s">
        <v>74</v>
      </c>
      <c r="H23" s="18" t="n">
        <v>161</v>
      </c>
      <c r="I23" s="19" t="n">
        <v>26680</v>
      </c>
      <c r="J23" s="19" t="n">
        <v>0</v>
      </c>
      <c r="K23" s="19" t="n">
        <v>0</v>
      </c>
      <c r="L23" s="19" t="n">
        <v>26680</v>
      </c>
      <c r="M23" s="19" t="n">
        <f aca="false">ABS(L23)</f>
        <v>26680</v>
      </c>
      <c r="N23" s="18" t="str">
        <f aca="false">IF(L23=0,"Nil balance",IF(G23="AR file",IF(L23&gt;0,"Accounts Receivable","Customer Advances"),IF(L23&lt;0,"Accounts Payable","Supplier Advances")))</f>
        <v>Accounts Receivable</v>
      </c>
      <c r="O23" s="18" t="str">
        <f aca="false">IF(L23=0,"Excluded",IF(Summary!$C$4="By ledger",IF(G23="AR file","Population 1","Population 2"),IF(L23&gt;0,"Population 1","Population 2")))</f>
        <v>Population 1</v>
      </c>
      <c r="P23" s="18" t="str">
        <f aca="false">IF(O23="Excluded","Excluded – nil closing balance",IF(M23&gt;Summary!$C$5,"Above Materiality","Below Materiality"))</f>
        <v>Above Materiality</v>
      </c>
      <c r="Q23" s="20" t="str">
        <f aca="false">IF(P23="Below Materiality",T23,"")</f>
        <v/>
      </c>
      <c r="R23" s="21" t="n">
        <f aca="false">IF(P23="Above Materiality",COUNTIFS($O$2:$O$1092,O23,$P$2:$P$1092,"Above Materiality",$M$2:$M$1092,"&gt;"&amp;M23)+COUNTIFS($O$2:$O$1092,O23,$P$2:$P$1092,"Above Materiality",$M$2:$M$1092,M23,$A$2:$A$1092,"&lt;"&amp;A23)+1,"")</f>
        <v>18</v>
      </c>
      <c r="S23" s="21" t="str">
        <f aca="false">IF(P23&lt;&gt;"Below Materiality","",IF(Summary!$C$9="Random",COUNTIFS($O$2:$O$1092,O23,$Q$2:$Q$1092,"&gt;"&amp;Q23)+1,COUNTIFS($O$2:$O$1092,O23,$P$2:$P$1092,"Below Materiality",$M$2:$M$1092,"&gt;"&amp;M23)+COUNTIFS($O$2:$O$1092,O23,$P$2:$P$1092,"Below Materiality",$M$2:$M$1092,M23,$A$2:$A$1092,"&lt;"&amp;A23)+1))</f>
        <v/>
      </c>
      <c r="T23" s="22" t="n">
        <v>0.152720688572703</v>
      </c>
      <c r="U23" s="21" t="str">
        <f aca="false">IF(R23="","",O23&amp;"|A|"&amp;R23)</f>
        <v>Population 1|A|18</v>
      </c>
      <c r="V23" s="21" t="str">
        <f aca="false">IF(S23="","",O23&amp;"|R|"&amp;S23)</f>
        <v/>
      </c>
    </row>
    <row r="24" customFormat="false" ht="15" hidden="false" customHeight="false" outlineLevel="0" collapsed="false">
      <c r="A24" s="18" t="n">
        <v>23</v>
      </c>
      <c r="B24" s="18"/>
      <c r="C24" s="18"/>
      <c r="D24" s="18"/>
      <c r="E24" s="18" t="s">
        <v>115</v>
      </c>
      <c r="F24" s="18" t="s">
        <v>116</v>
      </c>
      <c r="G24" s="18" t="s">
        <v>74</v>
      </c>
      <c r="H24" s="18" t="n">
        <v>81</v>
      </c>
      <c r="I24" s="19" t="n">
        <v>11500</v>
      </c>
      <c r="J24" s="19" t="n">
        <v>151673.5</v>
      </c>
      <c r="K24" s="19" t="n">
        <v>137936.75</v>
      </c>
      <c r="L24" s="19" t="n">
        <v>25236.75</v>
      </c>
      <c r="M24" s="19" t="n">
        <f aca="false">ABS(L24)</f>
        <v>25236.75</v>
      </c>
      <c r="N24" s="18" t="str">
        <f aca="false">IF(L24=0,"Nil balance",IF(G24="AR file",IF(L24&gt;0,"Accounts Receivable","Customer Advances"),IF(L24&lt;0,"Accounts Payable","Supplier Advances")))</f>
        <v>Accounts Receivable</v>
      </c>
      <c r="O24" s="18" t="str">
        <f aca="false">IF(L24=0,"Excluded",IF(Summary!$C$4="By ledger",IF(G24="AR file","Population 1","Population 2"),IF(L24&gt;0,"Population 1","Population 2")))</f>
        <v>Population 1</v>
      </c>
      <c r="P24" s="18" t="str">
        <f aca="false">IF(O24="Excluded","Excluded – nil closing balance",IF(M24&gt;Summary!$C$5,"Above Materiality","Below Materiality"))</f>
        <v>Above Materiality</v>
      </c>
      <c r="Q24" s="20" t="str">
        <f aca="false">IF(P24="Below Materiality",T24,"")</f>
        <v/>
      </c>
      <c r="R24" s="21" t="n">
        <f aca="false">IF(P24="Above Materiality",COUNTIFS($O$2:$O$1092,O24,$P$2:$P$1092,"Above Materiality",$M$2:$M$1092,"&gt;"&amp;M24)+COUNTIFS($O$2:$O$1092,O24,$P$2:$P$1092,"Above Materiality",$M$2:$M$1092,M24,$A$2:$A$1092,"&lt;"&amp;A24)+1,"")</f>
        <v>19</v>
      </c>
      <c r="S24" s="21" t="str">
        <f aca="false">IF(P24&lt;&gt;"Below Materiality","",IF(Summary!$C$9="Random",COUNTIFS($O$2:$O$1092,O24,$Q$2:$Q$1092,"&gt;"&amp;Q24)+1,COUNTIFS($O$2:$O$1092,O24,$P$2:$P$1092,"Below Materiality",$M$2:$M$1092,"&gt;"&amp;M24)+COUNTIFS($O$2:$O$1092,O24,$P$2:$P$1092,"Below Materiality",$M$2:$M$1092,M24,$A$2:$A$1092,"&lt;"&amp;A24)+1))</f>
        <v/>
      </c>
      <c r="T24" s="22" t="n">
        <v>0.976191318215235</v>
      </c>
      <c r="U24" s="21" t="str">
        <f aca="false">IF(R24="","",O24&amp;"|A|"&amp;R24)</f>
        <v>Population 1|A|19</v>
      </c>
      <c r="V24" s="21" t="str">
        <f aca="false">IF(S24="","",O24&amp;"|R|"&amp;S24)</f>
        <v/>
      </c>
    </row>
    <row r="25" customFormat="false" ht="15" hidden="false" customHeight="false" outlineLevel="0" collapsed="false">
      <c r="A25" s="18" t="n">
        <v>24</v>
      </c>
      <c r="B25" s="18"/>
      <c r="C25" s="18"/>
      <c r="D25" s="18"/>
      <c r="E25" s="18" t="s">
        <v>117</v>
      </c>
      <c r="F25" s="18" t="s">
        <v>118</v>
      </c>
      <c r="G25" s="18" t="s">
        <v>74</v>
      </c>
      <c r="H25" s="18" t="n">
        <v>22</v>
      </c>
      <c r="I25" s="19" t="n">
        <v>-13315.25</v>
      </c>
      <c r="J25" s="19" t="n">
        <v>148160.25</v>
      </c>
      <c r="K25" s="19" t="n">
        <v>111262</v>
      </c>
      <c r="L25" s="19" t="n">
        <v>23583</v>
      </c>
      <c r="M25" s="19" t="n">
        <f aca="false">ABS(L25)</f>
        <v>23583</v>
      </c>
      <c r="N25" s="18" t="str">
        <f aca="false">IF(L25=0,"Nil balance",IF(G25="AR file",IF(L25&gt;0,"Accounts Receivable","Customer Advances"),IF(L25&lt;0,"Accounts Payable","Supplier Advances")))</f>
        <v>Accounts Receivable</v>
      </c>
      <c r="O25" s="18" t="str">
        <f aca="false">IF(L25=0,"Excluded",IF(Summary!$C$4="By ledger",IF(G25="AR file","Population 1","Population 2"),IF(L25&gt;0,"Population 1","Population 2")))</f>
        <v>Population 1</v>
      </c>
      <c r="P25" s="18" t="str">
        <f aca="false">IF(O25="Excluded","Excluded – nil closing balance",IF(M25&gt;Summary!$C$5,"Above Materiality","Below Materiality"))</f>
        <v>Above Materiality</v>
      </c>
      <c r="Q25" s="20" t="str">
        <f aca="false">IF(P25="Below Materiality",T25,"")</f>
        <v/>
      </c>
      <c r="R25" s="21" t="n">
        <f aca="false">IF(P25="Above Materiality",COUNTIFS($O$2:$O$1092,O25,$P$2:$P$1092,"Above Materiality",$M$2:$M$1092,"&gt;"&amp;M25)+COUNTIFS($O$2:$O$1092,O25,$P$2:$P$1092,"Above Materiality",$M$2:$M$1092,M25,$A$2:$A$1092,"&lt;"&amp;A25)+1,"")</f>
        <v>20</v>
      </c>
      <c r="S25" s="21" t="str">
        <f aca="false">IF(P25&lt;&gt;"Below Materiality","",IF(Summary!$C$9="Random",COUNTIFS($O$2:$O$1092,O25,$Q$2:$Q$1092,"&gt;"&amp;Q25)+1,COUNTIFS($O$2:$O$1092,O25,$P$2:$P$1092,"Below Materiality",$M$2:$M$1092,"&gt;"&amp;M25)+COUNTIFS($O$2:$O$1092,O25,$P$2:$P$1092,"Below Materiality",$M$2:$M$1092,M25,$A$2:$A$1092,"&lt;"&amp;A25)+1))</f>
        <v/>
      </c>
      <c r="T25" s="22" t="n">
        <v>0.389203384336057</v>
      </c>
      <c r="U25" s="21" t="str">
        <f aca="false">IF(R25="","",O25&amp;"|A|"&amp;R25)</f>
        <v>Population 1|A|20</v>
      </c>
      <c r="V25" s="21" t="str">
        <f aca="false">IF(S25="","",O25&amp;"|R|"&amp;S25)</f>
        <v/>
      </c>
    </row>
    <row r="26" customFormat="false" ht="15" hidden="false" customHeight="false" outlineLevel="0" collapsed="false">
      <c r="A26" s="18" t="n">
        <v>25</v>
      </c>
      <c r="B26" s="18"/>
      <c r="C26" s="18"/>
      <c r="D26" s="18"/>
      <c r="E26" s="18" t="s">
        <v>119</v>
      </c>
      <c r="F26" s="18" t="s">
        <v>120</v>
      </c>
      <c r="G26" s="18" t="s">
        <v>74</v>
      </c>
      <c r="H26" s="18" t="n">
        <v>26</v>
      </c>
      <c r="I26" s="19" t="n">
        <v>58739.96</v>
      </c>
      <c r="J26" s="19" t="n">
        <v>60770.6</v>
      </c>
      <c r="K26" s="19" t="n">
        <v>96343.2</v>
      </c>
      <c r="L26" s="19" t="n">
        <v>23167.36</v>
      </c>
      <c r="M26" s="19" t="n">
        <f aca="false">ABS(L26)</f>
        <v>23167.36</v>
      </c>
      <c r="N26" s="18" t="str">
        <f aca="false">IF(L26=0,"Nil balance",IF(G26="AR file",IF(L26&gt;0,"Accounts Receivable","Customer Advances"),IF(L26&lt;0,"Accounts Payable","Supplier Advances")))</f>
        <v>Accounts Receivable</v>
      </c>
      <c r="O26" s="18" t="str">
        <f aca="false">IF(L26=0,"Excluded",IF(Summary!$C$4="By ledger",IF(G26="AR file","Population 1","Population 2"),IF(L26&gt;0,"Population 1","Population 2")))</f>
        <v>Population 1</v>
      </c>
      <c r="P26" s="18" t="str">
        <f aca="false">IF(O26="Excluded","Excluded – nil closing balance",IF(M26&gt;Summary!$C$5,"Above Materiality","Below Materiality"))</f>
        <v>Above Materiality</v>
      </c>
      <c r="Q26" s="20" t="str">
        <f aca="false">IF(P26="Below Materiality",T26,"")</f>
        <v/>
      </c>
      <c r="R26" s="21" t="n">
        <f aca="false">IF(P26="Above Materiality",COUNTIFS($O$2:$O$1092,O26,$P$2:$P$1092,"Above Materiality",$M$2:$M$1092,"&gt;"&amp;M26)+COUNTIFS($O$2:$O$1092,O26,$P$2:$P$1092,"Above Materiality",$M$2:$M$1092,M26,$A$2:$A$1092,"&lt;"&amp;A26)+1,"")</f>
        <v>21</v>
      </c>
      <c r="S26" s="21" t="str">
        <f aca="false">IF(P26&lt;&gt;"Below Materiality","",IF(Summary!$C$9="Random",COUNTIFS($O$2:$O$1092,O26,$Q$2:$Q$1092,"&gt;"&amp;Q26)+1,COUNTIFS($O$2:$O$1092,O26,$P$2:$P$1092,"Below Materiality",$M$2:$M$1092,"&gt;"&amp;M26)+COUNTIFS($O$2:$O$1092,O26,$P$2:$P$1092,"Below Materiality",$M$2:$M$1092,M26,$A$2:$A$1092,"&lt;"&amp;A26)+1))</f>
        <v/>
      </c>
      <c r="T26" s="22" t="n">
        <v>0.349708898044236</v>
      </c>
      <c r="U26" s="21" t="str">
        <f aca="false">IF(R26="","",O26&amp;"|A|"&amp;R26)</f>
        <v>Population 1|A|21</v>
      </c>
      <c r="V26" s="21" t="str">
        <f aca="false">IF(S26="","",O26&amp;"|R|"&amp;S26)</f>
        <v/>
      </c>
    </row>
    <row r="27" customFormat="false" ht="15" hidden="false" customHeight="false" outlineLevel="0" collapsed="false">
      <c r="A27" s="18" t="n">
        <v>26</v>
      </c>
      <c r="B27" s="18"/>
      <c r="C27" s="18"/>
      <c r="D27" s="18"/>
      <c r="E27" s="18" t="s">
        <v>121</v>
      </c>
      <c r="F27" s="18" t="s">
        <v>122</v>
      </c>
      <c r="G27" s="18" t="s">
        <v>74</v>
      </c>
      <c r="H27" s="18" t="n">
        <v>42</v>
      </c>
      <c r="I27" s="19" t="n">
        <v>0.400000000001455</v>
      </c>
      <c r="J27" s="19" t="n">
        <v>25042.23</v>
      </c>
      <c r="K27" s="19" t="n">
        <v>2917</v>
      </c>
      <c r="L27" s="19" t="n">
        <v>22125.63</v>
      </c>
      <c r="M27" s="19" t="n">
        <f aca="false">ABS(L27)</f>
        <v>22125.63</v>
      </c>
      <c r="N27" s="18" t="str">
        <f aca="false">IF(L27=0,"Nil balance",IF(G27="AR file",IF(L27&gt;0,"Accounts Receivable","Customer Advances"),IF(L27&lt;0,"Accounts Payable","Supplier Advances")))</f>
        <v>Accounts Receivable</v>
      </c>
      <c r="O27" s="18" t="str">
        <f aca="false">IF(L27=0,"Excluded",IF(Summary!$C$4="By ledger",IF(G27="AR file","Population 1","Population 2"),IF(L27&gt;0,"Population 1","Population 2")))</f>
        <v>Population 1</v>
      </c>
      <c r="P27" s="18" t="str">
        <f aca="false">IF(O27="Excluded","Excluded – nil closing balance",IF(M27&gt;Summary!$C$5,"Above Materiality","Below Materiality"))</f>
        <v>Above Materiality</v>
      </c>
      <c r="Q27" s="20" t="str">
        <f aca="false">IF(P27="Below Materiality",T27,"")</f>
        <v/>
      </c>
      <c r="R27" s="21" t="n">
        <f aca="false">IF(P27="Above Materiality",COUNTIFS($O$2:$O$1092,O27,$P$2:$P$1092,"Above Materiality",$M$2:$M$1092,"&gt;"&amp;M27)+COUNTIFS($O$2:$O$1092,O27,$P$2:$P$1092,"Above Materiality",$M$2:$M$1092,M27,$A$2:$A$1092,"&lt;"&amp;A27)+1,"")</f>
        <v>22</v>
      </c>
      <c r="S27" s="21" t="str">
        <f aca="false">IF(P27&lt;&gt;"Below Materiality","",IF(Summary!$C$9="Random",COUNTIFS($O$2:$O$1092,O27,$Q$2:$Q$1092,"&gt;"&amp;Q27)+1,COUNTIFS($O$2:$O$1092,O27,$P$2:$P$1092,"Below Materiality",$M$2:$M$1092,"&gt;"&amp;M27)+COUNTIFS($O$2:$O$1092,O27,$P$2:$P$1092,"Below Materiality",$M$2:$M$1092,M27,$A$2:$A$1092,"&lt;"&amp;A27)+1))</f>
        <v/>
      </c>
      <c r="T27" s="22" t="n">
        <v>0.450686244242715</v>
      </c>
      <c r="U27" s="21" t="str">
        <f aca="false">IF(R27="","",O27&amp;"|A|"&amp;R27)</f>
        <v>Population 1|A|22</v>
      </c>
      <c r="V27" s="21" t="str">
        <f aca="false">IF(S27="","",O27&amp;"|R|"&amp;S27)</f>
        <v/>
      </c>
    </row>
    <row r="28" customFormat="false" ht="15" hidden="false" customHeight="false" outlineLevel="0" collapsed="false">
      <c r="A28" s="18" t="n">
        <v>27</v>
      </c>
      <c r="B28" s="18"/>
      <c r="C28" s="18"/>
      <c r="D28" s="18"/>
      <c r="E28" s="18" t="s">
        <v>123</v>
      </c>
      <c r="F28" s="18" t="s">
        <v>124</v>
      </c>
      <c r="G28" s="18" t="s">
        <v>74</v>
      </c>
      <c r="H28" s="18" t="n">
        <v>277</v>
      </c>
      <c r="I28" s="19" t="n">
        <v>0</v>
      </c>
      <c r="J28" s="19" t="n">
        <v>34626.5</v>
      </c>
      <c r="K28" s="19" t="n">
        <v>12937.5</v>
      </c>
      <c r="L28" s="19" t="n">
        <v>21689</v>
      </c>
      <c r="M28" s="19" t="n">
        <f aca="false">ABS(L28)</f>
        <v>21689</v>
      </c>
      <c r="N28" s="18" t="str">
        <f aca="false">IF(L28=0,"Nil balance",IF(G28="AR file",IF(L28&gt;0,"Accounts Receivable","Customer Advances"),IF(L28&lt;0,"Accounts Payable","Supplier Advances")))</f>
        <v>Accounts Receivable</v>
      </c>
      <c r="O28" s="18" t="str">
        <f aca="false">IF(L28=0,"Excluded",IF(Summary!$C$4="By ledger",IF(G28="AR file","Population 1","Population 2"),IF(L28&gt;0,"Population 1","Population 2")))</f>
        <v>Population 1</v>
      </c>
      <c r="P28" s="18" t="str">
        <f aca="false">IF(O28="Excluded","Excluded – nil closing balance",IF(M28&gt;Summary!$C$5,"Above Materiality","Below Materiality"))</f>
        <v>Above Materiality</v>
      </c>
      <c r="Q28" s="20" t="str">
        <f aca="false">IF(P28="Below Materiality",T28,"")</f>
        <v/>
      </c>
      <c r="R28" s="21" t="n">
        <f aca="false">IF(P28="Above Materiality",COUNTIFS($O$2:$O$1092,O28,$P$2:$P$1092,"Above Materiality",$M$2:$M$1092,"&gt;"&amp;M28)+COUNTIFS($O$2:$O$1092,O28,$P$2:$P$1092,"Above Materiality",$M$2:$M$1092,M28,$A$2:$A$1092,"&lt;"&amp;A28)+1,"")</f>
        <v>23</v>
      </c>
      <c r="S28" s="21" t="str">
        <f aca="false">IF(P28&lt;&gt;"Below Materiality","",IF(Summary!$C$9="Random",COUNTIFS($O$2:$O$1092,O28,$Q$2:$Q$1092,"&gt;"&amp;Q28)+1,COUNTIFS($O$2:$O$1092,O28,$P$2:$P$1092,"Below Materiality",$M$2:$M$1092,"&gt;"&amp;M28)+COUNTIFS($O$2:$O$1092,O28,$P$2:$P$1092,"Below Materiality",$M$2:$M$1092,M28,$A$2:$A$1092,"&lt;"&amp;A28)+1))</f>
        <v/>
      </c>
      <c r="T28" s="22" t="n">
        <v>0.609042234186636</v>
      </c>
      <c r="U28" s="21" t="str">
        <f aca="false">IF(R28="","",O28&amp;"|A|"&amp;R28)</f>
        <v>Population 1|A|23</v>
      </c>
      <c r="V28" s="21" t="str">
        <f aca="false">IF(S28="","",O28&amp;"|R|"&amp;S28)</f>
        <v/>
      </c>
    </row>
    <row r="29" customFormat="false" ht="15" hidden="false" customHeight="false" outlineLevel="0" collapsed="false">
      <c r="A29" s="18" t="n">
        <v>28</v>
      </c>
      <c r="B29" s="18"/>
      <c r="C29" s="18"/>
      <c r="D29" s="18"/>
      <c r="E29" s="18" t="s">
        <v>125</v>
      </c>
      <c r="F29" s="18" t="s">
        <v>126</v>
      </c>
      <c r="G29" s="18" t="s">
        <v>74</v>
      </c>
      <c r="H29" s="18" t="n">
        <v>112</v>
      </c>
      <c r="I29" s="19" t="n">
        <v>14766.9</v>
      </c>
      <c r="J29" s="19" t="n">
        <v>38192.5</v>
      </c>
      <c r="K29" s="19" t="n">
        <v>31385.4</v>
      </c>
      <c r="L29" s="19" t="n">
        <v>21574</v>
      </c>
      <c r="M29" s="19" t="n">
        <f aca="false">ABS(L29)</f>
        <v>21574</v>
      </c>
      <c r="N29" s="18" t="str">
        <f aca="false">IF(L29=0,"Nil balance",IF(G29="AR file",IF(L29&gt;0,"Accounts Receivable","Customer Advances"),IF(L29&lt;0,"Accounts Payable","Supplier Advances")))</f>
        <v>Accounts Receivable</v>
      </c>
      <c r="O29" s="18" t="str">
        <f aca="false">IF(L29=0,"Excluded",IF(Summary!$C$4="By ledger",IF(G29="AR file","Population 1","Population 2"),IF(L29&gt;0,"Population 1","Population 2")))</f>
        <v>Population 1</v>
      </c>
      <c r="P29" s="18" t="str">
        <f aca="false">IF(O29="Excluded","Excluded – nil closing balance",IF(M29&gt;Summary!$C$5,"Above Materiality","Below Materiality"))</f>
        <v>Above Materiality</v>
      </c>
      <c r="Q29" s="20" t="str">
        <f aca="false">IF(P29="Below Materiality",T29,"")</f>
        <v/>
      </c>
      <c r="R29" s="21" t="n">
        <f aca="false">IF(P29="Above Materiality",COUNTIFS($O$2:$O$1092,O29,$P$2:$P$1092,"Above Materiality",$M$2:$M$1092,"&gt;"&amp;M29)+COUNTIFS($O$2:$O$1092,O29,$P$2:$P$1092,"Above Materiality",$M$2:$M$1092,M29,$A$2:$A$1092,"&lt;"&amp;A29)+1,"")</f>
        <v>24</v>
      </c>
      <c r="S29" s="21" t="str">
        <f aca="false">IF(P29&lt;&gt;"Below Materiality","",IF(Summary!$C$9="Random",COUNTIFS($O$2:$O$1092,O29,$Q$2:$Q$1092,"&gt;"&amp;Q29)+1,COUNTIFS($O$2:$O$1092,O29,$P$2:$P$1092,"Below Materiality",$M$2:$M$1092,"&gt;"&amp;M29)+COUNTIFS($O$2:$O$1092,O29,$P$2:$P$1092,"Below Materiality",$M$2:$M$1092,M29,$A$2:$A$1092,"&lt;"&amp;A29)+1))</f>
        <v/>
      </c>
      <c r="T29" s="22" t="n">
        <v>0.568618976115964</v>
      </c>
      <c r="U29" s="21" t="str">
        <f aca="false">IF(R29="","",O29&amp;"|A|"&amp;R29)</f>
        <v>Population 1|A|24</v>
      </c>
      <c r="V29" s="21" t="str">
        <f aca="false">IF(S29="","",O29&amp;"|R|"&amp;S29)</f>
        <v/>
      </c>
    </row>
    <row r="30" customFormat="false" ht="15" hidden="false" customHeight="false" outlineLevel="0" collapsed="false">
      <c r="A30" s="18" t="n">
        <v>29</v>
      </c>
      <c r="B30" s="18"/>
      <c r="C30" s="18"/>
      <c r="D30" s="18"/>
      <c r="E30" s="18" t="s">
        <v>127</v>
      </c>
      <c r="F30" s="18" t="s">
        <v>128</v>
      </c>
      <c r="G30" s="18" t="s">
        <v>74</v>
      </c>
      <c r="H30" s="18" t="n">
        <v>111</v>
      </c>
      <c r="I30" s="19" t="n">
        <v>3407</v>
      </c>
      <c r="J30" s="19" t="n">
        <v>138001.15</v>
      </c>
      <c r="K30" s="19" t="n">
        <v>119997.7</v>
      </c>
      <c r="L30" s="19" t="n">
        <v>21410.45</v>
      </c>
      <c r="M30" s="19" t="n">
        <f aca="false">ABS(L30)</f>
        <v>21410.45</v>
      </c>
      <c r="N30" s="18" t="str">
        <f aca="false">IF(L30=0,"Nil balance",IF(G30="AR file",IF(L30&gt;0,"Accounts Receivable","Customer Advances"),IF(L30&lt;0,"Accounts Payable","Supplier Advances")))</f>
        <v>Accounts Receivable</v>
      </c>
      <c r="O30" s="18" t="str">
        <f aca="false">IF(L30=0,"Excluded",IF(Summary!$C$4="By ledger",IF(G30="AR file","Population 1","Population 2"),IF(L30&gt;0,"Population 1","Population 2")))</f>
        <v>Population 1</v>
      </c>
      <c r="P30" s="18" t="str">
        <f aca="false">IF(O30="Excluded","Excluded – nil closing balance",IF(M30&gt;Summary!$C$5,"Above Materiality","Below Materiality"))</f>
        <v>Above Materiality</v>
      </c>
      <c r="Q30" s="20" t="str">
        <f aca="false">IF(P30="Below Materiality",T30,"")</f>
        <v/>
      </c>
      <c r="R30" s="21" t="n">
        <f aca="false">IF(P30="Above Materiality",COUNTIFS($O$2:$O$1092,O30,$P$2:$P$1092,"Above Materiality",$M$2:$M$1092,"&gt;"&amp;M30)+COUNTIFS($O$2:$O$1092,O30,$P$2:$P$1092,"Above Materiality",$M$2:$M$1092,M30,$A$2:$A$1092,"&lt;"&amp;A30)+1,"")</f>
        <v>25</v>
      </c>
      <c r="S30" s="21" t="str">
        <f aca="false">IF(P30&lt;&gt;"Below Materiality","",IF(Summary!$C$9="Random",COUNTIFS($O$2:$O$1092,O30,$Q$2:$Q$1092,"&gt;"&amp;Q30)+1,COUNTIFS($O$2:$O$1092,O30,$P$2:$P$1092,"Below Materiality",$M$2:$M$1092,"&gt;"&amp;M30)+COUNTIFS($O$2:$O$1092,O30,$P$2:$P$1092,"Below Materiality",$M$2:$M$1092,M30,$A$2:$A$1092,"&lt;"&amp;A30)+1))</f>
        <v/>
      </c>
      <c r="T30" s="22" t="n">
        <v>0.707714609076261</v>
      </c>
      <c r="U30" s="21" t="str">
        <f aca="false">IF(R30="","",O30&amp;"|A|"&amp;R30)</f>
        <v>Population 1|A|25</v>
      </c>
      <c r="V30" s="21" t="str">
        <f aca="false">IF(S30="","",O30&amp;"|R|"&amp;S30)</f>
        <v/>
      </c>
    </row>
    <row r="31" customFormat="false" ht="15" hidden="false" customHeight="false" outlineLevel="0" collapsed="false">
      <c r="A31" s="18" t="n">
        <v>30</v>
      </c>
      <c r="B31" s="18"/>
      <c r="C31" s="18"/>
      <c r="D31" s="18"/>
      <c r="E31" s="18" t="s">
        <v>129</v>
      </c>
      <c r="F31" s="18" t="s">
        <v>130</v>
      </c>
      <c r="G31" s="18" t="s">
        <v>74</v>
      </c>
      <c r="H31" s="18" t="n">
        <v>324</v>
      </c>
      <c r="I31" s="19" t="n">
        <v>0</v>
      </c>
      <c r="J31" s="19" t="n">
        <v>26055.76</v>
      </c>
      <c r="K31" s="19" t="n">
        <v>6655.26</v>
      </c>
      <c r="L31" s="19" t="n">
        <v>19400.5</v>
      </c>
      <c r="M31" s="19" t="n">
        <f aca="false">ABS(L31)</f>
        <v>19400.5</v>
      </c>
      <c r="N31" s="18" t="str">
        <f aca="false">IF(L31=0,"Nil balance",IF(G31="AR file",IF(L31&gt;0,"Accounts Receivable","Customer Advances"),IF(L31&lt;0,"Accounts Payable","Supplier Advances")))</f>
        <v>Accounts Receivable</v>
      </c>
      <c r="O31" s="18" t="str">
        <f aca="false">IF(L31=0,"Excluded",IF(Summary!$C$4="By ledger",IF(G31="AR file","Population 1","Population 2"),IF(L31&gt;0,"Population 1","Population 2")))</f>
        <v>Population 1</v>
      </c>
      <c r="P31" s="18" t="str">
        <f aca="false">IF(O31="Excluded","Excluded – nil closing balance",IF(M31&gt;Summary!$C$5,"Above Materiality","Below Materiality"))</f>
        <v>Above Materiality</v>
      </c>
      <c r="Q31" s="20" t="str">
        <f aca="false">IF(P31="Below Materiality",T31,"")</f>
        <v/>
      </c>
      <c r="R31" s="21" t="n">
        <f aca="false">IF(P31="Above Materiality",COUNTIFS($O$2:$O$1092,O31,$P$2:$P$1092,"Above Materiality",$M$2:$M$1092,"&gt;"&amp;M31)+COUNTIFS($O$2:$O$1092,O31,$P$2:$P$1092,"Above Materiality",$M$2:$M$1092,M31,$A$2:$A$1092,"&lt;"&amp;A31)+1,"")</f>
        <v>26</v>
      </c>
      <c r="S31" s="21" t="str">
        <f aca="false">IF(P31&lt;&gt;"Below Materiality","",IF(Summary!$C$9="Random",COUNTIFS($O$2:$O$1092,O31,$Q$2:$Q$1092,"&gt;"&amp;Q31)+1,COUNTIFS($O$2:$O$1092,O31,$P$2:$P$1092,"Below Materiality",$M$2:$M$1092,"&gt;"&amp;M31)+COUNTIFS($O$2:$O$1092,O31,$P$2:$P$1092,"Below Materiality",$M$2:$M$1092,M31,$A$2:$A$1092,"&lt;"&amp;A31)+1))</f>
        <v/>
      </c>
      <c r="T31" s="22" t="n">
        <v>0.322435487660954</v>
      </c>
      <c r="U31" s="21" t="str">
        <f aca="false">IF(R31="","",O31&amp;"|A|"&amp;R31)</f>
        <v>Population 1|A|26</v>
      </c>
      <c r="V31" s="21" t="str">
        <f aca="false">IF(S31="","",O31&amp;"|R|"&amp;S31)</f>
        <v/>
      </c>
    </row>
    <row r="32" customFormat="false" ht="15" hidden="false" customHeight="false" outlineLevel="0" collapsed="false">
      <c r="A32" s="18" t="n">
        <v>31</v>
      </c>
      <c r="B32" s="18"/>
      <c r="C32" s="18"/>
      <c r="D32" s="18"/>
      <c r="E32" s="18" t="s">
        <v>131</v>
      </c>
      <c r="F32" s="18" t="s">
        <v>132</v>
      </c>
      <c r="G32" s="18" t="s">
        <v>74</v>
      </c>
      <c r="H32" s="18" t="n">
        <v>35</v>
      </c>
      <c r="I32" s="19" t="n">
        <v>12962.73</v>
      </c>
      <c r="J32" s="19" t="n">
        <v>78010.25</v>
      </c>
      <c r="K32" s="19" t="n">
        <v>72118</v>
      </c>
      <c r="L32" s="19" t="n">
        <v>18854.98</v>
      </c>
      <c r="M32" s="19" t="n">
        <f aca="false">ABS(L32)</f>
        <v>18854.98</v>
      </c>
      <c r="N32" s="18" t="str">
        <f aca="false">IF(L32=0,"Nil balance",IF(G32="AR file",IF(L32&gt;0,"Accounts Receivable","Customer Advances"),IF(L32&lt;0,"Accounts Payable","Supplier Advances")))</f>
        <v>Accounts Receivable</v>
      </c>
      <c r="O32" s="18" t="str">
        <f aca="false">IF(L32=0,"Excluded",IF(Summary!$C$4="By ledger",IF(G32="AR file","Population 1","Population 2"),IF(L32&gt;0,"Population 1","Population 2")))</f>
        <v>Population 1</v>
      </c>
      <c r="P32" s="18" t="str">
        <f aca="false">IF(O32="Excluded","Excluded – nil closing balance",IF(M32&gt;Summary!$C$5,"Above Materiality","Below Materiality"))</f>
        <v>Above Materiality</v>
      </c>
      <c r="Q32" s="20" t="str">
        <f aca="false">IF(P32="Below Materiality",T32,"")</f>
        <v/>
      </c>
      <c r="R32" s="21" t="n">
        <f aca="false">IF(P32="Above Materiality",COUNTIFS($O$2:$O$1092,O32,$P$2:$P$1092,"Above Materiality",$M$2:$M$1092,"&gt;"&amp;M32)+COUNTIFS($O$2:$O$1092,O32,$P$2:$P$1092,"Above Materiality",$M$2:$M$1092,M32,$A$2:$A$1092,"&lt;"&amp;A32)+1,"")</f>
        <v>27</v>
      </c>
      <c r="S32" s="21" t="str">
        <f aca="false">IF(P32&lt;&gt;"Below Materiality","",IF(Summary!$C$9="Random",COUNTIFS($O$2:$O$1092,O32,$Q$2:$Q$1092,"&gt;"&amp;Q32)+1,COUNTIFS($O$2:$O$1092,O32,$P$2:$P$1092,"Below Materiality",$M$2:$M$1092,"&gt;"&amp;M32)+COUNTIFS($O$2:$O$1092,O32,$P$2:$P$1092,"Below Materiality",$M$2:$M$1092,M32,$A$2:$A$1092,"&lt;"&amp;A32)+1))</f>
        <v/>
      </c>
      <c r="T32" s="22" t="n">
        <v>0.0795877645529373</v>
      </c>
      <c r="U32" s="21" t="str">
        <f aca="false">IF(R32="","",O32&amp;"|A|"&amp;R32)</f>
        <v>Population 1|A|27</v>
      </c>
      <c r="V32" s="21" t="str">
        <f aca="false">IF(S32="","",O32&amp;"|R|"&amp;S32)</f>
        <v/>
      </c>
    </row>
    <row r="33" customFormat="false" ht="15" hidden="false" customHeight="false" outlineLevel="0" collapsed="false">
      <c r="A33" s="18" t="n">
        <v>32</v>
      </c>
      <c r="B33" s="18"/>
      <c r="C33" s="18"/>
      <c r="D33" s="18"/>
      <c r="E33" s="18" t="s">
        <v>133</v>
      </c>
      <c r="F33" s="18" t="s">
        <v>134</v>
      </c>
      <c r="G33" s="18" t="s">
        <v>74</v>
      </c>
      <c r="H33" s="18" t="n">
        <v>31</v>
      </c>
      <c r="I33" s="19" t="n">
        <v>18594.03</v>
      </c>
      <c r="J33" s="19" t="n">
        <v>39290.64</v>
      </c>
      <c r="K33" s="19" t="n">
        <v>39774</v>
      </c>
      <c r="L33" s="19" t="n">
        <v>18110.67</v>
      </c>
      <c r="M33" s="19" t="n">
        <f aca="false">ABS(L33)</f>
        <v>18110.67</v>
      </c>
      <c r="N33" s="18" t="str">
        <f aca="false">IF(L33=0,"Nil balance",IF(G33="AR file",IF(L33&gt;0,"Accounts Receivable","Customer Advances"),IF(L33&lt;0,"Accounts Payable","Supplier Advances")))</f>
        <v>Accounts Receivable</v>
      </c>
      <c r="O33" s="18" t="str">
        <f aca="false">IF(L33=0,"Excluded",IF(Summary!$C$4="By ledger",IF(G33="AR file","Population 1","Population 2"),IF(L33&gt;0,"Population 1","Population 2")))</f>
        <v>Population 1</v>
      </c>
      <c r="P33" s="18" t="str">
        <f aca="false">IF(O33="Excluded","Excluded – nil closing balance",IF(M33&gt;Summary!$C$5,"Above Materiality","Below Materiality"))</f>
        <v>Above Materiality</v>
      </c>
      <c r="Q33" s="20" t="str">
        <f aca="false">IF(P33="Below Materiality",T33,"")</f>
        <v/>
      </c>
      <c r="R33" s="21" t="n">
        <f aca="false">IF(P33="Above Materiality",COUNTIFS($O$2:$O$1092,O33,$P$2:$P$1092,"Above Materiality",$M$2:$M$1092,"&gt;"&amp;M33)+COUNTIFS($O$2:$O$1092,O33,$P$2:$P$1092,"Above Materiality",$M$2:$M$1092,M33,$A$2:$A$1092,"&lt;"&amp;A33)+1,"")</f>
        <v>28</v>
      </c>
      <c r="S33" s="21" t="str">
        <f aca="false">IF(P33&lt;&gt;"Below Materiality","",IF(Summary!$C$9="Random",COUNTIFS($O$2:$O$1092,O33,$Q$2:$Q$1092,"&gt;"&amp;Q33)+1,COUNTIFS($O$2:$O$1092,O33,$P$2:$P$1092,"Below Materiality",$M$2:$M$1092,"&gt;"&amp;M33)+COUNTIFS($O$2:$O$1092,O33,$P$2:$P$1092,"Below Materiality",$M$2:$M$1092,M33,$A$2:$A$1092,"&lt;"&amp;A33)+1))</f>
        <v/>
      </c>
      <c r="T33" s="22" t="n">
        <v>0.321402230624828</v>
      </c>
      <c r="U33" s="21" t="str">
        <f aca="false">IF(R33="","",O33&amp;"|A|"&amp;R33)</f>
        <v>Population 1|A|28</v>
      </c>
      <c r="V33" s="21" t="str">
        <f aca="false">IF(S33="","",O33&amp;"|R|"&amp;S33)</f>
        <v/>
      </c>
    </row>
    <row r="34" customFormat="false" ht="15" hidden="false" customHeight="false" outlineLevel="0" collapsed="false">
      <c r="A34" s="18" t="n">
        <v>33</v>
      </c>
      <c r="B34" s="18"/>
      <c r="C34" s="18"/>
      <c r="D34" s="18"/>
      <c r="E34" s="18" t="s">
        <v>135</v>
      </c>
      <c r="F34" s="18" t="s">
        <v>136</v>
      </c>
      <c r="G34" s="18" t="s">
        <v>74</v>
      </c>
      <c r="H34" s="18" t="n">
        <v>34</v>
      </c>
      <c r="I34" s="19" t="n">
        <v>5650.45000000001</v>
      </c>
      <c r="J34" s="19" t="n">
        <v>144481.41</v>
      </c>
      <c r="K34" s="19" t="n">
        <v>132246.85</v>
      </c>
      <c r="L34" s="19" t="n">
        <v>17885.01</v>
      </c>
      <c r="M34" s="19" t="n">
        <f aca="false">ABS(L34)</f>
        <v>17885.01</v>
      </c>
      <c r="N34" s="18" t="str">
        <f aca="false">IF(L34=0,"Nil balance",IF(G34="AR file",IF(L34&gt;0,"Accounts Receivable","Customer Advances"),IF(L34&lt;0,"Accounts Payable","Supplier Advances")))</f>
        <v>Accounts Receivable</v>
      </c>
      <c r="O34" s="18" t="str">
        <f aca="false">IF(L34=0,"Excluded",IF(Summary!$C$4="By ledger",IF(G34="AR file","Population 1","Population 2"),IF(L34&gt;0,"Population 1","Population 2")))</f>
        <v>Population 1</v>
      </c>
      <c r="P34" s="18" t="str">
        <f aca="false">IF(O34="Excluded","Excluded – nil closing balance",IF(M34&gt;Summary!$C$5,"Above Materiality","Below Materiality"))</f>
        <v>Above Materiality</v>
      </c>
      <c r="Q34" s="20" t="str">
        <f aca="false">IF(P34="Below Materiality",T34,"")</f>
        <v/>
      </c>
      <c r="R34" s="21" t="n">
        <f aca="false">IF(P34="Above Materiality",COUNTIFS($O$2:$O$1092,O34,$P$2:$P$1092,"Above Materiality",$M$2:$M$1092,"&gt;"&amp;M34)+COUNTIFS($O$2:$O$1092,O34,$P$2:$P$1092,"Above Materiality",$M$2:$M$1092,M34,$A$2:$A$1092,"&lt;"&amp;A34)+1,"")</f>
        <v>29</v>
      </c>
      <c r="S34" s="21" t="str">
        <f aca="false">IF(P34&lt;&gt;"Below Materiality","",IF(Summary!$C$9="Random",COUNTIFS($O$2:$O$1092,O34,$Q$2:$Q$1092,"&gt;"&amp;Q34)+1,COUNTIFS($O$2:$O$1092,O34,$P$2:$P$1092,"Below Materiality",$M$2:$M$1092,"&gt;"&amp;M34)+COUNTIFS($O$2:$O$1092,O34,$P$2:$P$1092,"Below Materiality",$M$2:$M$1092,M34,$A$2:$A$1092,"&lt;"&amp;A34)+1))</f>
        <v/>
      </c>
      <c r="T34" s="22" t="n">
        <v>0.0716550844687007</v>
      </c>
      <c r="U34" s="21" t="str">
        <f aca="false">IF(R34="","",O34&amp;"|A|"&amp;R34)</f>
        <v>Population 1|A|29</v>
      </c>
      <c r="V34" s="21" t="str">
        <f aca="false">IF(S34="","",O34&amp;"|R|"&amp;S34)</f>
        <v/>
      </c>
    </row>
    <row r="35" customFormat="false" ht="15" hidden="false" customHeight="false" outlineLevel="0" collapsed="false">
      <c r="A35" s="18" t="n">
        <v>34</v>
      </c>
      <c r="B35" s="18"/>
      <c r="C35" s="18"/>
      <c r="D35" s="18"/>
      <c r="E35" s="18" t="s">
        <v>137</v>
      </c>
      <c r="F35" s="18" t="s">
        <v>138</v>
      </c>
      <c r="G35" s="18" t="s">
        <v>74</v>
      </c>
      <c r="H35" s="18" t="n">
        <v>210</v>
      </c>
      <c r="I35" s="19" t="n">
        <v>4611.5</v>
      </c>
      <c r="J35" s="19" t="n">
        <v>42364.85</v>
      </c>
      <c r="K35" s="19" t="n">
        <v>30713.05</v>
      </c>
      <c r="L35" s="19" t="n">
        <v>16263.3</v>
      </c>
      <c r="M35" s="19" t="n">
        <f aca="false">ABS(L35)</f>
        <v>16263.3</v>
      </c>
      <c r="N35" s="18" t="str">
        <f aca="false">IF(L35=0,"Nil balance",IF(G35="AR file",IF(L35&gt;0,"Accounts Receivable","Customer Advances"),IF(L35&lt;0,"Accounts Payable","Supplier Advances")))</f>
        <v>Accounts Receivable</v>
      </c>
      <c r="O35" s="18" t="str">
        <f aca="false">IF(L35=0,"Excluded",IF(Summary!$C$4="By ledger",IF(G35="AR file","Population 1","Population 2"),IF(L35&gt;0,"Population 1","Population 2")))</f>
        <v>Population 1</v>
      </c>
      <c r="P35" s="18" t="str">
        <f aca="false">IF(O35="Excluded","Excluded – nil closing balance",IF(M35&gt;Summary!$C$5,"Above Materiality","Below Materiality"))</f>
        <v>Above Materiality</v>
      </c>
      <c r="Q35" s="20" t="str">
        <f aca="false">IF(P35="Below Materiality",T35,"")</f>
        <v/>
      </c>
      <c r="R35" s="21" t="n">
        <f aca="false">IF(P35="Above Materiality",COUNTIFS($O$2:$O$1092,O35,$P$2:$P$1092,"Above Materiality",$M$2:$M$1092,"&gt;"&amp;M35)+COUNTIFS($O$2:$O$1092,O35,$P$2:$P$1092,"Above Materiality",$M$2:$M$1092,M35,$A$2:$A$1092,"&lt;"&amp;A35)+1,"")</f>
        <v>30</v>
      </c>
      <c r="S35" s="21" t="str">
        <f aca="false">IF(P35&lt;&gt;"Below Materiality","",IF(Summary!$C$9="Random",COUNTIFS($O$2:$O$1092,O35,$Q$2:$Q$1092,"&gt;"&amp;Q35)+1,COUNTIFS($O$2:$O$1092,O35,$P$2:$P$1092,"Below Materiality",$M$2:$M$1092,"&gt;"&amp;M35)+COUNTIFS($O$2:$O$1092,O35,$P$2:$P$1092,"Below Materiality",$M$2:$M$1092,M35,$A$2:$A$1092,"&lt;"&amp;A35)+1))</f>
        <v/>
      </c>
      <c r="T35" s="22" t="n">
        <v>0.741461617500724</v>
      </c>
      <c r="U35" s="21" t="str">
        <f aca="false">IF(R35="","",O35&amp;"|A|"&amp;R35)</f>
        <v>Population 1|A|30</v>
      </c>
      <c r="V35" s="21" t="str">
        <f aca="false">IF(S35="","",O35&amp;"|R|"&amp;S35)</f>
        <v/>
      </c>
    </row>
    <row r="36" customFormat="false" ht="15" hidden="false" customHeight="false" outlineLevel="0" collapsed="false">
      <c r="A36" s="18" t="n">
        <v>35</v>
      </c>
      <c r="B36" s="18"/>
      <c r="C36" s="18"/>
      <c r="D36" s="18"/>
      <c r="E36" s="18" t="s">
        <v>139</v>
      </c>
      <c r="F36" s="18" t="s">
        <v>140</v>
      </c>
      <c r="G36" s="18" t="s">
        <v>74</v>
      </c>
      <c r="H36" s="18" t="n">
        <v>188</v>
      </c>
      <c r="I36" s="19" t="n">
        <v>0</v>
      </c>
      <c r="J36" s="19" t="n">
        <v>0</v>
      </c>
      <c r="K36" s="19" t="n">
        <v>14817</v>
      </c>
      <c r="L36" s="19" t="n">
        <v>-14817</v>
      </c>
      <c r="M36" s="19" t="n">
        <f aca="false">ABS(L36)</f>
        <v>14817</v>
      </c>
      <c r="N36" s="18" t="str">
        <f aca="false">IF(L36=0,"Nil balance",IF(G36="AR file",IF(L36&gt;0,"Accounts Receivable","Customer Advances"),IF(L36&lt;0,"Accounts Payable","Supplier Advances")))</f>
        <v>Customer Advances</v>
      </c>
      <c r="O36" s="18" t="str">
        <f aca="false">IF(L36=0,"Excluded",IF(Summary!$C$4="By ledger",IF(G36="AR file","Population 1","Population 2"),IF(L36&gt;0,"Population 1","Population 2")))</f>
        <v>Population 1</v>
      </c>
      <c r="P36" s="18" t="str">
        <f aca="false">IF(O36="Excluded","Excluded – nil closing balance",IF(M36&gt;Summary!$C$5,"Above Materiality","Below Materiality"))</f>
        <v>Above Materiality</v>
      </c>
      <c r="Q36" s="20" t="str">
        <f aca="false">IF(P36="Below Materiality",T36,"")</f>
        <v/>
      </c>
      <c r="R36" s="21" t="n">
        <f aca="false">IF(P36="Above Materiality",COUNTIFS($O$2:$O$1092,O36,$P$2:$P$1092,"Above Materiality",$M$2:$M$1092,"&gt;"&amp;M36)+COUNTIFS($O$2:$O$1092,O36,$P$2:$P$1092,"Above Materiality",$M$2:$M$1092,M36,$A$2:$A$1092,"&lt;"&amp;A36)+1,"")</f>
        <v>31</v>
      </c>
      <c r="S36" s="21" t="str">
        <f aca="false">IF(P36&lt;&gt;"Below Materiality","",IF(Summary!$C$9="Random",COUNTIFS($O$2:$O$1092,O36,$Q$2:$Q$1092,"&gt;"&amp;Q36)+1,COUNTIFS($O$2:$O$1092,O36,$P$2:$P$1092,"Below Materiality",$M$2:$M$1092,"&gt;"&amp;M36)+COUNTIFS($O$2:$O$1092,O36,$P$2:$P$1092,"Below Materiality",$M$2:$M$1092,M36,$A$2:$A$1092,"&lt;"&amp;A36)+1))</f>
        <v/>
      </c>
      <c r="T36" s="22" t="n">
        <v>0.811671546030014</v>
      </c>
      <c r="U36" s="21" t="str">
        <f aca="false">IF(R36="","",O36&amp;"|A|"&amp;R36)</f>
        <v>Population 1|A|31</v>
      </c>
      <c r="V36" s="21" t="str">
        <f aca="false">IF(S36="","",O36&amp;"|R|"&amp;S36)</f>
        <v/>
      </c>
    </row>
    <row r="37" customFormat="false" ht="15" hidden="false" customHeight="false" outlineLevel="0" collapsed="false">
      <c r="A37" s="18" t="n">
        <v>36</v>
      </c>
      <c r="B37" s="18"/>
      <c r="C37" s="18"/>
      <c r="D37" s="18"/>
      <c r="E37" s="18" t="s">
        <v>141</v>
      </c>
      <c r="F37" s="18" t="s">
        <v>142</v>
      </c>
      <c r="G37" s="18" t="s">
        <v>74</v>
      </c>
      <c r="H37" s="18" t="n">
        <v>67</v>
      </c>
      <c r="I37" s="19" t="n">
        <v>35898.48</v>
      </c>
      <c r="J37" s="19" t="n">
        <v>52724.05</v>
      </c>
      <c r="K37" s="19" t="n">
        <v>73845.5</v>
      </c>
      <c r="L37" s="19" t="n">
        <v>14777.03</v>
      </c>
      <c r="M37" s="19" t="n">
        <f aca="false">ABS(L37)</f>
        <v>14777.03</v>
      </c>
      <c r="N37" s="18" t="str">
        <f aca="false">IF(L37=0,"Nil balance",IF(G37="AR file",IF(L37&gt;0,"Accounts Receivable","Customer Advances"),IF(L37&lt;0,"Accounts Payable","Supplier Advances")))</f>
        <v>Accounts Receivable</v>
      </c>
      <c r="O37" s="18" t="str">
        <f aca="false">IF(L37=0,"Excluded",IF(Summary!$C$4="By ledger",IF(G37="AR file","Population 1","Population 2"),IF(L37&gt;0,"Population 1","Population 2")))</f>
        <v>Population 1</v>
      </c>
      <c r="P37" s="18" t="str">
        <f aca="false">IF(O37="Excluded","Excluded – nil closing balance",IF(M37&gt;Summary!$C$5,"Above Materiality","Below Materiality"))</f>
        <v>Above Materiality</v>
      </c>
      <c r="Q37" s="20" t="str">
        <f aca="false">IF(P37="Below Materiality",T37,"")</f>
        <v/>
      </c>
      <c r="R37" s="21" t="n">
        <f aca="false">IF(P37="Above Materiality",COUNTIFS($O$2:$O$1092,O37,$P$2:$P$1092,"Above Materiality",$M$2:$M$1092,"&gt;"&amp;M37)+COUNTIFS($O$2:$O$1092,O37,$P$2:$P$1092,"Above Materiality",$M$2:$M$1092,M37,$A$2:$A$1092,"&lt;"&amp;A37)+1,"")</f>
        <v>32</v>
      </c>
      <c r="S37" s="21" t="str">
        <f aca="false">IF(P37&lt;&gt;"Below Materiality","",IF(Summary!$C$9="Random",COUNTIFS($O$2:$O$1092,O37,$Q$2:$Q$1092,"&gt;"&amp;Q37)+1,COUNTIFS($O$2:$O$1092,O37,$P$2:$P$1092,"Below Materiality",$M$2:$M$1092,"&gt;"&amp;M37)+COUNTIFS($O$2:$O$1092,O37,$P$2:$P$1092,"Below Materiality",$M$2:$M$1092,M37,$A$2:$A$1092,"&lt;"&amp;A37)+1))</f>
        <v/>
      </c>
      <c r="T37" s="22" t="n">
        <v>0.974275716684585</v>
      </c>
      <c r="U37" s="21" t="str">
        <f aca="false">IF(R37="","",O37&amp;"|A|"&amp;R37)</f>
        <v>Population 1|A|32</v>
      </c>
      <c r="V37" s="21" t="str">
        <f aca="false">IF(S37="","",O37&amp;"|R|"&amp;S37)</f>
        <v/>
      </c>
    </row>
    <row r="38" customFormat="false" ht="15" hidden="false" customHeight="false" outlineLevel="0" collapsed="false">
      <c r="A38" s="18" t="n">
        <v>37</v>
      </c>
      <c r="B38" s="18"/>
      <c r="C38" s="18"/>
      <c r="D38" s="18"/>
      <c r="E38" s="18" t="s">
        <v>143</v>
      </c>
      <c r="F38" s="18" t="s">
        <v>144</v>
      </c>
      <c r="G38" s="18" t="s">
        <v>74</v>
      </c>
      <c r="H38" s="18" t="n">
        <v>87</v>
      </c>
      <c r="I38" s="19" t="n">
        <v>-7000</v>
      </c>
      <c r="J38" s="19" t="n">
        <v>31274.83</v>
      </c>
      <c r="K38" s="19" t="n">
        <v>10000</v>
      </c>
      <c r="L38" s="19" t="n">
        <v>14274.83</v>
      </c>
      <c r="M38" s="19" t="n">
        <f aca="false">ABS(L38)</f>
        <v>14274.83</v>
      </c>
      <c r="N38" s="18" t="str">
        <f aca="false">IF(L38=0,"Nil balance",IF(G38="AR file",IF(L38&gt;0,"Accounts Receivable","Customer Advances"),IF(L38&lt;0,"Accounts Payable","Supplier Advances")))</f>
        <v>Accounts Receivable</v>
      </c>
      <c r="O38" s="18" t="str">
        <f aca="false">IF(L38=0,"Excluded",IF(Summary!$C$4="By ledger",IF(G38="AR file","Population 1","Population 2"),IF(L38&gt;0,"Population 1","Population 2")))</f>
        <v>Population 1</v>
      </c>
      <c r="P38" s="18" t="str">
        <f aca="false">IF(O38="Excluded","Excluded – nil closing balance",IF(M38&gt;Summary!$C$5,"Above Materiality","Below Materiality"))</f>
        <v>Above Materiality</v>
      </c>
      <c r="Q38" s="20" t="str">
        <f aca="false">IF(P38="Below Materiality",T38,"")</f>
        <v/>
      </c>
      <c r="R38" s="21" t="n">
        <f aca="false">IF(P38="Above Materiality",COUNTIFS($O$2:$O$1092,O38,$P$2:$P$1092,"Above Materiality",$M$2:$M$1092,"&gt;"&amp;M38)+COUNTIFS($O$2:$O$1092,O38,$P$2:$P$1092,"Above Materiality",$M$2:$M$1092,M38,$A$2:$A$1092,"&lt;"&amp;A38)+1,"")</f>
        <v>33</v>
      </c>
      <c r="S38" s="21" t="str">
        <f aca="false">IF(P38&lt;&gt;"Below Materiality","",IF(Summary!$C$9="Random",COUNTIFS($O$2:$O$1092,O38,$Q$2:$Q$1092,"&gt;"&amp;Q38)+1,COUNTIFS($O$2:$O$1092,O38,$P$2:$P$1092,"Below Materiality",$M$2:$M$1092,"&gt;"&amp;M38)+COUNTIFS($O$2:$O$1092,O38,$P$2:$P$1092,"Below Materiality",$M$2:$M$1092,M38,$A$2:$A$1092,"&lt;"&amp;A38)+1))</f>
        <v/>
      </c>
      <c r="T38" s="22" t="n">
        <v>0.422319321431895</v>
      </c>
      <c r="U38" s="21" t="str">
        <f aca="false">IF(R38="","",O38&amp;"|A|"&amp;R38)</f>
        <v>Population 1|A|33</v>
      </c>
      <c r="V38" s="21" t="str">
        <f aca="false">IF(S38="","",O38&amp;"|R|"&amp;S38)</f>
        <v/>
      </c>
    </row>
    <row r="39" customFormat="false" ht="15" hidden="false" customHeight="false" outlineLevel="0" collapsed="false">
      <c r="A39" s="18" t="n">
        <v>38</v>
      </c>
      <c r="B39" s="18"/>
      <c r="C39" s="18"/>
      <c r="D39" s="18"/>
      <c r="E39" s="18" t="s">
        <v>145</v>
      </c>
      <c r="F39" s="18" t="s">
        <v>146</v>
      </c>
      <c r="G39" s="18" t="s">
        <v>74</v>
      </c>
      <c r="H39" s="18" t="n">
        <v>256</v>
      </c>
      <c r="I39" s="19" t="n">
        <v>-29890</v>
      </c>
      <c r="J39" s="19" t="n">
        <v>56239.3</v>
      </c>
      <c r="K39" s="19" t="n">
        <v>13989.25</v>
      </c>
      <c r="L39" s="19" t="n">
        <v>12360.05</v>
      </c>
      <c r="M39" s="19" t="n">
        <f aca="false">ABS(L39)</f>
        <v>12360.05</v>
      </c>
      <c r="N39" s="18" t="str">
        <f aca="false">IF(L39=0,"Nil balance",IF(G39="AR file",IF(L39&gt;0,"Accounts Receivable","Customer Advances"),IF(L39&lt;0,"Accounts Payable","Supplier Advances")))</f>
        <v>Accounts Receivable</v>
      </c>
      <c r="O39" s="18" t="str">
        <f aca="false">IF(L39=0,"Excluded",IF(Summary!$C$4="By ledger",IF(G39="AR file","Population 1","Population 2"),IF(L39&gt;0,"Population 1","Population 2")))</f>
        <v>Population 1</v>
      </c>
      <c r="P39" s="18" t="str">
        <f aca="false">IF(O39="Excluded","Excluded – nil closing balance",IF(M39&gt;Summary!$C$5,"Above Materiality","Below Materiality"))</f>
        <v>Above Materiality</v>
      </c>
      <c r="Q39" s="20" t="str">
        <f aca="false">IF(P39="Below Materiality",T39,"")</f>
        <v/>
      </c>
      <c r="R39" s="21" t="n">
        <f aca="false">IF(P39="Above Materiality",COUNTIFS($O$2:$O$1092,O39,$P$2:$P$1092,"Above Materiality",$M$2:$M$1092,"&gt;"&amp;M39)+COUNTIFS($O$2:$O$1092,O39,$P$2:$P$1092,"Above Materiality",$M$2:$M$1092,M39,$A$2:$A$1092,"&lt;"&amp;A39)+1,"")</f>
        <v>34</v>
      </c>
      <c r="S39" s="21" t="str">
        <f aca="false">IF(P39&lt;&gt;"Below Materiality","",IF(Summary!$C$9="Random",COUNTIFS($O$2:$O$1092,O39,$Q$2:$Q$1092,"&gt;"&amp;Q39)+1,COUNTIFS($O$2:$O$1092,O39,$P$2:$P$1092,"Below Materiality",$M$2:$M$1092,"&gt;"&amp;M39)+COUNTIFS($O$2:$O$1092,O39,$P$2:$P$1092,"Below Materiality",$M$2:$M$1092,M39,$A$2:$A$1092,"&lt;"&amp;A39)+1))</f>
        <v/>
      </c>
      <c r="T39" s="22" t="n">
        <v>0.750241683101368</v>
      </c>
      <c r="U39" s="21" t="str">
        <f aca="false">IF(R39="","",O39&amp;"|A|"&amp;R39)</f>
        <v>Population 1|A|34</v>
      </c>
      <c r="V39" s="21" t="str">
        <f aca="false">IF(S39="","",O39&amp;"|R|"&amp;S39)</f>
        <v/>
      </c>
    </row>
    <row r="40" customFormat="false" ht="15" hidden="false" customHeight="false" outlineLevel="0" collapsed="false">
      <c r="A40" s="18" t="n">
        <v>39</v>
      </c>
      <c r="B40" s="18"/>
      <c r="C40" s="18"/>
      <c r="D40" s="18"/>
      <c r="E40" s="18" t="s">
        <v>147</v>
      </c>
      <c r="F40" s="18" t="s">
        <v>148</v>
      </c>
      <c r="G40" s="18" t="s">
        <v>74</v>
      </c>
      <c r="H40" s="18" t="n">
        <v>456</v>
      </c>
      <c r="I40" s="19" t="n">
        <v>0</v>
      </c>
      <c r="J40" s="19" t="n">
        <v>26239.55</v>
      </c>
      <c r="K40" s="19" t="n">
        <v>14103.6</v>
      </c>
      <c r="L40" s="19" t="n">
        <v>12135.95</v>
      </c>
      <c r="M40" s="19" t="n">
        <f aca="false">ABS(L40)</f>
        <v>12135.95</v>
      </c>
      <c r="N40" s="18" t="str">
        <f aca="false">IF(L40=0,"Nil balance",IF(G40="AR file",IF(L40&gt;0,"Accounts Receivable","Customer Advances"),IF(L40&lt;0,"Accounts Payable","Supplier Advances")))</f>
        <v>Accounts Receivable</v>
      </c>
      <c r="O40" s="18" t="str">
        <f aca="false">IF(L40=0,"Excluded",IF(Summary!$C$4="By ledger",IF(G40="AR file","Population 1","Population 2"),IF(L40&gt;0,"Population 1","Population 2")))</f>
        <v>Population 1</v>
      </c>
      <c r="P40" s="18" t="str">
        <f aca="false">IF(O40="Excluded","Excluded – nil closing balance",IF(M40&gt;Summary!$C$5,"Above Materiality","Below Materiality"))</f>
        <v>Above Materiality</v>
      </c>
      <c r="Q40" s="20" t="str">
        <f aca="false">IF(P40="Below Materiality",T40,"")</f>
        <v/>
      </c>
      <c r="R40" s="21" t="n">
        <f aca="false">IF(P40="Above Materiality",COUNTIFS($O$2:$O$1092,O40,$P$2:$P$1092,"Above Materiality",$M$2:$M$1092,"&gt;"&amp;M40)+COUNTIFS($O$2:$O$1092,O40,$P$2:$P$1092,"Above Materiality",$M$2:$M$1092,M40,$A$2:$A$1092,"&lt;"&amp;A40)+1,"")</f>
        <v>35</v>
      </c>
      <c r="S40" s="21" t="str">
        <f aca="false">IF(P40&lt;&gt;"Below Materiality","",IF(Summary!$C$9="Random",COUNTIFS($O$2:$O$1092,O40,$Q$2:$Q$1092,"&gt;"&amp;Q40)+1,COUNTIFS($O$2:$O$1092,O40,$P$2:$P$1092,"Below Materiality",$M$2:$M$1092,"&gt;"&amp;M40)+COUNTIFS($O$2:$O$1092,O40,$P$2:$P$1092,"Below Materiality",$M$2:$M$1092,M40,$A$2:$A$1092,"&lt;"&amp;A40)+1))</f>
        <v/>
      </c>
      <c r="T40" s="22" t="n">
        <v>0.246231260558236</v>
      </c>
      <c r="U40" s="21" t="str">
        <f aca="false">IF(R40="","",O40&amp;"|A|"&amp;R40)</f>
        <v>Population 1|A|35</v>
      </c>
      <c r="V40" s="21" t="str">
        <f aca="false">IF(S40="","",O40&amp;"|R|"&amp;S40)</f>
        <v/>
      </c>
    </row>
    <row r="41" customFormat="false" ht="15" hidden="false" customHeight="false" outlineLevel="0" collapsed="false">
      <c r="A41" s="18" t="n">
        <v>40</v>
      </c>
      <c r="B41" s="18"/>
      <c r="C41" s="18"/>
      <c r="D41" s="18"/>
      <c r="E41" s="18" t="s">
        <v>149</v>
      </c>
      <c r="F41" s="18" t="s">
        <v>150</v>
      </c>
      <c r="G41" s="18" t="s">
        <v>74</v>
      </c>
      <c r="H41" s="18" t="n">
        <v>239</v>
      </c>
      <c r="I41" s="19" t="n">
        <v>0</v>
      </c>
      <c r="J41" s="19" t="n">
        <v>25650.18</v>
      </c>
      <c r="K41" s="19" t="n">
        <v>15000</v>
      </c>
      <c r="L41" s="19" t="n">
        <v>10650.18</v>
      </c>
      <c r="M41" s="19" t="n">
        <f aca="false">ABS(L41)</f>
        <v>10650.18</v>
      </c>
      <c r="N41" s="18" t="str">
        <f aca="false">IF(L41=0,"Nil balance",IF(G41="AR file",IF(L41&gt;0,"Accounts Receivable","Customer Advances"),IF(L41&lt;0,"Accounts Payable","Supplier Advances")))</f>
        <v>Accounts Receivable</v>
      </c>
      <c r="O41" s="18" t="str">
        <f aca="false">IF(L41=0,"Excluded",IF(Summary!$C$4="By ledger",IF(G41="AR file","Population 1","Population 2"),IF(L41&gt;0,"Population 1","Population 2")))</f>
        <v>Population 1</v>
      </c>
      <c r="P41" s="18" t="str">
        <f aca="false">IF(O41="Excluded","Excluded – nil closing balance",IF(M41&gt;Summary!$C$5,"Above Materiality","Below Materiality"))</f>
        <v>Above Materiality</v>
      </c>
      <c r="Q41" s="20" t="str">
        <f aca="false">IF(P41="Below Materiality",T41,"")</f>
        <v/>
      </c>
      <c r="R41" s="21" t="n">
        <f aca="false">IF(P41="Above Materiality",COUNTIFS($O$2:$O$1092,O41,$P$2:$P$1092,"Above Materiality",$M$2:$M$1092,"&gt;"&amp;M41)+COUNTIFS($O$2:$O$1092,O41,$P$2:$P$1092,"Above Materiality",$M$2:$M$1092,M41,$A$2:$A$1092,"&lt;"&amp;A41)+1,"")</f>
        <v>36</v>
      </c>
      <c r="S41" s="21" t="str">
        <f aca="false">IF(P41&lt;&gt;"Below Materiality","",IF(Summary!$C$9="Random",COUNTIFS($O$2:$O$1092,O41,$Q$2:$Q$1092,"&gt;"&amp;Q41)+1,COUNTIFS($O$2:$O$1092,O41,$P$2:$P$1092,"Below Materiality",$M$2:$M$1092,"&gt;"&amp;M41)+COUNTIFS($O$2:$O$1092,O41,$P$2:$P$1092,"Below Materiality",$M$2:$M$1092,M41,$A$2:$A$1092,"&lt;"&amp;A41)+1))</f>
        <v/>
      </c>
      <c r="T41" s="22" t="n">
        <v>0.252667352025109</v>
      </c>
      <c r="U41" s="21" t="str">
        <f aca="false">IF(R41="","",O41&amp;"|A|"&amp;R41)</f>
        <v>Population 1|A|36</v>
      </c>
      <c r="V41" s="21" t="str">
        <f aca="false">IF(S41="","",O41&amp;"|R|"&amp;S41)</f>
        <v/>
      </c>
    </row>
    <row r="42" customFormat="false" ht="15" hidden="false" customHeight="false" outlineLevel="0" collapsed="false">
      <c r="A42" s="18" t="n">
        <v>41</v>
      </c>
      <c r="B42" s="18"/>
      <c r="C42" s="18"/>
      <c r="D42" s="18"/>
      <c r="E42" s="18" t="s">
        <v>151</v>
      </c>
      <c r="F42" s="18" t="s">
        <v>152</v>
      </c>
      <c r="G42" s="18" t="s">
        <v>74</v>
      </c>
      <c r="H42" s="18" t="n">
        <v>158</v>
      </c>
      <c r="I42" s="19" t="n">
        <v>12764.1</v>
      </c>
      <c r="J42" s="19" t="n">
        <v>40727.25</v>
      </c>
      <c r="K42" s="19" t="n">
        <v>42965.15</v>
      </c>
      <c r="L42" s="19" t="n">
        <v>10526.2</v>
      </c>
      <c r="M42" s="19" t="n">
        <f aca="false">ABS(L42)</f>
        <v>10526.2</v>
      </c>
      <c r="N42" s="18" t="str">
        <f aca="false">IF(L42=0,"Nil balance",IF(G42="AR file",IF(L42&gt;0,"Accounts Receivable","Customer Advances"),IF(L42&lt;0,"Accounts Payable","Supplier Advances")))</f>
        <v>Accounts Receivable</v>
      </c>
      <c r="O42" s="18" t="str">
        <f aca="false">IF(L42=0,"Excluded",IF(Summary!$C$4="By ledger",IF(G42="AR file","Population 1","Population 2"),IF(L42&gt;0,"Population 1","Population 2")))</f>
        <v>Population 1</v>
      </c>
      <c r="P42" s="18" t="str">
        <f aca="false">IF(O42="Excluded","Excluded – nil closing balance",IF(M42&gt;Summary!$C$5,"Above Materiality","Below Materiality"))</f>
        <v>Above Materiality</v>
      </c>
      <c r="Q42" s="20" t="str">
        <f aca="false">IF(P42="Below Materiality",T42,"")</f>
        <v/>
      </c>
      <c r="R42" s="21" t="n">
        <f aca="false">IF(P42="Above Materiality",COUNTIFS($O$2:$O$1092,O42,$P$2:$P$1092,"Above Materiality",$M$2:$M$1092,"&gt;"&amp;M42)+COUNTIFS($O$2:$O$1092,O42,$P$2:$P$1092,"Above Materiality",$M$2:$M$1092,M42,$A$2:$A$1092,"&lt;"&amp;A42)+1,"")</f>
        <v>37</v>
      </c>
      <c r="S42" s="21" t="str">
        <f aca="false">IF(P42&lt;&gt;"Below Materiality","",IF(Summary!$C$9="Random",COUNTIFS($O$2:$O$1092,O42,$Q$2:$Q$1092,"&gt;"&amp;Q42)+1,COUNTIFS($O$2:$O$1092,O42,$P$2:$P$1092,"Below Materiality",$M$2:$M$1092,"&gt;"&amp;M42)+COUNTIFS($O$2:$O$1092,O42,$P$2:$P$1092,"Below Materiality",$M$2:$M$1092,M42,$A$2:$A$1092,"&lt;"&amp;A42)+1))</f>
        <v/>
      </c>
      <c r="T42" s="22" t="n">
        <v>0.0729440626765235</v>
      </c>
      <c r="U42" s="21" t="str">
        <f aca="false">IF(R42="","",O42&amp;"|A|"&amp;R42)</f>
        <v>Population 1|A|37</v>
      </c>
      <c r="V42" s="21" t="str">
        <f aca="false">IF(S42="","",O42&amp;"|R|"&amp;S42)</f>
        <v/>
      </c>
    </row>
    <row r="43" customFormat="false" ht="15" hidden="false" customHeight="false" outlineLevel="0" collapsed="false">
      <c r="A43" s="18" t="n">
        <v>42</v>
      </c>
      <c r="B43" s="18"/>
      <c r="C43" s="18"/>
      <c r="D43" s="18"/>
      <c r="E43" s="18" t="s">
        <v>153</v>
      </c>
      <c r="F43" s="18" t="s">
        <v>154</v>
      </c>
      <c r="G43" s="18" t="s">
        <v>74</v>
      </c>
      <c r="H43" s="18" t="n">
        <v>177</v>
      </c>
      <c r="I43" s="19" t="n">
        <v>25300.75</v>
      </c>
      <c r="J43" s="19" t="n">
        <v>148074.86</v>
      </c>
      <c r="K43" s="19" t="n">
        <v>163906.91</v>
      </c>
      <c r="L43" s="19" t="n">
        <v>9468.69999999998</v>
      </c>
      <c r="M43" s="19" t="n">
        <f aca="false">ABS(L43)</f>
        <v>9468.69999999998</v>
      </c>
      <c r="N43" s="18" t="str">
        <f aca="false">IF(L43=0,"Nil balance",IF(G43="AR file",IF(L43&gt;0,"Accounts Receivable","Customer Advances"),IF(L43&lt;0,"Accounts Payable","Supplier Advances")))</f>
        <v>Accounts Receivable</v>
      </c>
      <c r="O43" s="18" t="str">
        <f aca="false">IF(L43=0,"Excluded",IF(Summary!$C$4="By ledger",IF(G43="AR file","Population 1","Population 2"),IF(L43&gt;0,"Population 1","Population 2")))</f>
        <v>Population 1</v>
      </c>
      <c r="P43" s="18" t="str">
        <f aca="false">IF(O43="Excluded","Excluded – nil closing balance",IF(M43&gt;Summary!$C$5,"Above Materiality","Below Materiality"))</f>
        <v>Below Materiality</v>
      </c>
      <c r="Q43" s="20" t="n">
        <f aca="false">IF(P43="Below Materiality",T43,"")</f>
        <v>0.356723383027949</v>
      </c>
      <c r="R43" s="21" t="str">
        <f aca="false">IF(P43="Above Materiality",COUNTIFS($O$2:$O$1092,O43,$P$2:$P$1092,"Above Materiality",$M$2:$M$1092,"&gt;"&amp;M43)+COUNTIFS($O$2:$O$1092,O43,$P$2:$P$1092,"Above Materiality",$M$2:$M$1092,M43,$A$2:$A$1092,"&lt;"&amp;A43)+1,"")</f>
        <v/>
      </c>
      <c r="S43" s="21" t="n">
        <f aca="false">IF(P43&lt;&gt;"Below Materiality","",IF(Summary!$C$9="Random",COUNTIFS($O$2:$O$1092,O43,$Q$2:$Q$1092,"&gt;"&amp;Q43)+1,COUNTIFS($O$2:$O$1092,O43,$P$2:$P$1092,"Below Materiality",$M$2:$M$1092,"&gt;"&amp;M43)+COUNTIFS($O$2:$O$1092,O43,$P$2:$P$1092,"Below Materiality",$M$2:$M$1092,M43,$A$2:$A$1092,"&lt;"&amp;A43)+1))</f>
        <v>1</v>
      </c>
      <c r="T43" s="22" t="n">
        <v>0.356723383027949</v>
      </c>
      <c r="U43" s="21" t="str">
        <f aca="false">IF(R43="","",O43&amp;"|A|"&amp;R43)</f>
        <v/>
      </c>
      <c r="V43" s="21" t="str">
        <f aca="false">IF(S43="","",O43&amp;"|R|"&amp;S43)</f>
        <v>Population 1|R|1</v>
      </c>
    </row>
    <row r="44" customFormat="false" ht="15" hidden="false" customHeight="false" outlineLevel="0" collapsed="false">
      <c r="A44" s="18" t="n">
        <v>43</v>
      </c>
      <c r="B44" s="18"/>
      <c r="C44" s="18"/>
      <c r="D44" s="18"/>
      <c r="E44" s="18" t="s">
        <v>155</v>
      </c>
      <c r="F44" s="18" t="s">
        <v>156</v>
      </c>
      <c r="G44" s="18" t="s">
        <v>74</v>
      </c>
      <c r="H44" s="18" t="n">
        <v>29</v>
      </c>
      <c r="I44" s="19" t="n">
        <v>17345.72</v>
      </c>
      <c r="J44" s="19" t="n">
        <v>31986.97</v>
      </c>
      <c r="K44" s="19" t="n">
        <v>40284.22</v>
      </c>
      <c r="L44" s="19" t="n">
        <v>9048.47</v>
      </c>
      <c r="M44" s="19" t="n">
        <f aca="false">ABS(L44)</f>
        <v>9048.47</v>
      </c>
      <c r="N44" s="18" t="str">
        <f aca="false">IF(L44=0,"Nil balance",IF(G44="AR file",IF(L44&gt;0,"Accounts Receivable","Customer Advances"),IF(L44&lt;0,"Accounts Payable","Supplier Advances")))</f>
        <v>Accounts Receivable</v>
      </c>
      <c r="O44" s="18" t="str">
        <f aca="false">IF(L44=0,"Excluded",IF(Summary!$C$4="By ledger",IF(G44="AR file","Population 1","Population 2"),IF(L44&gt;0,"Population 1","Population 2")))</f>
        <v>Population 1</v>
      </c>
      <c r="P44" s="18" t="str">
        <f aca="false">IF(O44="Excluded","Excluded – nil closing balance",IF(M44&gt;Summary!$C$5,"Above Materiality","Below Materiality"))</f>
        <v>Below Materiality</v>
      </c>
      <c r="Q44" s="20" t="n">
        <f aca="false">IF(P44="Below Materiality",T44,"")</f>
        <v>0.675274958915812</v>
      </c>
      <c r="R44" s="21" t="str">
        <f aca="false">IF(P44="Above Materiality",COUNTIFS($O$2:$O$1092,O44,$P$2:$P$1092,"Above Materiality",$M$2:$M$1092,"&gt;"&amp;M44)+COUNTIFS($O$2:$O$1092,O44,$P$2:$P$1092,"Above Materiality",$M$2:$M$1092,M44,$A$2:$A$1092,"&lt;"&amp;A44)+1,"")</f>
        <v/>
      </c>
      <c r="S44" s="21" t="n">
        <f aca="false">IF(P44&lt;&gt;"Below Materiality","",IF(Summary!$C$9="Random",COUNTIFS($O$2:$O$1092,O44,$Q$2:$Q$1092,"&gt;"&amp;Q44)+1,COUNTIFS($O$2:$O$1092,O44,$P$2:$P$1092,"Below Materiality",$M$2:$M$1092,"&gt;"&amp;M44)+COUNTIFS($O$2:$O$1092,O44,$P$2:$P$1092,"Below Materiality",$M$2:$M$1092,M44,$A$2:$A$1092,"&lt;"&amp;A44)+1))</f>
        <v>2</v>
      </c>
      <c r="T44" s="22" t="n">
        <v>0.675274958915812</v>
      </c>
      <c r="U44" s="21" t="str">
        <f aca="false">IF(R44="","",O44&amp;"|A|"&amp;R44)</f>
        <v/>
      </c>
      <c r="V44" s="21" t="str">
        <f aca="false">IF(S44="","",O44&amp;"|R|"&amp;S44)</f>
        <v>Population 1|R|2</v>
      </c>
    </row>
    <row r="45" customFormat="false" ht="15" hidden="false" customHeight="false" outlineLevel="0" collapsed="false">
      <c r="A45" s="18" t="n">
        <v>44</v>
      </c>
      <c r="B45" s="18"/>
      <c r="C45" s="18"/>
      <c r="D45" s="18"/>
      <c r="E45" s="18" t="s">
        <v>157</v>
      </c>
      <c r="F45" s="18" t="s">
        <v>158</v>
      </c>
      <c r="G45" s="18" t="s">
        <v>74</v>
      </c>
      <c r="H45" s="18" t="n">
        <v>92</v>
      </c>
      <c r="I45" s="19" t="n">
        <v>8852.65</v>
      </c>
      <c r="J45" s="19" t="n">
        <v>172.5</v>
      </c>
      <c r="K45" s="19" t="n">
        <v>172</v>
      </c>
      <c r="L45" s="19" t="n">
        <v>8853.15</v>
      </c>
      <c r="M45" s="19" t="n">
        <f aca="false">ABS(L45)</f>
        <v>8853.15</v>
      </c>
      <c r="N45" s="18" t="str">
        <f aca="false">IF(L45=0,"Nil balance",IF(G45="AR file",IF(L45&gt;0,"Accounts Receivable","Customer Advances"),IF(L45&lt;0,"Accounts Payable","Supplier Advances")))</f>
        <v>Accounts Receivable</v>
      </c>
      <c r="O45" s="18" t="str">
        <f aca="false">IF(L45=0,"Excluded",IF(Summary!$C$4="By ledger",IF(G45="AR file","Population 1","Population 2"),IF(L45&gt;0,"Population 1","Population 2")))</f>
        <v>Population 1</v>
      </c>
      <c r="P45" s="18" t="str">
        <f aca="false">IF(O45="Excluded","Excluded – nil closing balance",IF(M45&gt;Summary!$C$5,"Above Materiality","Below Materiality"))</f>
        <v>Below Materiality</v>
      </c>
      <c r="Q45" s="20" t="n">
        <f aca="false">IF(P45="Below Materiality",T45,"")</f>
        <v>0.289697754634715</v>
      </c>
      <c r="R45" s="21" t="str">
        <f aca="false">IF(P45="Above Materiality",COUNTIFS($O$2:$O$1092,O45,$P$2:$P$1092,"Above Materiality",$M$2:$M$1092,"&gt;"&amp;M45)+COUNTIFS($O$2:$O$1092,O45,$P$2:$P$1092,"Above Materiality",$M$2:$M$1092,M45,$A$2:$A$1092,"&lt;"&amp;A45)+1,"")</f>
        <v/>
      </c>
      <c r="S45" s="21" t="n">
        <f aca="false">IF(P45&lt;&gt;"Below Materiality","",IF(Summary!$C$9="Random",COUNTIFS($O$2:$O$1092,O45,$Q$2:$Q$1092,"&gt;"&amp;Q45)+1,COUNTIFS($O$2:$O$1092,O45,$P$2:$P$1092,"Below Materiality",$M$2:$M$1092,"&gt;"&amp;M45)+COUNTIFS($O$2:$O$1092,O45,$P$2:$P$1092,"Below Materiality",$M$2:$M$1092,M45,$A$2:$A$1092,"&lt;"&amp;A45)+1))</f>
        <v>3</v>
      </c>
      <c r="T45" s="22" t="n">
        <v>0.289697754634715</v>
      </c>
      <c r="U45" s="21" t="str">
        <f aca="false">IF(R45="","",O45&amp;"|A|"&amp;R45)</f>
        <v/>
      </c>
      <c r="V45" s="21" t="str">
        <f aca="false">IF(S45="","",O45&amp;"|R|"&amp;S45)</f>
        <v>Population 1|R|3</v>
      </c>
    </row>
    <row r="46" customFormat="false" ht="15" hidden="false" customHeight="false" outlineLevel="0" collapsed="false">
      <c r="A46" s="18" t="n">
        <v>45</v>
      </c>
      <c r="B46" s="18"/>
      <c r="C46" s="18"/>
      <c r="D46" s="18"/>
      <c r="E46" s="18" t="s">
        <v>159</v>
      </c>
      <c r="F46" s="18" t="s">
        <v>160</v>
      </c>
      <c r="G46" s="18" t="s">
        <v>74</v>
      </c>
      <c r="H46" s="18" t="n">
        <v>446</v>
      </c>
      <c r="I46" s="19" t="n">
        <v>0</v>
      </c>
      <c r="J46" s="19" t="n">
        <v>111088.52</v>
      </c>
      <c r="K46" s="19" t="n">
        <v>118742.17</v>
      </c>
      <c r="L46" s="19" t="n">
        <v>-7653.64999999999</v>
      </c>
      <c r="M46" s="19" t="n">
        <f aca="false">ABS(L46)</f>
        <v>7653.64999999999</v>
      </c>
      <c r="N46" s="18" t="str">
        <f aca="false">IF(L46=0,"Nil balance",IF(G46="AR file",IF(L46&gt;0,"Accounts Receivable","Customer Advances"),IF(L46&lt;0,"Accounts Payable","Supplier Advances")))</f>
        <v>Customer Advances</v>
      </c>
      <c r="O46" s="18" t="str">
        <f aca="false">IF(L46=0,"Excluded",IF(Summary!$C$4="By ledger",IF(G46="AR file","Population 1","Population 2"),IF(L46&gt;0,"Population 1","Population 2")))</f>
        <v>Population 1</v>
      </c>
      <c r="P46" s="18" t="str">
        <f aca="false">IF(O46="Excluded","Excluded – nil closing balance",IF(M46&gt;Summary!$C$5,"Above Materiality","Below Materiality"))</f>
        <v>Below Materiality</v>
      </c>
      <c r="Q46" s="20" t="n">
        <f aca="false">IF(P46="Below Materiality",T46,"")</f>
        <v>0.493592594321176</v>
      </c>
      <c r="R46" s="21" t="str">
        <f aca="false">IF(P46="Above Materiality",COUNTIFS($O$2:$O$1092,O46,$P$2:$P$1092,"Above Materiality",$M$2:$M$1092,"&gt;"&amp;M46)+COUNTIFS($O$2:$O$1092,O46,$P$2:$P$1092,"Above Materiality",$M$2:$M$1092,M46,$A$2:$A$1092,"&lt;"&amp;A46)+1,"")</f>
        <v/>
      </c>
      <c r="S46" s="21" t="n">
        <f aca="false">IF(P46&lt;&gt;"Below Materiality","",IF(Summary!$C$9="Random",COUNTIFS($O$2:$O$1092,O46,$Q$2:$Q$1092,"&gt;"&amp;Q46)+1,COUNTIFS($O$2:$O$1092,O46,$P$2:$P$1092,"Below Materiality",$M$2:$M$1092,"&gt;"&amp;M46)+COUNTIFS($O$2:$O$1092,O46,$P$2:$P$1092,"Below Materiality",$M$2:$M$1092,M46,$A$2:$A$1092,"&lt;"&amp;A46)+1))</f>
        <v>4</v>
      </c>
      <c r="T46" s="22" t="n">
        <v>0.493592594321176</v>
      </c>
      <c r="U46" s="21" t="str">
        <f aca="false">IF(R46="","",O46&amp;"|A|"&amp;R46)</f>
        <v/>
      </c>
      <c r="V46" s="21" t="str">
        <f aca="false">IF(S46="","",O46&amp;"|R|"&amp;S46)</f>
        <v>Population 1|R|4</v>
      </c>
    </row>
    <row r="47" customFormat="false" ht="15" hidden="false" customHeight="false" outlineLevel="0" collapsed="false">
      <c r="A47" s="18" t="n">
        <v>46</v>
      </c>
      <c r="B47" s="18"/>
      <c r="C47" s="18"/>
      <c r="D47" s="18"/>
      <c r="E47" s="18" t="s">
        <v>161</v>
      </c>
      <c r="F47" s="18" t="s">
        <v>162</v>
      </c>
      <c r="G47" s="18" t="s">
        <v>74</v>
      </c>
      <c r="H47" s="18" t="n">
        <v>98</v>
      </c>
      <c r="I47" s="19" t="n">
        <v>3894.28</v>
      </c>
      <c r="J47" s="19" t="n">
        <v>52234.73</v>
      </c>
      <c r="K47" s="19" t="n">
        <v>48493.2</v>
      </c>
      <c r="L47" s="19" t="n">
        <v>7635.81000000001</v>
      </c>
      <c r="M47" s="19" t="n">
        <f aca="false">ABS(L47)</f>
        <v>7635.81000000001</v>
      </c>
      <c r="N47" s="18" t="str">
        <f aca="false">IF(L47=0,"Nil balance",IF(G47="AR file",IF(L47&gt;0,"Accounts Receivable","Customer Advances"),IF(L47&lt;0,"Accounts Payable","Supplier Advances")))</f>
        <v>Accounts Receivable</v>
      </c>
      <c r="O47" s="18" t="str">
        <f aca="false">IF(L47=0,"Excluded",IF(Summary!$C$4="By ledger",IF(G47="AR file","Population 1","Population 2"),IF(L47&gt;0,"Population 1","Population 2")))</f>
        <v>Population 1</v>
      </c>
      <c r="P47" s="18" t="str">
        <f aca="false">IF(O47="Excluded","Excluded – nil closing balance",IF(M47&gt;Summary!$C$5,"Above Materiality","Below Materiality"))</f>
        <v>Below Materiality</v>
      </c>
      <c r="Q47" s="20" t="n">
        <f aca="false">IF(P47="Below Materiality",T47,"")</f>
        <v>0.438602133707318</v>
      </c>
      <c r="R47" s="21" t="str">
        <f aca="false">IF(P47="Above Materiality",COUNTIFS($O$2:$O$1092,O47,$P$2:$P$1092,"Above Materiality",$M$2:$M$1092,"&gt;"&amp;M47)+COUNTIFS($O$2:$O$1092,O47,$P$2:$P$1092,"Above Materiality",$M$2:$M$1092,M47,$A$2:$A$1092,"&lt;"&amp;A47)+1,"")</f>
        <v/>
      </c>
      <c r="S47" s="21" t="n">
        <f aca="false">IF(P47&lt;&gt;"Below Materiality","",IF(Summary!$C$9="Random",COUNTIFS($O$2:$O$1092,O47,$Q$2:$Q$1092,"&gt;"&amp;Q47)+1,COUNTIFS($O$2:$O$1092,O47,$P$2:$P$1092,"Below Materiality",$M$2:$M$1092,"&gt;"&amp;M47)+COUNTIFS($O$2:$O$1092,O47,$P$2:$P$1092,"Below Materiality",$M$2:$M$1092,M47,$A$2:$A$1092,"&lt;"&amp;A47)+1))</f>
        <v>5</v>
      </c>
      <c r="T47" s="22" t="n">
        <v>0.438602133707318</v>
      </c>
      <c r="U47" s="21" t="str">
        <f aca="false">IF(R47="","",O47&amp;"|A|"&amp;R47)</f>
        <v/>
      </c>
      <c r="V47" s="21" t="str">
        <f aca="false">IF(S47="","",O47&amp;"|R|"&amp;S47)</f>
        <v>Population 1|R|5</v>
      </c>
    </row>
    <row r="48" customFormat="false" ht="15" hidden="false" customHeight="false" outlineLevel="0" collapsed="false">
      <c r="A48" s="18" t="n">
        <v>47</v>
      </c>
      <c r="B48" s="18"/>
      <c r="C48" s="18"/>
      <c r="D48" s="18"/>
      <c r="E48" s="18" t="s">
        <v>163</v>
      </c>
      <c r="F48" s="18" t="s">
        <v>164</v>
      </c>
      <c r="G48" s="18" t="s">
        <v>74</v>
      </c>
      <c r="H48" s="18" t="n">
        <v>771</v>
      </c>
      <c r="I48" s="19" t="n">
        <v>0</v>
      </c>
      <c r="J48" s="19" t="n">
        <v>36889.7</v>
      </c>
      <c r="K48" s="19" t="n">
        <v>29414.7</v>
      </c>
      <c r="L48" s="19" t="n">
        <v>7475</v>
      </c>
      <c r="M48" s="19" t="n">
        <f aca="false">ABS(L48)</f>
        <v>7475</v>
      </c>
      <c r="N48" s="18" t="str">
        <f aca="false">IF(L48=0,"Nil balance",IF(G48="AR file",IF(L48&gt;0,"Accounts Receivable","Customer Advances"),IF(L48&lt;0,"Accounts Payable","Supplier Advances")))</f>
        <v>Accounts Receivable</v>
      </c>
      <c r="O48" s="18" t="str">
        <f aca="false">IF(L48=0,"Excluded",IF(Summary!$C$4="By ledger",IF(G48="AR file","Population 1","Population 2"),IF(L48&gt;0,"Population 1","Population 2")))</f>
        <v>Population 1</v>
      </c>
      <c r="P48" s="18" t="str">
        <f aca="false">IF(O48="Excluded","Excluded – nil closing balance",IF(M48&gt;Summary!$C$5,"Above Materiality","Below Materiality"))</f>
        <v>Below Materiality</v>
      </c>
      <c r="Q48" s="20" t="n">
        <f aca="false">IF(P48="Below Materiality",T48,"")</f>
        <v>0.522198641732328</v>
      </c>
      <c r="R48" s="21" t="str">
        <f aca="false">IF(P48="Above Materiality",COUNTIFS($O$2:$O$1092,O48,$P$2:$P$1092,"Above Materiality",$M$2:$M$1092,"&gt;"&amp;M48)+COUNTIFS($O$2:$O$1092,O48,$P$2:$P$1092,"Above Materiality",$M$2:$M$1092,M48,$A$2:$A$1092,"&lt;"&amp;A48)+1,"")</f>
        <v/>
      </c>
      <c r="S48" s="21" t="n">
        <f aca="false">IF(P48&lt;&gt;"Below Materiality","",IF(Summary!$C$9="Random",COUNTIFS($O$2:$O$1092,O48,$Q$2:$Q$1092,"&gt;"&amp;Q48)+1,COUNTIFS($O$2:$O$1092,O48,$P$2:$P$1092,"Below Materiality",$M$2:$M$1092,"&gt;"&amp;M48)+COUNTIFS($O$2:$O$1092,O48,$P$2:$P$1092,"Below Materiality",$M$2:$M$1092,M48,$A$2:$A$1092,"&lt;"&amp;A48)+1))</f>
        <v>6</v>
      </c>
      <c r="T48" s="22" t="n">
        <v>0.522198641732328</v>
      </c>
      <c r="U48" s="21" t="str">
        <f aca="false">IF(R48="","",O48&amp;"|A|"&amp;R48)</f>
        <v/>
      </c>
      <c r="V48" s="21" t="str">
        <f aca="false">IF(S48="","",O48&amp;"|R|"&amp;S48)</f>
        <v>Population 1|R|6</v>
      </c>
    </row>
    <row r="49" customFormat="false" ht="15" hidden="false" customHeight="false" outlineLevel="0" collapsed="false">
      <c r="A49" s="18" t="n">
        <v>48</v>
      </c>
      <c r="B49" s="18"/>
      <c r="C49" s="18"/>
      <c r="D49" s="18"/>
      <c r="E49" s="18" t="s">
        <v>165</v>
      </c>
      <c r="F49" s="18" t="s">
        <v>166</v>
      </c>
      <c r="G49" s="18" t="s">
        <v>74</v>
      </c>
      <c r="H49" s="18" t="n">
        <v>95</v>
      </c>
      <c r="I49" s="19" t="n">
        <v>-1988.5</v>
      </c>
      <c r="J49" s="19" t="n">
        <v>15320.8</v>
      </c>
      <c r="K49" s="19" t="n">
        <v>6158.6</v>
      </c>
      <c r="L49" s="19" t="n">
        <v>7173.7</v>
      </c>
      <c r="M49" s="19" t="n">
        <f aca="false">ABS(L49)</f>
        <v>7173.7</v>
      </c>
      <c r="N49" s="18" t="str">
        <f aca="false">IF(L49=0,"Nil balance",IF(G49="AR file",IF(L49&gt;0,"Accounts Receivable","Customer Advances"),IF(L49&lt;0,"Accounts Payable","Supplier Advances")))</f>
        <v>Accounts Receivable</v>
      </c>
      <c r="O49" s="18" t="str">
        <f aca="false">IF(L49=0,"Excluded",IF(Summary!$C$4="By ledger",IF(G49="AR file","Population 1","Population 2"),IF(L49&gt;0,"Population 1","Population 2")))</f>
        <v>Population 1</v>
      </c>
      <c r="P49" s="18" t="str">
        <f aca="false">IF(O49="Excluded","Excluded – nil closing balance",IF(M49&gt;Summary!$C$5,"Above Materiality","Below Materiality"))</f>
        <v>Below Materiality</v>
      </c>
      <c r="Q49" s="20" t="n">
        <f aca="false">IF(P49="Below Materiality",T49,"")</f>
        <v>0.61878468075234</v>
      </c>
      <c r="R49" s="21" t="str">
        <f aca="false">IF(P49="Above Materiality",COUNTIFS($O$2:$O$1092,O49,$P$2:$P$1092,"Above Materiality",$M$2:$M$1092,"&gt;"&amp;M49)+COUNTIFS($O$2:$O$1092,O49,$P$2:$P$1092,"Above Materiality",$M$2:$M$1092,M49,$A$2:$A$1092,"&lt;"&amp;A49)+1,"")</f>
        <v/>
      </c>
      <c r="S49" s="21" t="n">
        <f aca="false">IF(P49&lt;&gt;"Below Materiality","",IF(Summary!$C$9="Random",COUNTIFS($O$2:$O$1092,O49,$Q$2:$Q$1092,"&gt;"&amp;Q49)+1,COUNTIFS($O$2:$O$1092,O49,$P$2:$P$1092,"Below Materiality",$M$2:$M$1092,"&gt;"&amp;M49)+COUNTIFS($O$2:$O$1092,O49,$P$2:$P$1092,"Below Materiality",$M$2:$M$1092,M49,$A$2:$A$1092,"&lt;"&amp;A49)+1))</f>
        <v>7</v>
      </c>
      <c r="T49" s="22" t="n">
        <v>0.61878468075234</v>
      </c>
      <c r="U49" s="21" t="str">
        <f aca="false">IF(R49="","",O49&amp;"|A|"&amp;R49)</f>
        <v/>
      </c>
      <c r="V49" s="21" t="str">
        <f aca="false">IF(S49="","",O49&amp;"|R|"&amp;S49)</f>
        <v>Population 1|R|7</v>
      </c>
    </row>
    <row r="50" customFormat="false" ht="15" hidden="false" customHeight="false" outlineLevel="0" collapsed="false">
      <c r="A50" s="18" t="n">
        <v>49</v>
      </c>
      <c r="B50" s="18"/>
      <c r="C50" s="18"/>
      <c r="D50" s="18"/>
      <c r="E50" s="18" t="s">
        <v>167</v>
      </c>
      <c r="F50" s="18" t="s">
        <v>168</v>
      </c>
      <c r="G50" s="18" t="s">
        <v>74</v>
      </c>
      <c r="H50" s="18" t="n">
        <v>323</v>
      </c>
      <c r="I50" s="19" t="n">
        <v>-24002.4</v>
      </c>
      <c r="J50" s="19" t="n">
        <v>75462.44</v>
      </c>
      <c r="K50" s="19" t="n">
        <v>45000</v>
      </c>
      <c r="L50" s="19" t="n">
        <v>6460.04</v>
      </c>
      <c r="M50" s="19" t="n">
        <f aca="false">ABS(L50)</f>
        <v>6460.04</v>
      </c>
      <c r="N50" s="18" t="str">
        <f aca="false">IF(L50=0,"Nil balance",IF(G50="AR file",IF(L50&gt;0,"Accounts Receivable","Customer Advances"),IF(L50&lt;0,"Accounts Payable","Supplier Advances")))</f>
        <v>Accounts Receivable</v>
      </c>
      <c r="O50" s="18" t="str">
        <f aca="false">IF(L50=0,"Excluded",IF(Summary!$C$4="By ledger",IF(G50="AR file","Population 1","Population 2"),IF(L50&gt;0,"Population 1","Population 2")))</f>
        <v>Population 1</v>
      </c>
      <c r="P50" s="18" t="str">
        <f aca="false">IF(O50="Excluded","Excluded – nil closing balance",IF(M50&gt;Summary!$C$5,"Above Materiality","Below Materiality"))</f>
        <v>Below Materiality</v>
      </c>
      <c r="Q50" s="20" t="n">
        <f aca="false">IF(P50="Below Materiality",T50,"")</f>
        <v>0.709714396401794</v>
      </c>
      <c r="R50" s="21" t="str">
        <f aca="false">IF(P50="Above Materiality",COUNTIFS($O$2:$O$1092,O50,$P$2:$P$1092,"Above Materiality",$M$2:$M$1092,"&gt;"&amp;M50)+COUNTIFS($O$2:$O$1092,O50,$P$2:$P$1092,"Above Materiality",$M$2:$M$1092,M50,$A$2:$A$1092,"&lt;"&amp;A50)+1,"")</f>
        <v/>
      </c>
      <c r="S50" s="21" t="n">
        <f aca="false">IF(P50&lt;&gt;"Below Materiality","",IF(Summary!$C$9="Random",COUNTIFS($O$2:$O$1092,O50,$Q$2:$Q$1092,"&gt;"&amp;Q50)+1,COUNTIFS($O$2:$O$1092,O50,$P$2:$P$1092,"Below Materiality",$M$2:$M$1092,"&gt;"&amp;M50)+COUNTIFS($O$2:$O$1092,O50,$P$2:$P$1092,"Below Materiality",$M$2:$M$1092,M50,$A$2:$A$1092,"&lt;"&amp;A50)+1))</f>
        <v>8</v>
      </c>
      <c r="T50" s="22" t="n">
        <v>0.709714396401794</v>
      </c>
      <c r="U50" s="21" t="str">
        <f aca="false">IF(R50="","",O50&amp;"|A|"&amp;R50)</f>
        <v/>
      </c>
      <c r="V50" s="21" t="str">
        <f aca="false">IF(S50="","",O50&amp;"|R|"&amp;S50)</f>
        <v>Population 1|R|8</v>
      </c>
    </row>
    <row r="51" customFormat="false" ht="15" hidden="false" customHeight="false" outlineLevel="0" collapsed="false">
      <c r="A51" s="18" t="n">
        <v>50</v>
      </c>
      <c r="B51" s="18"/>
      <c r="C51" s="18"/>
      <c r="D51" s="18"/>
      <c r="E51" s="18" t="s">
        <v>169</v>
      </c>
      <c r="F51" s="18" t="s">
        <v>170</v>
      </c>
      <c r="G51" s="18" t="s">
        <v>74</v>
      </c>
      <c r="H51" s="18" t="n">
        <v>137</v>
      </c>
      <c r="I51" s="19" t="n">
        <v>17964.23</v>
      </c>
      <c r="J51" s="19" t="n">
        <v>30981</v>
      </c>
      <c r="K51" s="19" t="n">
        <v>42510.98</v>
      </c>
      <c r="L51" s="19" t="n">
        <v>6434.24999999999</v>
      </c>
      <c r="M51" s="19" t="n">
        <f aca="false">ABS(L51)</f>
        <v>6434.24999999999</v>
      </c>
      <c r="N51" s="18" t="str">
        <f aca="false">IF(L51=0,"Nil balance",IF(G51="AR file",IF(L51&gt;0,"Accounts Receivable","Customer Advances"),IF(L51&lt;0,"Accounts Payable","Supplier Advances")))</f>
        <v>Accounts Receivable</v>
      </c>
      <c r="O51" s="18" t="str">
        <f aca="false">IF(L51=0,"Excluded",IF(Summary!$C$4="By ledger",IF(G51="AR file","Population 1","Population 2"),IF(L51&gt;0,"Population 1","Population 2")))</f>
        <v>Population 1</v>
      </c>
      <c r="P51" s="18" t="str">
        <f aca="false">IF(O51="Excluded","Excluded – nil closing balance",IF(M51&gt;Summary!$C$5,"Above Materiality","Below Materiality"))</f>
        <v>Below Materiality</v>
      </c>
      <c r="Q51" s="20" t="n">
        <f aca="false">IF(P51="Below Materiality",T51,"")</f>
        <v>0.951032278891838</v>
      </c>
      <c r="R51" s="21" t="str">
        <f aca="false">IF(P51="Above Materiality",COUNTIFS($O$2:$O$1092,O51,$P$2:$P$1092,"Above Materiality",$M$2:$M$1092,"&gt;"&amp;M51)+COUNTIFS($O$2:$O$1092,O51,$P$2:$P$1092,"Above Materiality",$M$2:$M$1092,M51,$A$2:$A$1092,"&lt;"&amp;A51)+1,"")</f>
        <v/>
      </c>
      <c r="S51" s="21" t="n">
        <f aca="false">IF(P51&lt;&gt;"Below Materiality","",IF(Summary!$C$9="Random",COUNTIFS($O$2:$O$1092,O51,$Q$2:$Q$1092,"&gt;"&amp;Q51)+1,COUNTIFS($O$2:$O$1092,O51,$P$2:$P$1092,"Below Materiality",$M$2:$M$1092,"&gt;"&amp;M51)+COUNTIFS($O$2:$O$1092,O51,$P$2:$P$1092,"Below Materiality",$M$2:$M$1092,M51,$A$2:$A$1092,"&lt;"&amp;A51)+1))</f>
        <v>9</v>
      </c>
      <c r="T51" s="22" t="n">
        <v>0.951032278891838</v>
      </c>
      <c r="U51" s="21" t="str">
        <f aca="false">IF(R51="","",O51&amp;"|A|"&amp;R51)</f>
        <v/>
      </c>
      <c r="V51" s="21" t="str">
        <f aca="false">IF(S51="","",O51&amp;"|R|"&amp;S51)</f>
        <v>Population 1|R|9</v>
      </c>
    </row>
    <row r="52" customFormat="false" ht="15" hidden="false" customHeight="false" outlineLevel="0" collapsed="false">
      <c r="A52" s="18" t="n">
        <v>51</v>
      </c>
      <c r="B52" s="18"/>
      <c r="C52" s="18"/>
      <c r="D52" s="18"/>
      <c r="E52" s="18" t="s">
        <v>171</v>
      </c>
      <c r="F52" s="18" t="s">
        <v>172</v>
      </c>
      <c r="G52" s="18" t="s">
        <v>74</v>
      </c>
      <c r="H52" s="18" t="n">
        <v>402</v>
      </c>
      <c r="I52" s="19" t="n">
        <v>0</v>
      </c>
      <c r="J52" s="19" t="n">
        <v>40313.19</v>
      </c>
      <c r="K52" s="19" t="n">
        <v>34412.54</v>
      </c>
      <c r="L52" s="19" t="n">
        <v>5900.65</v>
      </c>
      <c r="M52" s="19" t="n">
        <f aca="false">ABS(L52)</f>
        <v>5900.65</v>
      </c>
      <c r="N52" s="18" t="str">
        <f aca="false">IF(L52=0,"Nil balance",IF(G52="AR file",IF(L52&gt;0,"Accounts Receivable","Customer Advances"),IF(L52&lt;0,"Accounts Payable","Supplier Advances")))</f>
        <v>Accounts Receivable</v>
      </c>
      <c r="O52" s="18" t="str">
        <f aca="false">IF(L52=0,"Excluded",IF(Summary!$C$4="By ledger",IF(G52="AR file","Population 1","Population 2"),IF(L52&gt;0,"Population 1","Population 2")))</f>
        <v>Population 1</v>
      </c>
      <c r="P52" s="18" t="str">
        <f aca="false">IF(O52="Excluded","Excluded – nil closing balance",IF(M52&gt;Summary!$C$5,"Above Materiality","Below Materiality"))</f>
        <v>Below Materiality</v>
      </c>
      <c r="Q52" s="20" t="n">
        <f aca="false">IF(P52="Below Materiality",T52,"")</f>
        <v>0.47397824951495</v>
      </c>
      <c r="R52" s="21" t="str">
        <f aca="false">IF(P52="Above Materiality",COUNTIFS($O$2:$O$1092,O52,$P$2:$P$1092,"Above Materiality",$M$2:$M$1092,"&gt;"&amp;M52)+COUNTIFS($O$2:$O$1092,O52,$P$2:$P$1092,"Above Materiality",$M$2:$M$1092,M52,$A$2:$A$1092,"&lt;"&amp;A52)+1,"")</f>
        <v/>
      </c>
      <c r="S52" s="21" t="n">
        <f aca="false">IF(P52&lt;&gt;"Below Materiality","",IF(Summary!$C$9="Random",COUNTIFS($O$2:$O$1092,O52,$Q$2:$Q$1092,"&gt;"&amp;Q52)+1,COUNTIFS($O$2:$O$1092,O52,$P$2:$P$1092,"Below Materiality",$M$2:$M$1092,"&gt;"&amp;M52)+COUNTIFS($O$2:$O$1092,O52,$P$2:$P$1092,"Below Materiality",$M$2:$M$1092,M52,$A$2:$A$1092,"&lt;"&amp;A52)+1))</f>
        <v>10</v>
      </c>
      <c r="T52" s="22" t="n">
        <v>0.47397824951495</v>
      </c>
      <c r="U52" s="21" t="str">
        <f aca="false">IF(R52="","",O52&amp;"|A|"&amp;R52)</f>
        <v/>
      </c>
      <c r="V52" s="21" t="str">
        <f aca="false">IF(S52="","",O52&amp;"|R|"&amp;S52)</f>
        <v>Population 1|R|10</v>
      </c>
    </row>
    <row r="53" customFormat="false" ht="15" hidden="false" customHeight="false" outlineLevel="0" collapsed="false">
      <c r="A53" s="18" t="n">
        <v>52</v>
      </c>
      <c r="B53" s="18"/>
      <c r="C53" s="18"/>
      <c r="D53" s="18"/>
      <c r="E53" s="18" t="s">
        <v>173</v>
      </c>
      <c r="F53" s="18" t="s">
        <v>174</v>
      </c>
      <c r="G53" s="18" t="s">
        <v>74</v>
      </c>
      <c r="H53" s="18" t="n">
        <v>119</v>
      </c>
      <c r="I53" s="19" t="n">
        <v>0</v>
      </c>
      <c r="J53" s="19" t="n">
        <v>20372.25</v>
      </c>
      <c r="K53" s="19" t="n">
        <v>14507.25</v>
      </c>
      <c r="L53" s="19" t="n">
        <v>5865</v>
      </c>
      <c r="M53" s="19" t="n">
        <f aca="false">ABS(L53)</f>
        <v>5865</v>
      </c>
      <c r="N53" s="18" t="str">
        <f aca="false">IF(L53=0,"Nil balance",IF(G53="AR file",IF(L53&gt;0,"Accounts Receivable","Customer Advances"),IF(L53&lt;0,"Accounts Payable","Supplier Advances")))</f>
        <v>Accounts Receivable</v>
      </c>
      <c r="O53" s="18" t="str">
        <f aca="false">IF(L53=0,"Excluded",IF(Summary!$C$4="By ledger",IF(G53="AR file","Population 1","Population 2"),IF(L53&gt;0,"Population 1","Population 2")))</f>
        <v>Population 1</v>
      </c>
      <c r="P53" s="18" t="str">
        <f aca="false">IF(O53="Excluded","Excluded – nil closing balance",IF(M53&gt;Summary!$C$5,"Above Materiality","Below Materiality"))</f>
        <v>Below Materiality</v>
      </c>
      <c r="Q53" s="20" t="n">
        <f aca="false">IF(P53="Below Materiality",T53,"")</f>
        <v>0.0549650088588489</v>
      </c>
      <c r="R53" s="21" t="str">
        <f aca="false">IF(P53="Above Materiality",COUNTIFS($O$2:$O$1092,O53,$P$2:$P$1092,"Above Materiality",$M$2:$M$1092,"&gt;"&amp;M53)+COUNTIFS($O$2:$O$1092,O53,$P$2:$P$1092,"Above Materiality",$M$2:$M$1092,M53,$A$2:$A$1092,"&lt;"&amp;A53)+1,"")</f>
        <v/>
      </c>
      <c r="S53" s="21" t="n">
        <f aca="false">IF(P53&lt;&gt;"Below Materiality","",IF(Summary!$C$9="Random",COUNTIFS($O$2:$O$1092,O53,$Q$2:$Q$1092,"&gt;"&amp;Q53)+1,COUNTIFS($O$2:$O$1092,O53,$P$2:$P$1092,"Below Materiality",$M$2:$M$1092,"&gt;"&amp;M53)+COUNTIFS($O$2:$O$1092,O53,$P$2:$P$1092,"Below Materiality",$M$2:$M$1092,M53,$A$2:$A$1092,"&lt;"&amp;A53)+1))</f>
        <v>11</v>
      </c>
      <c r="T53" s="22" t="n">
        <v>0.0549650088588489</v>
      </c>
      <c r="U53" s="21" t="str">
        <f aca="false">IF(R53="","",O53&amp;"|A|"&amp;R53)</f>
        <v/>
      </c>
      <c r="V53" s="21" t="str">
        <f aca="false">IF(S53="","",O53&amp;"|R|"&amp;S53)</f>
        <v>Population 1|R|11</v>
      </c>
    </row>
    <row r="54" customFormat="false" ht="15" hidden="false" customHeight="false" outlineLevel="0" collapsed="false">
      <c r="A54" s="18" t="n">
        <v>53</v>
      </c>
      <c r="B54" s="18"/>
      <c r="C54" s="18"/>
      <c r="D54" s="18"/>
      <c r="E54" s="18" t="s">
        <v>175</v>
      </c>
      <c r="F54" s="18" t="s">
        <v>176</v>
      </c>
      <c r="G54" s="18" t="s">
        <v>74</v>
      </c>
      <c r="H54" s="18" t="n">
        <v>244</v>
      </c>
      <c r="I54" s="19" t="n">
        <v>33002.7</v>
      </c>
      <c r="J54" s="19" t="n">
        <v>15186.9</v>
      </c>
      <c r="K54" s="19" t="n">
        <v>42675.1</v>
      </c>
      <c r="L54" s="19" t="n">
        <v>5514.50000000002</v>
      </c>
      <c r="M54" s="19" t="n">
        <f aca="false">ABS(L54)</f>
        <v>5514.50000000002</v>
      </c>
      <c r="N54" s="18" t="str">
        <f aca="false">IF(L54=0,"Nil balance",IF(G54="AR file",IF(L54&gt;0,"Accounts Receivable","Customer Advances"),IF(L54&lt;0,"Accounts Payable","Supplier Advances")))</f>
        <v>Accounts Receivable</v>
      </c>
      <c r="O54" s="18" t="str">
        <f aca="false">IF(L54=0,"Excluded",IF(Summary!$C$4="By ledger",IF(G54="AR file","Population 1","Population 2"),IF(L54&gt;0,"Population 1","Population 2")))</f>
        <v>Population 1</v>
      </c>
      <c r="P54" s="18" t="str">
        <f aca="false">IF(O54="Excluded","Excluded – nil closing balance",IF(M54&gt;Summary!$C$5,"Above Materiality","Below Materiality"))</f>
        <v>Below Materiality</v>
      </c>
      <c r="Q54" s="20" t="n">
        <f aca="false">IF(P54="Below Materiality",T54,"")</f>
        <v>0.901458672147925</v>
      </c>
      <c r="R54" s="21" t="str">
        <f aca="false">IF(P54="Above Materiality",COUNTIFS($O$2:$O$1092,O54,$P$2:$P$1092,"Above Materiality",$M$2:$M$1092,"&gt;"&amp;M54)+COUNTIFS($O$2:$O$1092,O54,$P$2:$P$1092,"Above Materiality",$M$2:$M$1092,M54,$A$2:$A$1092,"&lt;"&amp;A54)+1,"")</f>
        <v/>
      </c>
      <c r="S54" s="21" t="n">
        <f aca="false">IF(P54&lt;&gt;"Below Materiality","",IF(Summary!$C$9="Random",COUNTIFS($O$2:$O$1092,O54,$Q$2:$Q$1092,"&gt;"&amp;Q54)+1,COUNTIFS($O$2:$O$1092,O54,$P$2:$P$1092,"Below Materiality",$M$2:$M$1092,"&gt;"&amp;M54)+COUNTIFS($O$2:$O$1092,O54,$P$2:$P$1092,"Below Materiality",$M$2:$M$1092,M54,$A$2:$A$1092,"&lt;"&amp;A54)+1))</f>
        <v>12</v>
      </c>
      <c r="T54" s="22" t="n">
        <v>0.901458672147925</v>
      </c>
      <c r="U54" s="21" t="str">
        <f aca="false">IF(R54="","",O54&amp;"|A|"&amp;R54)</f>
        <v/>
      </c>
      <c r="V54" s="21" t="str">
        <f aca="false">IF(S54="","",O54&amp;"|R|"&amp;S54)</f>
        <v>Population 1|R|12</v>
      </c>
    </row>
    <row r="55" customFormat="false" ht="15" hidden="false" customHeight="false" outlineLevel="0" collapsed="false">
      <c r="A55" s="18" t="n">
        <v>54</v>
      </c>
      <c r="B55" s="18"/>
      <c r="C55" s="18"/>
      <c r="D55" s="18"/>
      <c r="E55" s="18" t="s">
        <v>177</v>
      </c>
      <c r="F55" s="18" t="s">
        <v>178</v>
      </c>
      <c r="G55" s="18" t="s">
        <v>74</v>
      </c>
      <c r="H55" s="18" t="n">
        <v>123</v>
      </c>
      <c r="I55" s="19" t="n">
        <v>-5500</v>
      </c>
      <c r="J55" s="19" t="n">
        <v>0</v>
      </c>
      <c r="K55" s="19" t="n">
        <v>0</v>
      </c>
      <c r="L55" s="19" t="n">
        <v>-5500</v>
      </c>
      <c r="M55" s="19" t="n">
        <f aca="false">ABS(L55)</f>
        <v>5500</v>
      </c>
      <c r="N55" s="18" t="str">
        <f aca="false">IF(L55=0,"Nil balance",IF(G55="AR file",IF(L55&gt;0,"Accounts Receivable","Customer Advances"),IF(L55&lt;0,"Accounts Payable","Supplier Advances")))</f>
        <v>Customer Advances</v>
      </c>
      <c r="O55" s="18" t="str">
        <f aca="false">IF(L55=0,"Excluded",IF(Summary!$C$4="By ledger",IF(G55="AR file","Population 1","Population 2"),IF(L55&gt;0,"Population 1","Population 2")))</f>
        <v>Population 1</v>
      </c>
      <c r="P55" s="18" t="str">
        <f aca="false">IF(O55="Excluded","Excluded – nil closing balance",IF(M55&gt;Summary!$C$5,"Above Materiality","Below Materiality"))</f>
        <v>Below Materiality</v>
      </c>
      <c r="Q55" s="20" t="n">
        <f aca="false">IF(P55="Below Materiality",T55,"")</f>
        <v>0.561216726927914</v>
      </c>
      <c r="R55" s="21" t="str">
        <f aca="false">IF(P55="Above Materiality",COUNTIFS($O$2:$O$1092,O55,$P$2:$P$1092,"Above Materiality",$M$2:$M$1092,"&gt;"&amp;M55)+COUNTIFS($O$2:$O$1092,O55,$P$2:$P$1092,"Above Materiality",$M$2:$M$1092,M55,$A$2:$A$1092,"&lt;"&amp;A55)+1,"")</f>
        <v/>
      </c>
      <c r="S55" s="21" t="n">
        <f aca="false">IF(P55&lt;&gt;"Below Materiality","",IF(Summary!$C$9="Random",COUNTIFS($O$2:$O$1092,O55,$Q$2:$Q$1092,"&gt;"&amp;Q55)+1,COUNTIFS($O$2:$O$1092,O55,$P$2:$P$1092,"Below Materiality",$M$2:$M$1092,"&gt;"&amp;M55)+COUNTIFS($O$2:$O$1092,O55,$P$2:$P$1092,"Below Materiality",$M$2:$M$1092,M55,$A$2:$A$1092,"&lt;"&amp;A55)+1))</f>
        <v>13</v>
      </c>
      <c r="T55" s="22" t="n">
        <v>0.561216726927914</v>
      </c>
      <c r="U55" s="21" t="str">
        <f aca="false">IF(R55="","",O55&amp;"|A|"&amp;R55)</f>
        <v/>
      </c>
      <c r="V55" s="21" t="str">
        <f aca="false">IF(S55="","",O55&amp;"|R|"&amp;S55)</f>
        <v>Population 1|R|13</v>
      </c>
    </row>
    <row r="56" customFormat="false" ht="15" hidden="false" customHeight="false" outlineLevel="0" collapsed="false">
      <c r="A56" s="18" t="n">
        <v>55</v>
      </c>
      <c r="B56" s="18"/>
      <c r="C56" s="18"/>
      <c r="D56" s="18"/>
      <c r="E56" s="18" t="s">
        <v>179</v>
      </c>
      <c r="F56" s="18" t="s">
        <v>180</v>
      </c>
      <c r="G56" s="18" t="s">
        <v>74</v>
      </c>
      <c r="H56" s="18" t="n">
        <v>895</v>
      </c>
      <c r="I56" s="19" t="n">
        <v>0</v>
      </c>
      <c r="J56" s="19" t="n">
        <v>0</v>
      </c>
      <c r="K56" s="19" t="n">
        <v>5400</v>
      </c>
      <c r="L56" s="19" t="n">
        <v>-5400</v>
      </c>
      <c r="M56" s="19" t="n">
        <f aca="false">ABS(L56)</f>
        <v>5400</v>
      </c>
      <c r="N56" s="18" t="str">
        <f aca="false">IF(L56=0,"Nil balance",IF(G56="AR file",IF(L56&gt;0,"Accounts Receivable","Customer Advances"),IF(L56&lt;0,"Accounts Payable","Supplier Advances")))</f>
        <v>Customer Advances</v>
      </c>
      <c r="O56" s="18" t="str">
        <f aca="false">IF(L56=0,"Excluded",IF(Summary!$C$4="By ledger",IF(G56="AR file","Population 1","Population 2"),IF(L56&gt;0,"Population 1","Population 2")))</f>
        <v>Population 1</v>
      </c>
      <c r="P56" s="18" t="str">
        <f aca="false">IF(O56="Excluded","Excluded – nil closing balance",IF(M56&gt;Summary!$C$5,"Above Materiality","Below Materiality"))</f>
        <v>Below Materiality</v>
      </c>
      <c r="Q56" s="20" t="n">
        <f aca="false">IF(P56="Below Materiality",T56,"")</f>
        <v>0.840930768585365</v>
      </c>
      <c r="R56" s="21" t="str">
        <f aca="false">IF(P56="Above Materiality",COUNTIFS($O$2:$O$1092,O56,$P$2:$P$1092,"Above Materiality",$M$2:$M$1092,"&gt;"&amp;M56)+COUNTIFS($O$2:$O$1092,O56,$P$2:$P$1092,"Above Materiality",$M$2:$M$1092,M56,$A$2:$A$1092,"&lt;"&amp;A56)+1,"")</f>
        <v/>
      </c>
      <c r="S56" s="21" t="n">
        <f aca="false">IF(P56&lt;&gt;"Below Materiality","",IF(Summary!$C$9="Random",COUNTIFS($O$2:$O$1092,O56,$Q$2:$Q$1092,"&gt;"&amp;Q56)+1,COUNTIFS($O$2:$O$1092,O56,$P$2:$P$1092,"Below Materiality",$M$2:$M$1092,"&gt;"&amp;M56)+COUNTIFS($O$2:$O$1092,O56,$P$2:$P$1092,"Below Materiality",$M$2:$M$1092,M56,$A$2:$A$1092,"&lt;"&amp;A56)+1))</f>
        <v>14</v>
      </c>
      <c r="T56" s="22" t="n">
        <v>0.840930768585365</v>
      </c>
      <c r="U56" s="21" t="str">
        <f aca="false">IF(R56="","",O56&amp;"|A|"&amp;R56)</f>
        <v/>
      </c>
      <c r="V56" s="21" t="str">
        <f aca="false">IF(S56="","",O56&amp;"|R|"&amp;S56)</f>
        <v>Population 1|R|14</v>
      </c>
    </row>
    <row r="57" customFormat="false" ht="15" hidden="false" customHeight="false" outlineLevel="0" collapsed="false">
      <c r="A57" s="18" t="n">
        <v>56</v>
      </c>
      <c r="B57" s="18"/>
      <c r="C57" s="18"/>
      <c r="D57" s="18"/>
      <c r="E57" s="18" t="s">
        <v>181</v>
      </c>
      <c r="F57" s="18" t="s">
        <v>182</v>
      </c>
      <c r="G57" s="18" t="s">
        <v>74</v>
      </c>
      <c r="H57" s="18" t="n">
        <v>120</v>
      </c>
      <c r="I57" s="19" t="n">
        <v>41976.85</v>
      </c>
      <c r="J57" s="19" t="n">
        <v>237830.93</v>
      </c>
      <c r="K57" s="19" t="n">
        <v>275000</v>
      </c>
      <c r="L57" s="19" t="n">
        <v>4807.77999999997</v>
      </c>
      <c r="M57" s="19" t="n">
        <f aca="false">ABS(L57)</f>
        <v>4807.77999999997</v>
      </c>
      <c r="N57" s="18" t="str">
        <f aca="false">IF(L57=0,"Nil balance",IF(G57="AR file",IF(L57&gt;0,"Accounts Receivable","Customer Advances"),IF(L57&lt;0,"Accounts Payable","Supplier Advances")))</f>
        <v>Accounts Receivable</v>
      </c>
      <c r="O57" s="18" t="str">
        <f aca="false">IF(L57=0,"Excluded",IF(Summary!$C$4="By ledger",IF(G57="AR file","Population 1","Population 2"),IF(L57&gt;0,"Population 1","Population 2")))</f>
        <v>Population 1</v>
      </c>
      <c r="P57" s="18" t="str">
        <f aca="false">IF(O57="Excluded","Excluded – nil closing balance",IF(M57&gt;Summary!$C$5,"Above Materiality","Below Materiality"))</f>
        <v>Below Materiality</v>
      </c>
      <c r="Q57" s="20" t="n">
        <f aca="false">IF(P57="Below Materiality",T57,"")</f>
        <v>0.26135856434705</v>
      </c>
      <c r="R57" s="21" t="str">
        <f aca="false">IF(P57="Above Materiality",COUNTIFS($O$2:$O$1092,O57,$P$2:$P$1092,"Above Materiality",$M$2:$M$1092,"&gt;"&amp;M57)+COUNTIFS($O$2:$O$1092,O57,$P$2:$P$1092,"Above Materiality",$M$2:$M$1092,M57,$A$2:$A$1092,"&lt;"&amp;A57)+1,"")</f>
        <v/>
      </c>
      <c r="S57" s="21" t="n">
        <f aca="false">IF(P57&lt;&gt;"Below Materiality","",IF(Summary!$C$9="Random",COUNTIFS($O$2:$O$1092,O57,$Q$2:$Q$1092,"&gt;"&amp;Q57)+1,COUNTIFS($O$2:$O$1092,O57,$P$2:$P$1092,"Below Materiality",$M$2:$M$1092,"&gt;"&amp;M57)+COUNTIFS($O$2:$O$1092,O57,$P$2:$P$1092,"Below Materiality",$M$2:$M$1092,M57,$A$2:$A$1092,"&lt;"&amp;A57)+1))</f>
        <v>15</v>
      </c>
      <c r="T57" s="22" t="n">
        <v>0.26135856434705</v>
      </c>
      <c r="U57" s="21" t="str">
        <f aca="false">IF(R57="","",O57&amp;"|A|"&amp;R57)</f>
        <v/>
      </c>
      <c r="V57" s="21" t="str">
        <f aca="false">IF(S57="","",O57&amp;"|R|"&amp;S57)</f>
        <v>Population 1|R|15</v>
      </c>
    </row>
    <row r="58" customFormat="false" ht="15" hidden="false" customHeight="false" outlineLevel="0" collapsed="false">
      <c r="A58" s="18" t="n">
        <v>57</v>
      </c>
      <c r="B58" s="18"/>
      <c r="C58" s="18"/>
      <c r="D58" s="18"/>
      <c r="E58" s="18" t="s">
        <v>183</v>
      </c>
      <c r="F58" s="18" t="s">
        <v>184</v>
      </c>
      <c r="G58" s="18" t="s">
        <v>74</v>
      </c>
      <c r="H58" s="18" t="n">
        <v>414</v>
      </c>
      <c r="I58" s="19" t="n">
        <v>-10804.25</v>
      </c>
      <c r="J58" s="19" t="n">
        <v>62664.15</v>
      </c>
      <c r="K58" s="19" t="n">
        <v>56659.85</v>
      </c>
      <c r="L58" s="19" t="n">
        <v>-4799.95</v>
      </c>
      <c r="M58" s="19" t="n">
        <f aca="false">ABS(L58)</f>
        <v>4799.95</v>
      </c>
      <c r="N58" s="18" t="str">
        <f aca="false">IF(L58=0,"Nil balance",IF(G58="AR file",IF(L58&gt;0,"Accounts Receivable","Customer Advances"),IF(L58&lt;0,"Accounts Payable","Supplier Advances")))</f>
        <v>Customer Advances</v>
      </c>
      <c r="O58" s="18" t="str">
        <f aca="false">IF(L58=0,"Excluded",IF(Summary!$C$4="By ledger",IF(G58="AR file","Population 1","Population 2"),IF(L58&gt;0,"Population 1","Population 2")))</f>
        <v>Population 1</v>
      </c>
      <c r="P58" s="18" t="str">
        <f aca="false">IF(O58="Excluded","Excluded – nil closing balance",IF(M58&gt;Summary!$C$5,"Above Materiality","Below Materiality"))</f>
        <v>Below Materiality</v>
      </c>
      <c r="Q58" s="20" t="n">
        <f aca="false">IF(P58="Below Materiality",T58,"")</f>
        <v>0.124049155169967</v>
      </c>
      <c r="R58" s="21" t="str">
        <f aca="false">IF(P58="Above Materiality",COUNTIFS($O$2:$O$1092,O58,$P$2:$P$1092,"Above Materiality",$M$2:$M$1092,"&gt;"&amp;M58)+COUNTIFS($O$2:$O$1092,O58,$P$2:$P$1092,"Above Materiality",$M$2:$M$1092,M58,$A$2:$A$1092,"&lt;"&amp;A58)+1,"")</f>
        <v/>
      </c>
      <c r="S58" s="21" t="n">
        <f aca="false">IF(P58&lt;&gt;"Below Materiality","",IF(Summary!$C$9="Random",COUNTIFS($O$2:$O$1092,O58,$Q$2:$Q$1092,"&gt;"&amp;Q58)+1,COUNTIFS($O$2:$O$1092,O58,$P$2:$P$1092,"Below Materiality",$M$2:$M$1092,"&gt;"&amp;M58)+COUNTIFS($O$2:$O$1092,O58,$P$2:$P$1092,"Below Materiality",$M$2:$M$1092,M58,$A$2:$A$1092,"&lt;"&amp;A58)+1))</f>
        <v>16</v>
      </c>
      <c r="T58" s="22" t="n">
        <v>0.124049155169967</v>
      </c>
      <c r="U58" s="21" t="str">
        <f aca="false">IF(R58="","",O58&amp;"|A|"&amp;R58)</f>
        <v/>
      </c>
      <c r="V58" s="21" t="str">
        <f aca="false">IF(S58="","",O58&amp;"|R|"&amp;S58)</f>
        <v>Population 1|R|16</v>
      </c>
    </row>
    <row r="59" customFormat="false" ht="15" hidden="false" customHeight="false" outlineLevel="0" collapsed="false">
      <c r="A59" s="18" t="n">
        <v>58</v>
      </c>
      <c r="B59" s="18"/>
      <c r="C59" s="18"/>
      <c r="D59" s="18"/>
      <c r="E59" s="18" t="s">
        <v>185</v>
      </c>
      <c r="F59" s="18" t="s">
        <v>186</v>
      </c>
      <c r="G59" s="18" t="s">
        <v>74</v>
      </c>
      <c r="H59" s="18" t="n">
        <v>32</v>
      </c>
      <c r="I59" s="19" t="n">
        <v>0</v>
      </c>
      <c r="J59" s="19" t="n">
        <v>84658.4</v>
      </c>
      <c r="K59" s="19" t="n">
        <v>79898.55</v>
      </c>
      <c r="L59" s="19" t="n">
        <v>4759.84999999999</v>
      </c>
      <c r="M59" s="19" t="n">
        <f aca="false">ABS(L59)</f>
        <v>4759.84999999999</v>
      </c>
      <c r="N59" s="18" t="str">
        <f aca="false">IF(L59=0,"Nil balance",IF(G59="AR file",IF(L59&gt;0,"Accounts Receivable","Customer Advances"),IF(L59&lt;0,"Accounts Payable","Supplier Advances")))</f>
        <v>Accounts Receivable</v>
      </c>
      <c r="O59" s="18" t="str">
        <f aca="false">IF(L59=0,"Excluded",IF(Summary!$C$4="By ledger",IF(G59="AR file","Population 1","Population 2"),IF(L59&gt;0,"Population 1","Population 2")))</f>
        <v>Population 1</v>
      </c>
      <c r="P59" s="18" t="str">
        <f aca="false">IF(O59="Excluded","Excluded – nil closing balance",IF(M59&gt;Summary!$C$5,"Above Materiality","Below Materiality"))</f>
        <v>Below Materiality</v>
      </c>
      <c r="Q59" s="20" t="n">
        <f aca="false">IF(P59="Below Materiality",T59,"")</f>
        <v>0.986739897441759</v>
      </c>
      <c r="R59" s="21" t="str">
        <f aca="false">IF(P59="Above Materiality",COUNTIFS($O$2:$O$1092,O59,$P$2:$P$1092,"Above Materiality",$M$2:$M$1092,"&gt;"&amp;M59)+COUNTIFS($O$2:$O$1092,O59,$P$2:$P$1092,"Above Materiality",$M$2:$M$1092,M59,$A$2:$A$1092,"&lt;"&amp;A59)+1,"")</f>
        <v/>
      </c>
      <c r="S59" s="21" t="n">
        <f aca="false">IF(P59&lt;&gt;"Below Materiality","",IF(Summary!$C$9="Random",COUNTIFS($O$2:$O$1092,O59,$Q$2:$Q$1092,"&gt;"&amp;Q59)+1,COUNTIFS($O$2:$O$1092,O59,$P$2:$P$1092,"Below Materiality",$M$2:$M$1092,"&gt;"&amp;M59)+COUNTIFS($O$2:$O$1092,O59,$P$2:$P$1092,"Below Materiality",$M$2:$M$1092,M59,$A$2:$A$1092,"&lt;"&amp;A59)+1))</f>
        <v>17</v>
      </c>
      <c r="T59" s="22" t="n">
        <v>0.986739897441759</v>
      </c>
      <c r="U59" s="21" t="str">
        <f aca="false">IF(R59="","",O59&amp;"|A|"&amp;R59)</f>
        <v/>
      </c>
      <c r="V59" s="21" t="str">
        <f aca="false">IF(S59="","",O59&amp;"|R|"&amp;S59)</f>
        <v>Population 1|R|17</v>
      </c>
    </row>
    <row r="60" customFormat="false" ht="15" hidden="false" customHeight="false" outlineLevel="0" collapsed="false">
      <c r="A60" s="18" t="n">
        <v>59</v>
      </c>
      <c r="B60" s="18"/>
      <c r="C60" s="18"/>
      <c r="D60" s="18"/>
      <c r="E60" s="18" t="s">
        <v>187</v>
      </c>
      <c r="F60" s="18" t="s">
        <v>188</v>
      </c>
      <c r="G60" s="18" t="s">
        <v>71</v>
      </c>
      <c r="H60" s="18" t="n">
        <v>67</v>
      </c>
      <c r="I60" s="19" t="n">
        <v>0</v>
      </c>
      <c r="J60" s="19" t="n">
        <v>0</v>
      </c>
      <c r="K60" s="19" t="n">
        <v>4657.5</v>
      </c>
      <c r="L60" s="19" t="n">
        <v>-4657.5</v>
      </c>
      <c r="M60" s="19" t="n">
        <f aca="false">ABS(L60)</f>
        <v>4657.5</v>
      </c>
      <c r="N60" s="18" t="str">
        <f aca="false">IF(L60=0,"Nil balance",IF(G60="AR file",IF(L60&gt;0,"Accounts Receivable","Customer Advances"),IF(L60&lt;0,"Accounts Payable","Supplier Advances")))</f>
        <v>Accounts Payable</v>
      </c>
      <c r="O60" s="18" t="str">
        <f aca="false">IF(L60=0,"Excluded",IF(Summary!$C$4="By ledger",IF(G60="AR file","Population 1","Population 2"),IF(L60&gt;0,"Population 1","Population 2")))</f>
        <v>Population 2</v>
      </c>
      <c r="P60" s="18" t="str">
        <f aca="false">IF(O60="Excluded","Excluded – nil closing balance",IF(M60&gt;Summary!$C$5,"Above Materiality","Below Materiality"))</f>
        <v>Below Materiality</v>
      </c>
      <c r="Q60" s="20" t="n">
        <f aca="false">IF(P60="Below Materiality",T60,"")</f>
        <v>0.239141502295432</v>
      </c>
      <c r="R60" s="21" t="str">
        <f aca="false">IF(P60="Above Materiality",COUNTIFS($O$2:$O$1092,O60,$P$2:$P$1092,"Above Materiality",$M$2:$M$1092,"&gt;"&amp;M60)+COUNTIFS($O$2:$O$1092,O60,$P$2:$P$1092,"Above Materiality",$M$2:$M$1092,M60,$A$2:$A$1092,"&lt;"&amp;A60)+1,"")</f>
        <v/>
      </c>
      <c r="S60" s="21" t="n">
        <f aca="false">IF(P60&lt;&gt;"Below Materiality","",IF(Summary!$C$9="Random",COUNTIFS($O$2:$O$1092,O60,$Q$2:$Q$1092,"&gt;"&amp;Q60)+1,COUNTIFS($O$2:$O$1092,O60,$P$2:$P$1092,"Below Materiality",$M$2:$M$1092,"&gt;"&amp;M60)+COUNTIFS($O$2:$O$1092,O60,$P$2:$P$1092,"Below Materiality",$M$2:$M$1092,M60,$A$2:$A$1092,"&lt;"&amp;A60)+1))</f>
        <v>1</v>
      </c>
      <c r="T60" s="22" t="n">
        <v>0.239141502295432</v>
      </c>
      <c r="U60" s="21" t="str">
        <f aca="false">IF(R60="","",O60&amp;"|A|"&amp;R60)</f>
        <v/>
      </c>
      <c r="V60" s="21" t="str">
        <f aca="false">IF(S60="","",O60&amp;"|R|"&amp;S60)</f>
        <v>Population 2|R|1</v>
      </c>
    </row>
    <row r="61" customFormat="false" ht="15" hidden="false" customHeight="false" outlineLevel="0" collapsed="false">
      <c r="A61" s="18" t="n">
        <v>60</v>
      </c>
      <c r="B61" s="18"/>
      <c r="C61" s="18"/>
      <c r="D61" s="18"/>
      <c r="E61" s="18" t="s">
        <v>189</v>
      </c>
      <c r="F61" s="18" t="s">
        <v>190</v>
      </c>
      <c r="G61" s="18" t="s">
        <v>74</v>
      </c>
      <c r="H61" s="18" t="n">
        <v>522</v>
      </c>
      <c r="I61" s="19" t="n">
        <v>0</v>
      </c>
      <c r="J61" s="19" t="n">
        <v>0</v>
      </c>
      <c r="K61" s="19" t="n">
        <v>4312</v>
      </c>
      <c r="L61" s="19" t="n">
        <v>-4312</v>
      </c>
      <c r="M61" s="19" t="n">
        <f aca="false">ABS(L61)</f>
        <v>4312</v>
      </c>
      <c r="N61" s="18" t="str">
        <f aca="false">IF(L61=0,"Nil balance",IF(G61="AR file",IF(L61&gt;0,"Accounts Receivable","Customer Advances"),IF(L61&lt;0,"Accounts Payable","Supplier Advances")))</f>
        <v>Customer Advances</v>
      </c>
      <c r="O61" s="18" t="str">
        <f aca="false">IF(L61=0,"Excluded",IF(Summary!$C$4="By ledger",IF(G61="AR file","Population 1","Population 2"),IF(L61&gt;0,"Population 1","Population 2")))</f>
        <v>Population 1</v>
      </c>
      <c r="P61" s="18" t="str">
        <f aca="false">IF(O61="Excluded","Excluded – nil closing balance",IF(M61&gt;Summary!$C$5,"Above Materiality","Below Materiality"))</f>
        <v>Below Materiality</v>
      </c>
      <c r="Q61" s="20" t="n">
        <f aca="false">IF(P61="Below Materiality",T61,"")</f>
        <v>0.349680810220293</v>
      </c>
      <c r="R61" s="21" t="str">
        <f aca="false">IF(P61="Above Materiality",COUNTIFS($O$2:$O$1092,O61,$P$2:$P$1092,"Above Materiality",$M$2:$M$1092,"&gt;"&amp;M61)+COUNTIFS($O$2:$O$1092,O61,$P$2:$P$1092,"Above Materiality",$M$2:$M$1092,M61,$A$2:$A$1092,"&lt;"&amp;A61)+1,"")</f>
        <v/>
      </c>
      <c r="S61" s="21" t="n">
        <f aca="false">IF(P61&lt;&gt;"Below Materiality","",IF(Summary!$C$9="Random",COUNTIFS($O$2:$O$1092,O61,$Q$2:$Q$1092,"&gt;"&amp;Q61)+1,COUNTIFS($O$2:$O$1092,O61,$P$2:$P$1092,"Below Materiality",$M$2:$M$1092,"&gt;"&amp;M61)+COUNTIFS($O$2:$O$1092,O61,$P$2:$P$1092,"Below Materiality",$M$2:$M$1092,M61,$A$2:$A$1092,"&lt;"&amp;A61)+1))</f>
        <v>18</v>
      </c>
      <c r="T61" s="22" t="n">
        <v>0.349680810220293</v>
      </c>
      <c r="U61" s="21" t="str">
        <f aca="false">IF(R61="","",O61&amp;"|A|"&amp;R61)</f>
        <v/>
      </c>
      <c r="V61" s="21" t="str">
        <f aca="false">IF(S61="","",O61&amp;"|R|"&amp;S61)</f>
        <v>Population 1|R|18</v>
      </c>
    </row>
    <row r="62" customFormat="false" ht="15" hidden="false" customHeight="false" outlineLevel="0" collapsed="false">
      <c r="A62" s="18" t="n">
        <v>61</v>
      </c>
      <c r="B62" s="18"/>
      <c r="C62" s="18"/>
      <c r="D62" s="18"/>
      <c r="E62" s="18" t="s">
        <v>191</v>
      </c>
      <c r="F62" s="18" t="s">
        <v>192</v>
      </c>
      <c r="G62" s="18" t="s">
        <v>71</v>
      </c>
      <c r="H62" s="18" t="n">
        <v>93</v>
      </c>
      <c r="I62" s="19" t="n">
        <v>-9884.25</v>
      </c>
      <c r="J62" s="19" t="n">
        <v>95455.88</v>
      </c>
      <c r="K62" s="19" t="n">
        <v>89740.38</v>
      </c>
      <c r="L62" s="19" t="n">
        <v>-4168.75</v>
      </c>
      <c r="M62" s="19" t="n">
        <f aca="false">ABS(L62)</f>
        <v>4168.75</v>
      </c>
      <c r="N62" s="18" t="str">
        <f aca="false">IF(L62=0,"Nil balance",IF(G62="AR file",IF(L62&gt;0,"Accounts Receivable","Customer Advances"),IF(L62&lt;0,"Accounts Payable","Supplier Advances")))</f>
        <v>Accounts Payable</v>
      </c>
      <c r="O62" s="18" t="str">
        <f aca="false">IF(L62=0,"Excluded",IF(Summary!$C$4="By ledger",IF(G62="AR file","Population 1","Population 2"),IF(L62&gt;0,"Population 1","Population 2")))</f>
        <v>Population 2</v>
      </c>
      <c r="P62" s="18" t="str">
        <f aca="false">IF(O62="Excluded","Excluded – nil closing balance",IF(M62&gt;Summary!$C$5,"Above Materiality","Below Materiality"))</f>
        <v>Below Materiality</v>
      </c>
      <c r="Q62" s="20" t="n">
        <f aca="false">IF(P62="Below Materiality",T62,"")</f>
        <v>0.132969766441612</v>
      </c>
      <c r="R62" s="21" t="str">
        <f aca="false">IF(P62="Above Materiality",COUNTIFS($O$2:$O$1092,O62,$P$2:$P$1092,"Above Materiality",$M$2:$M$1092,"&gt;"&amp;M62)+COUNTIFS($O$2:$O$1092,O62,$P$2:$P$1092,"Above Materiality",$M$2:$M$1092,M62,$A$2:$A$1092,"&lt;"&amp;A62)+1,"")</f>
        <v/>
      </c>
      <c r="S62" s="21" t="n">
        <f aca="false">IF(P62&lt;&gt;"Below Materiality","",IF(Summary!$C$9="Random",COUNTIFS($O$2:$O$1092,O62,$Q$2:$Q$1092,"&gt;"&amp;Q62)+1,COUNTIFS($O$2:$O$1092,O62,$P$2:$P$1092,"Below Materiality",$M$2:$M$1092,"&gt;"&amp;M62)+COUNTIFS($O$2:$O$1092,O62,$P$2:$P$1092,"Below Materiality",$M$2:$M$1092,M62,$A$2:$A$1092,"&lt;"&amp;A62)+1))</f>
        <v>2</v>
      </c>
      <c r="T62" s="22" t="n">
        <v>0.132969766441612</v>
      </c>
      <c r="U62" s="21" t="str">
        <f aca="false">IF(R62="","",O62&amp;"|A|"&amp;R62)</f>
        <v/>
      </c>
      <c r="V62" s="21" t="str">
        <f aca="false">IF(S62="","",O62&amp;"|R|"&amp;S62)</f>
        <v>Population 2|R|2</v>
      </c>
    </row>
    <row r="63" customFormat="false" ht="15" hidden="false" customHeight="false" outlineLevel="0" collapsed="false">
      <c r="A63" s="18" t="n">
        <v>62</v>
      </c>
      <c r="B63" s="18"/>
      <c r="C63" s="18"/>
      <c r="D63" s="18"/>
      <c r="E63" s="18" t="s">
        <v>193</v>
      </c>
      <c r="F63" s="18" t="s">
        <v>194</v>
      </c>
      <c r="G63" s="18" t="s">
        <v>74</v>
      </c>
      <c r="H63" s="18" t="n">
        <v>115</v>
      </c>
      <c r="I63" s="19" t="n">
        <v>2027.05</v>
      </c>
      <c r="J63" s="19" t="n">
        <v>27219.35</v>
      </c>
      <c r="K63" s="19" t="n">
        <v>25279.3</v>
      </c>
      <c r="L63" s="19" t="n">
        <v>3967.1</v>
      </c>
      <c r="M63" s="19" t="n">
        <f aca="false">ABS(L63)</f>
        <v>3967.1</v>
      </c>
      <c r="N63" s="18" t="str">
        <f aca="false">IF(L63=0,"Nil balance",IF(G63="AR file",IF(L63&gt;0,"Accounts Receivable","Customer Advances"),IF(L63&lt;0,"Accounts Payable","Supplier Advances")))</f>
        <v>Accounts Receivable</v>
      </c>
      <c r="O63" s="18" t="str">
        <f aca="false">IF(L63=0,"Excluded",IF(Summary!$C$4="By ledger",IF(G63="AR file","Population 1","Population 2"),IF(L63&gt;0,"Population 1","Population 2")))</f>
        <v>Population 1</v>
      </c>
      <c r="P63" s="18" t="str">
        <f aca="false">IF(O63="Excluded","Excluded – nil closing balance",IF(M63&gt;Summary!$C$5,"Above Materiality","Below Materiality"))</f>
        <v>Below Materiality</v>
      </c>
      <c r="Q63" s="20" t="n">
        <f aca="false">IF(P63="Below Materiality",T63,"")</f>
        <v>0.494160719959435</v>
      </c>
      <c r="R63" s="21" t="str">
        <f aca="false">IF(P63="Above Materiality",COUNTIFS($O$2:$O$1092,O63,$P$2:$P$1092,"Above Materiality",$M$2:$M$1092,"&gt;"&amp;M63)+COUNTIFS($O$2:$O$1092,O63,$P$2:$P$1092,"Above Materiality",$M$2:$M$1092,M63,$A$2:$A$1092,"&lt;"&amp;A63)+1,"")</f>
        <v/>
      </c>
      <c r="S63" s="21" t="n">
        <f aca="false">IF(P63&lt;&gt;"Below Materiality","",IF(Summary!$C$9="Random",COUNTIFS($O$2:$O$1092,O63,$Q$2:$Q$1092,"&gt;"&amp;Q63)+1,COUNTIFS($O$2:$O$1092,O63,$P$2:$P$1092,"Below Materiality",$M$2:$M$1092,"&gt;"&amp;M63)+COUNTIFS($O$2:$O$1092,O63,$P$2:$P$1092,"Below Materiality",$M$2:$M$1092,M63,$A$2:$A$1092,"&lt;"&amp;A63)+1))</f>
        <v>19</v>
      </c>
      <c r="T63" s="22" t="n">
        <v>0.494160719959435</v>
      </c>
      <c r="U63" s="21" t="str">
        <f aca="false">IF(R63="","",O63&amp;"|A|"&amp;R63)</f>
        <v/>
      </c>
      <c r="V63" s="21" t="str">
        <f aca="false">IF(S63="","",O63&amp;"|R|"&amp;S63)</f>
        <v>Population 1|R|19</v>
      </c>
    </row>
    <row r="64" customFormat="false" ht="15" hidden="false" customHeight="false" outlineLevel="0" collapsed="false">
      <c r="A64" s="18" t="n">
        <v>63</v>
      </c>
      <c r="B64" s="18"/>
      <c r="C64" s="18"/>
      <c r="D64" s="18"/>
      <c r="E64" s="18" t="s">
        <v>195</v>
      </c>
      <c r="F64" s="18" t="s">
        <v>196</v>
      </c>
      <c r="G64" s="18" t="s">
        <v>74</v>
      </c>
      <c r="H64" s="18" t="n">
        <v>693</v>
      </c>
      <c r="I64" s="19" t="n">
        <v>0</v>
      </c>
      <c r="J64" s="19" t="n">
        <v>37453.2</v>
      </c>
      <c r="K64" s="19" t="n">
        <v>33520.2</v>
      </c>
      <c r="L64" s="19" t="n">
        <v>3933</v>
      </c>
      <c r="M64" s="19" t="n">
        <f aca="false">ABS(L64)</f>
        <v>3933</v>
      </c>
      <c r="N64" s="18" t="str">
        <f aca="false">IF(L64=0,"Nil balance",IF(G64="AR file",IF(L64&gt;0,"Accounts Receivable","Customer Advances"),IF(L64&lt;0,"Accounts Payable","Supplier Advances")))</f>
        <v>Accounts Receivable</v>
      </c>
      <c r="O64" s="18" t="str">
        <f aca="false">IF(L64=0,"Excluded",IF(Summary!$C$4="By ledger",IF(G64="AR file","Population 1","Population 2"),IF(L64&gt;0,"Population 1","Population 2")))</f>
        <v>Population 1</v>
      </c>
      <c r="P64" s="18" t="str">
        <f aca="false">IF(O64="Excluded","Excluded – nil closing balance",IF(M64&gt;Summary!$C$5,"Above Materiality","Below Materiality"))</f>
        <v>Below Materiality</v>
      </c>
      <c r="Q64" s="20" t="n">
        <f aca="false">IF(P64="Below Materiality",T64,"")</f>
        <v>0.309710609091766</v>
      </c>
      <c r="R64" s="21" t="str">
        <f aca="false">IF(P64="Above Materiality",COUNTIFS($O$2:$O$1092,O64,$P$2:$P$1092,"Above Materiality",$M$2:$M$1092,"&gt;"&amp;M64)+COUNTIFS($O$2:$O$1092,O64,$P$2:$P$1092,"Above Materiality",$M$2:$M$1092,M64,$A$2:$A$1092,"&lt;"&amp;A64)+1,"")</f>
        <v/>
      </c>
      <c r="S64" s="21" t="n">
        <f aca="false">IF(P64&lt;&gt;"Below Materiality","",IF(Summary!$C$9="Random",COUNTIFS($O$2:$O$1092,O64,$Q$2:$Q$1092,"&gt;"&amp;Q64)+1,COUNTIFS($O$2:$O$1092,O64,$P$2:$P$1092,"Below Materiality",$M$2:$M$1092,"&gt;"&amp;M64)+COUNTIFS($O$2:$O$1092,O64,$P$2:$P$1092,"Below Materiality",$M$2:$M$1092,M64,$A$2:$A$1092,"&lt;"&amp;A64)+1))</f>
        <v>20</v>
      </c>
      <c r="T64" s="22" t="n">
        <v>0.309710609091766</v>
      </c>
      <c r="U64" s="21" t="str">
        <f aca="false">IF(R64="","",O64&amp;"|A|"&amp;R64)</f>
        <v/>
      </c>
      <c r="V64" s="21" t="str">
        <f aca="false">IF(S64="","",O64&amp;"|R|"&amp;S64)</f>
        <v>Population 1|R|20</v>
      </c>
    </row>
    <row r="65" customFormat="false" ht="15" hidden="false" customHeight="false" outlineLevel="0" collapsed="false">
      <c r="A65" s="18" t="n">
        <v>64</v>
      </c>
      <c r="B65" s="18"/>
      <c r="C65" s="18"/>
      <c r="D65" s="18"/>
      <c r="E65" s="18" t="s">
        <v>197</v>
      </c>
      <c r="F65" s="18" t="s">
        <v>198</v>
      </c>
      <c r="G65" s="18" t="s">
        <v>74</v>
      </c>
      <c r="H65" s="18" t="n">
        <v>669</v>
      </c>
      <c r="I65" s="19" t="n">
        <v>0</v>
      </c>
      <c r="J65" s="19" t="n">
        <v>0</v>
      </c>
      <c r="K65" s="19" t="n">
        <v>3795</v>
      </c>
      <c r="L65" s="19" t="n">
        <v>-3795</v>
      </c>
      <c r="M65" s="19" t="n">
        <f aca="false">ABS(L65)</f>
        <v>3795</v>
      </c>
      <c r="N65" s="18" t="str">
        <f aca="false">IF(L65=0,"Nil balance",IF(G65="AR file",IF(L65&gt;0,"Accounts Receivable","Customer Advances"),IF(L65&lt;0,"Accounts Payable","Supplier Advances")))</f>
        <v>Customer Advances</v>
      </c>
      <c r="O65" s="18" t="str">
        <f aca="false">IF(L65=0,"Excluded",IF(Summary!$C$4="By ledger",IF(G65="AR file","Population 1","Population 2"),IF(L65&gt;0,"Population 1","Population 2")))</f>
        <v>Population 1</v>
      </c>
      <c r="P65" s="18" t="str">
        <f aca="false">IF(O65="Excluded","Excluded – nil closing balance",IF(M65&gt;Summary!$C$5,"Above Materiality","Below Materiality"))</f>
        <v>Below Materiality</v>
      </c>
      <c r="Q65" s="20" t="n">
        <f aca="false">IF(P65="Below Materiality",T65,"")</f>
        <v>0.309417993335757</v>
      </c>
      <c r="R65" s="21" t="str">
        <f aca="false">IF(P65="Above Materiality",COUNTIFS($O$2:$O$1092,O65,$P$2:$P$1092,"Above Materiality",$M$2:$M$1092,"&gt;"&amp;M65)+COUNTIFS($O$2:$O$1092,O65,$P$2:$P$1092,"Above Materiality",$M$2:$M$1092,M65,$A$2:$A$1092,"&lt;"&amp;A65)+1,"")</f>
        <v/>
      </c>
      <c r="S65" s="21" t="n">
        <f aca="false">IF(P65&lt;&gt;"Below Materiality","",IF(Summary!$C$9="Random",COUNTIFS($O$2:$O$1092,O65,$Q$2:$Q$1092,"&gt;"&amp;Q65)+1,COUNTIFS($O$2:$O$1092,O65,$P$2:$P$1092,"Below Materiality",$M$2:$M$1092,"&gt;"&amp;M65)+COUNTIFS($O$2:$O$1092,O65,$P$2:$P$1092,"Below Materiality",$M$2:$M$1092,M65,$A$2:$A$1092,"&lt;"&amp;A65)+1))</f>
        <v>21</v>
      </c>
      <c r="T65" s="22" t="n">
        <v>0.309417993335757</v>
      </c>
      <c r="U65" s="21" t="str">
        <f aca="false">IF(R65="","",O65&amp;"|A|"&amp;R65)</f>
        <v/>
      </c>
      <c r="V65" s="21" t="str">
        <f aca="false">IF(S65="","",O65&amp;"|R|"&amp;S65)</f>
        <v>Population 1|R|21</v>
      </c>
    </row>
    <row r="66" customFormat="false" ht="15" hidden="false" customHeight="false" outlineLevel="0" collapsed="false">
      <c r="A66" s="18" t="n">
        <v>65</v>
      </c>
      <c r="B66" s="18"/>
      <c r="C66" s="18"/>
      <c r="D66" s="18"/>
      <c r="E66" s="18" t="s">
        <v>199</v>
      </c>
      <c r="F66" s="18" t="s">
        <v>200</v>
      </c>
      <c r="G66" s="18" t="s">
        <v>74</v>
      </c>
      <c r="H66" s="18" t="n">
        <v>846</v>
      </c>
      <c r="I66" s="19" t="n">
        <v>0</v>
      </c>
      <c r="J66" s="19" t="n">
        <v>33528.2</v>
      </c>
      <c r="K66" s="19" t="n">
        <v>29857.4</v>
      </c>
      <c r="L66" s="19" t="n">
        <v>3670.8</v>
      </c>
      <c r="M66" s="19" t="n">
        <f aca="false">ABS(L66)</f>
        <v>3670.8</v>
      </c>
      <c r="N66" s="18" t="str">
        <f aca="false">IF(L66=0,"Nil balance",IF(G66="AR file",IF(L66&gt;0,"Accounts Receivable","Customer Advances"),IF(L66&lt;0,"Accounts Payable","Supplier Advances")))</f>
        <v>Accounts Receivable</v>
      </c>
      <c r="O66" s="18" t="str">
        <f aca="false">IF(L66=0,"Excluded",IF(Summary!$C$4="By ledger",IF(G66="AR file","Population 1","Population 2"),IF(L66&gt;0,"Population 1","Population 2")))</f>
        <v>Population 1</v>
      </c>
      <c r="P66" s="18" t="str">
        <f aca="false">IF(O66="Excluded","Excluded – nil closing balance",IF(M66&gt;Summary!$C$5,"Above Materiality","Below Materiality"))</f>
        <v>Below Materiality</v>
      </c>
      <c r="Q66" s="20" t="n">
        <f aca="false">IF(P66="Below Materiality",T66,"")</f>
        <v>0.597611711600034</v>
      </c>
      <c r="R66" s="21" t="str">
        <f aca="false">IF(P66="Above Materiality",COUNTIFS($O$2:$O$1092,O66,$P$2:$P$1092,"Above Materiality",$M$2:$M$1092,"&gt;"&amp;M66)+COUNTIFS($O$2:$O$1092,O66,$P$2:$P$1092,"Above Materiality",$M$2:$M$1092,M66,$A$2:$A$1092,"&lt;"&amp;A66)+1,"")</f>
        <v/>
      </c>
      <c r="S66" s="21" t="n">
        <f aca="false">IF(P66&lt;&gt;"Below Materiality","",IF(Summary!$C$9="Random",COUNTIFS($O$2:$O$1092,O66,$Q$2:$Q$1092,"&gt;"&amp;Q66)+1,COUNTIFS($O$2:$O$1092,O66,$P$2:$P$1092,"Below Materiality",$M$2:$M$1092,"&gt;"&amp;M66)+COUNTIFS($O$2:$O$1092,O66,$P$2:$P$1092,"Below Materiality",$M$2:$M$1092,M66,$A$2:$A$1092,"&lt;"&amp;A66)+1))</f>
        <v>22</v>
      </c>
      <c r="T66" s="22" t="n">
        <v>0.597611711600034</v>
      </c>
      <c r="U66" s="21" t="str">
        <f aca="false">IF(R66="","",O66&amp;"|A|"&amp;R66)</f>
        <v/>
      </c>
      <c r="V66" s="21" t="str">
        <f aca="false">IF(S66="","",O66&amp;"|R|"&amp;S66)</f>
        <v>Population 1|R|22</v>
      </c>
    </row>
    <row r="67" customFormat="false" ht="15" hidden="false" customHeight="false" outlineLevel="0" collapsed="false">
      <c r="A67" s="18" t="n">
        <v>66</v>
      </c>
      <c r="B67" s="18"/>
      <c r="C67" s="18"/>
      <c r="D67" s="18"/>
      <c r="E67" s="18" t="s">
        <v>201</v>
      </c>
      <c r="F67" s="18" t="s">
        <v>202</v>
      </c>
      <c r="G67" s="18" t="s">
        <v>74</v>
      </c>
      <c r="H67" s="18" t="n">
        <v>4</v>
      </c>
      <c r="I67" s="19" t="n">
        <v>7804.99</v>
      </c>
      <c r="J67" s="19" t="n">
        <v>26357.14</v>
      </c>
      <c r="K67" s="19" t="n">
        <v>30737.93</v>
      </c>
      <c r="L67" s="19" t="n">
        <v>3424.2</v>
      </c>
      <c r="M67" s="19" t="n">
        <f aca="false">ABS(L67)</f>
        <v>3424.2</v>
      </c>
      <c r="N67" s="18" t="str">
        <f aca="false">IF(L67=0,"Nil balance",IF(G67="AR file",IF(L67&gt;0,"Accounts Receivable","Customer Advances"),IF(L67&lt;0,"Accounts Payable","Supplier Advances")))</f>
        <v>Accounts Receivable</v>
      </c>
      <c r="O67" s="18" t="str">
        <f aca="false">IF(L67=0,"Excluded",IF(Summary!$C$4="By ledger",IF(G67="AR file","Population 1","Population 2"),IF(L67&gt;0,"Population 1","Population 2")))</f>
        <v>Population 1</v>
      </c>
      <c r="P67" s="18" t="str">
        <f aca="false">IF(O67="Excluded","Excluded – nil closing balance",IF(M67&gt;Summary!$C$5,"Above Materiality","Below Materiality"))</f>
        <v>Below Materiality</v>
      </c>
      <c r="Q67" s="20" t="n">
        <f aca="false">IF(P67="Below Materiality",T67,"")</f>
        <v>0.888077144670812</v>
      </c>
      <c r="R67" s="21" t="str">
        <f aca="false">IF(P67="Above Materiality",COUNTIFS($O$2:$O$1092,O67,$P$2:$P$1092,"Above Materiality",$M$2:$M$1092,"&gt;"&amp;M67)+COUNTIFS($O$2:$O$1092,O67,$P$2:$P$1092,"Above Materiality",$M$2:$M$1092,M67,$A$2:$A$1092,"&lt;"&amp;A67)+1,"")</f>
        <v/>
      </c>
      <c r="S67" s="21" t="n">
        <f aca="false">IF(P67&lt;&gt;"Below Materiality","",IF(Summary!$C$9="Random",COUNTIFS($O$2:$O$1092,O67,$Q$2:$Q$1092,"&gt;"&amp;Q67)+1,COUNTIFS($O$2:$O$1092,O67,$P$2:$P$1092,"Below Materiality",$M$2:$M$1092,"&gt;"&amp;M67)+COUNTIFS($O$2:$O$1092,O67,$P$2:$P$1092,"Below Materiality",$M$2:$M$1092,M67,$A$2:$A$1092,"&lt;"&amp;A67)+1))</f>
        <v>23</v>
      </c>
      <c r="T67" s="22" t="n">
        <v>0.888077144670812</v>
      </c>
      <c r="U67" s="21" t="str">
        <f aca="false">IF(R67="","",O67&amp;"|A|"&amp;R67)</f>
        <v/>
      </c>
      <c r="V67" s="21" t="str">
        <f aca="false">IF(S67="","",O67&amp;"|R|"&amp;S67)</f>
        <v>Population 1|R|23</v>
      </c>
    </row>
    <row r="68" customFormat="false" ht="15" hidden="false" customHeight="false" outlineLevel="0" collapsed="false">
      <c r="A68" s="18" t="n">
        <v>67</v>
      </c>
      <c r="B68" s="18"/>
      <c r="C68" s="18"/>
      <c r="D68" s="18"/>
      <c r="E68" s="18" t="s">
        <v>203</v>
      </c>
      <c r="F68" s="18" t="s">
        <v>204</v>
      </c>
      <c r="G68" s="18" t="s">
        <v>74</v>
      </c>
      <c r="H68" s="18" t="n">
        <v>105</v>
      </c>
      <c r="I68" s="19" t="n">
        <v>0.25</v>
      </c>
      <c r="J68" s="19" t="n">
        <v>15545.7</v>
      </c>
      <c r="K68" s="19" t="n">
        <v>12762.95</v>
      </c>
      <c r="L68" s="19" t="n">
        <v>2783</v>
      </c>
      <c r="M68" s="19" t="n">
        <f aca="false">ABS(L68)</f>
        <v>2783</v>
      </c>
      <c r="N68" s="18" t="str">
        <f aca="false">IF(L68=0,"Nil balance",IF(G68="AR file",IF(L68&gt;0,"Accounts Receivable","Customer Advances"),IF(L68&lt;0,"Accounts Payable","Supplier Advances")))</f>
        <v>Accounts Receivable</v>
      </c>
      <c r="O68" s="18" t="str">
        <f aca="false">IF(L68=0,"Excluded",IF(Summary!$C$4="By ledger",IF(G68="AR file","Population 1","Population 2"),IF(L68&gt;0,"Population 1","Population 2")))</f>
        <v>Population 1</v>
      </c>
      <c r="P68" s="18" t="str">
        <f aca="false">IF(O68="Excluded","Excluded – nil closing balance",IF(M68&gt;Summary!$C$5,"Above Materiality","Below Materiality"))</f>
        <v>Below Materiality</v>
      </c>
      <c r="Q68" s="20" t="n">
        <f aca="false">IF(P68="Below Materiality",T68,"")</f>
        <v>0.561185961822855</v>
      </c>
      <c r="R68" s="21" t="str">
        <f aca="false">IF(P68="Above Materiality",COUNTIFS($O$2:$O$1092,O68,$P$2:$P$1092,"Above Materiality",$M$2:$M$1092,"&gt;"&amp;M68)+COUNTIFS($O$2:$O$1092,O68,$P$2:$P$1092,"Above Materiality",$M$2:$M$1092,M68,$A$2:$A$1092,"&lt;"&amp;A68)+1,"")</f>
        <v/>
      </c>
      <c r="S68" s="21" t="n">
        <f aca="false">IF(P68&lt;&gt;"Below Materiality","",IF(Summary!$C$9="Random",COUNTIFS($O$2:$O$1092,O68,$Q$2:$Q$1092,"&gt;"&amp;Q68)+1,COUNTIFS($O$2:$O$1092,O68,$P$2:$P$1092,"Below Materiality",$M$2:$M$1092,"&gt;"&amp;M68)+COUNTIFS($O$2:$O$1092,O68,$P$2:$P$1092,"Below Materiality",$M$2:$M$1092,M68,$A$2:$A$1092,"&lt;"&amp;A68)+1))</f>
        <v>24</v>
      </c>
      <c r="T68" s="22" t="n">
        <v>0.561185961822855</v>
      </c>
      <c r="U68" s="21" t="str">
        <f aca="false">IF(R68="","",O68&amp;"|A|"&amp;R68)</f>
        <v/>
      </c>
      <c r="V68" s="21" t="str">
        <f aca="false">IF(S68="","",O68&amp;"|R|"&amp;S68)</f>
        <v>Population 1|R|24</v>
      </c>
    </row>
    <row r="69" customFormat="false" ht="15" hidden="false" customHeight="false" outlineLevel="0" collapsed="false">
      <c r="A69" s="18" t="n">
        <v>68</v>
      </c>
      <c r="B69" s="18"/>
      <c r="C69" s="18"/>
      <c r="D69" s="18"/>
      <c r="E69" s="18" t="s">
        <v>205</v>
      </c>
      <c r="F69" s="18" t="s">
        <v>206</v>
      </c>
      <c r="G69" s="18" t="s">
        <v>71</v>
      </c>
      <c r="H69" s="18" t="n">
        <v>11</v>
      </c>
      <c r="I69" s="19" t="n">
        <v>0</v>
      </c>
      <c r="J69" s="19" t="n">
        <v>3795</v>
      </c>
      <c r="K69" s="19" t="n">
        <v>6526.25</v>
      </c>
      <c r="L69" s="19" t="n">
        <v>-2731.25</v>
      </c>
      <c r="M69" s="19" t="n">
        <f aca="false">ABS(L69)</f>
        <v>2731.25</v>
      </c>
      <c r="N69" s="18" t="str">
        <f aca="false">IF(L69=0,"Nil balance",IF(G69="AR file",IF(L69&gt;0,"Accounts Receivable","Customer Advances"),IF(L69&lt;0,"Accounts Payable","Supplier Advances")))</f>
        <v>Accounts Payable</v>
      </c>
      <c r="O69" s="18" t="str">
        <f aca="false">IF(L69=0,"Excluded",IF(Summary!$C$4="By ledger",IF(G69="AR file","Population 1","Population 2"),IF(L69&gt;0,"Population 1","Population 2")))</f>
        <v>Population 2</v>
      </c>
      <c r="P69" s="18" t="str">
        <f aca="false">IF(O69="Excluded","Excluded – nil closing balance",IF(M69&gt;Summary!$C$5,"Above Materiality","Below Materiality"))</f>
        <v>Below Materiality</v>
      </c>
      <c r="Q69" s="20" t="n">
        <f aca="false">IF(P69="Below Materiality",T69,"")</f>
        <v>0.330904659923621</v>
      </c>
      <c r="R69" s="21" t="str">
        <f aca="false">IF(P69="Above Materiality",COUNTIFS($O$2:$O$1092,O69,$P$2:$P$1092,"Above Materiality",$M$2:$M$1092,"&gt;"&amp;M69)+COUNTIFS($O$2:$O$1092,O69,$P$2:$P$1092,"Above Materiality",$M$2:$M$1092,M69,$A$2:$A$1092,"&lt;"&amp;A69)+1,"")</f>
        <v/>
      </c>
      <c r="S69" s="21" t="n">
        <f aca="false">IF(P69&lt;&gt;"Below Materiality","",IF(Summary!$C$9="Random",COUNTIFS($O$2:$O$1092,O69,$Q$2:$Q$1092,"&gt;"&amp;Q69)+1,COUNTIFS($O$2:$O$1092,O69,$P$2:$P$1092,"Below Materiality",$M$2:$M$1092,"&gt;"&amp;M69)+COUNTIFS($O$2:$O$1092,O69,$P$2:$P$1092,"Below Materiality",$M$2:$M$1092,M69,$A$2:$A$1092,"&lt;"&amp;A69)+1))</f>
        <v>3</v>
      </c>
      <c r="T69" s="22" t="n">
        <v>0.330904659923621</v>
      </c>
      <c r="U69" s="21" t="str">
        <f aca="false">IF(R69="","",O69&amp;"|A|"&amp;R69)</f>
        <v/>
      </c>
      <c r="V69" s="21" t="str">
        <f aca="false">IF(S69="","",O69&amp;"|R|"&amp;S69)</f>
        <v>Population 2|R|3</v>
      </c>
    </row>
    <row r="70" customFormat="false" ht="15" hidden="false" customHeight="false" outlineLevel="0" collapsed="false">
      <c r="A70" s="18" t="n">
        <v>69</v>
      </c>
      <c r="B70" s="18"/>
      <c r="C70" s="18"/>
      <c r="D70" s="18"/>
      <c r="E70" s="18" t="s">
        <v>207</v>
      </c>
      <c r="F70" s="18" t="s">
        <v>208</v>
      </c>
      <c r="G70" s="18" t="s">
        <v>74</v>
      </c>
      <c r="H70" s="18" t="n">
        <v>30</v>
      </c>
      <c r="I70" s="19" t="n">
        <v>2711.7</v>
      </c>
      <c r="J70" s="19" t="n">
        <v>2725</v>
      </c>
      <c r="K70" s="19" t="n">
        <v>2725</v>
      </c>
      <c r="L70" s="19" t="n">
        <v>2711.7</v>
      </c>
      <c r="M70" s="19" t="n">
        <f aca="false">ABS(L70)</f>
        <v>2711.7</v>
      </c>
      <c r="N70" s="18" t="str">
        <f aca="false">IF(L70=0,"Nil balance",IF(G70="AR file",IF(L70&gt;0,"Accounts Receivable","Customer Advances"),IF(L70&lt;0,"Accounts Payable","Supplier Advances")))</f>
        <v>Accounts Receivable</v>
      </c>
      <c r="O70" s="18" t="str">
        <f aca="false">IF(L70=0,"Excluded",IF(Summary!$C$4="By ledger",IF(G70="AR file","Population 1","Population 2"),IF(L70&gt;0,"Population 1","Population 2")))</f>
        <v>Population 1</v>
      </c>
      <c r="P70" s="18" t="str">
        <f aca="false">IF(O70="Excluded","Excluded – nil closing balance",IF(M70&gt;Summary!$C$5,"Above Materiality","Below Materiality"))</f>
        <v>Below Materiality</v>
      </c>
      <c r="Q70" s="20" t="n">
        <f aca="false">IF(P70="Below Materiality",T70,"")</f>
        <v>0.386132579712003</v>
      </c>
      <c r="R70" s="21" t="str">
        <f aca="false">IF(P70="Above Materiality",COUNTIFS($O$2:$O$1092,O70,$P$2:$P$1092,"Above Materiality",$M$2:$M$1092,"&gt;"&amp;M70)+COUNTIFS($O$2:$O$1092,O70,$P$2:$P$1092,"Above Materiality",$M$2:$M$1092,M70,$A$2:$A$1092,"&lt;"&amp;A70)+1,"")</f>
        <v/>
      </c>
      <c r="S70" s="21" t="n">
        <f aca="false">IF(P70&lt;&gt;"Below Materiality","",IF(Summary!$C$9="Random",COUNTIFS($O$2:$O$1092,O70,$Q$2:$Q$1092,"&gt;"&amp;Q70)+1,COUNTIFS($O$2:$O$1092,O70,$P$2:$P$1092,"Below Materiality",$M$2:$M$1092,"&gt;"&amp;M70)+COUNTIFS($O$2:$O$1092,O70,$P$2:$P$1092,"Below Materiality",$M$2:$M$1092,M70,$A$2:$A$1092,"&lt;"&amp;A70)+1))</f>
        <v>25</v>
      </c>
      <c r="T70" s="22" t="n">
        <v>0.386132579712003</v>
      </c>
      <c r="U70" s="21" t="str">
        <f aca="false">IF(R70="","",O70&amp;"|A|"&amp;R70)</f>
        <v/>
      </c>
      <c r="V70" s="21" t="str">
        <f aca="false">IF(S70="","",O70&amp;"|R|"&amp;S70)</f>
        <v>Population 1|R|25</v>
      </c>
    </row>
    <row r="71" customFormat="false" ht="15" hidden="false" customHeight="false" outlineLevel="0" collapsed="false">
      <c r="A71" s="18" t="n">
        <v>70</v>
      </c>
      <c r="B71" s="18"/>
      <c r="C71" s="18"/>
      <c r="D71" s="18"/>
      <c r="E71" s="18" t="s">
        <v>209</v>
      </c>
      <c r="F71" s="18" t="s">
        <v>210</v>
      </c>
      <c r="G71" s="18" t="s">
        <v>74</v>
      </c>
      <c r="H71" s="18" t="n">
        <v>454</v>
      </c>
      <c r="I71" s="19" t="n">
        <v>0</v>
      </c>
      <c r="J71" s="19" t="n">
        <v>0</v>
      </c>
      <c r="K71" s="19" t="n">
        <v>2702.5</v>
      </c>
      <c r="L71" s="19" t="n">
        <v>-2702.5</v>
      </c>
      <c r="M71" s="19" t="n">
        <f aca="false">ABS(L71)</f>
        <v>2702.5</v>
      </c>
      <c r="N71" s="18" t="str">
        <f aca="false">IF(L71=0,"Nil balance",IF(G71="AR file",IF(L71&gt;0,"Accounts Receivable","Customer Advances"),IF(L71&lt;0,"Accounts Payable","Supplier Advances")))</f>
        <v>Customer Advances</v>
      </c>
      <c r="O71" s="18" t="str">
        <f aca="false">IF(L71=0,"Excluded",IF(Summary!$C$4="By ledger",IF(G71="AR file","Population 1","Population 2"),IF(L71&gt;0,"Population 1","Population 2")))</f>
        <v>Population 1</v>
      </c>
      <c r="P71" s="18" t="str">
        <f aca="false">IF(O71="Excluded","Excluded – nil closing balance",IF(M71&gt;Summary!$C$5,"Above Materiality","Below Materiality"))</f>
        <v>Below Materiality</v>
      </c>
      <c r="Q71" s="20" t="n">
        <f aca="false">IF(P71="Below Materiality",T71,"")</f>
        <v>0.51217892536688</v>
      </c>
      <c r="R71" s="21" t="str">
        <f aca="false">IF(P71="Above Materiality",COUNTIFS($O$2:$O$1092,O71,$P$2:$P$1092,"Above Materiality",$M$2:$M$1092,"&gt;"&amp;M71)+COUNTIFS($O$2:$O$1092,O71,$P$2:$P$1092,"Above Materiality",$M$2:$M$1092,M71,$A$2:$A$1092,"&lt;"&amp;A71)+1,"")</f>
        <v/>
      </c>
      <c r="S71" s="21" t="n">
        <f aca="false">IF(P71&lt;&gt;"Below Materiality","",IF(Summary!$C$9="Random",COUNTIFS($O$2:$O$1092,O71,$Q$2:$Q$1092,"&gt;"&amp;Q71)+1,COUNTIFS($O$2:$O$1092,O71,$P$2:$P$1092,"Below Materiality",$M$2:$M$1092,"&gt;"&amp;M71)+COUNTIFS($O$2:$O$1092,O71,$P$2:$P$1092,"Below Materiality",$M$2:$M$1092,M71,$A$2:$A$1092,"&lt;"&amp;A71)+1))</f>
        <v>26</v>
      </c>
      <c r="T71" s="22" t="n">
        <v>0.51217892536688</v>
      </c>
      <c r="U71" s="21" t="str">
        <f aca="false">IF(R71="","",O71&amp;"|A|"&amp;R71)</f>
        <v/>
      </c>
      <c r="V71" s="21" t="str">
        <f aca="false">IF(S71="","",O71&amp;"|R|"&amp;S71)</f>
        <v>Population 1|R|26</v>
      </c>
    </row>
    <row r="72" customFormat="false" ht="15" hidden="false" customHeight="false" outlineLevel="0" collapsed="false">
      <c r="A72" s="18" t="n">
        <v>71</v>
      </c>
      <c r="B72" s="18"/>
      <c r="C72" s="18"/>
      <c r="D72" s="18"/>
      <c r="E72" s="18" t="s">
        <v>211</v>
      </c>
      <c r="F72" s="18" t="s">
        <v>212</v>
      </c>
      <c r="G72" s="18" t="s">
        <v>74</v>
      </c>
      <c r="H72" s="18" t="n">
        <v>84</v>
      </c>
      <c r="I72" s="19" t="n">
        <v>10396.6</v>
      </c>
      <c r="J72" s="19" t="n">
        <v>0</v>
      </c>
      <c r="K72" s="19" t="n">
        <v>7751.12</v>
      </c>
      <c r="L72" s="19" t="n">
        <v>2645.48000000001</v>
      </c>
      <c r="M72" s="19" t="n">
        <f aca="false">ABS(L72)</f>
        <v>2645.48000000001</v>
      </c>
      <c r="N72" s="18" t="str">
        <f aca="false">IF(L72=0,"Nil balance",IF(G72="AR file",IF(L72&gt;0,"Accounts Receivable","Customer Advances"),IF(L72&lt;0,"Accounts Payable","Supplier Advances")))</f>
        <v>Accounts Receivable</v>
      </c>
      <c r="O72" s="18" t="str">
        <f aca="false">IF(L72=0,"Excluded",IF(Summary!$C$4="By ledger",IF(G72="AR file","Population 1","Population 2"),IF(L72&gt;0,"Population 1","Population 2")))</f>
        <v>Population 1</v>
      </c>
      <c r="P72" s="18" t="str">
        <f aca="false">IF(O72="Excluded","Excluded – nil closing balance",IF(M72&gt;Summary!$C$5,"Above Materiality","Below Materiality"))</f>
        <v>Below Materiality</v>
      </c>
      <c r="Q72" s="20" t="n">
        <f aca="false">IF(P72="Below Materiality",T72,"")</f>
        <v>0.653921102788986</v>
      </c>
      <c r="R72" s="21" t="str">
        <f aca="false">IF(P72="Above Materiality",COUNTIFS($O$2:$O$1092,O72,$P$2:$P$1092,"Above Materiality",$M$2:$M$1092,"&gt;"&amp;M72)+COUNTIFS($O$2:$O$1092,O72,$P$2:$P$1092,"Above Materiality",$M$2:$M$1092,M72,$A$2:$A$1092,"&lt;"&amp;A72)+1,"")</f>
        <v/>
      </c>
      <c r="S72" s="21" t="n">
        <f aca="false">IF(P72&lt;&gt;"Below Materiality","",IF(Summary!$C$9="Random",COUNTIFS($O$2:$O$1092,O72,$Q$2:$Q$1092,"&gt;"&amp;Q72)+1,COUNTIFS($O$2:$O$1092,O72,$P$2:$P$1092,"Below Materiality",$M$2:$M$1092,"&gt;"&amp;M72)+COUNTIFS($O$2:$O$1092,O72,$P$2:$P$1092,"Below Materiality",$M$2:$M$1092,M72,$A$2:$A$1092,"&lt;"&amp;A72)+1))</f>
        <v>27</v>
      </c>
      <c r="T72" s="22" t="n">
        <v>0.653921102788986</v>
      </c>
      <c r="U72" s="21" t="str">
        <f aca="false">IF(R72="","",O72&amp;"|A|"&amp;R72)</f>
        <v/>
      </c>
      <c r="V72" s="21" t="str">
        <f aca="false">IF(S72="","",O72&amp;"|R|"&amp;S72)</f>
        <v>Population 1|R|27</v>
      </c>
    </row>
    <row r="73" customFormat="false" ht="15" hidden="false" customHeight="false" outlineLevel="0" collapsed="false">
      <c r="A73" s="18" t="n">
        <v>72</v>
      </c>
      <c r="B73" s="18"/>
      <c r="C73" s="18"/>
      <c r="D73" s="18"/>
      <c r="E73" s="18" t="s">
        <v>213</v>
      </c>
      <c r="F73" s="18" t="s">
        <v>214</v>
      </c>
      <c r="G73" s="18" t="s">
        <v>74</v>
      </c>
      <c r="H73" s="18" t="n">
        <v>157</v>
      </c>
      <c r="I73" s="19" t="n">
        <v>2167.75</v>
      </c>
      <c r="J73" s="19" t="n">
        <v>32913.1</v>
      </c>
      <c r="K73" s="19" t="n">
        <v>32467.1</v>
      </c>
      <c r="L73" s="19" t="n">
        <v>2613.75</v>
      </c>
      <c r="M73" s="19" t="n">
        <f aca="false">ABS(L73)</f>
        <v>2613.75</v>
      </c>
      <c r="N73" s="18" t="str">
        <f aca="false">IF(L73=0,"Nil balance",IF(G73="AR file",IF(L73&gt;0,"Accounts Receivable","Customer Advances"),IF(L73&lt;0,"Accounts Payable","Supplier Advances")))</f>
        <v>Accounts Receivable</v>
      </c>
      <c r="O73" s="18" t="str">
        <f aca="false">IF(L73=0,"Excluded",IF(Summary!$C$4="By ledger",IF(G73="AR file","Population 1","Population 2"),IF(L73&gt;0,"Population 1","Population 2")))</f>
        <v>Population 1</v>
      </c>
      <c r="P73" s="18" t="str">
        <f aca="false">IF(O73="Excluded","Excluded – nil closing balance",IF(M73&gt;Summary!$C$5,"Above Materiality","Below Materiality"))</f>
        <v>Below Materiality</v>
      </c>
      <c r="Q73" s="20" t="n">
        <f aca="false">IF(P73="Below Materiality",T73,"")</f>
        <v>0.0793937728867644</v>
      </c>
      <c r="R73" s="21" t="str">
        <f aca="false">IF(P73="Above Materiality",COUNTIFS($O$2:$O$1092,O73,$P$2:$P$1092,"Above Materiality",$M$2:$M$1092,"&gt;"&amp;M73)+COUNTIFS($O$2:$O$1092,O73,$P$2:$P$1092,"Above Materiality",$M$2:$M$1092,M73,$A$2:$A$1092,"&lt;"&amp;A73)+1,"")</f>
        <v/>
      </c>
      <c r="S73" s="21" t="n">
        <f aca="false">IF(P73&lt;&gt;"Below Materiality","",IF(Summary!$C$9="Random",COUNTIFS($O$2:$O$1092,O73,$Q$2:$Q$1092,"&gt;"&amp;Q73)+1,COUNTIFS($O$2:$O$1092,O73,$P$2:$P$1092,"Below Materiality",$M$2:$M$1092,"&gt;"&amp;M73)+COUNTIFS($O$2:$O$1092,O73,$P$2:$P$1092,"Below Materiality",$M$2:$M$1092,M73,$A$2:$A$1092,"&lt;"&amp;A73)+1))</f>
        <v>28</v>
      </c>
      <c r="T73" s="22" t="n">
        <v>0.0793937728867644</v>
      </c>
      <c r="U73" s="21" t="str">
        <f aca="false">IF(R73="","",O73&amp;"|A|"&amp;R73)</f>
        <v/>
      </c>
      <c r="V73" s="21" t="str">
        <f aca="false">IF(S73="","",O73&amp;"|R|"&amp;S73)</f>
        <v>Population 1|R|28</v>
      </c>
    </row>
    <row r="74" customFormat="false" ht="15" hidden="false" customHeight="false" outlineLevel="0" collapsed="false">
      <c r="A74" s="18" t="n">
        <v>73</v>
      </c>
      <c r="B74" s="18"/>
      <c r="C74" s="18"/>
      <c r="D74" s="18"/>
      <c r="E74" s="18" t="s">
        <v>215</v>
      </c>
      <c r="F74" s="18" t="s">
        <v>216</v>
      </c>
      <c r="G74" s="18" t="s">
        <v>74</v>
      </c>
      <c r="H74" s="18" t="n">
        <v>352</v>
      </c>
      <c r="I74" s="19" t="n">
        <v>4991</v>
      </c>
      <c r="J74" s="19" t="n">
        <v>13168.63</v>
      </c>
      <c r="K74" s="19" t="n">
        <v>15649.75</v>
      </c>
      <c r="L74" s="19" t="n">
        <v>2509.88</v>
      </c>
      <c r="M74" s="19" t="n">
        <f aca="false">ABS(L74)</f>
        <v>2509.88</v>
      </c>
      <c r="N74" s="18" t="str">
        <f aca="false">IF(L74=0,"Nil balance",IF(G74="AR file",IF(L74&gt;0,"Accounts Receivable","Customer Advances"),IF(L74&lt;0,"Accounts Payable","Supplier Advances")))</f>
        <v>Accounts Receivable</v>
      </c>
      <c r="O74" s="18" t="str">
        <f aca="false">IF(L74=0,"Excluded",IF(Summary!$C$4="By ledger",IF(G74="AR file","Population 1","Population 2"),IF(L74&gt;0,"Population 1","Population 2")))</f>
        <v>Population 1</v>
      </c>
      <c r="P74" s="18" t="str">
        <f aca="false">IF(O74="Excluded","Excluded – nil closing balance",IF(M74&gt;Summary!$C$5,"Above Materiality","Below Materiality"))</f>
        <v>Below Materiality</v>
      </c>
      <c r="Q74" s="20" t="n">
        <f aca="false">IF(P74="Below Materiality",T74,"")</f>
        <v>0.064273678627067</v>
      </c>
      <c r="R74" s="21" t="str">
        <f aca="false">IF(P74="Above Materiality",COUNTIFS($O$2:$O$1092,O74,$P$2:$P$1092,"Above Materiality",$M$2:$M$1092,"&gt;"&amp;M74)+COUNTIFS($O$2:$O$1092,O74,$P$2:$P$1092,"Above Materiality",$M$2:$M$1092,M74,$A$2:$A$1092,"&lt;"&amp;A74)+1,"")</f>
        <v/>
      </c>
      <c r="S74" s="21" t="n">
        <f aca="false">IF(P74&lt;&gt;"Below Materiality","",IF(Summary!$C$9="Random",COUNTIFS($O$2:$O$1092,O74,$Q$2:$Q$1092,"&gt;"&amp;Q74)+1,COUNTIFS($O$2:$O$1092,O74,$P$2:$P$1092,"Below Materiality",$M$2:$M$1092,"&gt;"&amp;M74)+COUNTIFS($O$2:$O$1092,O74,$P$2:$P$1092,"Below Materiality",$M$2:$M$1092,M74,$A$2:$A$1092,"&lt;"&amp;A74)+1))</f>
        <v>29</v>
      </c>
      <c r="T74" s="22" t="n">
        <v>0.064273678627067</v>
      </c>
      <c r="U74" s="21" t="str">
        <f aca="false">IF(R74="","",O74&amp;"|A|"&amp;R74)</f>
        <v/>
      </c>
      <c r="V74" s="21" t="str">
        <f aca="false">IF(S74="","",O74&amp;"|R|"&amp;S74)</f>
        <v>Population 1|R|29</v>
      </c>
    </row>
    <row r="75" customFormat="false" ht="15" hidden="false" customHeight="false" outlineLevel="0" collapsed="false">
      <c r="A75" s="18" t="n">
        <v>74</v>
      </c>
      <c r="B75" s="18"/>
      <c r="C75" s="18"/>
      <c r="D75" s="18"/>
      <c r="E75" s="18" t="s">
        <v>217</v>
      </c>
      <c r="F75" s="18" t="s">
        <v>218</v>
      </c>
      <c r="G75" s="18" t="s">
        <v>74</v>
      </c>
      <c r="H75" s="18" t="n">
        <v>670</v>
      </c>
      <c r="I75" s="19" t="n">
        <v>0</v>
      </c>
      <c r="J75" s="19" t="n">
        <v>0</v>
      </c>
      <c r="K75" s="19" t="n">
        <v>2174</v>
      </c>
      <c r="L75" s="19" t="n">
        <v>-2174</v>
      </c>
      <c r="M75" s="19" t="n">
        <f aca="false">ABS(L75)</f>
        <v>2174</v>
      </c>
      <c r="N75" s="18" t="str">
        <f aca="false">IF(L75=0,"Nil balance",IF(G75="AR file",IF(L75&gt;0,"Accounts Receivable","Customer Advances"),IF(L75&lt;0,"Accounts Payable","Supplier Advances")))</f>
        <v>Customer Advances</v>
      </c>
      <c r="O75" s="18" t="str">
        <f aca="false">IF(L75=0,"Excluded",IF(Summary!$C$4="By ledger",IF(G75="AR file","Population 1","Population 2"),IF(L75&gt;0,"Population 1","Population 2")))</f>
        <v>Population 1</v>
      </c>
      <c r="P75" s="18" t="str">
        <f aca="false">IF(O75="Excluded","Excluded – nil closing balance",IF(M75&gt;Summary!$C$5,"Above Materiality","Below Materiality"))</f>
        <v>Below Materiality</v>
      </c>
      <c r="Q75" s="20" t="n">
        <f aca="false">IF(P75="Below Materiality",T75,"")</f>
        <v>0.36398849487236</v>
      </c>
      <c r="R75" s="21" t="str">
        <f aca="false">IF(P75="Above Materiality",COUNTIFS($O$2:$O$1092,O75,$P$2:$P$1092,"Above Materiality",$M$2:$M$1092,"&gt;"&amp;M75)+COUNTIFS($O$2:$O$1092,O75,$P$2:$P$1092,"Above Materiality",$M$2:$M$1092,M75,$A$2:$A$1092,"&lt;"&amp;A75)+1,"")</f>
        <v/>
      </c>
      <c r="S75" s="21" t="n">
        <f aca="false">IF(P75&lt;&gt;"Below Materiality","",IF(Summary!$C$9="Random",COUNTIFS($O$2:$O$1092,O75,$Q$2:$Q$1092,"&gt;"&amp;Q75)+1,COUNTIFS($O$2:$O$1092,O75,$P$2:$P$1092,"Below Materiality",$M$2:$M$1092,"&gt;"&amp;M75)+COUNTIFS($O$2:$O$1092,O75,$P$2:$P$1092,"Below Materiality",$M$2:$M$1092,M75,$A$2:$A$1092,"&lt;"&amp;A75)+1))</f>
        <v>30</v>
      </c>
      <c r="T75" s="22" t="n">
        <v>0.36398849487236</v>
      </c>
      <c r="U75" s="21" t="str">
        <f aca="false">IF(R75="","",O75&amp;"|A|"&amp;R75)</f>
        <v/>
      </c>
      <c r="V75" s="21" t="str">
        <f aca="false">IF(S75="","",O75&amp;"|R|"&amp;S75)</f>
        <v>Population 1|R|30</v>
      </c>
    </row>
    <row r="76" customFormat="false" ht="15" hidden="false" customHeight="false" outlineLevel="0" collapsed="false">
      <c r="A76" s="18" t="n">
        <v>75</v>
      </c>
      <c r="B76" s="18"/>
      <c r="C76" s="18"/>
      <c r="D76" s="18"/>
      <c r="E76" s="18" t="s">
        <v>219</v>
      </c>
      <c r="F76" s="18" t="s">
        <v>220</v>
      </c>
      <c r="G76" s="18" t="s">
        <v>74</v>
      </c>
      <c r="H76" s="18" t="n">
        <v>195</v>
      </c>
      <c r="I76" s="19" t="n">
        <v>12017.5</v>
      </c>
      <c r="J76" s="19" t="n">
        <v>254435.2</v>
      </c>
      <c r="K76" s="19" t="n">
        <v>264314</v>
      </c>
      <c r="L76" s="19" t="n">
        <v>2138.70000000001</v>
      </c>
      <c r="M76" s="19" t="n">
        <f aca="false">ABS(L76)</f>
        <v>2138.70000000001</v>
      </c>
      <c r="N76" s="18" t="str">
        <f aca="false">IF(L76=0,"Nil balance",IF(G76="AR file",IF(L76&gt;0,"Accounts Receivable","Customer Advances"),IF(L76&lt;0,"Accounts Payable","Supplier Advances")))</f>
        <v>Accounts Receivable</v>
      </c>
      <c r="O76" s="18" t="str">
        <f aca="false">IF(L76=0,"Excluded",IF(Summary!$C$4="By ledger",IF(G76="AR file","Population 1","Population 2"),IF(L76&gt;0,"Population 1","Population 2")))</f>
        <v>Population 1</v>
      </c>
      <c r="P76" s="18" t="str">
        <f aca="false">IF(O76="Excluded","Excluded – nil closing balance",IF(M76&gt;Summary!$C$5,"Above Materiality","Below Materiality"))</f>
        <v>Below Materiality</v>
      </c>
      <c r="Q76" s="20" t="n">
        <f aca="false">IF(P76="Below Materiality",T76,"")</f>
        <v>0.776515816194133</v>
      </c>
      <c r="R76" s="21" t="str">
        <f aca="false">IF(P76="Above Materiality",COUNTIFS($O$2:$O$1092,O76,$P$2:$P$1092,"Above Materiality",$M$2:$M$1092,"&gt;"&amp;M76)+COUNTIFS($O$2:$O$1092,O76,$P$2:$P$1092,"Above Materiality",$M$2:$M$1092,M76,$A$2:$A$1092,"&lt;"&amp;A76)+1,"")</f>
        <v/>
      </c>
      <c r="S76" s="21" t="n">
        <f aca="false">IF(P76&lt;&gt;"Below Materiality","",IF(Summary!$C$9="Random",COUNTIFS($O$2:$O$1092,O76,$Q$2:$Q$1092,"&gt;"&amp;Q76)+1,COUNTIFS($O$2:$O$1092,O76,$P$2:$P$1092,"Below Materiality",$M$2:$M$1092,"&gt;"&amp;M76)+COUNTIFS($O$2:$O$1092,O76,$P$2:$P$1092,"Below Materiality",$M$2:$M$1092,M76,$A$2:$A$1092,"&lt;"&amp;A76)+1))</f>
        <v>31</v>
      </c>
      <c r="T76" s="22" t="n">
        <v>0.776515816194133</v>
      </c>
      <c r="U76" s="21" t="str">
        <f aca="false">IF(R76="","",O76&amp;"|A|"&amp;R76)</f>
        <v/>
      </c>
      <c r="V76" s="21" t="str">
        <f aca="false">IF(S76="","",O76&amp;"|R|"&amp;S76)</f>
        <v>Population 1|R|31</v>
      </c>
    </row>
    <row r="77" customFormat="false" ht="15" hidden="false" customHeight="false" outlineLevel="0" collapsed="false">
      <c r="A77" s="18" t="n">
        <v>76</v>
      </c>
      <c r="B77" s="18"/>
      <c r="C77" s="18"/>
      <c r="D77" s="18"/>
      <c r="E77" s="18" t="s">
        <v>221</v>
      </c>
      <c r="F77" s="18" t="s">
        <v>222</v>
      </c>
      <c r="G77" s="18" t="s">
        <v>74</v>
      </c>
      <c r="H77" s="18" t="n">
        <v>18</v>
      </c>
      <c r="I77" s="19" t="n">
        <v>5576.5</v>
      </c>
      <c r="J77" s="19" t="n">
        <v>3450</v>
      </c>
      <c r="K77" s="19" t="n">
        <v>7000</v>
      </c>
      <c r="L77" s="19" t="n">
        <v>2026.5</v>
      </c>
      <c r="M77" s="19" t="n">
        <f aca="false">ABS(L77)</f>
        <v>2026.5</v>
      </c>
      <c r="N77" s="18" t="str">
        <f aca="false">IF(L77=0,"Nil balance",IF(G77="AR file",IF(L77&gt;0,"Accounts Receivable","Customer Advances"),IF(L77&lt;0,"Accounts Payable","Supplier Advances")))</f>
        <v>Accounts Receivable</v>
      </c>
      <c r="O77" s="18" t="str">
        <f aca="false">IF(L77=0,"Excluded",IF(Summary!$C$4="By ledger",IF(G77="AR file","Population 1","Population 2"),IF(L77&gt;0,"Population 1","Population 2")))</f>
        <v>Population 1</v>
      </c>
      <c r="P77" s="18" t="str">
        <f aca="false">IF(O77="Excluded","Excluded – nil closing balance",IF(M77&gt;Summary!$C$5,"Above Materiality","Below Materiality"))</f>
        <v>Below Materiality</v>
      </c>
      <c r="Q77" s="20" t="n">
        <f aca="false">IF(P77="Below Materiality",T77,"")</f>
        <v>0.872988459766693</v>
      </c>
      <c r="R77" s="21" t="str">
        <f aca="false">IF(P77="Above Materiality",COUNTIFS($O$2:$O$1092,O77,$P$2:$P$1092,"Above Materiality",$M$2:$M$1092,"&gt;"&amp;M77)+COUNTIFS($O$2:$O$1092,O77,$P$2:$P$1092,"Above Materiality",$M$2:$M$1092,M77,$A$2:$A$1092,"&lt;"&amp;A77)+1,"")</f>
        <v/>
      </c>
      <c r="S77" s="21" t="n">
        <f aca="false">IF(P77&lt;&gt;"Below Materiality","",IF(Summary!$C$9="Random",COUNTIFS($O$2:$O$1092,O77,$Q$2:$Q$1092,"&gt;"&amp;Q77)+1,COUNTIFS($O$2:$O$1092,O77,$P$2:$P$1092,"Below Materiality",$M$2:$M$1092,"&gt;"&amp;M77)+COUNTIFS($O$2:$O$1092,O77,$P$2:$P$1092,"Below Materiality",$M$2:$M$1092,M77,$A$2:$A$1092,"&lt;"&amp;A77)+1))</f>
        <v>32</v>
      </c>
      <c r="T77" s="22" t="n">
        <v>0.872988459766693</v>
      </c>
      <c r="U77" s="21" t="str">
        <f aca="false">IF(R77="","",O77&amp;"|A|"&amp;R77)</f>
        <v/>
      </c>
      <c r="V77" s="21" t="str">
        <f aca="false">IF(S77="","",O77&amp;"|R|"&amp;S77)</f>
        <v>Population 1|R|32</v>
      </c>
    </row>
    <row r="78" customFormat="false" ht="15" hidden="false" customHeight="false" outlineLevel="0" collapsed="false">
      <c r="A78" s="18" t="n">
        <v>77</v>
      </c>
      <c r="B78" s="18"/>
      <c r="C78" s="18"/>
      <c r="D78" s="18"/>
      <c r="E78" s="18" t="s">
        <v>223</v>
      </c>
      <c r="F78" s="18" t="s">
        <v>224</v>
      </c>
      <c r="G78" s="18" t="s">
        <v>74</v>
      </c>
      <c r="H78" s="18" t="n">
        <v>5</v>
      </c>
      <c r="I78" s="19" t="n">
        <v>1966.9</v>
      </c>
      <c r="J78" s="19" t="n">
        <v>6051.3</v>
      </c>
      <c r="K78" s="19" t="n">
        <v>6051.3</v>
      </c>
      <c r="L78" s="19" t="n">
        <v>1966.9</v>
      </c>
      <c r="M78" s="19" t="n">
        <f aca="false">ABS(L78)</f>
        <v>1966.9</v>
      </c>
      <c r="N78" s="18" t="str">
        <f aca="false">IF(L78=0,"Nil balance",IF(G78="AR file",IF(L78&gt;0,"Accounts Receivable","Customer Advances"),IF(L78&lt;0,"Accounts Payable","Supplier Advances")))</f>
        <v>Accounts Receivable</v>
      </c>
      <c r="O78" s="18" t="str">
        <f aca="false">IF(L78=0,"Excluded",IF(Summary!$C$4="By ledger",IF(G78="AR file","Population 1","Population 2"),IF(L78&gt;0,"Population 1","Population 2")))</f>
        <v>Population 1</v>
      </c>
      <c r="P78" s="18" t="str">
        <f aca="false">IF(O78="Excluded","Excluded – nil closing balance",IF(M78&gt;Summary!$C$5,"Above Materiality","Below Materiality"))</f>
        <v>Below Materiality</v>
      </c>
      <c r="Q78" s="20" t="n">
        <f aca="false">IF(P78="Below Materiality",T78,"")</f>
        <v>0.461481727294086</v>
      </c>
      <c r="R78" s="21" t="str">
        <f aca="false">IF(P78="Above Materiality",COUNTIFS($O$2:$O$1092,O78,$P$2:$P$1092,"Above Materiality",$M$2:$M$1092,"&gt;"&amp;M78)+COUNTIFS($O$2:$O$1092,O78,$P$2:$P$1092,"Above Materiality",$M$2:$M$1092,M78,$A$2:$A$1092,"&lt;"&amp;A78)+1,"")</f>
        <v/>
      </c>
      <c r="S78" s="21" t="n">
        <f aca="false">IF(P78&lt;&gt;"Below Materiality","",IF(Summary!$C$9="Random",COUNTIFS($O$2:$O$1092,O78,$Q$2:$Q$1092,"&gt;"&amp;Q78)+1,COUNTIFS($O$2:$O$1092,O78,$P$2:$P$1092,"Below Materiality",$M$2:$M$1092,"&gt;"&amp;M78)+COUNTIFS($O$2:$O$1092,O78,$P$2:$P$1092,"Below Materiality",$M$2:$M$1092,M78,$A$2:$A$1092,"&lt;"&amp;A78)+1))</f>
        <v>33</v>
      </c>
      <c r="T78" s="22" t="n">
        <v>0.461481727294086</v>
      </c>
      <c r="U78" s="21" t="str">
        <f aca="false">IF(R78="","",O78&amp;"|A|"&amp;R78)</f>
        <v/>
      </c>
      <c r="V78" s="21" t="str">
        <f aca="false">IF(S78="","",O78&amp;"|R|"&amp;S78)</f>
        <v>Population 1|R|33</v>
      </c>
    </row>
    <row r="79" customFormat="false" ht="15" hidden="false" customHeight="false" outlineLevel="0" collapsed="false">
      <c r="A79" s="18" t="n">
        <v>78</v>
      </c>
      <c r="B79" s="18"/>
      <c r="C79" s="18"/>
      <c r="D79" s="18"/>
      <c r="E79" s="18" t="s">
        <v>225</v>
      </c>
      <c r="F79" s="18" t="s">
        <v>226</v>
      </c>
      <c r="G79" s="18" t="s">
        <v>74</v>
      </c>
      <c r="H79" s="18" t="n">
        <v>465</v>
      </c>
      <c r="I79" s="19" t="n">
        <v>0</v>
      </c>
      <c r="J79" s="19" t="n">
        <v>7561.25</v>
      </c>
      <c r="K79" s="19" t="n">
        <v>9527.75</v>
      </c>
      <c r="L79" s="19" t="n">
        <v>-1966.5</v>
      </c>
      <c r="M79" s="19" t="n">
        <f aca="false">ABS(L79)</f>
        <v>1966.5</v>
      </c>
      <c r="N79" s="18" t="str">
        <f aca="false">IF(L79=0,"Nil balance",IF(G79="AR file",IF(L79&gt;0,"Accounts Receivable","Customer Advances"),IF(L79&lt;0,"Accounts Payable","Supplier Advances")))</f>
        <v>Customer Advances</v>
      </c>
      <c r="O79" s="18" t="str">
        <f aca="false">IF(L79=0,"Excluded",IF(Summary!$C$4="By ledger",IF(G79="AR file","Population 1","Population 2"),IF(L79&gt;0,"Population 1","Population 2")))</f>
        <v>Population 1</v>
      </c>
      <c r="P79" s="18" t="str">
        <f aca="false">IF(O79="Excluded","Excluded – nil closing balance",IF(M79&gt;Summary!$C$5,"Above Materiality","Below Materiality"))</f>
        <v>Below Materiality</v>
      </c>
      <c r="Q79" s="20" t="n">
        <f aca="false">IF(P79="Below Materiality",T79,"")</f>
        <v>0.704570424035256</v>
      </c>
      <c r="R79" s="21" t="str">
        <f aca="false">IF(P79="Above Materiality",COUNTIFS($O$2:$O$1092,O79,$P$2:$P$1092,"Above Materiality",$M$2:$M$1092,"&gt;"&amp;M79)+COUNTIFS($O$2:$O$1092,O79,$P$2:$P$1092,"Above Materiality",$M$2:$M$1092,M79,$A$2:$A$1092,"&lt;"&amp;A79)+1,"")</f>
        <v/>
      </c>
      <c r="S79" s="21" t="n">
        <f aca="false">IF(P79&lt;&gt;"Below Materiality","",IF(Summary!$C$9="Random",COUNTIFS($O$2:$O$1092,O79,$Q$2:$Q$1092,"&gt;"&amp;Q79)+1,COUNTIFS($O$2:$O$1092,O79,$P$2:$P$1092,"Below Materiality",$M$2:$M$1092,"&gt;"&amp;M79)+COUNTIFS($O$2:$O$1092,O79,$P$2:$P$1092,"Below Materiality",$M$2:$M$1092,M79,$A$2:$A$1092,"&lt;"&amp;A79)+1))</f>
        <v>34</v>
      </c>
      <c r="T79" s="22" t="n">
        <v>0.704570424035256</v>
      </c>
      <c r="U79" s="21" t="str">
        <f aca="false">IF(R79="","",O79&amp;"|A|"&amp;R79)</f>
        <v/>
      </c>
      <c r="V79" s="21" t="str">
        <f aca="false">IF(S79="","",O79&amp;"|R|"&amp;S79)</f>
        <v>Population 1|R|34</v>
      </c>
    </row>
    <row r="80" customFormat="false" ht="15" hidden="false" customHeight="false" outlineLevel="0" collapsed="false">
      <c r="A80" s="18" t="n">
        <v>79</v>
      </c>
      <c r="B80" s="18"/>
      <c r="C80" s="18"/>
      <c r="D80" s="18"/>
      <c r="E80" s="18" t="s">
        <v>227</v>
      </c>
      <c r="F80" s="18" t="s">
        <v>228</v>
      </c>
      <c r="G80" s="18" t="s">
        <v>74</v>
      </c>
      <c r="H80" s="18" t="n">
        <v>913</v>
      </c>
      <c r="I80" s="19" t="n">
        <v>0</v>
      </c>
      <c r="J80" s="19" t="n">
        <v>1771</v>
      </c>
      <c r="K80" s="19" t="n">
        <v>0</v>
      </c>
      <c r="L80" s="19" t="n">
        <v>1771</v>
      </c>
      <c r="M80" s="19" t="n">
        <f aca="false">ABS(L80)</f>
        <v>1771</v>
      </c>
      <c r="N80" s="18" t="str">
        <f aca="false">IF(L80=0,"Nil balance",IF(G80="AR file",IF(L80&gt;0,"Accounts Receivable","Customer Advances"),IF(L80&lt;0,"Accounts Payable","Supplier Advances")))</f>
        <v>Accounts Receivable</v>
      </c>
      <c r="O80" s="18" t="str">
        <f aca="false">IF(L80=0,"Excluded",IF(Summary!$C$4="By ledger",IF(G80="AR file","Population 1","Population 2"),IF(L80&gt;0,"Population 1","Population 2")))</f>
        <v>Population 1</v>
      </c>
      <c r="P80" s="18" t="str">
        <f aca="false">IF(O80="Excluded","Excluded – nil closing balance",IF(M80&gt;Summary!$C$5,"Above Materiality","Below Materiality"))</f>
        <v>Below Materiality</v>
      </c>
      <c r="Q80" s="20" t="n">
        <f aca="false">IF(P80="Below Materiality",T80,"")</f>
        <v>0.698554695474493</v>
      </c>
      <c r="R80" s="21" t="str">
        <f aca="false">IF(P80="Above Materiality",COUNTIFS($O$2:$O$1092,O80,$P$2:$P$1092,"Above Materiality",$M$2:$M$1092,"&gt;"&amp;M80)+COUNTIFS($O$2:$O$1092,O80,$P$2:$P$1092,"Above Materiality",$M$2:$M$1092,M80,$A$2:$A$1092,"&lt;"&amp;A80)+1,"")</f>
        <v/>
      </c>
      <c r="S80" s="21" t="n">
        <f aca="false">IF(P80&lt;&gt;"Below Materiality","",IF(Summary!$C$9="Random",COUNTIFS($O$2:$O$1092,O80,$Q$2:$Q$1092,"&gt;"&amp;Q80)+1,COUNTIFS($O$2:$O$1092,O80,$P$2:$P$1092,"Below Materiality",$M$2:$M$1092,"&gt;"&amp;M80)+COUNTIFS($O$2:$O$1092,O80,$P$2:$P$1092,"Below Materiality",$M$2:$M$1092,M80,$A$2:$A$1092,"&lt;"&amp;A80)+1))</f>
        <v>35</v>
      </c>
      <c r="T80" s="22" t="n">
        <v>0.698554695474493</v>
      </c>
      <c r="U80" s="21" t="str">
        <f aca="false">IF(R80="","",O80&amp;"|A|"&amp;R80)</f>
        <v/>
      </c>
      <c r="V80" s="21" t="str">
        <f aca="false">IF(S80="","",O80&amp;"|R|"&amp;S80)</f>
        <v>Population 1|R|35</v>
      </c>
    </row>
    <row r="81" customFormat="false" ht="15" hidden="false" customHeight="false" outlineLevel="0" collapsed="false">
      <c r="A81" s="18" t="n">
        <v>80</v>
      </c>
      <c r="B81" s="18"/>
      <c r="C81" s="18"/>
      <c r="D81" s="18"/>
      <c r="E81" s="18" t="s">
        <v>229</v>
      </c>
      <c r="F81" s="18" t="s">
        <v>230</v>
      </c>
      <c r="G81" s="18" t="s">
        <v>74</v>
      </c>
      <c r="H81" s="18" t="n">
        <v>760</v>
      </c>
      <c r="I81" s="19" t="n">
        <v>0</v>
      </c>
      <c r="J81" s="19" t="n">
        <v>2244.8</v>
      </c>
      <c r="K81" s="19" t="n">
        <v>519.8</v>
      </c>
      <c r="L81" s="19" t="n">
        <v>1725</v>
      </c>
      <c r="M81" s="19" t="n">
        <f aca="false">ABS(L81)</f>
        <v>1725</v>
      </c>
      <c r="N81" s="18" t="str">
        <f aca="false">IF(L81=0,"Nil balance",IF(G81="AR file",IF(L81&gt;0,"Accounts Receivable","Customer Advances"),IF(L81&lt;0,"Accounts Payable","Supplier Advances")))</f>
        <v>Accounts Receivable</v>
      </c>
      <c r="O81" s="18" t="str">
        <f aca="false">IF(L81=0,"Excluded",IF(Summary!$C$4="By ledger",IF(G81="AR file","Population 1","Population 2"),IF(L81&gt;0,"Population 1","Population 2")))</f>
        <v>Population 1</v>
      </c>
      <c r="P81" s="18" t="str">
        <f aca="false">IF(O81="Excluded","Excluded – nil closing balance",IF(M81&gt;Summary!$C$5,"Above Materiality","Below Materiality"))</f>
        <v>Below Materiality</v>
      </c>
      <c r="Q81" s="20" t="n">
        <f aca="false">IF(P81="Below Materiality",T81,"")</f>
        <v>0.432708313014585</v>
      </c>
      <c r="R81" s="21" t="str">
        <f aca="false">IF(P81="Above Materiality",COUNTIFS($O$2:$O$1092,O81,$P$2:$P$1092,"Above Materiality",$M$2:$M$1092,"&gt;"&amp;M81)+COUNTIFS($O$2:$O$1092,O81,$P$2:$P$1092,"Above Materiality",$M$2:$M$1092,M81,$A$2:$A$1092,"&lt;"&amp;A81)+1,"")</f>
        <v/>
      </c>
      <c r="S81" s="21" t="n">
        <f aca="false">IF(P81&lt;&gt;"Below Materiality","",IF(Summary!$C$9="Random",COUNTIFS($O$2:$O$1092,O81,$Q$2:$Q$1092,"&gt;"&amp;Q81)+1,COUNTIFS($O$2:$O$1092,O81,$P$2:$P$1092,"Below Materiality",$M$2:$M$1092,"&gt;"&amp;M81)+COUNTIFS($O$2:$O$1092,O81,$P$2:$P$1092,"Below Materiality",$M$2:$M$1092,M81,$A$2:$A$1092,"&lt;"&amp;A81)+1))</f>
        <v>36</v>
      </c>
      <c r="T81" s="22" t="n">
        <v>0.432708313014585</v>
      </c>
      <c r="U81" s="21" t="str">
        <f aca="false">IF(R81="","",O81&amp;"|A|"&amp;R81)</f>
        <v/>
      </c>
      <c r="V81" s="21" t="str">
        <f aca="false">IF(S81="","",O81&amp;"|R|"&amp;S81)</f>
        <v>Population 1|R|36</v>
      </c>
    </row>
    <row r="82" customFormat="false" ht="15" hidden="false" customHeight="false" outlineLevel="0" collapsed="false">
      <c r="A82" s="18" t="n">
        <v>81</v>
      </c>
      <c r="B82" s="18"/>
      <c r="C82" s="18"/>
      <c r="D82" s="18"/>
      <c r="E82" s="18" t="s">
        <v>231</v>
      </c>
      <c r="F82" s="18" t="s">
        <v>232</v>
      </c>
      <c r="G82" s="18" t="s">
        <v>74</v>
      </c>
      <c r="H82" s="18" t="n">
        <v>399</v>
      </c>
      <c r="I82" s="19" t="n">
        <v>0</v>
      </c>
      <c r="J82" s="19" t="n">
        <v>28901.05</v>
      </c>
      <c r="K82" s="19" t="n">
        <v>27176.05</v>
      </c>
      <c r="L82" s="19" t="n">
        <v>1725</v>
      </c>
      <c r="M82" s="19" t="n">
        <f aca="false">ABS(L82)</f>
        <v>1725</v>
      </c>
      <c r="N82" s="18" t="str">
        <f aca="false">IF(L82=0,"Nil balance",IF(G82="AR file",IF(L82&gt;0,"Accounts Receivable","Customer Advances"),IF(L82&lt;0,"Accounts Payable","Supplier Advances")))</f>
        <v>Accounts Receivable</v>
      </c>
      <c r="O82" s="18" t="str">
        <f aca="false">IF(L82=0,"Excluded",IF(Summary!$C$4="By ledger",IF(G82="AR file","Population 1","Population 2"),IF(L82&gt;0,"Population 1","Population 2")))</f>
        <v>Population 1</v>
      </c>
      <c r="P82" s="18" t="str">
        <f aca="false">IF(O82="Excluded","Excluded – nil closing balance",IF(M82&gt;Summary!$C$5,"Above Materiality","Below Materiality"))</f>
        <v>Below Materiality</v>
      </c>
      <c r="Q82" s="20" t="n">
        <f aca="false">IF(P82="Below Materiality",T82,"")</f>
        <v>0.998436725980298</v>
      </c>
      <c r="R82" s="21" t="str">
        <f aca="false">IF(P82="Above Materiality",COUNTIFS($O$2:$O$1092,O82,$P$2:$P$1092,"Above Materiality",$M$2:$M$1092,"&gt;"&amp;M82)+COUNTIFS($O$2:$O$1092,O82,$P$2:$P$1092,"Above Materiality",$M$2:$M$1092,M82,$A$2:$A$1092,"&lt;"&amp;A82)+1,"")</f>
        <v/>
      </c>
      <c r="S82" s="21" t="n">
        <f aca="false">IF(P82&lt;&gt;"Below Materiality","",IF(Summary!$C$9="Random",COUNTIFS($O$2:$O$1092,O82,$Q$2:$Q$1092,"&gt;"&amp;Q82)+1,COUNTIFS($O$2:$O$1092,O82,$P$2:$P$1092,"Below Materiality",$M$2:$M$1092,"&gt;"&amp;M82)+COUNTIFS($O$2:$O$1092,O82,$P$2:$P$1092,"Below Materiality",$M$2:$M$1092,M82,$A$2:$A$1092,"&lt;"&amp;A82)+1))</f>
        <v>37</v>
      </c>
      <c r="T82" s="22" t="n">
        <v>0.998436725980298</v>
      </c>
      <c r="U82" s="21" t="str">
        <f aca="false">IF(R82="","",O82&amp;"|A|"&amp;R82)</f>
        <v/>
      </c>
      <c r="V82" s="21" t="str">
        <f aca="false">IF(S82="","",O82&amp;"|R|"&amp;S82)</f>
        <v>Population 1|R|37</v>
      </c>
    </row>
    <row r="83" customFormat="false" ht="15" hidden="false" customHeight="false" outlineLevel="0" collapsed="false">
      <c r="A83" s="18" t="n">
        <v>82</v>
      </c>
      <c r="B83" s="18"/>
      <c r="C83" s="18"/>
      <c r="D83" s="18"/>
      <c r="E83" s="18" t="s">
        <v>233</v>
      </c>
      <c r="F83" s="18" t="s">
        <v>234</v>
      </c>
      <c r="G83" s="18" t="s">
        <v>74</v>
      </c>
      <c r="H83" s="18" t="n">
        <v>372</v>
      </c>
      <c r="I83" s="19" t="n">
        <v>-1550</v>
      </c>
      <c r="J83" s="19" t="n">
        <v>3113.7</v>
      </c>
      <c r="K83" s="19" t="n">
        <v>3113.7</v>
      </c>
      <c r="L83" s="19" t="n">
        <v>-1550</v>
      </c>
      <c r="M83" s="19" t="n">
        <f aca="false">ABS(L83)</f>
        <v>1550</v>
      </c>
      <c r="N83" s="18" t="str">
        <f aca="false">IF(L83=0,"Nil balance",IF(G83="AR file",IF(L83&gt;0,"Accounts Receivable","Customer Advances"),IF(L83&lt;0,"Accounts Payable","Supplier Advances")))</f>
        <v>Customer Advances</v>
      </c>
      <c r="O83" s="18" t="str">
        <f aca="false">IF(L83=0,"Excluded",IF(Summary!$C$4="By ledger",IF(G83="AR file","Population 1","Population 2"),IF(L83&gt;0,"Population 1","Population 2")))</f>
        <v>Population 1</v>
      </c>
      <c r="P83" s="18" t="str">
        <f aca="false">IF(O83="Excluded","Excluded – nil closing balance",IF(M83&gt;Summary!$C$5,"Above Materiality","Below Materiality"))</f>
        <v>Below Materiality</v>
      </c>
      <c r="Q83" s="20" t="n">
        <f aca="false">IF(P83="Below Materiality",T83,"")</f>
        <v>0.518685610110302</v>
      </c>
      <c r="R83" s="21" t="str">
        <f aca="false">IF(P83="Above Materiality",COUNTIFS($O$2:$O$1092,O83,$P$2:$P$1092,"Above Materiality",$M$2:$M$1092,"&gt;"&amp;M83)+COUNTIFS($O$2:$O$1092,O83,$P$2:$P$1092,"Above Materiality",$M$2:$M$1092,M83,$A$2:$A$1092,"&lt;"&amp;A83)+1,"")</f>
        <v/>
      </c>
      <c r="S83" s="21" t="n">
        <f aca="false">IF(P83&lt;&gt;"Below Materiality","",IF(Summary!$C$9="Random",COUNTIFS($O$2:$O$1092,O83,$Q$2:$Q$1092,"&gt;"&amp;Q83)+1,COUNTIFS($O$2:$O$1092,O83,$P$2:$P$1092,"Below Materiality",$M$2:$M$1092,"&gt;"&amp;M83)+COUNTIFS($O$2:$O$1092,O83,$P$2:$P$1092,"Below Materiality",$M$2:$M$1092,M83,$A$2:$A$1092,"&lt;"&amp;A83)+1))</f>
        <v>38</v>
      </c>
      <c r="T83" s="22" t="n">
        <v>0.518685610110302</v>
      </c>
      <c r="U83" s="21" t="str">
        <f aca="false">IF(R83="","",O83&amp;"|A|"&amp;R83)</f>
        <v/>
      </c>
      <c r="V83" s="21" t="str">
        <f aca="false">IF(S83="","",O83&amp;"|R|"&amp;S83)</f>
        <v>Population 1|R|38</v>
      </c>
    </row>
    <row r="84" customFormat="false" ht="15" hidden="false" customHeight="false" outlineLevel="0" collapsed="false">
      <c r="A84" s="18" t="n">
        <v>83</v>
      </c>
      <c r="B84" s="18"/>
      <c r="C84" s="18"/>
      <c r="D84" s="18"/>
      <c r="E84" s="18" t="s">
        <v>235</v>
      </c>
      <c r="F84" s="18" t="s">
        <v>236</v>
      </c>
      <c r="G84" s="18" t="s">
        <v>74</v>
      </c>
      <c r="H84" s="18" t="n">
        <v>395</v>
      </c>
      <c r="I84" s="19" t="n">
        <v>0</v>
      </c>
      <c r="J84" s="19" t="n">
        <v>1500</v>
      </c>
      <c r="K84" s="19" t="n">
        <v>3041</v>
      </c>
      <c r="L84" s="19" t="n">
        <v>-1541</v>
      </c>
      <c r="M84" s="19" t="n">
        <f aca="false">ABS(L84)</f>
        <v>1541</v>
      </c>
      <c r="N84" s="18" t="str">
        <f aca="false">IF(L84=0,"Nil balance",IF(G84="AR file",IF(L84&gt;0,"Accounts Receivable","Customer Advances"),IF(L84&lt;0,"Accounts Payable","Supplier Advances")))</f>
        <v>Customer Advances</v>
      </c>
      <c r="O84" s="18" t="str">
        <f aca="false">IF(L84=0,"Excluded",IF(Summary!$C$4="By ledger",IF(G84="AR file","Population 1","Population 2"),IF(L84&gt;0,"Population 1","Population 2")))</f>
        <v>Population 1</v>
      </c>
      <c r="P84" s="18" t="str">
        <f aca="false">IF(O84="Excluded","Excluded – nil closing balance",IF(M84&gt;Summary!$C$5,"Above Materiality","Below Materiality"))</f>
        <v>Below Materiality</v>
      </c>
      <c r="Q84" s="20" t="n">
        <f aca="false">IF(P84="Below Materiality",T84,"")</f>
        <v>0.217789423853223</v>
      </c>
      <c r="R84" s="21" t="str">
        <f aca="false">IF(P84="Above Materiality",COUNTIFS($O$2:$O$1092,O84,$P$2:$P$1092,"Above Materiality",$M$2:$M$1092,"&gt;"&amp;M84)+COUNTIFS($O$2:$O$1092,O84,$P$2:$P$1092,"Above Materiality",$M$2:$M$1092,M84,$A$2:$A$1092,"&lt;"&amp;A84)+1,"")</f>
        <v/>
      </c>
      <c r="S84" s="21" t="n">
        <f aca="false">IF(P84&lt;&gt;"Below Materiality","",IF(Summary!$C$9="Random",COUNTIFS($O$2:$O$1092,O84,$Q$2:$Q$1092,"&gt;"&amp;Q84)+1,COUNTIFS($O$2:$O$1092,O84,$P$2:$P$1092,"Below Materiality",$M$2:$M$1092,"&gt;"&amp;M84)+COUNTIFS($O$2:$O$1092,O84,$P$2:$P$1092,"Below Materiality",$M$2:$M$1092,M84,$A$2:$A$1092,"&lt;"&amp;A84)+1))</f>
        <v>39</v>
      </c>
      <c r="T84" s="22" t="n">
        <v>0.217789423853223</v>
      </c>
      <c r="U84" s="21" t="str">
        <f aca="false">IF(R84="","",O84&amp;"|A|"&amp;R84)</f>
        <v/>
      </c>
      <c r="V84" s="21" t="str">
        <f aca="false">IF(S84="","",O84&amp;"|R|"&amp;S84)</f>
        <v>Population 1|R|39</v>
      </c>
    </row>
    <row r="85" customFormat="false" ht="15" hidden="false" customHeight="false" outlineLevel="0" collapsed="false">
      <c r="A85" s="18" t="n">
        <v>84</v>
      </c>
      <c r="B85" s="18"/>
      <c r="C85" s="18"/>
      <c r="D85" s="18"/>
      <c r="E85" s="18" t="s">
        <v>237</v>
      </c>
      <c r="F85" s="18" t="s">
        <v>238</v>
      </c>
      <c r="G85" s="18" t="s">
        <v>74</v>
      </c>
      <c r="H85" s="18" t="n">
        <v>686</v>
      </c>
      <c r="I85" s="19" t="n">
        <v>0</v>
      </c>
      <c r="J85" s="19" t="n">
        <v>724.5</v>
      </c>
      <c r="K85" s="19" t="n">
        <v>2224.5</v>
      </c>
      <c r="L85" s="19" t="n">
        <v>-1500</v>
      </c>
      <c r="M85" s="19" t="n">
        <f aca="false">ABS(L85)</f>
        <v>1500</v>
      </c>
      <c r="N85" s="18" t="str">
        <f aca="false">IF(L85=0,"Nil balance",IF(G85="AR file",IF(L85&gt;0,"Accounts Receivable","Customer Advances"),IF(L85&lt;0,"Accounts Payable","Supplier Advances")))</f>
        <v>Customer Advances</v>
      </c>
      <c r="O85" s="18" t="str">
        <f aca="false">IF(L85=0,"Excluded",IF(Summary!$C$4="By ledger",IF(G85="AR file","Population 1","Population 2"),IF(L85&gt;0,"Population 1","Population 2")))</f>
        <v>Population 1</v>
      </c>
      <c r="P85" s="18" t="str">
        <f aca="false">IF(O85="Excluded","Excluded – nil closing balance",IF(M85&gt;Summary!$C$5,"Above Materiality","Below Materiality"))</f>
        <v>Below Materiality</v>
      </c>
      <c r="Q85" s="20" t="n">
        <f aca="false">IF(P85="Below Materiality",T85,"")</f>
        <v>0.0893376066227087</v>
      </c>
      <c r="R85" s="21" t="str">
        <f aca="false">IF(P85="Above Materiality",COUNTIFS($O$2:$O$1092,O85,$P$2:$P$1092,"Above Materiality",$M$2:$M$1092,"&gt;"&amp;M85)+COUNTIFS($O$2:$O$1092,O85,$P$2:$P$1092,"Above Materiality",$M$2:$M$1092,M85,$A$2:$A$1092,"&lt;"&amp;A85)+1,"")</f>
        <v/>
      </c>
      <c r="S85" s="21" t="n">
        <f aca="false">IF(P85&lt;&gt;"Below Materiality","",IF(Summary!$C$9="Random",COUNTIFS($O$2:$O$1092,O85,$Q$2:$Q$1092,"&gt;"&amp;Q85)+1,COUNTIFS($O$2:$O$1092,O85,$P$2:$P$1092,"Below Materiality",$M$2:$M$1092,"&gt;"&amp;M85)+COUNTIFS($O$2:$O$1092,O85,$P$2:$P$1092,"Below Materiality",$M$2:$M$1092,M85,$A$2:$A$1092,"&lt;"&amp;A85)+1))</f>
        <v>40</v>
      </c>
      <c r="T85" s="22" t="n">
        <v>0.0893376066227087</v>
      </c>
      <c r="U85" s="21" t="str">
        <f aca="false">IF(R85="","",O85&amp;"|A|"&amp;R85)</f>
        <v/>
      </c>
      <c r="V85" s="21" t="str">
        <f aca="false">IF(S85="","",O85&amp;"|R|"&amp;S85)</f>
        <v>Population 1|R|40</v>
      </c>
    </row>
    <row r="86" customFormat="false" ht="15" hidden="false" customHeight="false" outlineLevel="0" collapsed="false">
      <c r="A86" s="18" t="n">
        <v>85</v>
      </c>
      <c r="B86" s="18"/>
      <c r="C86" s="18"/>
      <c r="D86" s="18"/>
      <c r="E86" s="18" t="s">
        <v>239</v>
      </c>
      <c r="F86" s="18" t="s">
        <v>240</v>
      </c>
      <c r="G86" s="18" t="s">
        <v>74</v>
      </c>
      <c r="H86" s="18" t="n">
        <v>819</v>
      </c>
      <c r="I86" s="19" t="n">
        <v>0</v>
      </c>
      <c r="J86" s="19" t="n">
        <v>0</v>
      </c>
      <c r="K86" s="19" t="n">
        <v>1450</v>
      </c>
      <c r="L86" s="19" t="n">
        <v>-1450</v>
      </c>
      <c r="M86" s="19" t="n">
        <f aca="false">ABS(L86)</f>
        <v>1450</v>
      </c>
      <c r="N86" s="18" t="str">
        <f aca="false">IF(L86=0,"Nil balance",IF(G86="AR file",IF(L86&gt;0,"Accounts Receivable","Customer Advances"),IF(L86&lt;0,"Accounts Payable","Supplier Advances")))</f>
        <v>Customer Advances</v>
      </c>
      <c r="O86" s="18" t="str">
        <f aca="false">IF(L86=0,"Excluded",IF(Summary!$C$4="By ledger",IF(G86="AR file","Population 1","Population 2"),IF(L86&gt;0,"Population 1","Population 2")))</f>
        <v>Population 1</v>
      </c>
      <c r="P86" s="18" t="str">
        <f aca="false">IF(O86="Excluded","Excluded – nil closing balance",IF(M86&gt;Summary!$C$5,"Above Materiality","Below Materiality"))</f>
        <v>Below Materiality</v>
      </c>
      <c r="Q86" s="20" t="n">
        <f aca="false">IF(P86="Below Materiality",T86,"")</f>
        <v>0.313866118466029</v>
      </c>
      <c r="R86" s="21" t="str">
        <f aca="false">IF(P86="Above Materiality",COUNTIFS($O$2:$O$1092,O86,$P$2:$P$1092,"Above Materiality",$M$2:$M$1092,"&gt;"&amp;M86)+COUNTIFS($O$2:$O$1092,O86,$P$2:$P$1092,"Above Materiality",$M$2:$M$1092,M86,$A$2:$A$1092,"&lt;"&amp;A86)+1,"")</f>
        <v/>
      </c>
      <c r="S86" s="21" t="n">
        <f aca="false">IF(P86&lt;&gt;"Below Materiality","",IF(Summary!$C$9="Random",COUNTIFS($O$2:$O$1092,O86,$Q$2:$Q$1092,"&gt;"&amp;Q86)+1,COUNTIFS($O$2:$O$1092,O86,$P$2:$P$1092,"Below Materiality",$M$2:$M$1092,"&gt;"&amp;M86)+COUNTIFS($O$2:$O$1092,O86,$P$2:$P$1092,"Below Materiality",$M$2:$M$1092,M86,$A$2:$A$1092,"&lt;"&amp;A86)+1))</f>
        <v>41</v>
      </c>
      <c r="T86" s="22" t="n">
        <v>0.313866118466029</v>
      </c>
      <c r="U86" s="21" t="str">
        <f aca="false">IF(R86="","",O86&amp;"|A|"&amp;R86)</f>
        <v/>
      </c>
      <c r="V86" s="21" t="str">
        <f aca="false">IF(S86="","",O86&amp;"|R|"&amp;S86)</f>
        <v>Population 1|R|41</v>
      </c>
    </row>
    <row r="87" customFormat="false" ht="15" hidden="false" customHeight="false" outlineLevel="0" collapsed="false">
      <c r="A87" s="18" t="n">
        <v>86</v>
      </c>
      <c r="B87" s="18"/>
      <c r="C87" s="18"/>
      <c r="D87" s="18"/>
      <c r="E87" s="18" t="s">
        <v>241</v>
      </c>
      <c r="F87" s="18" t="s">
        <v>242</v>
      </c>
      <c r="G87" s="18" t="s">
        <v>74</v>
      </c>
      <c r="H87" s="18" t="n">
        <v>185</v>
      </c>
      <c r="I87" s="19" t="n">
        <v>3277.5</v>
      </c>
      <c r="J87" s="19" t="n">
        <v>36115.75</v>
      </c>
      <c r="K87" s="19" t="n">
        <v>38231.75</v>
      </c>
      <c r="L87" s="19" t="n">
        <v>1161.5</v>
      </c>
      <c r="M87" s="19" t="n">
        <f aca="false">ABS(L87)</f>
        <v>1161.5</v>
      </c>
      <c r="N87" s="18" t="str">
        <f aca="false">IF(L87=0,"Nil balance",IF(G87="AR file",IF(L87&gt;0,"Accounts Receivable","Customer Advances"),IF(L87&lt;0,"Accounts Payable","Supplier Advances")))</f>
        <v>Accounts Receivable</v>
      </c>
      <c r="O87" s="18" t="str">
        <f aca="false">IF(L87=0,"Excluded",IF(Summary!$C$4="By ledger",IF(G87="AR file","Population 1","Population 2"),IF(L87&gt;0,"Population 1","Population 2")))</f>
        <v>Population 1</v>
      </c>
      <c r="P87" s="18" t="str">
        <f aca="false">IF(O87="Excluded","Excluded – nil closing balance",IF(M87&gt;Summary!$C$5,"Above Materiality","Below Materiality"))</f>
        <v>Below Materiality</v>
      </c>
      <c r="Q87" s="20" t="n">
        <f aca="false">IF(P87="Below Materiality",T87,"")</f>
        <v>0.182369724913184</v>
      </c>
      <c r="R87" s="21" t="str">
        <f aca="false">IF(P87="Above Materiality",COUNTIFS($O$2:$O$1092,O87,$P$2:$P$1092,"Above Materiality",$M$2:$M$1092,"&gt;"&amp;M87)+COUNTIFS($O$2:$O$1092,O87,$P$2:$P$1092,"Above Materiality",$M$2:$M$1092,M87,$A$2:$A$1092,"&lt;"&amp;A87)+1,"")</f>
        <v/>
      </c>
      <c r="S87" s="21" t="n">
        <f aca="false">IF(P87&lt;&gt;"Below Materiality","",IF(Summary!$C$9="Random",COUNTIFS($O$2:$O$1092,O87,$Q$2:$Q$1092,"&gt;"&amp;Q87)+1,COUNTIFS($O$2:$O$1092,O87,$P$2:$P$1092,"Below Materiality",$M$2:$M$1092,"&gt;"&amp;M87)+COUNTIFS($O$2:$O$1092,O87,$P$2:$P$1092,"Below Materiality",$M$2:$M$1092,M87,$A$2:$A$1092,"&lt;"&amp;A87)+1))</f>
        <v>42</v>
      </c>
      <c r="T87" s="22" t="n">
        <v>0.182369724913184</v>
      </c>
      <c r="U87" s="21" t="str">
        <f aca="false">IF(R87="","",O87&amp;"|A|"&amp;R87)</f>
        <v/>
      </c>
      <c r="V87" s="21" t="str">
        <f aca="false">IF(S87="","",O87&amp;"|R|"&amp;S87)</f>
        <v>Population 1|R|42</v>
      </c>
    </row>
    <row r="88" customFormat="false" ht="15" hidden="false" customHeight="false" outlineLevel="0" collapsed="false">
      <c r="A88" s="18" t="n">
        <v>87</v>
      </c>
      <c r="B88" s="18"/>
      <c r="C88" s="18"/>
      <c r="D88" s="18"/>
      <c r="E88" s="18" t="s">
        <v>243</v>
      </c>
      <c r="F88" s="18" t="s">
        <v>244</v>
      </c>
      <c r="G88" s="18" t="s">
        <v>74</v>
      </c>
      <c r="H88" s="18" t="n">
        <v>44</v>
      </c>
      <c r="I88" s="19" t="n">
        <v>0</v>
      </c>
      <c r="J88" s="19" t="n">
        <v>943</v>
      </c>
      <c r="K88" s="19" t="n">
        <v>0</v>
      </c>
      <c r="L88" s="19" t="n">
        <v>943</v>
      </c>
      <c r="M88" s="19" t="n">
        <f aca="false">ABS(L88)</f>
        <v>943</v>
      </c>
      <c r="N88" s="18" t="str">
        <f aca="false">IF(L88=0,"Nil balance",IF(G88="AR file",IF(L88&gt;0,"Accounts Receivable","Customer Advances"),IF(L88&lt;0,"Accounts Payable","Supplier Advances")))</f>
        <v>Accounts Receivable</v>
      </c>
      <c r="O88" s="18" t="str">
        <f aca="false">IF(L88=0,"Excluded",IF(Summary!$C$4="By ledger",IF(G88="AR file","Population 1","Population 2"),IF(L88&gt;0,"Population 1","Population 2")))</f>
        <v>Population 1</v>
      </c>
      <c r="P88" s="18" t="str">
        <f aca="false">IF(O88="Excluded","Excluded – nil closing balance",IF(M88&gt;Summary!$C$5,"Above Materiality","Below Materiality"))</f>
        <v>Below Materiality</v>
      </c>
      <c r="Q88" s="20" t="n">
        <f aca="false">IF(P88="Below Materiality",T88,"")</f>
        <v>0.165282913769196</v>
      </c>
      <c r="R88" s="21" t="str">
        <f aca="false">IF(P88="Above Materiality",COUNTIFS($O$2:$O$1092,O88,$P$2:$P$1092,"Above Materiality",$M$2:$M$1092,"&gt;"&amp;M88)+COUNTIFS($O$2:$O$1092,O88,$P$2:$P$1092,"Above Materiality",$M$2:$M$1092,M88,$A$2:$A$1092,"&lt;"&amp;A88)+1,"")</f>
        <v/>
      </c>
      <c r="S88" s="21" t="n">
        <f aca="false">IF(P88&lt;&gt;"Below Materiality","",IF(Summary!$C$9="Random",COUNTIFS($O$2:$O$1092,O88,$Q$2:$Q$1092,"&gt;"&amp;Q88)+1,COUNTIFS($O$2:$O$1092,O88,$P$2:$P$1092,"Below Materiality",$M$2:$M$1092,"&gt;"&amp;M88)+COUNTIFS($O$2:$O$1092,O88,$P$2:$P$1092,"Below Materiality",$M$2:$M$1092,M88,$A$2:$A$1092,"&lt;"&amp;A88)+1))</f>
        <v>43</v>
      </c>
      <c r="T88" s="22" t="n">
        <v>0.165282913769196</v>
      </c>
      <c r="U88" s="21" t="str">
        <f aca="false">IF(R88="","",O88&amp;"|A|"&amp;R88)</f>
        <v/>
      </c>
      <c r="V88" s="21" t="str">
        <f aca="false">IF(S88="","",O88&amp;"|R|"&amp;S88)</f>
        <v>Population 1|R|43</v>
      </c>
    </row>
    <row r="89" customFormat="false" ht="15" hidden="false" customHeight="false" outlineLevel="0" collapsed="false">
      <c r="A89" s="18" t="n">
        <v>88</v>
      </c>
      <c r="B89" s="18"/>
      <c r="C89" s="18"/>
      <c r="D89" s="18"/>
      <c r="E89" s="18" t="s">
        <v>245</v>
      </c>
      <c r="F89" s="18" t="s">
        <v>246</v>
      </c>
      <c r="G89" s="18" t="s">
        <v>74</v>
      </c>
      <c r="H89" s="18" t="n">
        <v>794</v>
      </c>
      <c r="I89" s="19" t="n">
        <v>0</v>
      </c>
      <c r="J89" s="19" t="n">
        <v>3156.5</v>
      </c>
      <c r="K89" s="19" t="n">
        <v>2265.25</v>
      </c>
      <c r="L89" s="19" t="n">
        <v>891.25</v>
      </c>
      <c r="M89" s="19" t="n">
        <f aca="false">ABS(L89)</f>
        <v>891.25</v>
      </c>
      <c r="N89" s="18" t="str">
        <f aca="false">IF(L89=0,"Nil balance",IF(G89="AR file",IF(L89&gt;0,"Accounts Receivable","Customer Advances"),IF(L89&lt;0,"Accounts Payable","Supplier Advances")))</f>
        <v>Accounts Receivable</v>
      </c>
      <c r="O89" s="18" t="str">
        <f aca="false">IF(L89=0,"Excluded",IF(Summary!$C$4="By ledger",IF(G89="AR file","Population 1","Population 2"),IF(L89&gt;0,"Population 1","Population 2")))</f>
        <v>Population 1</v>
      </c>
      <c r="P89" s="18" t="str">
        <f aca="false">IF(O89="Excluded","Excluded – nil closing balance",IF(M89&gt;Summary!$C$5,"Above Materiality","Below Materiality"))</f>
        <v>Below Materiality</v>
      </c>
      <c r="Q89" s="20" t="n">
        <f aca="false">IF(P89="Below Materiality",T89,"")</f>
        <v>0.0679774978026767</v>
      </c>
      <c r="R89" s="21" t="str">
        <f aca="false">IF(P89="Above Materiality",COUNTIFS($O$2:$O$1092,O89,$P$2:$P$1092,"Above Materiality",$M$2:$M$1092,"&gt;"&amp;M89)+COUNTIFS($O$2:$O$1092,O89,$P$2:$P$1092,"Above Materiality",$M$2:$M$1092,M89,$A$2:$A$1092,"&lt;"&amp;A89)+1,"")</f>
        <v/>
      </c>
      <c r="S89" s="21" t="n">
        <f aca="false">IF(P89&lt;&gt;"Below Materiality","",IF(Summary!$C$9="Random",COUNTIFS($O$2:$O$1092,O89,$Q$2:$Q$1092,"&gt;"&amp;Q89)+1,COUNTIFS($O$2:$O$1092,O89,$P$2:$P$1092,"Below Materiality",$M$2:$M$1092,"&gt;"&amp;M89)+COUNTIFS($O$2:$O$1092,O89,$P$2:$P$1092,"Below Materiality",$M$2:$M$1092,M89,$A$2:$A$1092,"&lt;"&amp;A89)+1))</f>
        <v>44</v>
      </c>
      <c r="T89" s="22" t="n">
        <v>0.0679774978026767</v>
      </c>
      <c r="U89" s="21" t="str">
        <f aca="false">IF(R89="","",O89&amp;"|A|"&amp;R89)</f>
        <v/>
      </c>
      <c r="V89" s="21" t="str">
        <f aca="false">IF(S89="","",O89&amp;"|R|"&amp;S89)</f>
        <v>Population 1|R|44</v>
      </c>
    </row>
    <row r="90" customFormat="false" ht="15" hidden="false" customHeight="false" outlineLevel="0" collapsed="false">
      <c r="A90" s="18" t="n">
        <v>89</v>
      </c>
      <c r="B90" s="18"/>
      <c r="C90" s="18"/>
      <c r="D90" s="18"/>
      <c r="E90" s="18" t="s">
        <v>247</v>
      </c>
      <c r="F90" s="18" t="s">
        <v>248</v>
      </c>
      <c r="G90" s="18" t="s">
        <v>71</v>
      </c>
      <c r="H90" s="18" t="n">
        <v>144</v>
      </c>
      <c r="I90" s="19" t="n">
        <v>0.25</v>
      </c>
      <c r="J90" s="19" t="n">
        <v>6107.41</v>
      </c>
      <c r="K90" s="19" t="n">
        <v>5328.86</v>
      </c>
      <c r="L90" s="19" t="n">
        <v>778.8</v>
      </c>
      <c r="M90" s="19" t="n">
        <f aca="false">ABS(L90)</f>
        <v>778.8</v>
      </c>
      <c r="N90" s="18" t="str">
        <f aca="false">IF(L90=0,"Nil balance",IF(G90="AR file",IF(L90&gt;0,"Accounts Receivable","Customer Advances"),IF(L90&lt;0,"Accounts Payable","Supplier Advances")))</f>
        <v>Supplier Advances</v>
      </c>
      <c r="O90" s="18" t="str">
        <f aca="false">IF(L90=0,"Excluded",IF(Summary!$C$4="By ledger",IF(G90="AR file","Population 1","Population 2"),IF(L90&gt;0,"Population 1","Population 2")))</f>
        <v>Population 2</v>
      </c>
      <c r="P90" s="18" t="str">
        <f aca="false">IF(O90="Excluded","Excluded – nil closing balance",IF(M90&gt;Summary!$C$5,"Above Materiality","Below Materiality"))</f>
        <v>Below Materiality</v>
      </c>
      <c r="Q90" s="20" t="n">
        <f aca="false">IF(P90="Below Materiality",T90,"")</f>
        <v>0.155129878133608</v>
      </c>
      <c r="R90" s="21" t="str">
        <f aca="false">IF(P90="Above Materiality",COUNTIFS($O$2:$O$1092,O90,$P$2:$P$1092,"Above Materiality",$M$2:$M$1092,"&gt;"&amp;M90)+COUNTIFS($O$2:$O$1092,O90,$P$2:$P$1092,"Above Materiality",$M$2:$M$1092,M90,$A$2:$A$1092,"&lt;"&amp;A90)+1,"")</f>
        <v/>
      </c>
      <c r="S90" s="21" t="n">
        <f aca="false">IF(P90&lt;&gt;"Below Materiality","",IF(Summary!$C$9="Random",COUNTIFS($O$2:$O$1092,O90,$Q$2:$Q$1092,"&gt;"&amp;Q90)+1,COUNTIFS($O$2:$O$1092,O90,$P$2:$P$1092,"Below Materiality",$M$2:$M$1092,"&gt;"&amp;M90)+COUNTIFS($O$2:$O$1092,O90,$P$2:$P$1092,"Below Materiality",$M$2:$M$1092,M90,$A$2:$A$1092,"&lt;"&amp;A90)+1))</f>
        <v>4</v>
      </c>
      <c r="T90" s="22" t="n">
        <v>0.155129878133608</v>
      </c>
      <c r="U90" s="21" t="str">
        <f aca="false">IF(R90="","",O90&amp;"|A|"&amp;R90)</f>
        <v/>
      </c>
      <c r="V90" s="21" t="str">
        <f aca="false">IF(S90="","",O90&amp;"|R|"&amp;S90)</f>
        <v>Population 2|R|4</v>
      </c>
    </row>
    <row r="91" customFormat="false" ht="15" hidden="false" customHeight="false" outlineLevel="0" collapsed="false">
      <c r="A91" s="18" t="n">
        <v>90</v>
      </c>
      <c r="B91" s="18"/>
      <c r="C91" s="18"/>
      <c r="D91" s="18"/>
      <c r="E91" s="18" t="s">
        <v>249</v>
      </c>
      <c r="F91" s="18" t="s">
        <v>250</v>
      </c>
      <c r="G91" s="18" t="s">
        <v>74</v>
      </c>
      <c r="H91" s="18" t="n">
        <v>578</v>
      </c>
      <c r="I91" s="19" t="n">
        <v>0</v>
      </c>
      <c r="J91" s="19" t="n">
        <v>0</v>
      </c>
      <c r="K91" s="19" t="n">
        <v>759</v>
      </c>
      <c r="L91" s="19" t="n">
        <v>-759</v>
      </c>
      <c r="M91" s="19" t="n">
        <f aca="false">ABS(L91)</f>
        <v>759</v>
      </c>
      <c r="N91" s="18" t="str">
        <f aca="false">IF(L91=0,"Nil balance",IF(G91="AR file",IF(L91&gt;0,"Accounts Receivable","Customer Advances"),IF(L91&lt;0,"Accounts Payable","Supplier Advances")))</f>
        <v>Customer Advances</v>
      </c>
      <c r="O91" s="18" t="str">
        <f aca="false">IF(L91=0,"Excluded",IF(Summary!$C$4="By ledger",IF(G91="AR file","Population 1","Population 2"),IF(L91&gt;0,"Population 1","Population 2")))</f>
        <v>Population 1</v>
      </c>
      <c r="P91" s="18" t="str">
        <f aca="false">IF(O91="Excluded","Excluded – nil closing balance",IF(M91&gt;Summary!$C$5,"Above Materiality","Below Materiality"))</f>
        <v>Below Materiality</v>
      </c>
      <c r="Q91" s="20" t="n">
        <f aca="false">IF(P91="Below Materiality",T91,"")</f>
        <v>0.298584209818823</v>
      </c>
      <c r="R91" s="21" t="str">
        <f aca="false">IF(P91="Above Materiality",COUNTIFS($O$2:$O$1092,O91,$P$2:$P$1092,"Above Materiality",$M$2:$M$1092,"&gt;"&amp;M91)+COUNTIFS($O$2:$O$1092,O91,$P$2:$P$1092,"Above Materiality",$M$2:$M$1092,M91,$A$2:$A$1092,"&lt;"&amp;A91)+1,"")</f>
        <v/>
      </c>
      <c r="S91" s="21" t="n">
        <f aca="false">IF(P91&lt;&gt;"Below Materiality","",IF(Summary!$C$9="Random",COUNTIFS($O$2:$O$1092,O91,$Q$2:$Q$1092,"&gt;"&amp;Q91)+1,COUNTIFS($O$2:$O$1092,O91,$P$2:$P$1092,"Below Materiality",$M$2:$M$1092,"&gt;"&amp;M91)+COUNTIFS($O$2:$O$1092,O91,$P$2:$P$1092,"Below Materiality",$M$2:$M$1092,M91,$A$2:$A$1092,"&lt;"&amp;A91)+1))</f>
        <v>45</v>
      </c>
      <c r="T91" s="22" t="n">
        <v>0.298584209818823</v>
      </c>
      <c r="U91" s="21" t="str">
        <f aca="false">IF(R91="","",O91&amp;"|A|"&amp;R91)</f>
        <v/>
      </c>
      <c r="V91" s="21" t="str">
        <f aca="false">IF(S91="","",O91&amp;"|R|"&amp;S91)</f>
        <v>Population 1|R|45</v>
      </c>
    </row>
    <row r="92" customFormat="false" ht="15" hidden="false" customHeight="false" outlineLevel="0" collapsed="false">
      <c r="A92" s="18" t="n">
        <v>91</v>
      </c>
      <c r="B92" s="18"/>
      <c r="C92" s="18"/>
      <c r="D92" s="18"/>
      <c r="E92" s="18" t="s">
        <v>251</v>
      </c>
      <c r="F92" s="18" t="s">
        <v>252</v>
      </c>
      <c r="G92" s="18" t="s">
        <v>74</v>
      </c>
      <c r="H92" s="18" t="n">
        <v>905</v>
      </c>
      <c r="I92" s="19" t="n">
        <v>0</v>
      </c>
      <c r="J92" s="19" t="n">
        <v>0</v>
      </c>
      <c r="K92" s="19" t="n">
        <v>700</v>
      </c>
      <c r="L92" s="19" t="n">
        <v>-700</v>
      </c>
      <c r="M92" s="19" t="n">
        <f aca="false">ABS(L92)</f>
        <v>700</v>
      </c>
      <c r="N92" s="18" t="str">
        <f aca="false">IF(L92=0,"Nil balance",IF(G92="AR file",IF(L92&gt;0,"Accounts Receivable","Customer Advances"),IF(L92&lt;0,"Accounts Payable","Supplier Advances")))</f>
        <v>Customer Advances</v>
      </c>
      <c r="O92" s="18" t="str">
        <f aca="false">IF(L92=0,"Excluded",IF(Summary!$C$4="By ledger",IF(G92="AR file","Population 1","Population 2"),IF(L92&gt;0,"Population 1","Population 2")))</f>
        <v>Population 1</v>
      </c>
      <c r="P92" s="18" t="str">
        <f aca="false">IF(O92="Excluded","Excluded – nil closing balance",IF(M92&gt;Summary!$C$5,"Above Materiality","Below Materiality"))</f>
        <v>Below Materiality</v>
      </c>
      <c r="Q92" s="20" t="n">
        <f aca="false">IF(P92="Below Materiality",T92,"")</f>
        <v>0.852673276925363</v>
      </c>
      <c r="R92" s="21" t="str">
        <f aca="false">IF(P92="Above Materiality",COUNTIFS($O$2:$O$1092,O92,$P$2:$P$1092,"Above Materiality",$M$2:$M$1092,"&gt;"&amp;M92)+COUNTIFS($O$2:$O$1092,O92,$P$2:$P$1092,"Above Materiality",$M$2:$M$1092,M92,$A$2:$A$1092,"&lt;"&amp;A92)+1,"")</f>
        <v/>
      </c>
      <c r="S92" s="21" t="n">
        <f aca="false">IF(P92&lt;&gt;"Below Materiality","",IF(Summary!$C$9="Random",COUNTIFS($O$2:$O$1092,O92,$Q$2:$Q$1092,"&gt;"&amp;Q92)+1,COUNTIFS($O$2:$O$1092,O92,$P$2:$P$1092,"Below Materiality",$M$2:$M$1092,"&gt;"&amp;M92)+COUNTIFS($O$2:$O$1092,O92,$P$2:$P$1092,"Below Materiality",$M$2:$M$1092,M92,$A$2:$A$1092,"&lt;"&amp;A92)+1))</f>
        <v>46</v>
      </c>
      <c r="T92" s="22" t="n">
        <v>0.852673276925363</v>
      </c>
      <c r="U92" s="21" t="str">
        <f aca="false">IF(R92="","",O92&amp;"|A|"&amp;R92)</f>
        <v/>
      </c>
      <c r="V92" s="21" t="str">
        <f aca="false">IF(S92="","",O92&amp;"|R|"&amp;S92)</f>
        <v>Population 1|R|46</v>
      </c>
    </row>
    <row r="93" customFormat="false" ht="15" hidden="false" customHeight="false" outlineLevel="0" collapsed="false">
      <c r="A93" s="18" t="n">
        <v>92</v>
      </c>
      <c r="B93" s="18"/>
      <c r="C93" s="18"/>
      <c r="D93" s="18"/>
      <c r="E93" s="18" t="s">
        <v>253</v>
      </c>
      <c r="F93" s="18" t="s">
        <v>254</v>
      </c>
      <c r="G93" s="18" t="s">
        <v>71</v>
      </c>
      <c r="H93" s="18" t="n">
        <v>137</v>
      </c>
      <c r="I93" s="19" t="n">
        <v>0</v>
      </c>
      <c r="J93" s="19" t="n">
        <v>513.5</v>
      </c>
      <c r="K93" s="19" t="n">
        <v>1150.5</v>
      </c>
      <c r="L93" s="19" t="n">
        <v>-637</v>
      </c>
      <c r="M93" s="19" t="n">
        <f aca="false">ABS(L93)</f>
        <v>637</v>
      </c>
      <c r="N93" s="18" t="str">
        <f aca="false">IF(L93=0,"Nil balance",IF(G93="AR file",IF(L93&gt;0,"Accounts Receivable","Customer Advances"),IF(L93&lt;0,"Accounts Payable","Supplier Advances")))</f>
        <v>Accounts Payable</v>
      </c>
      <c r="O93" s="18" t="str">
        <f aca="false">IF(L93=0,"Excluded",IF(Summary!$C$4="By ledger",IF(G93="AR file","Population 1","Population 2"),IF(L93&gt;0,"Population 1","Population 2")))</f>
        <v>Population 2</v>
      </c>
      <c r="P93" s="18" t="str">
        <f aca="false">IF(O93="Excluded","Excluded – nil closing balance",IF(M93&gt;Summary!$C$5,"Above Materiality","Below Materiality"))</f>
        <v>Below Materiality</v>
      </c>
      <c r="Q93" s="20" t="n">
        <f aca="false">IF(P93="Below Materiality",T93,"")</f>
        <v>0.195005404038311</v>
      </c>
      <c r="R93" s="21" t="str">
        <f aca="false">IF(P93="Above Materiality",COUNTIFS($O$2:$O$1092,O93,$P$2:$P$1092,"Above Materiality",$M$2:$M$1092,"&gt;"&amp;M93)+COUNTIFS($O$2:$O$1092,O93,$P$2:$P$1092,"Above Materiality",$M$2:$M$1092,M93,$A$2:$A$1092,"&lt;"&amp;A93)+1,"")</f>
        <v/>
      </c>
      <c r="S93" s="21" t="n">
        <f aca="false">IF(P93&lt;&gt;"Below Materiality","",IF(Summary!$C$9="Random",COUNTIFS($O$2:$O$1092,O93,$Q$2:$Q$1092,"&gt;"&amp;Q93)+1,COUNTIFS($O$2:$O$1092,O93,$P$2:$P$1092,"Below Materiality",$M$2:$M$1092,"&gt;"&amp;M93)+COUNTIFS($O$2:$O$1092,O93,$P$2:$P$1092,"Below Materiality",$M$2:$M$1092,M93,$A$2:$A$1092,"&lt;"&amp;A93)+1))</f>
        <v>5</v>
      </c>
      <c r="T93" s="22" t="n">
        <v>0.195005404038311</v>
      </c>
      <c r="U93" s="21" t="str">
        <f aca="false">IF(R93="","",O93&amp;"|A|"&amp;R93)</f>
        <v/>
      </c>
      <c r="V93" s="21" t="str">
        <f aca="false">IF(S93="","",O93&amp;"|R|"&amp;S93)</f>
        <v>Population 2|R|5</v>
      </c>
    </row>
    <row r="94" customFormat="false" ht="15" hidden="false" customHeight="false" outlineLevel="0" collapsed="false">
      <c r="A94" s="18" t="n">
        <v>93</v>
      </c>
      <c r="B94" s="18"/>
      <c r="C94" s="18"/>
      <c r="D94" s="18"/>
      <c r="E94" s="18" t="s">
        <v>255</v>
      </c>
      <c r="F94" s="18" t="s">
        <v>256</v>
      </c>
      <c r="G94" s="18" t="s">
        <v>74</v>
      </c>
      <c r="H94" s="18" t="n">
        <v>38</v>
      </c>
      <c r="I94" s="19" t="n">
        <v>1657.45</v>
      </c>
      <c r="J94" s="19" t="n">
        <v>1219</v>
      </c>
      <c r="K94" s="19" t="n">
        <v>2266</v>
      </c>
      <c r="L94" s="19" t="n">
        <v>610.450000000001</v>
      </c>
      <c r="M94" s="19" t="n">
        <f aca="false">ABS(L94)</f>
        <v>610.450000000001</v>
      </c>
      <c r="N94" s="18" t="str">
        <f aca="false">IF(L94=0,"Nil balance",IF(G94="AR file",IF(L94&gt;0,"Accounts Receivable","Customer Advances"),IF(L94&lt;0,"Accounts Payable","Supplier Advances")))</f>
        <v>Accounts Receivable</v>
      </c>
      <c r="O94" s="18" t="str">
        <f aca="false">IF(L94=0,"Excluded",IF(Summary!$C$4="By ledger",IF(G94="AR file","Population 1","Population 2"),IF(L94&gt;0,"Population 1","Population 2")))</f>
        <v>Population 1</v>
      </c>
      <c r="P94" s="18" t="str">
        <f aca="false">IF(O94="Excluded","Excluded – nil closing balance",IF(M94&gt;Summary!$C$5,"Above Materiality","Below Materiality"))</f>
        <v>Below Materiality</v>
      </c>
      <c r="Q94" s="20" t="n">
        <f aca="false">IF(P94="Below Materiality",T94,"")</f>
        <v>0.904831244213404</v>
      </c>
      <c r="R94" s="21" t="str">
        <f aca="false">IF(P94="Above Materiality",COUNTIFS($O$2:$O$1092,O94,$P$2:$P$1092,"Above Materiality",$M$2:$M$1092,"&gt;"&amp;M94)+COUNTIFS($O$2:$O$1092,O94,$P$2:$P$1092,"Above Materiality",$M$2:$M$1092,M94,$A$2:$A$1092,"&lt;"&amp;A94)+1,"")</f>
        <v/>
      </c>
      <c r="S94" s="21" t="n">
        <f aca="false">IF(P94&lt;&gt;"Below Materiality","",IF(Summary!$C$9="Random",COUNTIFS($O$2:$O$1092,O94,$Q$2:$Q$1092,"&gt;"&amp;Q94)+1,COUNTIFS($O$2:$O$1092,O94,$P$2:$P$1092,"Below Materiality",$M$2:$M$1092,"&gt;"&amp;M94)+COUNTIFS($O$2:$O$1092,O94,$P$2:$P$1092,"Below Materiality",$M$2:$M$1092,M94,$A$2:$A$1092,"&lt;"&amp;A94)+1))</f>
        <v>47</v>
      </c>
      <c r="T94" s="22" t="n">
        <v>0.904831244213404</v>
      </c>
      <c r="U94" s="21" t="str">
        <f aca="false">IF(R94="","",O94&amp;"|A|"&amp;R94)</f>
        <v/>
      </c>
      <c r="V94" s="21" t="str">
        <f aca="false">IF(S94="","",O94&amp;"|R|"&amp;S94)</f>
        <v>Population 1|R|47</v>
      </c>
    </row>
    <row r="95" customFormat="false" ht="15" hidden="false" customHeight="false" outlineLevel="0" collapsed="false">
      <c r="A95" s="18" t="n">
        <v>94</v>
      </c>
      <c r="B95" s="18"/>
      <c r="C95" s="18"/>
      <c r="D95" s="18"/>
      <c r="E95" s="18" t="s">
        <v>257</v>
      </c>
      <c r="F95" s="18" t="s">
        <v>258</v>
      </c>
      <c r="G95" s="18" t="s">
        <v>74</v>
      </c>
      <c r="H95" s="18" t="n">
        <v>818</v>
      </c>
      <c r="I95" s="19" t="n">
        <v>0</v>
      </c>
      <c r="J95" s="19" t="n">
        <v>8280</v>
      </c>
      <c r="K95" s="19" t="n">
        <v>7705</v>
      </c>
      <c r="L95" s="19" t="n">
        <v>575</v>
      </c>
      <c r="M95" s="19" t="n">
        <f aca="false">ABS(L95)</f>
        <v>575</v>
      </c>
      <c r="N95" s="18" t="str">
        <f aca="false">IF(L95=0,"Nil balance",IF(G95="AR file",IF(L95&gt;0,"Accounts Receivable","Customer Advances"),IF(L95&lt;0,"Accounts Payable","Supplier Advances")))</f>
        <v>Accounts Receivable</v>
      </c>
      <c r="O95" s="18" t="str">
        <f aca="false">IF(L95=0,"Excluded",IF(Summary!$C$4="By ledger",IF(G95="AR file","Population 1","Population 2"),IF(L95&gt;0,"Population 1","Population 2")))</f>
        <v>Population 1</v>
      </c>
      <c r="P95" s="18" t="str">
        <f aca="false">IF(O95="Excluded","Excluded – nil closing balance",IF(M95&gt;Summary!$C$5,"Above Materiality","Below Materiality"))</f>
        <v>Below Materiality</v>
      </c>
      <c r="Q95" s="20" t="n">
        <f aca="false">IF(P95="Below Materiality",T95,"")</f>
        <v>0.150572262226076</v>
      </c>
      <c r="R95" s="21" t="str">
        <f aca="false">IF(P95="Above Materiality",COUNTIFS($O$2:$O$1092,O95,$P$2:$P$1092,"Above Materiality",$M$2:$M$1092,"&gt;"&amp;M95)+COUNTIFS($O$2:$O$1092,O95,$P$2:$P$1092,"Above Materiality",$M$2:$M$1092,M95,$A$2:$A$1092,"&lt;"&amp;A95)+1,"")</f>
        <v/>
      </c>
      <c r="S95" s="21" t="n">
        <f aca="false">IF(P95&lt;&gt;"Below Materiality","",IF(Summary!$C$9="Random",COUNTIFS($O$2:$O$1092,O95,$Q$2:$Q$1092,"&gt;"&amp;Q95)+1,COUNTIFS($O$2:$O$1092,O95,$P$2:$P$1092,"Below Materiality",$M$2:$M$1092,"&gt;"&amp;M95)+COUNTIFS($O$2:$O$1092,O95,$P$2:$P$1092,"Below Materiality",$M$2:$M$1092,M95,$A$2:$A$1092,"&lt;"&amp;A95)+1))</f>
        <v>48</v>
      </c>
      <c r="T95" s="22" t="n">
        <v>0.150572262226076</v>
      </c>
      <c r="U95" s="21" t="str">
        <f aca="false">IF(R95="","",O95&amp;"|A|"&amp;R95)</f>
        <v/>
      </c>
      <c r="V95" s="21" t="str">
        <f aca="false">IF(S95="","",O95&amp;"|R|"&amp;S95)</f>
        <v>Population 1|R|48</v>
      </c>
    </row>
    <row r="96" customFormat="false" ht="15" hidden="false" customHeight="false" outlineLevel="0" collapsed="false">
      <c r="A96" s="18" t="n">
        <v>95</v>
      </c>
      <c r="B96" s="18"/>
      <c r="C96" s="18"/>
      <c r="D96" s="18"/>
      <c r="E96" s="18" t="s">
        <v>259</v>
      </c>
      <c r="F96" s="18" t="s">
        <v>260</v>
      </c>
      <c r="G96" s="18" t="s">
        <v>74</v>
      </c>
      <c r="H96" s="18" t="n">
        <v>15</v>
      </c>
      <c r="I96" s="19" t="n">
        <v>0</v>
      </c>
      <c r="J96" s="19" t="n">
        <v>1533.5</v>
      </c>
      <c r="K96" s="19" t="n">
        <v>1004.5</v>
      </c>
      <c r="L96" s="19" t="n">
        <v>529</v>
      </c>
      <c r="M96" s="19" t="n">
        <f aca="false">ABS(L96)</f>
        <v>529</v>
      </c>
      <c r="N96" s="18" t="str">
        <f aca="false">IF(L96=0,"Nil balance",IF(G96="AR file",IF(L96&gt;0,"Accounts Receivable","Customer Advances"),IF(L96&lt;0,"Accounts Payable","Supplier Advances")))</f>
        <v>Accounts Receivable</v>
      </c>
      <c r="O96" s="18" t="str">
        <f aca="false">IF(L96=0,"Excluded",IF(Summary!$C$4="By ledger",IF(G96="AR file","Population 1","Population 2"),IF(L96&gt;0,"Population 1","Population 2")))</f>
        <v>Population 1</v>
      </c>
      <c r="P96" s="18" t="str">
        <f aca="false">IF(O96="Excluded","Excluded – nil closing balance",IF(M96&gt;Summary!$C$5,"Above Materiality","Below Materiality"))</f>
        <v>Below Materiality</v>
      </c>
      <c r="Q96" s="20" t="n">
        <f aca="false">IF(P96="Below Materiality",T96,"")</f>
        <v>0.225940967934557</v>
      </c>
      <c r="R96" s="21" t="str">
        <f aca="false">IF(P96="Above Materiality",COUNTIFS($O$2:$O$1092,O96,$P$2:$P$1092,"Above Materiality",$M$2:$M$1092,"&gt;"&amp;M96)+COUNTIFS($O$2:$O$1092,O96,$P$2:$P$1092,"Above Materiality",$M$2:$M$1092,M96,$A$2:$A$1092,"&lt;"&amp;A96)+1,"")</f>
        <v/>
      </c>
      <c r="S96" s="21" t="n">
        <f aca="false">IF(P96&lt;&gt;"Below Materiality","",IF(Summary!$C$9="Random",COUNTIFS($O$2:$O$1092,O96,$Q$2:$Q$1092,"&gt;"&amp;Q96)+1,COUNTIFS($O$2:$O$1092,O96,$P$2:$P$1092,"Below Materiality",$M$2:$M$1092,"&gt;"&amp;M96)+COUNTIFS($O$2:$O$1092,O96,$P$2:$P$1092,"Below Materiality",$M$2:$M$1092,M96,$A$2:$A$1092,"&lt;"&amp;A96)+1))</f>
        <v>49</v>
      </c>
      <c r="T96" s="22" t="n">
        <v>0.225940967934557</v>
      </c>
      <c r="U96" s="21" t="str">
        <f aca="false">IF(R96="","",O96&amp;"|A|"&amp;R96)</f>
        <v/>
      </c>
      <c r="V96" s="21" t="str">
        <f aca="false">IF(S96="","",O96&amp;"|R|"&amp;S96)</f>
        <v>Population 1|R|49</v>
      </c>
    </row>
    <row r="97" customFormat="false" ht="15" hidden="false" customHeight="false" outlineLevel="0" collapsed="false">
      <c r="A97" s="18" t="n">
        <v>96</v>
      </c>
      <c r="B97" s="18"/>
      <c r="C97" s="18"/>
      <c r="D97" s="18"/>
      <c r="E97" s="18" t="s">
        <v>261</v>
      </c>
      <c r="F97" s="18" t="s">
        <v>262</v>
      </c>
      <c r="G97" s="18" t="s">
        <v>74</v>
      </c>
      <c r="H97" s="18" t="n">
        <v>573</v>
      </c>
      <c r="I97" s="19" t="n">
        <v>0</v>
      </c>
      <c r="J97" s="19" t="n">
        <v>0</v>
      </c>
      <c r="K97" s="19" t="n">
        <v>515.2</v>
      </c>
      <c r="L97" s="19" t="n">
        <v>-515.2</v>
      </c>
      <c r="M97" s="19" t="n">
        <f aca="false">ABS(L97)</f>
        <v>515.2</v>
      </c>
      <c r="N97" s="18" t="str">
        <f aca="false">IF(L97=0,"Nil balance",IF(G97="AR file",IF(L97&gt;0,"Accounts Receivable","Customer Advances"),IF(L97&lt;0,"Accounts Payable","Supplier Advances")))</f>
        <v>Customer Advances</v>
      </c>
      <c r="O97" s="18" t="str">
        <f aca="false">IF(L97=0,"Excluded",IF(Summary!$C$4="By ledger",IF(G97="AR file","Population 1","Population 2"),IF(L97&gt;0,"Population 1","Population 2")))</f>
        <v>Population 1</v>
      </c>
      <c r="P97" s="18" t="str">
        <f aca="false">IF(O97="Excluded","Excluded – nil closing balance",IF(M97&gt;Summary!$C$5,"Above Materiality","Below Materiality"))</f>
        <v>Below Materiality</v>
      </c>
      <c r="Q97" s="20" t="n">
        <f aca="false">IF(P97="Below Materiality",T97,"")</f>
        <v>0.813822533653108</v>
      </c>
      <c r="R97" s="21" t="str">
        <f aca="false">IF(P97="Above Materiality",COUNTIFS($O$2:$O$1092,O97,$P$2:$P$1092,"Above Materiality",$M$2:$M$1092,"&gt;"&amp;M97)+COUNTIFS($O$2:$O$1092,O97,$P$2:$P$1092,"Above Materiality",$M$2:$M$1092,M97,$A$2:$A$1092,"&lt;"&amp;A97)+1,"")</f>
        <v/>
      </c>
      <c r="S97" s="21" t="n">
        <f aca="false">IF(P97&lt;&gt;"Below Materiality","",IF(Summary!$C$9="Random",COUNTIFS($O$2:$O$1092,O97,$Q$2:$Q$1092,"&gt;"&amp;Q97)+1,COUNTIFS($O$2:$O$1092,O97,$P$2:$P$1092,"Below Materiality",$M$2:$M$1092,"&gt;"&amp;M97)+COUNTIFS($O$2:$O$1092,O97,$P$2:$P$1092,"Below Materiality",$M$2:$M$1092,M97,$A$2:$A$1092,"&lt;"&amp;A97)+1))</f>
        <v>50</v>
      </c>
      <c r="T97" s="22" t="n">
        <v>0.813822533653108</v>
      </c>
      <c r="U97" s="21" t="str">
        <f aca="false">IF(R97="","",O97&amp;"|A|"&amp;R97)</f>
        <v/>
      </c>
      <c r="V97" s="21" t="str">
        <f aca="false">IF(S97="","",O97&amp;"|R|"&amp;S97)</f>
        <v>Population 1|R|50</v>
      </c>
    </row>
    <row r="98" customFormat="false" ht="15" hidden="false" customHeight="false" outlineLevel="0" collapsed="false">
      <c r="A98" s="18" t="n">
        <v>97</v>
      </c>
      <c r="B98" s="18"/>
      <c r="C98" s="18"/>
      <c r="D98" s="18"/>
      <c r="E98" s="18" t="s">
        <v>263</v>
      </c>
      <c r="F98" s="18" t="s">
        <v>264</v>
      </c>
      <c r="G98" s="18" t="s">
        <v>74</v>
      </c>
      <c r="H98" s="18" t="n">
        <v>413</v>
      </c>
      <c r="I98" s="19" t="n">
        <v>0</v>
      </c>
      <c r="J98" s="19" t="n">
        <v>1185.4</v>
      </c>
      <c r="K98" s="19" t="n">
        <v>1685.4</v>
      </c>
      <c r="L98" s="19" t="n">
        <v>-500</v>
      </c>
      <c r="M98" s="19" t="n">
        <f aca="false">ABS(L98)</f>
        <v>500</v>
      </c>
      <c r="N98" s="18" t="str">
        <f aca="false">IF(L98=0,"Nil balance",IF(G98="AR file",IF(L98&gt;0,"Accounts Receivable","Customer Advances"),IF(L98&lt;0,"Accounts Payable","Supplier Advances")))</f>
        <v>Customer Advances</v>
      </c>
      <c r="O98" s="18" t="str">
        <f aca="false">IF(L98=0,"Excluded",IF(Summary!$C$4="By ledger",IF(G98="AR file","Population 1","Population 2"),IF(L98&gt;0,"Population 1","Population 2")))</f>
        <v>Population 1</v>
      </c>
      <c r="P98" s="18" t="str">
        <f aca="false">IF(O98="Excluded","Excluded – nil closing balance",IF(M98&gt;Summary!$C$5,"Above Materiality","Below Materiality"))</f>
        <v>Below Materiality</v>
      </c>
      <c r="Q98" s="20" t="n">
        <f aca="false">IF(P98="Below Materiality",T98,"")</f>
        <v>0.837167600278213</v>
      </c>
      <c r="R98" s="21" t="str">
        <f aca="false">IF(P98="Above Materiality",COUNTIFS($O$2:$O$1092,O98,$P$2:$P$1092,"Above Materiality",$M$2:$M$1092,"&gt;"&amp;M98)+COUNTIFS($O$2:$O$1092,O98,$P$2:$P$1092,"Above Materiality",$M$2:$M$1092,M98,$A$2:$A$1092,"&lt;"&amp;A98)+1,"")</f>
        <v/>
      </c>
      <c r="S98" s="21" t="n">
        <f aca="false">IF(P98&lt;&gt;"Below Materiality","",IF(Summary!$C$9="Random",COUNTIFS($O$2:$O$1092,O98,$Q$2:$Q$1092,"&gt;"&amp;Q98)+1,COUNTIFS($O$2:$O$1092,O98,$P$2:$P$1092,"Below Materiality",$M$2:$M$1092,"&gt;"&amp;M98)+COUNTIFS($O$2:$O$1092,O98,$P$2:$P$1092,"Below Materiality",$M$2:$M$1092,M98,$A$2:$A$1092,"&lt;"&amp;A98)+1))</f>
        <v>51</v>
      </c>
      <c r="T98" s="22" t="n">
        <v>0.837167600278213</v>
      </c>
      <c r="U98" s="21" t="str">
        <f aca="false">IF(R98="","",O98&amp;"|A|"&amp;R98)</f>
        <v/>
      </c>
      <c r="V98" s="21" t="str">
        <f aca="false">IF(S98="","",O98&amp;"|R|"&amp;S98)</f>
        <v>Population 1|R|51</v>
      </c>
    </row>
    <row r="99" customFormat="false" ht="15" hidden="false" customHeight="false" outlineLevel="0" collapsed="false">
      <c r="A99" s="18" t="n">
        <v>98</v>
      </c>
      <c r="B99" s="18"/>
      <c r="C99" s="18"/>
      <c r="D99" s="18"/>
      <c r="E99" s="18" t="s">
        <v>265</v>
      </c>
      <c r="F99" s="18" t="s">
        <v>266</v>
      </c>
      <c r="G99" s="18" t="s">
        <v>74</v>
      </c>
      <c r="H99" s="18" t="n">
        <v>563</v>
      </c>
      <c r="I99" s="19" t="n">
        <v>0</v>
      </c>
      <c r="J99" s="19" t="n">
        <v>2990</v>
      </c>
      <c r="K99" s="19" t="n">
        <v>3490</v>
      </c>
      <c r="L99" s="19" t="n">
        <v>-500</v>
      </c>
      <c r="M99" s="19" t="n">
        <f aca="false">ABS(L99)</f>
        <v>500</v>
      </c>
      <c r="N99" s="18" t="str">
        <f aca="false">IF(L99=0,"Nil balance",IF(G99="AR file",IF(L99&gt;0,"Accounts Receivable","Customer Advances"),IF(L99&lt;0,"Accounts Payable","Supplier Advances")))</f>
        <v>Customer Advances</v>
      </c>
      <c r="O99" s="18" t="str">
        <f aca="false">IF(L99=0,"Excluded",IF(Summary!$C$4="By ledger",IF(G99="AR file","Population 1","Population 2"),IF(L99&gt;0,"Population 1","Population 2")))</f>
        <v>Population 1</v>
      </c>
      <c r="P99" s="18" t="str">
        <f aca="false">IF(O99="Excluded","Excluded – nil closing balance",IF(M99&gt;Summary!$C$5,"Above Materiality","Below Materiality"))</f>
        <v>Below Materiality</v>
      </c>
      <c r="Q99" s="20" t="n">
        <f aca="false">IF(P99="Below Materiality",T99,"")</f>
        <v>0.71470401608563</v>
      </c>
      <c r="R99" s="21" t="str">
        <f aca="false">IF(P99="Above Materiality",COUNTIFS($O$2:$O$1092,O99,$P$2:$P$1092,"Above Materiality",$M$2:$M$1092,"&gt;"&amp;M99)+COUNTIFS($O$2:$O$1092,O99,$P$2:$P$1092,"Above Materiality",$M$2:$M$1092,M99,$A$2:$A$1092,"&lt;"&amp;A99)+1,"")</f>
        <v/>
      </c>
      <c r="S99" s="21" t="n">
        <f aca="false">IF(P99&lt;&gt;"Below Materiality","",IF(Summary!$C$9="Random",COUNTIFS($O$2:$O$1092,O99,$Q$2:$Q$1092,"&gt;"&amp;Q99)+1,COUNTIFS($O$2:$O$1092,O99,$P$2:$P$1092,"Below Materiality",$M$2:$M$1092,"&gt;"&amp;M99)+COUNTIFS($O$2:$O$1092,O99,$P$2:$P$1092,"Below Materiality",$M$2:$M$1092,M99,$A$2:$A$1092,"&lt;"&amp;A99)+1))</f>
        <v>52</v>
      </c>
      <c r="T99" s="22" t="n">
        <v>0.71470401608563</v>
      </c>
      <c r="U99" s="21" t="str">
        <f aca="false">IF(R99="","",O99&amp;"|A|"&amp;R99)</f>
        <v/>
      </c>
      <c r="V99" s="21" t="str">
        <f aca="false">IF(S99="","",O99&amp;"|R|"&amp;S99)</f>
        <v>Population 1|R|52</v>
      </c>
    </row>
    <row r="100" customFormat="false" ht="15" hidden="false" customHeight="false" outlineLevel="0" collapsed="false">
      <c r="A100" s="18" t="n">
        <v>99</v>
      </c>
      <c r="B100" s="18"/>
      <c r="C100" s="18"/>
      <c r="D100" s="18"/>
      <c r="E100" s="18" t="s">
        <v>267</v>
      </c>
      <c r="F100" s="18" t="s">
        <v>268</v>
      </c>
      <c r="G100" s="18" t="s">
        <v>74</v>
      </c>
      <c r="H100" s="18" t="n">
        <v>911</v>
      </c>
      <c r="I100" s="19" t="n">
        <v>0</v>
      </c>
      <c r="J100" s="19" t="n">
        <v>0</v>
      </c>
      <c r="K100" s="19" t="n">
        <v>500</v>
      </c>
      <c r="L100" s="19" t="n">
        <v>-500</v>
      </c>
      <c r="M100" s="19" t="n">
        <f aca="false">ABS(L100)</f>
        <v>500</v>
      </c>
      <c r="N100" s="18" t="str">
        <f aca="false">IF(L100=0,"Nil balance",IF(G100="AR file",IF(L100&gt;0,"Accounts Receivable","Customer Advances"),IF(L100&lt;0,"Accounts Payable","Supplier Advances")))</f>
        <v>Customer Advances</v>
      </c>
      <c r="O100" s="18" t="str">
        <f aca="false">IF(L100=0,"Excluded",IF(Summary!$C$4="By ledger",IF(G100="AR file","Population 1","Population 2"),IF(L100&gt;0,"Population 1","Population 2")))</f>
        <v>Population 1</v>
      </c>
      <c r="P100" s="18" t="str">
        <f aca="false">IF(O100="Excluded","Excluded – nil closing balance",IF(M100&gt;Summary!$C$5,"Above Materiality","Below Materiality"))</f>
        <v>Below Materiality</v>
      </c>
      <c r="Q100" s="20" t="n">
        <f aca="false">IF(P100="Below Materiality",T100,"")</f>
        <v>0.886811415939507</v>
      </c>
      <c r="R100" s="21" t="str">
        <f aca="false">IF(P100="Above Materiality",COUNTIFS($O$2:$O$1092,O100,$P$2:$P$1092,"Above Materiality",$M$2:$M$1092,"&gt;"&amp;M100)+COUNTIFS($O$2:$O$1092,O100,$P$2:$P$1092,"Above Materiality",$M$2:$M$1092,M100,$A$2:$A$1092,"&lt;"&amp;A100)+1,"")</f>
        <v/>
      </c>
      <c r="S100" s="21" t="n">
        <f aca="false">IF(P100&lt;&gt;"Below Materiality","",IF(Summary!$C$9="Random",COUNTIFS($O$2:$O$1092,O100,$Q$2:$Q$1092,"&gt;"&amp;Q100)+1,COUNTIFS($O$2:$O$1092,O100,$P$2:$P$1092,"Below Materiality",$M$2:$M$1092,"&gt;"&amp;M100)+COUNTIFS($O$2:$O$1092,O100,$P$2:$P$1092,"Below Materiality",$M$2:$M$1092,M100,$A$2:$A$1092,"&lt;"&amp;A100)+1))</f>
        <v>53</v>
      </c>
      <c r="T100" s="22" t="n">
        <v>0.886811415939507</v>
      </c>
      <c r="U100" s="21" t="str">
        <f aca="false">IF(R100="","",O100&amp;"|A|"&amp;R100)</f>
        <v/>
      </c>
      <c r="V100" s="21" t="str">
        <f aca="false">IF(S100="","",O100&amp;"|R|"&amp;S100)</f>
        <v>Population 1|R|53</v>
      </c>
    </row>
    <row r="101" customFormat="false" ht="15" hidden="false" customHeight="false" outlineLevel="0" collapsed="false">
      <c r="A101" s="18" t="n">
        <v>100</v>
      </c>
      <c r="B101" s="18"/>
      <c r="C101" s="18"/>
      <c r="D101" s="18"/>
      <c r="E101" s="18" t="s">
        <v>269</v>
      </c>
      <c r="F101" s="18" t="s">
        <v>270</v>
      </c>
      <c r="G101" s="18" t="s">
        <v>74</v>
      </c>
      <c r="H101" s="18" t="n">
        <v>586</v>
      </c>
      <c r="I101" s="19" t="n">
        <v>0</v>
      </c>
      <c r="J101" s="19" t="n">
        <v>460</v>
      </c>
      <c r="K101" s="19" t="n">
        <v>0</v>
      </c>
      <c r="L101" s="19" t="n">
        <v>460</v>
      </c>
      <c r="M101" s="19" t="n">
        <f aca="false">ABS(L101)</f>
        <v>460</v>
      </c>
      <c r="N101" s="18" t="str">
        <f aca="false">IF(L101=0,"Nil balance",IF(G101="AR file",IF(L101&gt;0,"Accounts Receivable","Customer Advances"),IF(L101&lt;0,"Accounts Payable","Supplier Advances")))</f>
        <v>Accounts Receivable</v>
      </c>
      <c r="O101" s="18" t="str">
        <f aca="false">IF(L101=0,"Excluded",IF(Summary!$C$4="By ledger",IF(G101="AR file","Population 1","Population 2"),IF(L101&gt;0,"Population 1","Population 2")))</f>
        <v>Population 1</v>
      </c>
      <c r="P101" s="18" t="str">
        <f aca="false">IF(O101="Excluded","Excluded – nil closing balance",IF(M101&gt;Summary!$C$5,"Above Materiality","Below Materiality"))</f>
        <v>Below Materiality</v>
      </c>
      <c r="Q101" s="20" t="n">
        <f aca="false">IF(P101="Below Materiality",T101,"")</f>
        <v>0.340996855122885</v>
      </c>
      <c r="R101" s="21" t="str">
        <f aca="false">IF(P101="Above Materiality",COUNTIFS($O$2:$O$1092,O101,$P$2:$P$1092,"Above Materiality",$M$2:$M$1092,"&gt;"&amp;M101)+COUNTIFS($O$2:$O$1092,O101,$P$2:$P$1092,"Above Materiality",$M$2:$M$1092,M101,$A$2:$A$1092,"&lt;"&amp;A101)+1,"")</f>
        <v/>
      </c>
      <c r="S101" s="21" t="n">
        <f aca="false">IF(P101&lt;&gt;"Below Materiality","",IF(Summary!$C$9="Random",COUNTIFS($O$2:$O$1092,O101,$Q$2:$Q$1092,"&gt;"&amp;Q101)+1,COUNTIFS($O$2:$O$1092,O101,$P$2:$P$1092,"Below Materiality",$M$2:$M$1092,"&gt;"&amp;M101)+COUNTIFS($O$2:$O$1092,O101,$P$2:$P$1092,"Below Materiality",$M$2:$M$1092,M101,$A$2:$A$1092,"&lt;"&amp;A101)+1))</f>
        <v>54</v>
      </c>
      <c r="T101" s="22" t="n">
        <v>0.340996855122885</v>
      </c>
      <c r="U101" s="21" t="str">
        <f aca="false">IF(R101="","",O101&amp;"|A|"&amp;R101)</f>
        <v/>
      </c>
      <c r="V101" s="21" t="str">
        <f aca="false">IF(S101="","",O101&amp;"|R|"&amp;S101)</f>
        <v>Population 1|R|54</v>
      </c>
    </row>
    <row r="102" customFormat="false" ht="15" hidden="false" customHeight="false" outlineLevel="0" collapsed="false">
      <c r="A102" s="18" t="n">
        <v>101</v>
      </c>
      <c r="B102" s="18"/>
      <c r="C102" s="18"/>
      <c r="D102" s="18"/>
      <c r="E102" s="18" t="s">
        <v>271</v>
      </c>
      <c r="F102" s="18" t="s">
        <v>272</v>
      </c>
      <c r="G102" s="18" t="s">
        <v>74</v>
      </c>
      <c r="H102" s="18" t="n">
        <v>754</v>
      </c>
      <c r="I102" s="19" t="n">
        <v>0</v>
      </c>
      <c r="J102" s="19" t="n">
        <v>4916.25</v>
      </c>
      <c r="K102" s="19" t="n">
        <v>4536.75</v>
      </c>
      <c r="L102" s="19" t="n">
        <v>379.5</v>
      </c>
      <c r="M102" s="19" t="n">
        <f aca="false">ABS(L102)</f>
        <v>379.5</v>
      </c>
      <c r="N102" s="18" t="str">
        <f aca="false">IF(L102=0,"Nil balance",IF(G102="AR file",IF(L102&gt;0,"Accounts Receivable","Customer Advances"),IF(L102&lt;0,"Accounts Payable","Supplier Advances")))</f>
        <v>Accounts Receivable</v>
      </c>
      <c r="O102" s="18" t="str">
        <f aca="false">IF(L102=0,"Excluded",IF(Summary!$C$4="By ledger",IF(G102="AR file","Population 1","Population 2"),IF(L102&gt;0,"Population 1","Population 2")))</f>
        <v>Population 1</v>
      </c>
      <c r="P102" s="18" t="str">
        <f aca="false">IF(O102="Excluded","Excluded – nil closing balance",IF(M102&gt;Summary!$C$5,"Above Materiality","Below Materiality"))</f>
        <v>Below Materiality</v>
      </c>
      <c r="Q102" s="20" t="n">
        <f aca="false">IF(P102="Below Materiality",T102,"")</f>
        <v>0.439446670174296</v>
      </c>
      <c r="R102" s="21" t="str">
        <f aca="false">IF(P102="Above Materiality",COUNTIFS($O$2:$O$1092,O102,$P$2:$P$1092,"Above Materiality",$M$2:$M$1092,"&gt;"&amp;M102)+COUNTIFS($O$2:$O$1092,O102,$P$2:$P$1092,"Above Materiality",$M$2:$M$1092,M102,$A$2:$A$1092,"&lt;"&amp;A102)+1,"")</f>
        <v/>
      </c>
      <c r="S102" s="21" t="n">
        <f aca="false">IF(P102&lt;&gt;"Below Materiality","",IF(Summary!$C$9="Random",COUNTIFS($O$2:$O$1092,O102,$Q$2:$Q$1092,"&gt;"&amp;Q102)+1,COUNTIFS($O$2:$O$1092,O102,$P$2:$P$1092,"Below Materiality",$M$2:$M$1092,"&gt;"&amp;M102)+COUNTIFS($O$2:$O$1092,O102,$P$2:$P$1092,"Below Materiality",$M$2:$M$1092,M102,$A$2:$A$1092,"&lt;"&amp;A102)+1))</f>
        <v>55</v>
      </c>
      <c r="T102" s="22" t="n">
        <v>0.439446670174296</v>
      </c>
      <c r="U102" s="21" t="str">
        <f aca="false">IF(R102="","",O102&amp;"|A|"&amp;R102)</f>
        <v/>
      </c>
      <c r="V102" s="21" t="str">
        <f aca="false">IF(S102="","",O102&amp;"|R|"&amp;S102)</f>
        <v>Population 1|R|55</v>
      </c>
    </row>
    <row r="103" customFormat="false" ht="15" hidden="false" customHeight="false" outlineLevel="0" collapsed="false">
      <c r="A103" s="18" t="n">
        <v>102</v>
      </c>
      <c r="B103" s="18"/>
      <c r="C103" s="18"/>
      <c r="D103" s="18"/>
      <c r="E103" s="18" t="s">
        <v>273</v>
      </c>
      <c r="F103" s="18" t="s">
        <v>274</v>
      </c>
      <c r="G103" s="18" t="s">
        <v>74</v>
      </c>
      <c r="H103" s="18" t="n">
        <v>102</v>
      </c>
      <c r="I103" s="19" t="n">
        <v>522.1</v>
      </c>
      <c r="J103" s="19" t="n">
        <v>918.75</v>
      </c>
      <c r="K103" s="19" t="n">
        <v>1068.35</v>
      </c>
      <c r="L103" s="19" t="n">
        <v>372.5</v>
      </c>
      <c r="M103" s="19" t="n">
        <f aca="false">ABS(L103)</f>
        <v>372.5</v>
      </c>
      <c r="N103" s="18" t="str">
        <f aca="false">IF(L103=0,"Nil balance",IF(G103="AR file",IF(L103&gt;0,"Accounts Receivable","Customer Advances"),IF(L103&lt;0,"Accounts Payable","Supplier Advances")))</f>
        <v>Accounts Receivable</v>
      </c>
      <c r="O103" s="18" t="str">
        <f aca="false">IF(L103=0,"Excluded",IF(Summary!$C$4="By ledger",IF(G103="AR file","Population 1","Population 2"),IF(L103&gt;0,"Population 1","Population 2")))</f>
        <v>Population 1</v>
      </c>
      <c r="P103" s="18" t="str">
        <f aca="false">IF(O103="Excluded","Excluded – nil closing balance",IF(M103&gt;Summary!$C$5,"Above Materiality","Below Materiality"))</f>
        <v>Below Materiality</v>
      </c>
      <c r="Q103" s="20" t="n">
        <f aca="false">IF(P103="Below Materiality",T103,"")</f>
        <v>0.836361775732975</v>
      </c>
      <c r="R103" s="21" t="str">
        <f aca="false">IF(P103="Above Materiality",COUNTIFS($O$2:$O$1092,O103,$P$2:$P$1092,"Above Materiality",$M$2:$M$1092,"&gt;"&amp;M103)+COUNTIFS($O$2:$O$1092,O103,$P$2:$P$1092,"Above Materiality",$M$2:$M$1092,M103,$A$2:$A$1092,"&lt;"&amp;A103)+1,"")</f>
        <v/>
      </c>
      <c r="S103" s="21" t="n">
        <f aca="false">IF(P103&lt;&gt;"Below Materiality","",IF(Summary!$C$9="Random",COUNTIFS($O$2:$O$1092,O103,$Q$2:$Q$1092,"&gt;"&amp;Q103)+1,COUNTIFS($O$2:$O$1092,O103,$P$2:$P$1092,"Below Materiality",$M$2:$M$1092,"&gt;"&amp;M103)+COUNTIFS($O$2:$O$1092,O103,$P$2:$P$1092,"Below Materiality",$M$2:$M$1092,M103,$A$2:$A$1092,"&lt;"&amp;A103)+1))</f>
        <v>56</v>
      </c>
      <c r="T103" s="22" t="n">
        <v>0.836361775732975</v>
      </c>
      <c r="U103" s="21" t="str">
        <f aca="false">IF(R103="","",O103&amp;"|A|"&amp;R103)</f>
        <v/>
      </c>
      <c r="V103" s="21" t="str">
        <f aca="false">IF(S103="","",O103&amp;"|R|"&amp;S103)</f>
        <v>Population 1|R|56</v>
      </c>
    </row>
    <row r="104" customFormat="false" ht="15" hidden="false" customHeight="false" outlineLevel="0" collapsed="false">
      <c r="A104" s="18" t="n">
        <v>103</v>
      </c>
      <c r="B104" s="18"/>
      <c r="C104" s="18"/>
      <c r="D104" s="18"/>
      <c r="E104" s="18" t="s">
        <v>275</v>
      </c>
      <c r="F104" s="18" t="s">
        <v>276</v>
      </c>
      <c r="G104" s="18" t="s">
        <v>74</v>
      </c>
      <c r="H104" s="18" t="n">
        <v>285</v>
      </c>
      <c r="I104" s="19" t="n">
        <v>0</v>
      </c>
      <c r="J104" s="19" t="n">
        <v>2198</v>
      </c>
      <c r="K104" s="19" t="n">
        <v>1876</v>
      </c>
      <c r="L104" s="19" t="n">
        <v>322</v>
      </c>
      <c r="M104" s="19" t="n">
        <f aca="false">ABS(L104)</f>
        <v>322</v>
      </c>
      <c r="N104" s="18" t="str">
        <f aca="false">IF(L104=0,"Nil balance",IF(G104="AR file",IF(L104&gt;0,"Accounts Receivable","Customer Advances"),IF(L104&lt;0,"Accounts Payable","Supplier Advances")))</f>
        <v>Accounts Receivable</v>
      </c>
      <c r="O104" s="18" t="str">
        <f aca="false">IF(L104=0,"Excluded",IF(Summary!$C$4="By ledger",IF(G104="AR file","Population 1","Population 2"),IF(L104&gt;0,"Population 1","Population 2")))</f>
        <v>Population 1</v>
      </c>
      <c r="P104" s="18" t="str">
        <f aca="false">IF(O104="Excluded","Excluded – nil closing balance",IF(M104&gt;Summary!$C$5,"Above Materiality","Below Materiality"))</f>
        <v>Below Materiality</v>
      </c>
      <c r="Q104" s="20" t="n">
        <f aca="false">IF(P104="Below Materiality",T104,"")</f>
        <v>0.678874590196286</v>
      </c>
      <c r="R104" s="21" t="str">
        <f aca="false">IF(P104="Above Materiality",COUNTIFS($O$2:$O$1092,O104,$P$2:$P$1092,"Above Materiality",$M$2:$M$1092,"&gt;"&amp;M104)+COUNTIFS($O$2:$O$1092,O104,$P$2:$P$1092,"Above Materiality",$M$2:$M$1092,M104,$A$2:$A$1092,"&lt;"&amp;A104)+1,"")</f>
        <v/>
      </c>
      <c r="S104" s="21" t="n">
        <f aca="false">IF(P104&lt;&gt;"Below Materiality","",IF(Summary!$C$9="Random",COUNTIFS($O$2:$O$1092,O104,$Q$2:$Q$1092,"&gt;"&amp;Q104)+1,COUNTIFS($O$2:$O$1092,O104,$P$2:$P$1092,"Below Materiality",$M$2:$M$1092,"&gt;"&amp;M104)+COUNTIFS($O$2:$O$1092,O104,$P$2:$P$1092,"Below Materiality",$M$2:$M$1092,M104,$A$2:$A$1092,"&lt;"&amp;A104)+1))</f>
        <v>57</v>
      </c>
      <c r="T104" s="22" t="n">
        <v>0.678874590196286</v>
      </c>
      <c r="U104" s="21" t="str">
        <f aca="false">IF(R104="","",O104&amp;"|A|"&amp;R104)</f>
        <v/>
      </c>
      <c r="V104" s="21" t="str">
        <f aca="false">IF(S104="","",O104&amp;"|R|"&amp;S104)</f>
        <v>Population 1|R|57</v>
      </c>
    </row>
    <row r="105" customFormat="false" ht="15" hidden="false" customHeight="false" outlineLevel="0" collapsed="false">
      <c r="A105" s="18" t="n">
        <v>104</v>
      </c>
      <c r="B105" s="18"/>
      <c r="C105" s="18"/>
      <c r="D105" s="18"/>
      <c r="E105" s="18" t="s">
        <v>277</v>
      </c>
      <c r="F105" s="18" t="s">
        <v>278</v>
      </c>
      <c r="G105" s="18" t="s">
        <v>74</v>
      </c>
      <c r="H105" s="18" t="n">
        <v>370</v>
      </c>
      <c r="I105" s="19" t="n">
        <v>-4347</v>
      </c>
      <c r="J105" s="19" t="n">
        <v>4650.6</v>
      </c>
      <c r="K105" s="19" t="n">
        <v>0</v>
      </c>
      <c r="L105" s="19" t="n">
        <v>303.6</v>
      </c>
      <c r="M105" s="19" t="n">
        <f aca="false">ABS(L105)</f>
        <v>303.6</v>
      </c>
      <c r="N105" s="18" t="str">
        <f aca="false">IF(L105=0,"Nil balance",IF(G105="AR file",IF(L105&gt;0,"Accounts Receivable","Customer Advances"),IF(L105&lt;0,"Accounts Payable","Supplier Advances")))</f>
        <v>Accounts Receivable</v>
      </c>
      <c r="O105" s="18" t="str">
        <f aca="false">IF(L105=0,"Excluded",IF(Summary!$C$4="By ledger",IF(G105="AR file","Population 1","Population 2"),IF(L105&gt;0,"Population 1","Population 2")))</f>
        <v>Population 1</v>
      </c>
      <c r="P105" s="18" t="str">
        <f aca="false">IF(O105="Excluded","Excluded – nil closing balance",IF(M105&gt;Summary!$C$5,"Above Materiality","Below Materiality"))</f>
        <v>Below Materiality</v>
      </c>
      <c r="Q105" s="20" t="n">
        <f aca="false">IF(P105="Below Materiality",T105,"")</f>
        <v>0.631418398316827</v>
      </c>
      <c r="R105" s="21" t="str">
        <f aca="false">IF(P105="Above Materiality",COUNTIFS($O$2:$O$1092,O105,$P$2:$P$1092,"Above Materiality",$M$2:$M$1092,"&gt;"&amp;M105)+COUNTIFS($O$2:$O$1092,O105,$P$2:$P$1092,"Above Materiality",$M$2:$M$1092,M105,$A$2:$A$1092,"&lt;"&amp;A105)+1,"")</f>
        <v/>
      </c>
      <c r="S105" s="21" t="n">
        <f aca="false">IF(P105&lt;&gt;"Below Materiality","",IF(Summary!$C$9="Random",COUNTIFS($O$2:$O$1092,O105,$Q$2:$Q$1092,"&gt;"&amp;Q105)+1,COUNTIFS($O$2:$O$1092,O105,$P$2:$P$1092,"Below Materiality",$M$2:$M$1092,"&gt;"&amp;M105)+COUNTIFS($O$2:$O$1092,O105,$P$2:$P$1092,"Below Materiality",$M$2:$M$1092,M105,$A$2:$A$1092,"&lt;"&amp;A105)+1))</f>
        <v>58</v>
      </c>
      <c r="T105" s="22" t="n">
        <v>0.631418398316827</v>
      </c>
      <c r="U105" s="21" t="str">
        <f aca="false">IF(R105="","",O105&amp;"|A|"&amp;R105)</f>
        <v/>
      </c>
      <c r="V105" s="21" t="str">
        <f aca="false">IF(S105="","",O105&amp;"|R|"&amp;S105)</f>
        <v>Population 1|R|58</v>
      </c>
    </row>
    <row r="106" customFormat="false" ht="15" hidden="false" customHeight="false" outlineLevel="0" collapsed="false">
      <c r="A106" s="18" t="n">
        <v>105</v>
      </c>
      <c r="B106" s="18"/>
      <c r="C106" s="18"/>
      <c r="D106" s="18"/>
      <c r="E106" s="18" t="s">
        <v>279</v>
      </c>
      <c r="F106" s="18" t="s">
        <v>280</v>
      </c>
      <c r="G106" s="18" t="s">
        <v>71</v>
      </c>
      <c r="H106" s="18" t="n">
        <v>129</v>
      </c>
      <c r="I106" s="19" t="n">
        <v>0</v>
      </c>
      <c r="J106" s="19" t="n">
        <v>4900</v>
      </c>
      <c r="K106" s="19" t="n">
        <v>4600</v>
      </c>
      <c r="L106" s="19" t="n">
        <v>300</v>
      </c>
      <c r="M106" s="19" t="n">
        <f aca="false">ABS(L106)</f>
        <v>300</v>
      </c>
      <c r="N106" s="18" t="str">
        <f aca="false">IF(L106=0,"Nil balance",IF(G106="AR file",IF(L106&gt;0,"Accounts Receivable","Customer Advances"),IF(L106&lt;0,"Accounts Payable","Supplier Advances")))</f>
        <v>Supplier Advances</v>
      </c>
      <c r="O106" s="18" t="str">
        <f aca="false">IF(L106=0,"Excluded",IF(Summary!$C$4="By ledger",IF(G106="AR file","Population 1","Population 2"),IF(L106&gt;0,"Population 1","Population 2")))</f>
        <v>Population 2</v>
      </c>
      <c r="P106" s="18" t="str">
        <f aca="false">IF(O106="Excluded","Excluded – nil closing balance",IF(M106&gt;Summary!$C$5,"Above Materiality","Below Materiality"))</f>
        <v>Below Materiality</v>
      </c>
      <c r="Q106" s="20" t="n">
        <f aca="false">IF(P106="Below Materiality",T106,"")</f>
        <v>0.0333950124622445</v>
      </c>
      <c r="R106" s="21" t="str">
        <f aca="false">IF(P106="Above Materiality",COUNTIFS($O$2:$O$1092,O106,$P$2:$P$1092,"Above Materiality",$M$2:$M$1092,"&gt;"&amp;M106)+COUNTIFS($O$2:$O$1092,O106,$P$2:$P$1092,"Above Materiality",$M$2:$M$1092,M106,$A$2:$A$1092,"&lt;"&amp;A106)+1,"")</f>
        <v/>
      </c>
      <c r="S106" s="21" t="n">
        <f aca="false">IF(P106&lt;&gt;"Below Materiality","",IF(Summary!$C$9="Random",COUNTIFS($O$2:$O$1092,O106,$Q$2:$Q$1092,"&gt;"&amp;Q106)+1,COUNTIFS($O$2:$O$1092,O106,$P$2:$P$1092,"Below Materiality",$M$2:$M$1092,"&gt;"&amp;M106)+COUNTIFS($O$2:$O$1092,O106,$P$2:$P$1092,"Below Materiality",$M$2:$M$1092,M106,$A$2:$A$1092,"&lt;"&amp;A106)+1))</f>
        <v>6</v>
      </c>
      <c r="T106" s="22" t="n">
        <v>0.0333950124622445</v>
      </c>
      <c r="U106" s="21" t="str">
        <f aca="false">IF(R106="","",O106&amp;"|A|"&amp;R106)</f>
        <v/>
      </c>
      <c r="V106" s="21" t="str">
        <f aca="false">IF(S106="","",O106&amp;"|R|"&amp;S106)</f>
        <v>Population 2|R|6</v>
      </c>
    </row>
    <row r="107" customFormat="false" ht="15" hidden="false" customHeight="false" outlineLevel="0" collapsed="false">
      <c r="A107" s="18" t="n">
        <v>106</v>
      </c>
      <c r="B107" s="18"/>
      <c r="C107" s="18"/>
      <c r="D107" s="18"/>
      <c r="E107" s="18" t="s">
        <v>281</v>
      </c>
      <c r="F107" s="18" t="s">
        <v>282</v>
      </c>
      <c r="G107" s="18" t="s">
        <v>74</v>
      </c>
      <c r="H107" s="18" t="n">
        <v>73</v>
      </c>
      <c r="I107" s="19" t="n">
        <v>287.509999999998</v>
      </c>
      <c r="J107" s="19" t="n">
        <v>49222.51</v>
      </c>
      <c r="K107" s="19" t="n">
        <v>49222.51</v>
      </c>
      <c r="L107" s="19" t="n">
        <v>287.510000000002</v>
      </c>
      <c r="M107" s="19" t="n">
        <f aca="false">ABS(L107)</f>
        <v>287.510000000002</v>
      </c>
      <c r="N107" s="18" t="str">
        <f aca="false">IF(L107=0,"Nil balance",IF(G107="AR file",IF(L107&gt;0,"Accounts Receivable","Customer Advances"),IF(L107&lt;0,"Accounts Payable","Supplier Advances")))</f>
        <v>Accounts Receivable</v>
      </c>
      <c r="O107" s="18" t="str">
        <f aca="false">IF(L107=0,"Excluded",IF(Summary!$C$4="By ledger",IF(G107="AR file","Population 1","Population 2"),IF(L107&gt;0,"Population 1","Population 2")))</f>
        <v>Population 1</v>
      </c>
      <c r="P107" s="18" t="str">
        <f aca="false">IF(O107="Excluded","Excluded – nil closing balance",IF(M107&gt;Summary!$C$5,"Above Materiality","Below Materiality"))</f>
        <v>Below Materiality</v>
      </c>
      <c r="Q107" s="20" t="n">
        <f aca="false">IF(P107="Below Materiality",T107,"")</f>
        <v>0.223571988004023</v>
      </c>
      <c r="R107" s="21" t="str">
        <f aca="false">IF(P107="Above Materiality",COUNTIFS($O$2:$O$1092,O107,$P$2:$P$1092,"Above Materiality",$M$2:$M$1092,"&gt;"&amp;M107)+COUNTIFS($O$2:$O$1092,O107,$P$2:$P$1092,"Above Materiality",$M$2:$M$1092,M107,$A$2:$A$1092,"&lt;"&amp;A107)+1,"")</f>
        <v/>
      </c>
      <c r="S107" s="21" t="n">
        <f aca="false">IF(P107&lt;&gt;"Below Materiality","",IF(Summary!$C$9="Random",COUNTIFS($O$2:$O$1092,O107,$Q$2:$Q$1092,"&gt;"&amp;Q107)+1,COUNTIFS($O$2:$O$1092,O107,$P$2:$P$1092,"Below Materiality",$M$2:$M$1092,"&gt;"&amp;M107)+COUNTIFS($O$2:$O$1092,O107,$P$2:$P$1092,"Below Materiality",$M$2:$M$1092,M107,$A$2:$A$1092,"&lt;"&amp;A107)+1))</f>
        <v>59</v>
      </c>
      <c r="T107" s="22" t="n">
        <v>0.223571988004023</v>
      </c>
      <c r="U107" s="21" t="str">
        <f aca="false">IF(R107="","",O107&amp;"|A|"&amp;R107)</f>
        <v/>
      </c>
      <c r="V107" s="21" t="str">
        <f aca="false">IF(S107="","",O107&amp;"|R|"&amp;S107)</f>
        <v>Population 1|R|59</v>
      </c>
    </row>
    <row r="108" customFormat="false" ht="15" hidden="false" customHeight="false" outlineLevel="0" collapsed="false">
      <c r="A108" s="18" t="n">
        <v>107</v>
      </c>
      <c r="B108" s="18"/>
      <c r="C108" s="18"/>
      <c r="D108" s="18"/>
      <c r="E108" s="18" t="s">
        <v>283</v>
      </c>
      <c r="F108" s="18" t="s">
        <v>284</v>
      </c>
      <c r="G108" s="18" t="s">
        <v>74</v>
      </c>
      <c r="H108" s="18" t="n">
        <v>466</v>
      </c>
      <c r="I108" s="19" t="n">
        <v>0</v>
      </c>
      <c r="J108" s="19" t="n">
        <v>0</v>
      </c>
      <c r="K108" s="19" t="n">
        <v>280</v>
      </c>
      <c r="L108" s="19" t="n">
        <v>-280</v>
      </c>
      <c r="M108" s="19" t="n">
        <f aca="false">ABS(L108)</f>
        <v>280</v>
      </c>
      <c r="N108" s="18" t="str">
        <f aca="false">IF(L108=0,"Nil balance",IF(G108="AR file",IF(L108&gt;0,"Accounts Receivable","Customer Advances"),IF(L108&lt;0,"Accounts Payable","Supplier Advances")))</f>
        <v>Customer Advances</v>
      </c>
      <c r="O108" s="18" t="str">
        <f aca="false">IF(L108=0,"Excluded",IF(Summary!$C$4="By ledger",IF(G108="AR file","Population 1","Population 2"),IF(L108&gt;0,"Population 1","Population 2")))</f>
        <v>Population 1</v>
      </c>
      <c r="P108" s="18" t="str">
        <f aca="false">IF(O108="Excluded","Excluded – nil closing balance",IF(M108&gt;Summary!$C$5,"Above Materiality","Below Materiality"))</f>
        <v>Below Materiality</v>
      </c>
      <c r="Q108" s="20" t="n">
        <f aca="false">IF(P108="Below Materiality",T108,"")</f>
        <v>0.518255238765111</v>
      </c>
      <c r="R108" s="21" t="str">
        <f aca="false">IF(P108="Above Materiality",COUNTIFS($O$2:$O$1092,O108,$P$2:$P$1092,"Above Materiality",$M$2:$M$1092,"&gt;"&amp;M108)+COUNTIFS($O$2:$O$1092,O108,$P$2:$P$1092,"Above Materiality",$M$2:$M$1092,M108,$A$2:$A$1092,"&lt;"&amp;A108)+1,"")</f>
        <v/>
      </c>
      <c r="S108" s="21" t="n">
        <f aca="false">IF(P108&lt;&gt;"Below Materiality","",IF(Summary!$C$9="Random",COUNTIFS($O$2:$O$1092,O108,$Q$2:$Q$1092,"&gt;"&amp;Q108)+1,COUNTIFS($O$2:$O$1092,O108,$P$2:$P$1092,"Below Materiality",$M$2:$M$1092,"&gt;"&amp;M108)+COUNTIFS($O$2:$O$1092,O108,$P$2:$P$1092,"Below Materiality",$M$2:$M$1092,M108,$A$2:$A$1092,"&lt;"&amp;A108)+1))</f>
        <v>60</v>
      </c>
      <c r="T108" s="22" t="n">
        <v>0.518255238765111</v>
      </c>
      <c r="U108" s="21" t="str">
        <f aca="false">IF(R108="","",O108&amp;"|A|"&amp;R108)</f>
        <v/>
      </c>
      <c r="V108" s="21" t="str">
        <f aca="false">IF(S108="","",O108&amp;"|R|"&amp;S108)</f>
        <v>Population 1|R|60</v>
      </c>
    </row>
    <row r="109" customFormat="false" ht="15" hidden="false" customHeight="false" outlineLevel="0" collapsed="false">
      <c r="A109" s="18" t="n">
        <v>108</v>
      </c>
      <c r="B109" s="18"/>
      <c r="C109" s="18"/>
      <c r="D109" s="18"/>
      <c r="E109" s="18" t="s">
        <v>285</v>
      </c>
      <c r="F109" s="18" t="s">
        <v>286</v>
      </c>
      <c r="G109" s="18" t="s">
        <v>74</v>
      </c>
      <c r="H109" s="18" t="n">
        <v>420</v>
      </c>
      <c r="I109" s="19" t="n">
        <v>0</v>
      </c>
      <c r="J109" s="19" t="n">
        <v>2304.6</v>
      </c>
      <c r="K109" s="19" t="n">
        <v>2028.6</v>
      </c>
      <c r="L109" s="19" t="n">
        <v>276</v>
      </c>
      <c r="M109" s="19" t="n">
        <f aca="false">ABS(L109)</f>
        <v>276</v>
      </c>
      <c r="N109" s="18" t="str">
        <f aca="false">IF(L109=0,"Nil balance",IF(G109="AR file",IF(L109&gt;0,"Accounts Receivable","Customer Advances"),IF(L109&lt;0,"Accounts Payable","Supplier Advances")))</f>
        <v>Accounts Receivable</v>
      </c>
      <c r="O109" s="18" t="str">
        <f aca="false">IF(L109=0,"Excluded",IF(Summary!$C$4="By ledger",IF(G109="AR file","Population 1","Population 2"),IF(L109&gt;0,"Population 1","Population 2")))</f>
        <v>Population 1</v>
      </c>
      <c r="P109" s="18" t="str">
        <f aca="false">IF(O109="Excluded","Excluded – nil closing balance",IF(M109&gt;Summary!$C$5,"Above Materiality","Below Materiality"))</f>
        <v>Below Materiality</v>
      </c>
      <c r="Q109" s="20" t="n">
        <f aca="false">IF(P109="Below Materiality",T109,"")</f>
        <v>0.12353307652525</v>
      </c>
      <c r="R109" s="21" t="str">
        <f aca="false">IF(P109="Above Materiality",COUNTIFS($O$2:$O$1092,O109,$P$2:$P$1092,"Above Materiality",$M$2:$M$1092,"&gt;"&amp;M109)+COUNTIFS($O$2:$O$1092,O109,$P$2:$P$1092,"Above Materiality",$M$2:$M$1092,M109,$A$2:$A$1092,"&lt;"&amp;A109)+1,"")</f>
        <v/>
      </c>
      <c r="S109" s="21" t="n">
        <f aca="false">IF(P109&lt;&gt;"Below Materiality","",IF(Summary!$C$9="Random",COUNTIFS($O$2:$O$1092,O109,$Q$2:$Q$1092,"&gt;"&amp;Q109)+1,COUNTIFS($O$2:$O$1092,O109,$P$2:$P$1092,"Below Materiality",$M$2:$M$1092,"&gt;"&amp;M109)+COUNTIFS($O$2:$O$1092,O109,$P$2:$P$1092,"Below Materiality",$M$2:$M$1092,M109,$A$2:$A$1092,"&lt;"&amp;A109)+1))</f>
        <v>61</v>
      </c>
      <c r="T109" s="22" t="n">
        <v>0.12353307652525</v>
      </c>
      <c r="U109" s="21" t="str">
        <f aca="false">IF(R109="","",O109&amp;"|A|"&amp;R109)</f>
        <v/>
      </c>
      <c r="V109" s="21" t="str">
        <f aca="false">IF(S109="","",O109&amp;"|R|"&amp;S109)</f>
        <v>Population 1|R|61</v>
      </c>
    </row>
    <row r="110" customFormat="false" ht="15" hidden="false" customHeight="false" outlineLevel="0" collapsed="false">
      <c r="A110" s="18" t="n">
        <v>109</v>
      </c>
      <c r="B110" s="18"/>
      <c r="C110" s="18"/>
      <c r="D110" s="18"/>
      <c r="E110" s="18" t="s">
        <v>287</v>
      </c>
      <c r="F110" s="18" t="s">
        <v>288</v>
      </c>
      <c r="G110" s="18" t="s">
        <v>74</v>
      </c>
      <c r="H110" s="18" t="n">
        <v>610</v>
      </c>
      <c r="I110" s="19" t="n">
        <v>0</v>
      </c>
      <c r="J110" s="19" t="n">
        <v>7130</v>
      </c>
      <c r="K110" s="19" t="n">
        <v>6875</v>
      </c>
      <c r="L110" s="19" t="n">
        <v>255</v>
      </c>
      <c r="M110" s="19" t="n">
        <f aca="false">ABS(L110)</f>
        <v>255</v>
      </c>
      <c r="N110" s="18" t="str">
        <f aca="false">IF(L110=0,"Nil balance",IF(G110="AR file",IF(L110&gt;0,"Accounts Receivable","Customer Advances"),IF(L110&lt;0,"Accounts Payable","Supplier Advances")))</f>
        <v>Accounts Receivable</v>
      </c>
      <c r="O110" s="18" t="str">
        <f aca="false">IF(L110=0,"Excluded",IF(Summary!$C$4="By ledger",IF(G110="AR file","Population 1","Population 2"),IF(L110&gt;0,"Population 1","Population 2")))</f>
        <v>Population 1</v>
      </c>
      <c r="P110" s="18" t="str">
        <f aca="false">IF(O110="Excluded","Excluded – nil closing balance",IF(M110&gt;Summary!$C$5,"Above Materiality","Below Materiality"))</f>
        <v>Below Materiality</v>
      </c>
      <c r="Q110" s="20" t="n">
        <f aca="false">IF(P110="Below Materiality",T110,"")</f>
        <v>0.57751230970615</v>
      </c>
      <c r="R110" s="21" t="str">
        <f aca="false">IF(P110="Above Materiality",COUNTIFS($O$2:$O$1092,O110,$P$2:$P$1092,"Above Materiality",$M$2:$M$1092,"&gt;"&amp;M110)+COUNTIFS($O$2:$O$1092,O110,$P$2:$P$1092,"Above Materiality",$M$2:$M$1092,M110,$A$2:$A$1092,"&lt;"&amp;A110)+1,"")</f>
        <v/>
      </c>
      <c r="S110" s="21" t="n">
        <f aca="false">IF(P110&lt;&gt;"Below Materiality","",IF(Summary!$C$9="Random",COUNTIFS($O$2:$O$1092,O110,$Q$2:$Q$1092,"&gt;"&amp;Q110)+1,COUNTIFS($O$2:$O$1092,O110,$P$2:$P$1092,"Below Materiality",$M$2:$M$1092,"&gt;"&amp;M110)+COUNTIFS($O$2:$O$1092,O110,$P$2:$P$1092,"Below Materiality",$M$2:$M$1092,M110,$A$2:$A$1092,"&lt;"&amp;A110)+1))</f>
        <v>62</v>
      </c>
      <c r="T110" s="22" t="n">
        <v>0.57751230970615</v>
      </c>
      <c r="U110" s="21" t="str">
        <f aca="false">IF(R110="","",O110&amp;"|A|"&amp;R110)</f>
        <v/>
      </c>
      <c r="V110" s="21" t="str">
        <f aca="false">IF(S110="","",O110&amp;"|R|"&amp;S110)</f>
        <v>Population 1|R|62</v>
      </c>
    </row>
    <row r="111" customFormat="false" ht="15" hidden="false" customHeight="false" outlineLevel="0" collapsed="false">
      <c r="A111" s="18" t="n">
        <v>110</v>
      </c>
      <c r="B111" s="18"/>
      <c r="C111" s="18"/>
      <c r="D111" s="18"/>
      <c r="E111" s="18" t="s">
        <v>289</v>
      </c>
      <c r="F111" s="18" t="s">
        <v>290</v>
      </c>
      <c r="G111" s="18" t="s">
        <v>74</v>
      </c>
      <c r="H111" s="18" t="n">
        <v>906</v>
      </c>
      <c r="I111" s="19" t="n">
        <v>0</v>
      </c>
      <c r="J111" s="19" t="n">
        <v>1840</v>
      </c>
      <c r="K111" s="19" t="n">
        <v>1600</v>
      </c>
      <c r="L111" s="19" t="n">
        <v>240</v>
      </c>
      <c r="M111" s="19" t="n">
        <f aca="false">ABS(L111)</f>
        <v>240</v>
      </c>
      <c r="N111" s="18" t="str">
        <f aca="false">IF(L111=0,"Nil balance",IF(G111="AR file",IF(L111&gt;0,"Accounts Receivable","Customer Advances"),IF(L111&lt;0,"Accounts Payable","Supplier Advances")))</f>
        <v>Accounts Receivable</v>
      </c>
      <c r="O111" s="18" t="str">
        <f aca="false">IF(L111=0,"Excluded",IF(Summary!$C$4="By ledger",IF(G111="AR file","Population 1","Population 2"),IF(L111&gt;0,"Population 1","Population 2")))</f>
        <v>Population 1</v>
      </c>
      <c r="P111" s="18" t="str">
        <f aca="false">IF(O111="Excluded","Excluded – nil closing balance",IF(M111&gt;Summary!$C$5,"Above Materiality","Below Materiality"))</f>
        <v>Below Materiality</v>
      </c>
      <c r="Q111" s="20" t="n">
        <f aca="false">IF(P111="Below Materiality",T111,"")</f>
        <v>0.158466157298508</v>
      </c>
      <c r="R111" s="21" t="str">
        <f aca="false">IF(P111="Above Materiality",COUNTIFS($O$2:$O$1092,O111,$P$2:$P$1092,"Above Materiality",$M$2:$M$1092,"&gt;"&amp;M111)+COUNTIFS($O$2:$O$1092,O111,$P$2:$P$1092,"Above Materiality",$M$2:$M$1092,M111,$A$2:$A$1092,"&lt;"&amp;A111)+1,"")</f>
        <v/>
      </c>
      <c r="S111" s="21" t="n">
        <f aca="false">IF(P111&lt;&gt;"Below Materiality","",IF(Summary!$C$9="Random",COUNTIFS($O$2:$O$1092,O111,$Q$2:$Q$1092,"&gt;"&amp;Q111)+1,COUNTIFS($O$2:$O$1092,O111,$P$2:$P$1092,"Below Materiality",$M$2:$M$1092,"&gt;"&amp;M111)+COUNTIFS($O$2:$O$1092,O111,$P$2:$P$1092,"Below Materiality",$M$2:$M$1092,M111,$A$2:$A$1092,"&lt;"&amp;A111)+1))</f>
        <v>63</v>
      </c>
      <c r="T111" s="22" t="n">
        <v>0.158466157298508</v>
      </c>
      <c r="U111" s="21" t="str">
        <f aca="false">IF(R111="","",O111&amp;"|A|"&amp;R111)</f>
        <v/>
      </c>
      <c r="V111" s="21" t="str">
        <f aca="false">IF(S111="","",O111&amp;"|R|"&amp;S111)</f>
        <v>Population 1|R|63</v>
      </c>
    </row>
    <row r="112" customFormat="false" ht="15" hidden="false" customHeight="false" outlineLevel="0" collapsed="false">
      <c r="A112" s="18" t="n">
        <v>111</v>
      </c>
      <c r="B112" s="18"/>
      <c r="C112" s="18"/>
      <c r="D112" s="18"/>
      <c r="E112" s="18" t="s">
        <v>291</v>
      </c>
      <c r="F112" s="18" t="s">
        <v>292</v>
      </c>
      <c r="G112" s="18" t="s">
        <v>74</v>
      </c>
      <c r="H112" s="18" t="n">
        <v>912</v>
      </c>
      <c r="I112" s="19" t="n">
        <v>0</v>
      </c>
      <c r="J112" s="19" t="n">
        <v>0</v>
      </c>
      <c r="K112" s="19" t="n">
        <v>200</v>
      </c>
      <c r="L112" s="19" t="n">
        <v>-200</v>
      </c>
      <c r="M112" s="19" t="n">
        <f aca="false">ABS(L112)</f>
        <v>200</v>
      </c>
      <c r="N112" s="18" t="str">
        <f aca="false">IF(L112=0,"Nil balance",IF(G112="AR file",IF(L112&gt;0,"Accounts Receivable","Customer Advances"),IF(L112&lt;0,"Accounts Payable","Supplier Advances")))</f>
        <v>Customer Advances</v>
      </c>
      <c r="O112" s="18" t="str">
        <f aca="false">IF(L112=0,"Excluded",IF(Summary!$C$4="By ledger",IF(G112="AR file","Population 1","Population 2"),IF(L112&gt;0,"Population 1","Population 2")))</f>
        <v>Population 1</v>
      </c>
      <c r="P112" s="18" t="str">
        <f aca="false">IF(O112="Excluded","Excluded – nil closing balance",IF(M112&gt;Summary!$C$5,"Above Materiality","Below Materiality"))</f>
        <v>Below Materiality</v>
      </c>
      <c r="Q112" s="20" t="n">
        <f aca="false">IF(P112="Below Materiality",T112,"")</f>
        <v>0.343978221989682</v>
      </c>
      <c r="R112" s="21" t="str">
        <f aca="false">IF(P112="Above Materiality",COUNTIFS($O$2:$O$1092,O112,$P$2:$P$1092,"Above Materiality",$M$2:$M$1092,"&gt;"&amp;M112)+COUNTIFS($O$2:$O$1092,O112,$P$2:$P$1092,"Above Materiality",$M$2:$M$1092,M112,$A$2:$A$1092,"&lt;"&amp;A112)+1,"")</f>
        <v/>
      </c>
      <c r="S112" s="21" t="n">
        <f aca="false">IF(P112&lt;&gt;"Below Materiality","",IF(Summary!$C$9="Random",COUNTIFS($O$2:$O$1092,O112,$Q$2:$Q$1092,"&gt;"&amp;Q112)+1,COUNTIFS($O$2:$O$1092,O112,$P$2:$P$1092,"Below Materiality",$M$2:$M$1092,"&gt;"&amp;M112)+COUNTIFS($O$2:$O$1092,O112,$P$2:$P$1092,"Below Materiality",$M$2:$M$1092,M112,$A$2:$A$1092,"&lt;"&amp;A112)+1))</f>
        <v>64</v>
      </c>
      <c r="T112" s="22" t="n">
        <v>0.343978221989682</v>
      </c>
      <c r="U112" s="21" t="str">
        <f aca="false">IF(R112="","",O112&amp;"|A|"&amp;R112)</f>
        <v/>
      </c>
      <c r="V112" s="21" t="str">
        <f aca="false">IF(S112="","",O112&amp;"|R|"&amp;S112)</f>
        <v>Population 1|R|64</v>
      </c>
    </row>
    <row r="113" customFormat="false" ht="15" hidden="false" customHeight="false" outlineLevel="0" collapsed="false">
      <c r="A113" s="18" t="n">
        <v>112</v>
      </c>
      <c r="B113" s="18"/>
      <c r="C113" s="18"/>
      <c r="D113" s="18"/>
      <c r="E113" s="18" t="s">
        <v>293</v>
      </c>
      <c r="F113" s="18" t="s">
        <v>294</v>
      </c>
      <c r="G113" s="18" t="s">
        <v>74</v>
      </c>
      <c r="H113" s="18" t="n">
        <v>241</v>
      </c>
      <c r="I113" s="19" t="n">
        <v>0</v>
      </c>
      <c r="J113" s="19" t="n">
        <v>862.75</v>
      </c>
      <c r="K113" s="19" t="n">
        <v>667.75</v>
      </c>
      <c r="L113" s="19" t="n">
        <v>195</v>
      </c>
      <c r="M113" s="19" t="n">
        <f aca="false">ABS(L113)</f>
        <v>195</v>
      </c>
      <c r="N113" s="18" t="str">
        <f aca="false">IF(L113=0,"Nil balance",IF(G113="AR file",IF(L113&gt;0,"Accounts Receivable","Customer Advances"),IF(L113&lt;0,"Accounts Payable","Supplier Advances")))</f>
        <v>Accounts Receivable</v>
      </c>
      <c r="O113" s="18" t="str">
        <f aca="false">IF(L113=0,"Excluded",IF(Summary!$C$4="By ledger",IF(G113="AR file","Population 1","Population 2"),IF(L113&gt;0,"Population 1","Population 2")))</f>
        <v>Population 1</v>
      </c>
      <c r="P113" s="18" t="str">
        <f aca="false">IF(O113="Excluded","Excluded – nil closing balance",IF(M113&gt;Summary!$C$5,"Above Materiality","Below Materiality"))</f>
        <v>Below Materiality</v>
      </c>
      <c r="Q113" s="20" t="n">
        <f aca="false">IF(P113="Below Materiality",T113,"")</f>
        <v>0.101809088114295</v>
      </c>
      <c r="R113" s="21" t="str">
        <f aca="false">IF(P113="Above Materiality",COUNTIFS($O$2:$O$1092,O113,$P$2:$P$1092,"Above Materiality",$M$2:$M$1092,"&gt;"&amp;M113)+COUNTIFS($O$2:$O$1092,O113,$P$2:$P$1092,"Above Materiality",$M$2:$M$1092,M113,$A$2:$A$1092,"&lt;"&amp;A113)+1,"")</f>
        <v/>
      </c>
      <c r="S113" s="21" t="n">
        <f aca="false">IF(P113&lt;&gt;"Below Materiality","",IF(Summary!$C$9="Random",COUNTIFS($O$2:$O$1092,O113,$Q$2:$Q$1092,"&gt;"&amp;Q113)+1,COUNTIFS($O$2:$O$1092,O113,$P$2:$P$1092,"Below Materiality",$M$2:$M$1092,"&gt;"&amp;M113)+COUNTIFS($O$2:$O$1092,O113,$P$2:$P$1092,"Below Materiality",$M$2:$M$1092,M113,$A$2:$A$1092,"&lt;"&amp;A113)+1))</f>
        <v>65</v>
      </c>
      <c r="T113" s="22" t="n">
        <v>0.101809088114295</v>
      </c>
      <c r="U113" s="21" t="str">
        <f aca="false">IF(R113="","",O113&amp;"|A|"&amp;R113)</f>
        <v/>
      </c>
      <c r="V113" s="21" t="str">
        <f aca="false">IF(S113="","",O113&amp;"|R|"&amp;S113)</f>
        <v>Population 1|R|65</v>
      </c>
    </row>
    <row r="114" customFormat="false" ht="15" hidden="false" customHeight="false" outlineLevel="0" collapsed="false">
      <c r="A114" s="18" t="n">
        <v>113</v>
      </c>
      <c r="B114" s="18"/>
      <c r="C114" s="18"/>
      <c r="D114" s="18"/>
      <c r="E114" s="18" t="s">
        <v>295</v>
      </c>
      <c r="F114" s="18" t="s">
        <v>296</v>
      </c>
      <c r="G114" s="18" t="s">
        <v>74</v>
      </c>
      <c r="H114" s="18" t="n">
        <v>882</v>
      </c>
      <c r="I114" s="19" t="n">
        <v>0</v>
      </c>
      <c r="J114" s="19" t="n">
        <v>0</v>
      </c>
      <c r="K114" s="19" t="n">
        <v>149.5</v>
      </c>
      <c r="L114" s="19" t="n">
        <v>-149.5</v>
      </c>
      <c r="M114" s="19" t="n">
        <f aca="false">ABS(L114)</f>
        <v>149.5</v>
      </c>
      <c r="N114" s="18" t="str">
        <f aca="false">IF(L114=0,"Nil balance",IF(G114="AR file",IF(L114&gt;0,"Accounts Receivable","Customer Advances"),IF(L114&lt;0,"Accounts Payable","Supplier Advances")))</f>
        <v>Customer Advances</v>
      </c>
      <c r="O114" s="18" t="str">
        <f aca="false">IF(L114=0,"Excluded",IF(Summary!$C$4="By ledger",IF(G114="AR file","Population 1","Population 2"),IF(L114&gt;0,"Population 1","Population 2")))</f>
        <v>Population 1</v>
      </c>
      <c r="P114" s="18" t="str">
        <f aca="false">IF(O114="Excluded","Excluded – nil closing balance",IF(M114&gt;Summary!$C$5,"Above Materiality","Below Materiality"))</f>
        <v>Below Materiality</v>
      </c>
      <c r="Q114" s="20" t="n">
        <f aca="false">IF(P114="Below Materiality",T114,"")</f>
        <v>0.752999430464273</v>
      </c>
      <c r="R114" s="21" t="str">
        <f aca="false">IF(P114="Above Materiality",COUNTIFS($O$2:$O$1092,O114,$P$2:$P$1092,"Above Materiality",$M$2:$M$1092,"&gt;"&amp;M114)+COUNTIFS($O$2:$O$1092,O114,$P$2:$P$1092,"Above Materiality",$M$2:$M$1092,M114,$A$2:$A$1092,"&lt;"&amp;A114)+1,"")</f>
        <v/>
      </c>
      <c r="S114" s="21" t="n">
        <f aca="false">IF(P114&lt;&gt;"Below Materiality","",IF(Summary!$C$9="Random",COUNTIFS($O$2:$O$1092,O114,$Q$2:$Q$1092,"&gt;"&amp;Q114)+1,COUNTIFS($O$2:$O$1092,O114,$P$2:$P$1092,"Below Materiality",$M$2:$M$1092,"&gt;"&amp;M114)+COUNTIFS($O$2:$O$1092,O114,$P$2:$P$1092,"Below Materiality",$M$2:$M$1092,M114,$A$2:$A$1092,"&lt;"&amp;A114)+1))</f>
        <v>66</v>
      </c>
      <c r="T114" s="22" t="n">
        <v>0.752999430464273</v>
      </c>
      <c r="U114" s="21" t="str">
        <f aca="false">IF(R114="","",O114&amp;"|A|"&amp;R114)</f>
        <v/>
      </c>
      <c r="V114" s="21" t="str">
        <f aca="false">IF(S114="","",O114&amp;"|R|"&amp;S114)</f>
        <v>Population 1|R|66</v>
      </c>
    </row>
    <row r="115" customFormat="false" ht="15" hidden="false" customHeight="false" outlineLevel="0" collapsed="false">
      <c r="A115" s="18" t="n">
        <v>114</v>
      </c>
      <c r="B115" s="18"/>
      <c r="C115" s="18"/>
      <c r="D115" s="18"/>
      <c r="E115" s="18" t="s">
        <v>297</v>
      </c>
      <c r="F115" s="18" t="s">
        <v>298</v>
      </c>
      <c r="G115" s="18" t="s">
        <v>74</v>
      </c>
      <c r="H115" s="18" t="n">
        <v>286</v>
      </c>
      <c r="I115" s="19" t="n">
        <v>0</v>
      </c>
      <c r="J115" s="19" t="n">
        <v>2763.25</v>
      </c>
      <c r="K115" s="19" t="n">
        <v>2623.25</v>
      </c>
      <c r="L115" s="19" t="n">
        <v>140</v>
      </c>
      <c r="M115" s="19" t="n">
        <f aca="false">ABS(L115)</f>
        <v>140</v>
      </c>
      <c r="N115" s="18" t="str">
        <f aca="false">IF(L115=0,"Nil balance",IF(G115="AR file",IF(L115&gt;0,"Accounts Receivable","Customer Advances"),IF(L115&lt;0,"Accounts Payable","Supplier Advances")))</f>
        <v>Accounts Receivable</v>
      </c>
      <c r="O115" s="18" t="str">
        <f aca="false">IF(L115=0,"Excluded",IF(Summary!$C$4="By ledger",IF(G115="AR file","Population 1","Population 2"),IF(L115&gt;0,"Population 1","Population 2")))</f>
        <v>Population 1</v>
      </c>
      <c r="P115" s="18" t="str">
        <f aca="false">IF(O115="Excluded","Excluded – nil closing balance",IF(M115&gt;Summary!$C$5,"Above Materiality","Below Materiality"))</f>
        <v>Below Materiality</v>
      </c>
      <c r="Q115" s="20" t="n">
        <f aca="false">IF(P115="Below Materiality",T115,"")</f>
        <v>0.145890952639159</v>
      </c>
      <c r="R115" s="21" t="str">
        <f aca="false">IF(P115="Above Materiality",COUNTIFS($O$2:$O$1092,O115,$P$2:$P$1092,"Above Materiality",$M$2:$M$1092,"&gt;"&amp;M115)+COUNTIFS($O$2:$O$1092,O115,$P$2:$P$1092,"Above Materiality",$M$2:$M$1092,M115,$A$2:$A$1092,"&lt;"&amp;A115)+1,"")</f>
        <v/>
      </c>
      <c r="S115" s="21" t="n">
        <f aca="false">IF(P115&lt;&gt;"Below Materiality","",IF(Summary!$C$9="Random",COUNTIFS($O$2:$O$1092,O115,$Q$2:$Q$1092,"&gt;"&amp;Q115)+1,COUNTIFS($O$2:$O$1092,O115,$P$2:$P$1092,"Below Materiality",$M$2:$M$1092,"&gt;"&amp;M115)+COUNTIFS($O$2:$O$1092,O115,$P$2:$P$1092,"Below Materiality",$M$2:$M$1092,M115,$A$2:$A$1092,"&lt;"&amp;A115)+1))</f>
        <v>67</v>
      </c>
      <c r="T115" s="22" t="n">
        <v>0.145890952639159</v>
      </c>
      <c r="U115" s="21" t="str">
        <f aca="false">IF(R115="","",O115&amp;"|A|"&amp;R115)</f>
        <v/>
      </c>
      <c r="V115" s="21" t="str">
        <f aca="false">IF(S115="","",O115&amp;"|R|"&amp;S115)</f>
        <v>Population 1|R|67</v>
      </c>
    </row>
    <row r="116" customFormat="false" ht="15" hidden="false" customHeight="false" outlineLevel="0" collapsed="false">
      <c r="A116" s="18" t="n">
        <v>115</v>
      </c>
      <c r="B116" s="18"/>
      <c r="C116" s="18"/>
      <c r="D116" s="18"/>
      <c r="E116" s="18" t="s">
        <v>299</v>
      </c>
      <c r="F116" s="18" t="s">
        <v>300</v>
      </c>
      <c r="G116" s="18" t="s">
        <v>74</v>
      </c>
      <c r="H116" s="18" t="n">
        <v>831</v>
      </c>
      <c r="I116" s="19" t="n">
        <v>0</v>
      </c>
      <c r="J116" s="19" t="n">
        <v>1296</v>
      </c>
      <c r="K116" s="19" t="n">
        <v>1196</v>
      </c>
      <c r="L116" s="19" t="n">
        <v>100</v>
      </c>
      <c r="M116" s="19" t="n">
        <f aca="false">ABS(L116)</f>
        <v>100</v>
      </c>
      <c r="N116" s="18" t="str">
        <f aca="false">IF(L116=0,"Nil balance",IF(G116="AR file",IF(L116&gt;0,"Accounts Receivable","Customer Advances"),IF(L116&lt;0,"Accounts Payable","Supplier Advances")))</f>
        <v>Accounts Receivable</v>
      </c>
      <c r="O116" s="18" t="str">
        <f aca="false">IF(L116=0,"Excluded",IF(Summary!$C$4="By ledger",IF(G116="AR file","Population 1","Population 2"),IF(L116&gt;0,"Population 1","Population 2")))</f>
        <v>Population 1</v>
      </c>
      <c r="P116" s="18" t="str">
        <f aca="false">IF(O116="Excluded","Excluded – nil closing balance",IF(M116&gt;Summary!$C$5,"Above Materiality","Below Materiality"))</f>
        <v>Below Materiality</v>
      </c>
      <c r="Q116" s="20" t="n">
        <f aca="false">IF(P116="Below Materiality",T116,"")</f>
        <v>0.612580682726513</v>
      </c>
      <c r="R116" s="21" t="str">
        <f aca="false">IF(P116="Above Materiality",COUNTIFS($O$2:$O$1092,O116,$P$2:$P$1092,"Above Materiality",$M$2:$M$1092,"&gt;"&amp;M116)+COUNTIFS($O$2:$O$1092,O116,$P$2:$P$1092,"Above Materiality",$M$2:$M$1092,M116,$A$2:$A$1092,"&lt;"&amp;A116)+1,"")</f>
        <v/>
      </c>
      <c r="S116" s="21" t="n">
        <f aca="false">IF(P116&lt;&gt;"Below Materiality","",IF(Summary!$C$9="Random",COUNTIFS($O$2:$O$1092,O116,$Q$2:$Q$1092,"&gt;"&amp;Q116)+1,COUNTIFS($O$2:$O$1092,O116,$P$2:$P$1092,"Below Materiality",$M$2:$M$1092,"&gt;"&amp;M116)+COUNTIFS($O$2:$O$1092,O116,$P$2:$P$1092,"Below Materiality",$M$2:$M$1092,M116,$A$2:$A$1092,"&lt;"&amp;A116)+1))</f>
        <v>68</v>
      </c>
      <c r="T116" s="22" t="n">
        <v>0.612580682726513</v>
      </c>
      <c r="U116" s="21" t="str">
        <f aca="false">IF(R116="","",O116&amp;"|A|"&amp;R116)</f>
        <v/>
      </c>
      <c r="V116" s="21" t="str">
        <f aca="false">IF(S116="","",O116&amp;"|R|"&amp;S116)</f>
        <v>Population 1|R|68</v>
      </c>
    </row>
    <row r="117" customFormat="false" ht="15" hidden="false" customHeight="false" outlineLevel="0" collapsed="false">
      <c r="A117" s="18" t="n">
        <v>116</v>
      </c>
      <c r="B117" s="18"/>
      <c r="C117" s="18"/>
      <c r="D117" s="18"/>
      <c r="E117" s="18" t="s">
        <v>301</v>
      </c>
      <c r="F117" s="18" t="s">
        <v>302</v>
      </c>
      <c r="G117" s="18" t="s">
        <v>71</v>
      </c>
      <c r="H117" s="18" t="n">
        <v>143</v>
      </c>
      <c r="I117" s="19" t="n">
        <v>71</v>
      </c>
      <c r="J117" s="19" t="n">
        <v>0</v>
      </c>
      <c r="K117" s="19" t="n">
        <v>0</v>
      </c>
      <c r="L117" s="19" t="n">
        <v>71</v>
      </c>
      <c r="M117" s="19" t="n">
        <f aca="false">ABS(L117)</f>
        <v>71</v>
      </c>
      <c r="N117" s="18" t="str">
        <f aca="false">IF(L117=0,"Nil balance",IF(G117="AR file",IF(L117&gt;0,"Accounts Receivable","Customer Advances"),IF(L117&lt;0,"Accounts Payable","Supplier Advances")))</f>
        <v>Supplier Advances</v>
      </c>
      <c r="O117" s="18" t="str">
        <f aca="false">IF(L117=0,"Excluded",IF(Summary!$C$4="By ledger",IF(G117="AR file","Population 1","Population 2"),IF(L117&gt;0,"Population 1","Population 2")))</f>
        <v>Population 2</v>
      </c>
      <c r="P117" s="18" t="str">
        <f aca="false">IF(O117="Excluded","Excluded – nil closing balance",IF(M117&gt;Summary!$C$5,"Above Materiality","Below Materiality"))</f>
        <v>Below Materiality</v>
      </c>
      <c r="Q117" s="20" t="n">
        <f aca="false">IF(P117="Below Materiality",T117,"")</f>
        <v>0.446166045010567</v>
      </c>
      <c r="R117" s="21" t="str">
        <f aca="false">IF(P117="Above Materiality",COUNTIFS($O$2:$O$1092,O117,$P$2:$P$1092,"Above Materiality",$M$2:$M$1092,"&gt;"&amp;M117)+COUNTIFS($O$2:$O$1092,O117,$P$2:$P$1092,"Above Materiality",$M$2:$M$1092,M117,$A$2:$A$1092,"&lt;"&amp;A117)+1,"")</f>
        <v/>
      </c>
      <c r="S117" s="21" t="n">
        <f aca="false">IF(P117&lt;&gt;"Below Materiality","",IF(Summary!$C$9="Random",COUNTIFS($O$2:$O$1092,O117,$Q$2:$Q$1092,"&gt;"&amp;Q117)+1,COUNTIFS($O$2:$O$1092,O117,$P$2:$P$1092,"Below Materiality",$M$2:$M$1092,"&gt;"&amp;M117)+COUNTIFS($O$2:$O$1092,O117,$P$2:$P$1092,"Below Materiality",$M$2:$M$1092,M117,$A$2:$A$1092,"&lt;"&amp;A117)+1))</f>
        <v>7</v>
      </c>
      <c r="T117" s="22" t="n">
        <v>0.446166045010567</v>
      </c>
      <c r="U117" s="21" t="str">
        <f aca="false">IF(R117="","",O117&amp;"|A|"&amp;R117)</f>
        <v/>
      </c>
      <c r="V117" s="21" t="str">
        <f aca="false">IF(S117="","",O117&amp;"|R|"&amp;S117)</f>
        <v>Population 2|R|7</v>
      </c>
    </row>
    <row r="118" customFormat="false" ht="15" hidden="false" customHeight="false" outlineLevel="0" collapsed="false">
      <c r="A118" s="18" t="n">
        <v>117</v>
      </c>
      <c r="B118" s="18"/>
      <c r="C118" s="18"/>
      <c r="D118" s="18"/>
      <c r="E118" s="18" t="s">
        <v>303</v>
      </c>
      <c r="F118" s="18" t="s">
        <v>304</v>
      </c>
      <c r="G118" s="18" t="s">
        <v>74</v>
      </c>
      <c r="H118" s="18" t="n">
        <v>802</v>
      </c>
      <c r="I118" s="19" t="n">
        <v>0</v>
      </c>
      <c r="J118" s="19" t="n">
        <v>0</v>
      </c>
      <c r="K118" s="19" t="n">
        <v>69</v>
      </c>
      <c r="L118" s="19" t="n">
        <v>-69</v>
      </c>
      <c r="M118" s="19" t="n">
        <f aca="false">ABS(L118)</f>
        <v>69</v>
      </c>
      <c r="N118" s="18" t="str">
        <f aca="false">IF(L118=0,"Nil balance",IF(G118="AR file",IF(L118&gt;0,"Accounts Receivable","Customer Advances"),IF(L118&lt;0,"Accounts Payable","Supplier Advances")))</f>
        <v>Customer Advances</v>
      </c>
      <c r="O118" s="18" t="str">
        <f aca="false">IF(L118=0,"Excluded",IF(Summary!$C$4="By ledger",IF(G118="AR file","Population 1","Population 2"),IF(L118&gt;0,"Population 1","Population 2")))</f>
        <v>Population 1</v>
      </c>
      <c r="P118" s="18" t="str">
        <f aca="false">IF(O118="Excluded","Excluded – nil closing balance",IF(M118&gt;Summary!$C$5,"Above Materiality","Below Materiality"))</f>
        <v>Below Materiality</v>
      </c>
      <c r="Q118" s="20" t="n">
        <f aca="false">IF(P118="Below Materiality",T118,"")</f>
        <v>0.577201392996314</v>
      </c>
      <c r="R118" s="21" t="str">
        <f aca="false">IF(P118="Above Materiality",COUNTIFS($O$2:$O$1092,O118,$P$2:$P$1092,"Above Materiality",$M$2:$M$1092,"&gt;"&amp;M118)+COUNTIFS($O$2:$O$1092,O118,$P$2:$P$1092,"Above Materiality",$M$2:$M$1092,M118,$A$2:$A$1092,"&lt;"&amp;A118)+1,"")</f>
        <v/>
      </c>
      <c r="S118" s="21" t="n">
        <f aca="false">IF(P118&lt;&gt;"Below Materiality","",IF(Summary!$C$9="Random",COUNTIFS($O$2:$O$1092,O118,$Q$2:$Q$1092,"&gt;"&amp;Q118)+1,COUNTIFS($O$2:$O$1092,O118,$P$2:$P$1092,"Below Materiality",$M$2:$M$1092,"&gt;"&amp;M118)+COUNTIFS($O$2:$O$1092,O118,$P$2:$P$1092,"Below Materiality",$M$2:$M$1092,M118,$A$2:$A$1092,"&lt;"&amp;A118)+1))</f>
        <v>69</v>
      </c>
      <c r="T118" s="22" t="n">
        <v>0.577201392996314</v>
      </c>
      <c r="U118" s="21" t="str">
        <f aca="false">IF(R118="","",O118&amp;"|A|"&amp;R118)</f>
        <v/>
      </c>
      <c r="V118" s="21" t="str">
        <f aca="false">IF(S118="","",O118&amp;"|R|"&amp;S118)</f>
        <v>Population 1|R|69</v>
      </c>
    </row>
    <row r="119" customFormat="false" ht="15" hidden="false" customHeight="false" outlineLevel="0" collapsed="false">
      <c r="A119" s="18" t="n">
        <v>118</v>
      </c>
      <c r="B119" s="18"/>
      <c r="C119" s="18"/>
      <c r="D119" s="18"/>
      <c r="E119" s="18" t="s">
        <v>305</v>
      </c>
      <c r="F119" s="18" t="s">
        <v>306</v>
      </c>
      <c r="G119" s="18" t="s">
        <v>74</v>
      </c>
      <c r="H119" s="18" t="n">
        <v>124</v>
      </c>
      <c r="I119" s="19" t="n">
        <v>-0.579999999987194</v>
      </c>
      <c r="J119" s="19" t="n">
        <v>0.58</v>
      </c>
      <c r="K119" s="19" t="n">
        <v>0</v>
      </c>
      <c r="L119" s="19" t="n">
        <v>1.28056454329339E-011</v>
      </c>
      <c r="M119" s="19" t="n">
        <f aca="false">ABS(L119)</f>
        <v>1.28056454329339E-011</v>
      </c>
      <c r="N119" s="18" t="str">
        <f aca="false">IF(L119=0,"Nil balance",IF(G119="AR file",IF(L119&gt;0,"Accounts Receivable","Customer Advances"),IF(L119&lt;0,"Accounts Payable","Supplier Advances")))</f>
        <v>Accounts Receivable</v>
      </c>
      <c r="O119" s="18" t="str">
        <f aca="false">IF(L119=0,"Excluded",IF(Summary!$C$4="By ledger",IF(G119="AR file","Population 1","Population 2"),IF(L119&gt;0,"Population 1","Population 2")))</f>
        <v>Population 1</v>
      </c>
      <c r="P119" s="18" t="str">
        <f aca="false">IF(O119="Excluded","Excluded – nil closing balance",IF(M119&gt;Summary!$C$5,"Above Materiality","Below Materiality"))</f>
        <v>Below Materiality</v>
      </c>
      <c r="Q119" s="20" t="n">
        <f aca="false">IF(P119="Below Materiality",T119,"")</f>
        <v>0.135579423742703</v>
      </c>
      <c r="R119" s="21" t="str">
        <f aca="false">IF(P119="Above Materiality",COUNTIFS($O$2:$O$1092,O119,$P$2:$P$1092,"Above Materiality",$M$2:$M$1092,"&gt;"&amp;M119)+COUNTIFS($O$2:$O$1092,O119,$P$2:$P$1092,"Above Materiality",$M$2:$M$1092,M119,$A$2:$A$1092,"&lt;"&amp;A119)+1,"")</f>
        <v/>
      </c>
      <c r="S119" s="21" t="n">
        <f aca="false">IF(P119&lt;&gt;"Below Materiality","",IF(Summary!$C$9="Random",COUNTIFS($O$2:$O$1092,O119,$Q$2:$Q$1092,"&gt;"&amp;Q119)+1,COUNTIFS($O$2:$O$1092,O119,$P$2:$P$1092,"Below Materiality",$M$2:$M$1092,"&gt;"&amp;M119)+COUNTIFS($O$2:$O$1092,O119,$P$2:$P$1092,"Below Materiality",$M$2:$M$1092,M119,$A$2:$A$1092,"&lt;"&amp;A119)+1))</f>
        <v>70</v>
      </c>
      <c r="T119" s="22" t="n">
        <v>0.135579423742703</v>
      </c>
      <c r="U119" s="21" t="str">
        <f aca="false">IF(R119="","",O119&amp;"|A|"&amp;R119)</f>
        <v/>
      </c>
      <c r="V119" s="21" t="str">
        <f aca="false">IF(S119="","",O119&amp;"|R|"&amp;S119)</f>
        <v>Population 1|R|70</v>
      </c>
    </row>
    <row r="120" customFormat="false" ht="15" hidden="false" customHeight="false" outlineLevel="0" collapsed="false">
      <c r="A120" s="18" t="n">
        <v>119</v>
      </c>
      <c r="B120" s="18"/>
      <c r="C120" s="18"/>
      <c r="D120" s="18"/>
      <c r="E120" s="18" t="s">
        <v>307</v>
      </c>
      <c r="F120" s="18" t="s">
        <v>308</v>
      </c>
      <c r="G120" s="18" t="s">
        <v>74</v>
      </c>
      <c r="H120" s="18" t="n">
        <v>82</v>
      </c>
      <c r="I120" s="19" t="n">
        <v>75.8999999999942</v>
      </c>
      <c r="J120" s="19" t="n">
        <v>34.5</v>
      </c>
      <c r="K120" s="19" t="n">
        <v>110.4</v>
      </c>
      <c r="L120" s="19" t="n">
        <v>-5.82645043323282E-012</v>
      </c>
      <c r="M120" s="19" t="n">
        <f aca="false">ABS(L120)</f>
        <v>5.82645043323282E-012</v>
      </c>
      <c r="N120" s="18" t="str">
        <f aca="false">IF(L120=0,"Nil balance",IF(G120="AR file",IF(L120&gt;0,"Accounts Receivable","Customer Advances"),IF(L120&lt;0,"Accounts Payable","Supplier Advances")))</f>
        <v>Customer Advances</v>
      </c>
      <c r="O120" s="18" t="str">
        <f aca="false">IF(L120=0,"Excluded",IF(Summary!$C$4="By ledger",IF(G120="AR file","Population 1","Population 2"),IF(L120&gt;0,"Population 1","Population 2")))</f>
        <v>Population 1</v>
      </c>
      <c r="P120" s="18" t="str">
        <f aca="false">IF(O120="Excluded","Excluded – nil closing balance",IF(M120&gt;Summary!$C$5,"Above Materiality","Below Materiality"))</f>
        <v>Below Materiality</v>
      </c>
      <c r="Q120" s="20" t="n">
        <f aca="false">IF(P120="Below Materiality",T120,"")</f>
        <v>0.46412332915324</v>
      </c>
      <c r="R120" s="21" t="str">
        <f aca="false">IF(P120="Above Materiality",COUNTIFS($O$2:$O$1092,O120,$P$2:$P$1092,"Above Materiality",$M$2:$M$1092,"&gt;"&amp;M120)+COUNTIFS($O$2:$O$1092,O120,$P$2:$P$1092,"Above Materiality",$M$2:$M$1092,M120,$A$2:$A$1092,"&lt;"&amp;A120)+1,"")</f>
        <v/>
      </c>
      <c r="S120" s="21" t="n">
        <f aca="false">IF(P120&lt;&gt;"Below Materiality","",IF(Summary!$C$9="Random",COUNTIFS($O$2:$O$1092,O120,$Q$2:$Q$1092,"&gt;"&amp;Q120)+1,COUNTIFS($O$2:$O$1092,O120,$P$2:$P$1092,"Below Materiality",$M$2:$M$1092,"&gt;"&amp;M120)+COUNTIFS($O$2:$O$1092,O120,$P$2:$P$1092,"Below Materiality",$M$2:$M$1092,M120,$A$2:$A$1092,"&lt;"&amp;A120)+1))</f>
        <v>71</v>
      </c>
      <c r="T120" s="22" t="n">
        <v>0.46412332915324</v>
      </c>
      <c r="U120" s="21" t="str">
        <f aca="false">IF(R120="","",O120&amp;"|A|"&amp;R120)</f>
        <v/>
      </c>
      <c r="V120" s="21" t="str">
        <f aca="false">IF(S120="","",O120&amp;"|R|"&amp;S120)</f>
        <v>Population 1|R|71</v>
      </c>
    </row>
    <row r="121" customFormat="false" ht="15" hidden="false" customHeight="false" outlineLevel="0" collapsed="false">
      <c r="A121" s="18" t="n">
        <v>120</v>
      </c>
      <c r="B121" s="18"/>
      <c r="C121" s="18"/>
      <c r="D121" s="18"/>
      <c r="E121" s="18" t="s">
        <v>309</v>
      </c>
      <c r="F121" s="18" t="s">
        <v>310</v>
      </c>
      <c r="G121" s="18" t="s">
        <v>74</v>
      </c>
      <c r="H121" s="18" t="n">
        <v>391</v>
      </c>
      <c r="I121" s="19" t="n">
        <v>0.620000000002619</v>
      </c>
      <c r="J121" s="19" t="n">
        <v>0</v>
      </c>
      <c r="K121" s="19" t="n">
        <v>0.62</v>
      </c>
      <c r="L121" s="19" t="n">
        <v>2.61934918199813E-012</v>
      </c>
      <c r="M121" s="19" t="n">
        <f aca="false">ABS(L121)</f>
        <v>2.61934918199813E-012</v>
      </c>
      <c r="N121" s="18" t="str">
        <f aca="false">IF(L121=0,"Nil balance",IF(G121="AR file",IF(L121&gt;0,"Accounts Receivable","Customer Advances"),IF(L121&lt;0,"Accounts Payable","Supplier Advances")))</f>
        <v>Accounts Receivable</v>
      </c>
      <c r="O121" s="18" t="str">
        <f aca="false">IF(L121=0,"Excluded",IF(Summary!$C$4="By ledger",IF(G121="AR file","Population 1","Population 2"),IF(L121&gt;0,"Population 1","Population 2")))</f>
        <v>Population 1</v>
      </c>
      <c r="P121" s="18" t="str">
        <f aca="false">IF(O121="Excluded","Excluded – nil closing balance",IF(M121&gt;Summary!$C$5,"Above Materiality","Below Materiality"))</f>
        <v>Below Materiality</v>
      </c>
      <c r="Q121" s="20" t="n">
        <f aca="false">IF(P121="Below Materiality",T121,"")</f>
        <v>0.233139068254687</v>
      </c>
      <c r="R121" s="21" t="str">
        <f aca="false">IF(P121="Above Materiality",COUNTIFS($O$2:$O$1092,O121,$P$2:$P$1092,"Above Materiality",$M$2:$M$1092,"&gt;"&amp;M121)+COUNTIFS($O$2:$O$1092,O121,$P$2:$P$1092,"Above Materiality",$M$2:$M$1092,M121,$A$2:$A$1092,"&lt;"&amp;A121)+1,"")</f>
        <v/>
      </c>
      <c r="S121" s="21" t="n">
        <f aca="false">IF(P121&lt;&gt;"Below Materiality","",IF(Summary!$C$9="Random",COUNTIFS($O$2:$O$1092,O121,$Q$2:$Q$1092,"&gt;"&amp;Q121)+1,COUNTIFS($O$2:$O$1092,O121,$P$2:$P$1092,"Below Materiality",$M$2:$M$1092,"&gt;"&amp;M121)+COUNTIFS($O$2:$O$1092,O121,$P$2:$P$1092,"Below Materiality",$M$2:$M$1092,M121,$A$2:$A$1092,"&lt;"&amp;A121)+1))</f>
        <v>72</v>
      </c>
      <c r="T121" s="22" t="n">
        <v>0.233139068254687</v>
      </c>
      <c r="U121" s="21" t="str">
        <f aca="false">IF(R121="","",O121&amp;"|A|"&amp;R121)</f>
        <v/>
      </c>
      <c r="V121" s="21" t="str">
        <f aca="false">IF(S121="","",O121&amp;"|R|"&amp;S121)</f>
        <v>Population 1|R|72</v>
      </c>
    </row>
    <row r="122" customFormat="false" ht="15" hidden="false" customHeight="false" outlineLevel="0" collapsed="false">
      <c r="A122" s="18" t="n">
        <v>121</v>
      </c>
      <c r="B122" s="18"/>
      <c r="C122" s="18"/>
      <c r="D122" s="18"/>
      <c r="E122" s="18" t="s">
        <v>311</v>
      </c>
      <c r="F122" s="18" t="s">
        <v>312</v>
      </c>
      <c r="G122" s="18" t="s">
        <v>71</v>
      </c>
      <c r="H122" s="18" t="n">
        <v>48</v>
      </c>
      <c r="I122" s="19" t="n">
        <v>13.010000000002</v>
      </c>
      <c r="J122" s="19" t="n">
        <v>0</v>
      </c>
      <c r="K122" s="19" t="n">
        <v>13.01</v>
      </c>
      <c r="L122" s="19" t="n">
        <v>2.03748129479209E-012</v>
      </c>
      <c r="M122" s="19" t="n">
        <f aca="false">ABS(L122)</f>
        <v>2.03748129479209E-012</v>
      </c>
      <c r="N122" s="18" t="str">
        <f aca="false">IF(L122=0,"Nil balance",IF(G122="AR file",IF(L122&gt;0,"Accounts Receivable","Customer Advances"),IF(L122&lt;0,"Accounts Payable","Supplier Advances")))</f>
        <v>Supplier Advances</v>
      </c>
      <c r="O122" s="18" t="str">
        <f aca="false">IF(L122=0,"Excluded",IF(Summary!$C$4="By ledger",IF(G122="AR file","Population 1","Population 2"),IF(L122&gt;0,"Population 1","Population 2")))</f>
        <v>Population 2</v>
      </c>
      <c r="P122" s="18" t="str">
        <f aca="false">IF(O122="Excluded","Excluded – nil closing balance",IF(M122&gt;Summary!$C$5,"Above Materiality","Below Materiality"))</f>
        <v>Below Materiality</v>
      </c>
      <c r="Q122" s="20" t="n">
        <f aca="false">IF(P122="Below Materiality",T122,"")</f>
        <v>0.806434398116413</v>
      </c>
      <c r="R122" s="21" t="str">
        <f aca="false">IF(P122="Above Materiality",COUNTIFS($O$2:$O$1092,O122,$P$2:$P$1092,"Above Materiality",$M$2:$M$1092,"&gt;"&amp;M122)+COUNTIFS($O$2:$O$1092,O122,$P$2:$P$1092,"Above Materiality",$M$2:$M$1092,M122,$A$2:$A$1092,"&lt;"&amp;A122)+1,"")</f>
        <v/>
      </c>
      <c r="S122" s="21" t="n">
        <f aca="false">IF(P122&lt;&gt;"Below Materiality","",IF(Summary!$C$9="Random",COUNTIFS($O$2:$O$1092,O122,$Q$2:$Q$1092,"&gt;"&amp;Q122)+1,COUNTIFS($O$2:$O$1092,O122,$P$2:$P$1092,"Below Materiality",$M$2:$M$1092,"&gt;"&amp;M122)+COUNTIFS($O$2:$O$1092,O122,$P$2:$P$1092,"Below Materiality",$M$2:$M$1092,M122,$A$2:$A$1092,"&lt;"&amp;A122)+1))</f>
        <v>8</v>
      </c>
      <c r="T122" s="22" t="n">
        <v>0.806434398116413</v>
      </c>
      <c r="U122" s="21" t="str">
        <f aca="false">IF(R122="","",O122&amp;"|A|"&amp;R122)</f>
        <v/>
      </c>
      <c r="V122" s="21" t="str">
        <f aca="false">IF(S122="","",O122&amp;"|R|"&amp;S122)</f>
        <v>Population 2|R|8</v>
      </c>
    </row>
    <row r="123" customFormat="false" ht="15" hidden="false" customHeight="false" outlineLevel="0" collapsed="false">
      <c r="A123" s="18" t="n">
        <v>122</v>
      </c>
      <c r="B123" s="18"/>
      <c r="C123" s="18"/>
      <c r="D123" s="18"/>
      <c r="E123" s="18" t="s">
        <v>313</v>
      </c>
      <c r="F123" s="18" t="s">
        <v>314</v>
      </c>
      <c r="G123" s="18" t="s">
        <v>74</v>
      </c>
      <c r="H123" s="18" t="n">
        <v>106</v>
      </c>
      <c r="I123" s="19" t="n">
        <v>66.7000000000007</v>
      </c>
      <c r="J123" s="19" t="n">
        <v>0</v>
      </c>
      <c r="K123" s="19" t="n">
        <v>66.7</v>
      </c>
      <c r="L123" s="19" t="n">
        <v>7.24753590475302E-013</v>
      </c>
      <c r="M123" s="19" t="n">
        <f aca="false">ABS(L123)</f>
        <v>7.24753590475302E-013</v>
      </c>
      <c r="N123" s="18" t="str">
        <f aca="false">IF(L123=0,"Nil balance",IF(G123="AR file",IF(L123&gt;0,"Accounts Receivable","Customer Advances"),IF(L123&lt;0,"Accounts Payable","Supplier Advances")))</f>
        <v>Accounts Receivable</v>
      </c>
      <c r="O123" s="18" t="str">
        <f aca="false">IF(L123=0,"Excluded",IF(Summary!$C$4="By ledger",IF(G123="AR file","Population 1","Population 2"),IF(L123&gt;0,"Population 1","Population 2")))</f>
        <v>Population 1</v>
      </c>
      <c r="P123" s="18" t="str">
        <f aca="false">IF(O123="Excluded","Excluded – nil closing balance",IF(M123&gt;Summary!$C$5,"Above Materiality","Below Materiality"))</f>
        <v>Below Materiality</v>
      </c>
      <c r="Q123" s="20" t="n">
        <f aca="false">IF(P123="Below Materiality",T123,"")</f>
        <v>0.298885809888375</v>
      </c>
      <c r="R123" s="21" t="str">
        <f aca="false">IF(P123="Above Materiality",COUNTIFS($O$2:$O$1092,O123,$P$2:$P$1092,"Above Materiality",$M$2:$M$1092,"&gt;"&amp;M123)+COUNTIFS($O$2:$O$1092,O123,$P$2:$P$1092,"Above Materiality",$M$2:$M$1092,M123,$A$2:$A$1092,"&lt;"&amp;A123)+1,"")</f>
        <v/>
      </c>
      <c r="S123" s="21" t="n">
        <f aca="false">IF(P123&lt;&gt;"Below Materiality","",IF(Summary!$C$9="Random",COUNTIFS($O$2:$O$1092,O123,$Q$2:$Q$1092,"&gt;"&amp;Q123)+1,COUNTIFS($O$2:$O$1092,O123,$P$2:$P$1092,"Below Materiality",$M$2:$M$1092,"&gt;"&amp;M123)+COUNTIFS($O$2:$O$1092,O123,$P$2:$P$1092,"Below Materiality",$M$2:$M$1092,M123,$A$2:$A$1092,"&lt;"&amp;A123)+1))</f>
        <v>73</v>
      </c>
      <c r="T123" s="22" t="n">
        <v>0.298885809888375</v>
      </c>
      <c r="U123" s="21" t="str">
        <f aca="false">IF(R123="","",O123&amp;"|A|"&amp;R123)</f>
        <v/>
      </c>
      <c r="V123" s="21" t="str">
        <f aca="false">IF(S123="","",O123&amp;"|R|"&amp;S123)</f>
        <v>Population 1|R|73</v>
      </c>
    </row>
    <row r="124" customFormat="false" ht="15" hidden="false" customHeight="false" outlineLevel="0" collapsed="false">
      <c r="A124" s="18" t="n">
        <v>123</v>
      </c>
      <c r="B124" s="18"/>
      <c r="C124" s="18"/>
      <c r="D124" s="18"/>
      <c r="E124" s="18" t="s">
        <v>315</v>
      </c>
      <c r="F124" s="18" t="s">
        <v>316</v>
      </c>
      <c r="G124" s="18" t="s">
        <v>71</v>
      </c>
      <c r="H124" s="18" t="n">
        <v>24</v>
      </c>
      <c r="I124" s="19" t="n">
        <v>0.0999999999994543</v>
      </c>
      <c r="J124" s="19" t="n">
        <v>273.78</v>
      </c>
      <c r="K124" s="19" t="n">
        <v>273.88</v>
      </c>
      <c r="L124" s="19" t="n">
        <v>-5.6843418860808E-013</v>
      </c>
      <c r="M124" s="19" t="n">
        <f aca="false">ABS(L124)</f>
        <v>5.6843418860808E-013</v>
      </c>
      <c r="N124" s="18" t="str">
        <f aca="false">IF(L124=0,"Nil balance",IF(G124="AR file",IF(L124&gt;0,"Accounts Receivable","Customer Advances"),IF(L124&lt;0,"Accounts Payable","Supplier Advances")))</f>
        <v>Accounts Payable</v>
      </c>
      <c r="O124" s="18" t="str">
        <f aca="false">IF(L124=0,"Excluded",IF(Summary!$C$4="By ledger",IF(G124="AR file","Population 1","Population 2"),IF(L124&gt;0,"Population 1","Population 2")))</f>
        <v>Population 2</v>
      </c>
      <c r="P124" s="18" t="str">
        <f aca="false">IF(O124="Excluded","Excluded – nil closing balance",IF(M124&gt;Summary!$C$5,"Above Materiality","Below Materiality"))</f>
        <v>Below Materiality</v>
      </c>
      <c r="Q124" s="20" t="n">
        <f aca="false">IF(P124="Below Materiality",T124,"")</f>
        <v>0.812521923999279</v>
      </c>
      <c r="R124" s="21" t="str">
        <f aca="false">IF(P124="Above Materiality",COUNTIFS($O$2:$O$1092,O124,$P$2:$P$1092,"Above Materiality",$M$2:$M$1092,"&gt;"&amp;M124)+COUNTIFS($O$2:$O$1092,O124,$P$2:$P$1092,"Above Materiality",$M$2:$M$1092,M124,$A$2:$A$1092,"&lt;"&amp;A124)+1,"")</f>
        <v/>
      </c>
      <c r="S124" s="21" t="n">
        <f aca="false">IF(P124&lt;&gt;"Below Materiality","",IF(Summary!$C$9="Random",COUNTIFS($O$2:$O$1092,O124,$Q$2:$Q$1092,"&gt;"&amp;Q124)+1,COUNTIFS($O$2:$O$1092,O124,$P$2:$P$1092,"Below Materiality",$M$2:$M$1092,"&gt;"&amp;M124)+COUNTIFS($O$2:$O$1092,O124,$P$2:$P$1092,"Below Materiality",$M$2:$M$1092,M124,$A$2:$A$1092,"&lt;"&amp;A124)+1))</f>
        <v>9</v>
      </c>
      <c r="T124" s="22" t="n">
        <v>0.812521923999279</v>
      </c>
      <c r="U124" s="21" t="str">
        <f aca="false">IF(R124="","",O124&amp;"|A|"&amp;R124)</f>
        <v/>
      </c>
      <c r="V124" s="21" t="str">
        <f aca="false">IF(S124="","",O124&amp;"|R|"&amp;S124)</f>
        <v>Population 2|R|9</v>
      </c>
    </row>
    <row r="125" customFormat="false" ht="15" hidden="false" customHeight="false" outlineLevel="0" collapsed="false">
      <c r="A125" s="18" t="n">
        <v>124</v>
      </c>
      <c r="B125" s="18"/>
      <c r="C125" s="18"/>
      <c r="D125" s="18"/>
      <c r="E125" s="18" t="s">
        <v>317</v>
      </c>
      <c r="F125" s="18" t="s">
        <v>318</v>
      </c>
      <c r="G125" s="18" t="s">
        <v>74</v>
      </c>
      <c r="H125" s="18" t="n">
        <v>363</v>
      </c>
      <c r="I125" s="19" t="n">
        <v>-0.0500000000001819</v>
      </c>
      <c r="J125" s="19" t="n">
        <v>80.06</v>
      </c>
      <c r="K125" s="19" t="n">
        <v>80.01</v>
      </c>
      <c r="L125" s="19" t="n">
        <v>-1.84741111297626E-013</v>
      </c>
      <c r="M125" s="19" t="n">
        <f aca="false">ABS(L125)</f>
        <v>1.84741111297626E-013</v>
      </c>
      <c r="N125" s="18" t="str">
        <f aca="false">IF(L125=0,"Nil balance",IF(G125="AR file",IF(L125&gt;0,"Accounts Receivable","Customer Advances"),IF(L125&lt;0,"Accounts Payable","Supplier Advances")))</f>
        <v>Customer Advances</v>
      </c>
      <c r="O125" s="18" t="str">
        <f aca="false">IF(L125=0,"Excluded",IF(Summary!$C$4="By ledger",IF(G125="AR file","Population 1","Population 2"),IF(L125&gt;0,"Population 1","Population 2")))</f>
        <v>Population 1</v>
      </c>
      <c r="P125" s="18" t="str">
        <f aca="false">IF(O125="Excluded","Excluded – nil closing balance",IF(M125&gt;Summary!$C$5,"Above Materiality","Below Materiality"))</f>
        <v>Below Materiality</v>
      </c>
      <c r="Q125" s="20" t="n">
        <f aca="false">IF(P125="Below Materiality",T125,"")</f>
        <v>0.00755358883902735</v>
      </c>
      <c r="R125" s="21" t="str">
        <f aca="false">IF(P125="Above Materiality",COUNTIFS($O$2:$O$1092,O125,$P$2:$P$1092,"Above Materiality",$M$2:$M$1092,"&gt;"&amp;M125)+COUNTIFS($O$2:$O$1092,O125,$P$2:$P$1092,"Above Materiality",$M$2:$M$1092,M125,$A$2:$A$1092,"&lt;"&amp;A125)+1,"")</f>
        <v/>
      </c>
      <c r="S125" s="21" t="n">
        <f aca="false">IF(P125&lt;&gt;"Below Materiality","",IF(Summary!$C$9="Random",COUNTIFS($O$2:$O$1092,O125,$Q$2:$Q$1092,"&gt;"&amp;Q125)+1,COUNTIFS($O$2:$O$1092,O125,$P$2:$P$1092,"Below Materiality",$M$2:$M$1092,"&gt;"&amp;M125)+COUNTIFS($O$2:$O$1092,O125,$P$2:$P$1092,"Below Materiality",$M$2:$M$1092,M125,$A$2:$A$1092,"&lt;"&amp;A125)+1))</f>
        <v>74</v>
      </c>
      <c r="T125" s="22" t="n">
        <v>0.00755358883902735</v>
      </c>
      <c r="U125" s="21" t="str">
        <f aca="false">IF(R125="","",O125&amp;"|A|"&amp;R125)</f>
        <v/>
      </c>
      <c r="V125" s="21" t="str">
        <f aca="false">IF(S125="","",O125&amp;"|R|"&amp;S125)</f>
        <v>Population 1|R|74</v>
      </c>
    </row>
    <row r="126" customFormat="false" ht="15" hidden="false" customHeight="false" outlineLevel="0" collapsed="false">
      <c r="A126" s="18" t="n">
        <v>125</v>
      </c>
      <c r="B126" s="18"/>
      <c r="C126" s="18"/>
      <c r="D126" s="18"/>
      <c r="E126" s="18" t="s">
        <v>319</v>
      </c>
      <c r="F126" s="18" t="s">
        <v>320</v>
      </c>
      <c r="G126" s="18" t="s">
        <v>74</v>
      </c>
      <c r="H126" s="18" t="n">
        <v>376</v>
      </c>
      <c r="I126" s="19" t="n">
        <v>0.869999999999891</v>
      </c>
      <c r="J126" s="19" t="n">
        <v>0</v>
      </c>
      <c r="K126" s="19" t="n">
        <v>0.87</v>
      </c>
      <c r="L126" s="19" t="n">
        <v>-1.09134923320653E-013</v>
      </c>
      <c r="M126" s="19" t="n">
        <f aca="false">ABS(L126)</f>
        <v>1.09134923320653E-013</v>
      </c>
      <c r="N126" s="18" t="str">
        <f aca="false">IF(L126=0,"Nil balance",IF(G126="AR file",IF(L126&gt;0,"Accounts Receivable","Customer Advances"),IF(L126&lt;0,"Accounts Payable","Supplier Advances")))</f>
        <v>Customer Advances</v>
      </c>
      <c r="O126" s="18" t="str">
        <f aca="false">IF(L126=0,"Excluded",IF(Summary!$C$4="By ledger",IF(G126="AR file","Population 1","Population 2"),IF(L126&gt;0,"Population 1","Population 2")))</f>
        <v>Population 1</v>
      </c>
      <c r="P126" s="18" t="str">
        <f aca="false">IF(O126="Excluded","Excluded – nil closing balance",IF(M126&gt;Summary!$C$5,"Above Materiality","Below Materiality"))</f>
        <v>Below Materiality</v>
      </c>
      <c r="Q126" s="20" t="n">
        <f aca="false">IF(P126="Below Materiality",T126,"")</f>
        <v>0.231648453152922</v>
      </c>
      <c r="R126" s="21" t="str">
        <f aca="false">IF(P126="Above Materiality",COUNTIFS($O$2:$O$1092,O126,$P$2:$P$1092,"Above Materiality",$M$2:$M$1092,"&gt;"&amp;M126)+COUNTIFS($O$2:$O$1092,O126,$P$2:$P$1092,"Above Materiality",$M$2:$M$1092,M126,$A$2:$A$1092,"&lt;"&amp;A126)+1,"")</f>
        <v/>
      </c>
      <c r="S126" s="21" t="n">
        <f aca="false">IF(P126&lt;&gt;"Below Materiality","",IF(Summary!$C$9="Random",COUNTIFS($O$2:$O$1092,O126,$Q$2:$Q$1092,"&gt;"&amp;Q126)+1,COUNTIFS($O$2:$O$1092,O126,$P$2:$P$1092,"Below Materiality",$M$2:$M$1092,"&gt;"&amp;M126)+COUNTIFS($O$2:$O$1092,O126,$P$2:$P$1092,"Below Materiality",$M$2:$M$1092,M126,$A$2:$A$1092,"&lt;"&amp;A126)+1))</f>
        <v>75</v>
      </c>
      <c r="T126" s="22" t="n">
        <v>0.231648453152922</v>
      </c>
      <c r="U126" s="21" t="str">
        <f aca="false">IF(R126="","",O126&amp;"|A|"&amp;R126)</f>
        <v/>
      </c>
      <c r="V126" s="21" t="str">
        <f aca="false">IF(S126="","",O126&amp;"|R|"&amp;S126)</f>
        <v>Population 1|R|75</v>
      </c>
    </row>
    <row r="127" customFormat="false" ht="15" hidden="false" customHeight="false" outlineLevel="0" collapsed="false">
      <c r="A127" s="18" t="n">
        <v>126</v>
      </c>
      <c r="B127" s="18"/>
      <c r="C127" s="18"/>
      <c r="D127" s="18"/>
      <c r="E127" s="18" t="s">
        <v>321</v>
      </c>
      <c r="F127" s="18" t="s">
        <v>322</v>
      </c>
      <c r="G127" s="18" t="s">
        <v>74</v>
      </c>
      <c r="H127" s="18" t="n">
        <v>133</v>
      </c>
      <c r="I127" s="19" t="n">
        <v>-0.349999999999909</v>
      </c>
      <c r="J127" s="19" t="n">
        <v>0.35</v>
      </c>
      <c r="K127" s="19" t="n">
        <v>0</v>
      </c>
      <c r="L127" s="19" t="n">
        <v>9.09272657168003E-014</v>
      </c>
      <c r="M127" s="19" t="n">
        <f aca="false">ABS(L127)</f>
        <v>9.09272657168003E-014</v>
      </c>
      <c r="N127" s="18" t="str">
        <f aca="false">IF(L127=0,"Nil balance",IF(G127="AR file",IF(L127&gt;0,"Accounts Receivable","Customer Advances"),IF(L127&lt;0,"Accounts Payable","Supplier Advances")))</f>
        <v>Accounts Receivable</v>
      </c>
      <c r="O127" s="18" t="str">
        <f aca="false">IF(L127=0,"Excluded",IF(Summary!$C$4="By ledger",IF(G127="AR file","Population 1","Population 2"),IF(L127&gt;0,"Population 1","Population 2")))</f>
        <v>Population 1</v>
      </c>
      <c r="P127" s="18" t="str">
        <f aca="false">IF(O127="Excluded","Excluded – nil closing balance",IF(M127&gt;Summary!$C$5,"Above Materiality","Below Materiality"))</f>
        <v>Below Materiality</v>
      </c>
      <c r="Q127" s="20" t="n">
        <f aca="false">IF(P127="Below Materiality",T127,"")</f>
        <v>0.329872611290502</v>
      </c>
      <c r="R127" s="21" t="str">
        <f aca="false">IF(P127="Above Materiality",COUNTIFS($O$2:$O$1092,O127,$P$2:$P$1092,"Above Materiality",$M$2:$M$1092,"&gt;"&amp;M127)+COUNTIFS($O$2:$O$1092,O127,$P$2:$P$1092,"Above Materiality",$M$2:$M$1092,M127,$A$2:$A$1092,"&lt;"&amp;A127)+1,"")</f>
        <v/>
      </c>
      <c r="S127" s="21" t="n">
        <f aca="false">IF(P127&lt;&gt;"Below Materiality","",IF(Summary!$C$9="Random",COUNTIFS($O$2:$O$1092,O127,$Q$2:$Q$1092,"&gt;"&amp;Q127)+1,COUNTIFS($O$2:$O$1092,O127,$P$2:$P$1092,"Below Materiality",$M$2:$M$1092,"&gt;"&amp;M127)+COUNTIFS($O$2:$O$1092,O127,$P$2:$P$1092,"Below Materiality",$M$2:$M$1092,M127,$A$2:$A$1092,"&lt;"&amp;A127)+1))</f>
        <v>76</v>
      </c>
      <c r="T127" s="22" t="n">
        <v>0.329872611290502</v>
      </c>
      <c r="U127" s="21" t="str">
        <f aca="false">IF(R127="","",O127&amp;"|A|"&amp;R127)</f>
        <v/>
      </c>
      <c r="V127" s="21" t="str">
        <f aca="false">IF(S127="","",O127&amp;"|R|"&amp;S127)</f>
        <v>Population 1|R|76</v>
      </c>
    </row>
    <row r="128" customFormat="false" ht="15" hidden="false" customHeight="false" outlineLevel="0" collapsed="false">
      <c r="A128" s="18" t="n">
        <v>127</v>
      </c>
      <c r="B128" s="18"/>
      <c r="C128" s="18"/>
      <c r="D128" s="18"/>
      <c r="E128" s="18" t="s">
        <v>323</v>
      </c>
      <c r="F128" s="18" t="s">
        <v>324</v>
      </c>
      <c r="G128" s="18" t="s">
        <v>74</v>
      </c>
      <c r="H128" s="18" t="n">
        <v>145</v>
      </c>
      <c r="I128" s="19" t="n">
        <v>18.18</v>
      </c>
      <c r="J128" s="19" t="n">
        <v>0</v>
      </c>
      <c r="K128" s="19" t="n">
        <v>18.18</v>
      </c>
      <c r="L128" s="19" t="n">
        <v>-4.9737991503207E-014</v>
      </c>
      <c r="M128" s="19" t="n">
        <f aca="false">ABS(L128)</f>
        <v>4.9737991503207E-014</v>
      </c>
      <c r="N128" s="18" t="str">
        <f aca="false">IF(L128=0,"Nil balance",IF(G128="AR file",IF(L128&gt;0,"Accounts Receivable","Customer Advances"),IF(L128&lt;0,"Accounts Payable","Supplier Advances")))</f>
        <v>Customer Advances</v>
      </c>
      <c r="O128" s="18" t="str">
        <f aca="false">IF(L128=0,"Excluded",IF(Summary!$C$4="By ledger",IF(G128="AR file","Population 1","Population 2"),IF(L128&gt;0,"Population 1","Population 2")))</f>
        <v>Population 1</v>
      </c>
      <c r="P128" s="18" t="str">
        <f aca="false">IF(O128="Excluded","Excluded – nil closing balance",IF(M128&gt;Summary!$C$5,"Above Materiality","Below Materiality"))</f>
        <v>Below Materiality</v>
      </c>
      <c r="Q128" s="20" t="n">
        <f aca="false">IF(P128="Below Materiality",T128,"")</f>
        <v>0.231226926208439</v>
      </c>
      <c r="R128" s="21" t="str">
        <f aca="false">IF(P128="Above Materiality",COUNTIFS($O$2:$O$1092,O128,$P$2:$P$1092,"Above Materiality",$M$2:$M$1092,"&gt;"&amp;M128)+COUNTIFS($O$2:$O$1092,O128,$P$2:$P$1092,"Above Materiality",$M$2:$M$1092,M128,$A$2:$A$1092,"&lt;"&amp;A128)+1,"")</f>
        <v/>
      </c>
      <c r="S128" s="21" t="n">
        <f aca="false">IF(P128&lt;&gt;"Below Materiality","",IF(Summary!$C$9="Random",COUNTIFS($O$2:$O$1092,O128,$Q$2:$Q$1092,"&gt;"&amp;Q128)+1,COUNTIFS($O$2:$O$1092,O128,$P$2:$P$1092,"Below Materiality",$M$2:$M$1092,"&gt;"&amp;M128)+COUNTIFS($O$2:$O$1092,O128,$P$2:$P$1092,"Below Materiality",$M$2:$M$1092,M128,$A$2:$A$1092,"&lt;"&amp;A128)+1))</f>
        <v>77</v>
      </c>
      <c r="T128" s="22" t="n">
        <v>0.231226926208439</v>
      </c>
      <c r="U128" s="21" t="str">
        <f aca="false">IF(R128="","",O128&amp;"|A|"&amp;R128)</f>
        <v/>
      </c>
      <c r="V128" s="21" t="str">
        <f aca="false">IF(S128="","",O128&amp;"|R|"&amp;S128)</f>
        <v>Population 1|R|77</v>
      </c>
    </row>
    <row r="129" customFormat="false" ht="15" hidden="false" customHeight="false" outlineLevel="0" collapsed="false">
      <c r="A129" s="18" t="n">
        <v>128</v>
      </c>
      <c r="B129" s="18"/>
      <c r="C129" s="18"/>
      <c r="D129" s="18"/>
      <c r="E129" s="18" t="s">
        <v>325</v>
      </c>
      <c r="F129" s="18" t="s">
        <v>326</v>
      </c>
      <c r="G129" s="18" t="s">
        <v>74</v>
      </c>
      <c r="H129" s="18" t="n">
        <v>223</v>
      </c>
      <c r="I129" s="19" t="n">
        <v>-0.00999999999999091</v>
      </c>
      <c r="J129" s="19" t="n">
        <v>0.01</v>
      </c>
      <c r="K129" s="19" t="n">
        <v>0</v>
      </c>
      <c r="L129" s="19" t="n">
        <v>9.0951551845464E-015</v>
      </c>
      <c r="M129" s="19" t="n">
        <f aca="false">ABS(L129)</f>
        <v>9.0951551845464E-015</v>
      </c>
      <c r="N129" s="18" t="str">
        <f aca="false">IF(L129=0,"Nil balance",IF(G129="AR file",IF(L129&gt;0,"Accounts Receivable","Customer Advances"),IF(L129&lt;0,"Accounts Payable","Supplier Advances")))</f>
        <v>Accounts Receivable</v>
      </c>
      <c r="O129" s="18" t="str">
        <f aca="false">IF(L129=0,"Excluded",IF(Summary!$C$4="By ledger",IF(G129="AR file","Population 1","Population 2"),IF(L129&gt;0,"Population 1","Population 2")))</f>
        <v>Population 1</v>
      </c>
      <c r="P129" s="18" t="str">
        <f aca="false">IF(O129="Excluded","Excluded – nil closing balance",IF(M129&gt;Summary!$C$5,"Above Materiality","Below Materiality"))</f>
        <v>Below Materiality</v>
      </c>
      <c r="Q129" s="20" t="n">
        <f aca="false">IF(P129="Below Materiality",T129,"")</f>
        <v>0.740536364584445</v>
      </c>
      <c r="R129" s="21" t="str">
        <f aca="false">IF(P129="Above Materiality",COUNTIFS($O$2:$O$1092,O129,$P$2:$P$1092,"Above Materiality",$M$2:$M$1092,"&gt;"&amp;M129)+COUNTIFS($O$2:$O$1092,O129,$P$2:$P$1092,"Above Materiality",$M$2:$M$1092,M129,$A$2:$A$1092,"&lt;"&amp;A129)+1,"")</f>
        <v/>
      </c>
      <c r="S129" s="21" t="n">
        <f aca="false">IF(P129&lt;&gt;"Below Materiality","",IF(Summary!$C$9="Random",COUNTIFS($O$2:$O$1092,O129,$Q$2:$Q$1092,"&gt;"&amp;Q129)+1,COUNTIFS($O$2:$O$1092,O129,$P$2:$P$1092,"Below Materiality",$M$2:$M$1092,"&gt;"&amp;M129)+COUNTIFS($O$2:$O$1092,O129,$P$2:$P$1092,"Below Materiality",$M$2:$M$1092,M129,$A$2:$A$1092,"&lt;"&amp;A129)+1))</f>
        <v>78</v>
      </c>
      <c r="T129" s="22" t="n">
        <v>0.740536364584445</v>
      </c>
      <c r="U129" s="21" t="str">
        <f aca="false">IF(R129="","",O129&amp;"|A|"&amp;R129)</f>
        <v/>
      </c>
      <c r="V129" s="21" t="str">
        <f aca="false">IF(S129="","",O129&amp;"|R|"&amp;S129)</f>
        <v>Population 1|R|78</v>
      </c>
    </row>
    <row r="130" customFormat="false" ht="15" hidden="false" customHeight="false" outlineLevel="0" collapsed="false">
      <c r="A130" s="18" t="n">
        <v>129</v>
      </c>
      <c r="B130" s="18"/>
      <c r="C130" s="18"/>
      <c r="D130" s="18"/>
      <c r="E130" s="18" t="s">
        <v>327</v>
      </c>
      <c r="F130" s="18" t="s">
        <v>328</v>
      </c>
      <c r="G130" s="18" t="s">
        <v>71</v>
      </c>
      <c r="H130" s="18" t="n">
        <v>2</v>
      </c>
      <c r="I130" s="19" t="n">
        <v>0</v>
      </c>
      <c r="J130" s="19" t="n">
        <v>650</v>
      </c>
      <c r="K130" s="19" t="n">
        <v>650</v>
      </c>
      <c r="L130" s="19" t="n">
        <v>0</v>
      </c>
      <c r="M130" s="19" t="n">
        <f aca="false">ABS(L130)</f>
        <v>0</v>
      </c>
      <c r="N130" s="18" t="str">
        <f aca="false">IF(L130=0,"Nil balance",IF(G130="AR file",IF(L130&gt;0,"Accounts Receivable","Customer Advances"),IF(L130&lt;0,"Accounts Payable","Supplier Advances")))</f>
        <v>Nil balance</v>
      </c>
      <c r="O130" s="18" t="str">
        <f aca="false">IF(L130=0,"Excluded",IF(Summary!$C$4="By ledger",IF(G130="AR file","Population 1","Population 2"),IF(L130&gt;0,"Population 1","Population 2")))</f>
        <v>Excluded</v>
      </c>
      <c r="P130" s="18" t="str">
        <f aca="false">IF(O130="Excluded","Excluded – nil closing balance",IF(M130&gt;Summary!$C$5,"Above Materiality","Below Materiality"))</f>
        <v>Excluded – nil closing balance</v>
      </c>
      <c r="Q130" s="20" t="str">
        <f aca="false">IF(P130="Below Materiality",T130,"")</f>
        <v/>
      </c>
      <c r="R130" s="21" t="str">
        <f aca="false">IF(P130="Above Materiality",COUNTIFS($O$2:$O$1092,O130,$P$2:$P$1092,"Above Materiality",$M$2:$M$1092,"&gt;"&amp;M130)+COUNTIFS($O$2:$O$1092,O130,$P$2:$P$1092,"Above Materiality",$M$2:$M$1092,M130,$A$2:$A$1092,"&lt;"&amp;A130)+1,"")</f>
        <v/>
      </c>
      <c r="S130" s="21" t="str">
        <f aca="false">IF(P130&lt;&gt;"Below Materiality","",IF(Summary!$C$9="Random",COUNTIFS($O$2:$O$1092,O130,$Q$2:$Q$1092,"&gt;"&amp;Q130)+1,COUNTIFS($O$2:$O$1092,O130,$P$2:$P$1092,"Below Materiality",$M$2:$M$1092,"&gt;"&amp;M130)+COUNTIFS($O$2:$O$1092,O130,$P$2:$P$1092,"Below Materiality",$M$2:$M$1092,M130,$A$2:$A$1092,"&lt;"&amp;A130)+1))</f>
        <v/>
      </c>
      <c r="T130" s="22"/>
      <c r="U130" s="21" t="str">
        <f aca="false">IF(R130="","",O130&amp;"|A|"&amp;R130)</f>
        <v/>
      </c>
      <c r="V130" s="21" t="str">
        <f aca="false">IF(S130="","",O130&amp;"|R|"&amp;S130)</f>
        <v/>
      </c>
    </row>
    <row r="131" customFormat="false" ht="15" hidden="false" customHeight="false" outlineLevel="0" collapsed="false">
      <c r="A131" s="18" t="n">
        <v>130</v>
      </c>
      <c r="B131" s="18"/>
      <c r="C131" s="18"/>
      <c r="D131" s="18"/>
      <c r="E131" s="18" t="s">
        <v>329</v>
      </c>
      <c r="F131" s="18" t="s">
        <v>330</v>
      </c>
      <c r="G131" s="18" t="s">
        <v>71</v>
      </c>
      <c r="H131" s="18" t="n">
        <v>3</v>
      </c>
      <c r="I131" s="19" t="n">
        <v>0</v>
      </c>
      <c r="J131" s="19" t="n">
        <v>7300.2</v>
      </c>
      <c r="K131" s="19" t="n">
        <v>7300.2</v>
      </c>
      <c r="L131" s="19" t="n">
        <v>0</v>
      </c>
      <c r="M131" s="19" t="n">
        <f aca="false">ABS(L131)</f>
        <v>0</v>
      </c>
      <c r="N131" s="18" t="str">
        <f aca="false">IF(L131=0,"Nil balance",IF(G131="AR file",IF(L131&gt;0,"Accounts Receivable","Customer Advances"),IF(L131&lt;0,"Accounts Payable","Supplier Advances")))</f>
        <v>Nil balance</v>
      </c>
      <c r="O131" s="18" t="str">
        <f aca="false">IF(L131=0,"Excluded",IF(Summary!$C$4="By ledger",IF(G131="AR file","Population 1","Population 2"),IF(L131&gt;0,"Population 1","Population 2")))</f>
        <v>Excluded</v>
      </c>
      <c r="P131" s="18" t="str">
        <f aca="false">IF(O131="Excluded","Excluded – nil closing balance",IF(M131&gt;Summary!$C$5,"Above Materiality","Below Materiality"))</f>
        <v>Excluded – nil closing balance</v>
      </c>
      <c r="Q131" s="20" t="str">
        <f aca="false">IF(P131="Below Materiality",T131,"")</f>
        <v/>
      </c>
      <c r="R131" s="21" t="str">
        <f aca="false">IF(P131="Above Materiality",COUNTIFS($O$2:$O$1092,O131,$P$2:$P$1092,"Above Materiality",$M$2:$M$1092,"&gt;"&amp;M131)+COUNTIFS($O$2:$O$1092,O131,$P$2:$P$1092,"Above Materiality",$M$2:$M$1092,M131,$A$2:$A$1092,"&lt;"&amp;A131)+1,"")</f>
        <v/>
      </c>
      <c r="S131" s="21" t="str">
        <f aca="false">IF(P131&lt;&gt;"Below Materiality","",IF(Summary!$C$9="Random",COUNTIFS($O$2:$O$1092,O131,$Q$2:$Q$1092,"&gt;"&amp;Q131)+1,COUNTIFS($O$2:$O$1092,O131,$P$2:$P$1092,"Below Materiality",$M$2:$M$1092,"&gt;"&amp;M131)+COUNTIFS($O$2:$O$1092,O131,$P$2:$P$1092,"Below Materiality",$M$2:$M$1092,M131,$A$2:$A$1092,"&lt;"&amp;A131)+1))</f>
        <v/>
      </c>
      <c r="T131" s="22"/>
      <c r="U131" s="21" t="str">
        <f aca="false">IF(R131="","",O131&amp;"|A|"&amp;R131)</f>
        <v/>
      </c>
      <c r="V131" s="21" t="str">
        <f aca="false">IF(S131="","",O131&amp;"|R|"&amp;S131)</f>
        <v/>
      </c>
    </row>
    <row r="132" customFormat="false" ht="15" hidden="false" customHeight="false" outlineLevel="0" collapsed="false">
      <c r="A132" s="18" t="n">
        <v>131</v>
      </c>
      <c r="B132" s="18"/>
      <c r="C132" s="18"/>
      <c r="D132" s="18"/>
      <c r="E132" s="18" t="s">
        <v>331</v>
      </c>
      <c r="F132" s="18" t="s">
        <v>332</v>
      </c>
      <c r="G132" s="18" t="s">
        <v>71</v>
      </c>
      <c r="H132" s="18" t="n">
        <v>4</v>
      </c>
      <c r="I132" s="19" t="n">
        <v>0</v>
      </c>
      <c r="J132" s="19" t="n">
        <v>16675</v>
      </c>
      <c r="K132" s="19" t="n">
        <v>16675</v>
      </c>
      <c r="L132" s="19" t="n">
        <v>0</v>
      </c>
      <c r="M132" s="19" t="n">
        <f aca="false">ABS(L132)</f>
        <v>0</v>
      </c>
      <c r="N132" s="18" t="str">
        <f aca="false">IF(L132=0,"Nil balance",IF(G132="AR file",IF(L132&gt;0,"Accounts Receivable","Customer Advances"),IF(L132&lt;0,"Accounts Payable","Supplier Advances")))</f>
        <v>Nil balance</v>
      </c>
      <c r="O132" s="18" t="str">
        <f aca="false">IF(L132=0,"Excluded",IF(Summary!$C$4="By ledger",IF(G132="AR file","Population 1","Population 2"),IF(L132&gt;0,"Population 1","Population 2")))</f>
        <v>Excluded</v>
      </c>
      <c r="P132" s="18" t="str">
        <f aca="false">IF(O132="Excluded","Excluded – nil closing balance",IF(M132&gt;Summary!$C$5,"Above Materiality","Below Materiality"))</f>
        <v>Excluded – nil closing balance</v>
      </c>
      <c r="Q132" s="20" t="str">
        <f aca="false">IF(P132="Below Materiality",T132,"")</f>
        <v/>
      </c>
      <c r="R132" s="21" t="str">
        <f aca="false">IF(P132="Above Materiality",COUNTIFS($O$2:$O$1092,O132,$P$2:$P$1092,"Above Materiality",$M$2:$M$1092,"&gt;"&amp;M132)+COUNTIFS($O$2:$O$1092,O132,$P$2:$P$1092,"Above Materiality",$M$2:$M$1092,M132,$A$2:$A$1092,"&lt;"&amp;A132)+1,"")</f>
        <v/>
      </c>
      <c r="S132" s="21" t="str">
        <f aca="false">IF(P132&lt;&gt;"Below Materiality","",IF(Summary!$C$9="Random",COUNTIFS($O$2:$O$1092,O132,$Q$2:$Q$1092,"&gt;"&amp;Q132)+1,COUNTIFS($O$2:$O$1092,O132,$P$2:$P$1092,"Below Materiality",$M$2:$M$1092,"&gt;"&amp;M132)+COUNTIFS($O$2:$O$1092,O132,$P$2:$P$1092,"Below Materiality",$M$2:$M$1092,M132,$A$2:$A$1092,"&lt;"&amp;A132)+1))</f>
        <v/>
      </c>
      <c r="T132" s="22"/>
      <c r="U132" s="21" t="str">
        <f aca="false">IF(R132="","",O132&amp;"|A|"&amp;R132)</f>
        <v/>
      </c>
      <c r="V132" s="21" t="str">
        <f aca="false">IF(S132="","",O132&amp;"|R|"&amp;S132)</f>
        <v/>
      </c>
    </row>
    <row r="133" customFormat="false" ht="15" hidden="false" customHeight="false" outlineLevel="0" collapsed="false">
      <c r="A133" s="18" t="n">
        <v>132</v>
      </c>
      <c r="B133" s="18"/>
      <c r="C133" s="18"/>
      <c r="D133" s="18"/>
      <c r="E133" s="18" t="s">
        <v>333</v>
      </c>
      <c r="F133" s="18" t="s">
        <v>334</v>
      </c>
      <c r="G133" s="18" t="s">
        <v>71</v>
      </c>
      <c r="H133" s="18" t="n">
        <v>5</v>
      </c>
      <c r="I133" s="19" t="n">
        <v>0</v>
      </c>
      <c r="J133" s="19" t="n">
        <v>500</v>
      </c>
      <c r="K133" s="19" t="n">
        <v>500</v>
      </c>
      <c r="L133" s="19" t="n">
        <v>0</v>
      </c>
      <c r="M133" s="19" t="n">
        <f aca="false">ABS(L133)</f>
        <v>0</v>
      </c>
      <c r="N133" s="18" t="str">
        <f aca="false">IF(L133=0,"Nil balance",IF(G133="AR file",IF(L133&gt;0,"Accounts Receivable","Customer Advances"),IF(L133&lt;0,"Accounts Payable","Supplier Advances")))</f>
        <v>Nil balance</v>
      </c>
      <c r="O133" s="18" t="str">
        <f aca="false">IF(L133=0,"Excluded",IF(Summary!$C$4="By ledger",IF(G133="AR file","Population 1","Population 2"),IF(L133&gt;0,"Population 1","Population 2")))</f>
        <v>Excluded</v>
      </c>
      <c r="P133" s="18" t="str">
        <f aca="false">IF(O133="Excluded","Excluded – nil closing balance",IF(M133&gt;Summary!$C$5,"Above Materiality","Below Materiality"))</f>
        <v>Excluded – nil closing balance</v>
      </c>
      <c r="Q133" s="20" t="str">
        <f aca="false">IF(P133="Below Materiality",T133,"")</f>
        <v/>
      </c>
      <c r="R133" s="21" t="str">
        <f aca="false">IF(P133="Above Materiality",COUNTIFS($O$2:$O$1092,O133,$P$2:$P$1092,"Above Materiality",$M$2:$M$1092,"&gt;"&amp;M133)+COUNTIFS($O$2:$O$1092,O133,$P$2:$P$1092,"Above Materiality",$M$2:$M$1092,M133,$A$2:$A$1092,"&lt;"&amp;A133)+1,"")</f>
        <v/>
      </c>
      <c r="S133" s="21" t="str">
        <f aca="false">IF(P133&lt;&gt;"Below Materiality","",IF(Summary!$C$9="Random",COUNTIFS($O$2:$O$1092,O133,$Q$2:$Q$1092,"&gt;"&amp;Q133)+1,COUNTIFS($O$2:$O$1092,O133,$P$2:$P$1092,"Below Materiality",$M$2:$M$1092,"&gt;"&amp;M133)+COUNTIFS($O$2:$O$1092,O133,$P$2:$P$1092,"Below Materiality",$M$2:$M$1092,M133,$A$2:$A$1092,"&lt;"&amp;A133)+1))</f>
        <v/>
      </c>
      <c r="T133" s="22"/>
      <c r="U133" s="21" t="str">
        <f aca="false">IF(R133="","",O133&amp;"|A|"&amp;R133)</f>
        <v/>
      </c>
      <c r="V133" s="21" t="str">
        <f aca="false">IF(S133="","",O133&amp;"|R|"&amp;S133)</f>
        <v/>
      </c>
    </row>
    <row r="134" customFormat="false" ht="15" hidden="false" customHeight="false" outlineLevel="0" collapsed="false">
      <c r="A134" s="18" t="n">
        <v>133</v>
      </c>
      <c r="B134" s="18"/>
      <c r="C134" s="18"/>
      <c r="D134" s="18"/>
      <c r="E134" s="18" t="s">
        <v>335</v>
      </c>
      <c r="F134" s="18" t="s">
        <v>336</v>
      </c>
      <c r="G134" s="18" t="s">
        <v>71</v>
      </c>
      <c r="H134" s="18" t="n">
        <v>6</v>
      </c>
      <c r="I134" s="19" t="n">
        <v>0</v>
      </c>
      <c r="J134" s="19" t="n">
        <v>1030</v>
      </c>
      <c r="K134" s="19" t="n">
        <v>1030</v>
      </c>
      <c r="L134" s="19" t="n">
        <v>0</v>
      </c>
      <c r="M134" s="19" t="n">
        <f aca="false">ABS(L134)</f>
        <v>0</v>
      </c>
      <c r="N134" s="18" t="str">
        <f aca="false">IF(L134=0,"Nil balance",IF(G134="AR file",IF(L134&gt;0,"Accounts Receivable","Customer Advances"),IF(L134&lt;0,"Accounts Payable","Supplier Advances")))</f>
        <v>Nil balance</v>
      </c>
      <c r="O134" s="18" t="str">
        <f aca="false">IF(L134=0,"Excluded",IF(Summary!$C$4="By ledger",IF(G134="AR file","Population 1","Population 2"),IF(L134&gt;0,"Population 1","Population 2")))</f>
        <v>Excluded</v>
      </c>
      <c r="P134" s="18" t="str">
        <f aca="false">IF(O134="Excluded","Excluded – nil closing balance",IF(M134&gt;Summary!$C$5,"Above Materiality","Below Materiality"))</f>
        <v>Excluded – nil closing balance</v>
      </c>
      <c r="Q134" s="20" t="str">
        <f aca="false">IF(P134="Below Materiality",T134,"")</f>
        <v/>
      </c>
      <c r="R134" s="21" t="str">
        <f aca="false">IF(P134="Above Materiality",COUNTIFS($O$2:$O$1092,O134,$P$2:$P$1092,"Above Materiality",$M$2:$M$1092,"&gt;"&amp;M134)+COUNTIFS($O$2:$O$1092,O134,$P$2:$P$1092,"Above Materiality",$M$2:$M$1092,M134,$A$2:$A$1092,"&lt;"&amp;A134)+1,"")</f>
        <v/>
      </c>
      <c r="S134" s="21" t="str">
        <f aca="false">IF(P134&lt;&gt;"Below Materiality","",IF(Summary!$C$9="Random",COUNTIFS($O$2:$O$1092,O134,$Q$2:$Q$1092,"&gt;"&amp;Q134)+1,COUNTIFS($O$2:$O$1092,O134,$P$2:$P$1092,"Below Materiality",$M$2:$M$1092,"&gt;"&amp;M134)+COUNTIFS($O$2:$O$1092,O134,$P$2:$P$1092,"Below Materiality",$M$2:$M$1092,M134,$A$2:$A$1092,"&lt;"&amp;A134)+1))</f>
        <v/>
      </c>
      <c r="T134" s="22"/>
      <c r="U134" s="21" t="str">
        <f aca="false">IF(R134="","",O134&amp;"|A|"&amp;R134)</f>
        <v/>
      </c>
      <c r="V134" s="21" t="str">
        <f aca="false">IF(S134="","",O134&amp;"|R|"&amp;S134)</f>
        <v/>
      </c>
    </row>
    <row r="135" customFormat="false" ht="15" hidden="false" customHeight="false" outlineLevel="0" collapsed="false">
      <c r="A135" s="18" t="n">
        <v>134</v>
      </c>
      <c r="B135" s="18"/>
      <c r="C135" s="18"/>
      <c r="D135" s="18"/>
      <c r="E135" s="18" t="s">
        <v>337</v>
      </c>
      <c r="F135" s="18" t="s">
        <v>338</v>
      </c>
      <c r="G135" s="18" t="s">
        <v>71</v>
      </c>
      <c r="H135" s="18" t="n">
        <v>7</v>
      </c>
      <c r="I135" s="19" t="n">
        <v>0</v>
      </c>
      <c r="J135" s="19" t="n">
        <v>6613.45</v>
      </c>
      <c r="K135" s="19" t="n">
        <v>6613.45</v>
      </c>
      <c r="L135" s="19" t="n">
        <v>0</v>
      </c>
      <c r="M135" s="19" t="n">
        <f aca="false">ABS(L135)</f>
        <v>0</v>
      </c>
      <c r="N135" s="18" t="str">
        <f aca="false">IF(L135=0,"Nil balance",IF(G135="AR file",IF(L135&gt;0,"Accounts Receivable","Customer Advances"),IF(L135&lt;0,"Accounts Payable","Supplier Advances")))</f>
        <v>Nil balance</v>
      </c>
      <c r="O135" s="18" t="str">
        <f aca="false">IF(L135=0,"Excluded",IF(Summary!$C$4="By ledger",IF(G135="AR file","Population 1","Population 2"),IF(L135&gt;0,"Population 1","Population 2")))</f>
        <v>Excluded</v>
      </c>
      <c r="P135" s="18" t="str">
        <f aca="false">IF(O135="Excluded","Excluded – nil closing balance",IF(M135&gt;Summary!$C$5,"Above Materiality","Below Materiality"))</f>
        <v>Excluded – nil closing balance</v>
      </c>
      <c r="Q135" s="20" t="str">
        <f aca="false">IF(P135="Below Materiality",T135,"")</f>
        <v/>
      </c>
      <c r="R135" s="21" t="str">
        <f aca="false">IF(P135="Above Materiality",COUNTIFS($O$2:$O$1092,O135,$P$2:$P$1092,"Above Materiality",$M$2:$M$1092,"&gt;"&amp;M135)+COUNTIFS($O$2:$O$1092,O135,$P$2:$P$1092,"Above Materiality",$M$2:$M$1092,M135,$A$2:$A$1092,"&lt;"&amp;A135)+1,"")</f>
        <v/>
      </c>
      <c r="S135" s="21" t="str">
        <f aca="false">IF(P135&lt;&gt;"Below Materiality","",IF(Summary!$C$9="Random",COUNTIFS($O$2:$O$1092,O135,$Q$2:$Q$1092,"&gt;"&amp;Q135)+1,COUNTIFS($O$2:$O$1092,O135,$P$2:$P$1092,"Below Materiality",$M$2:$M$1092,"&gt;"&amp;M135)+COUNTIFS($O$2:$O$1092,O135,$P$2:$P$1092,"Below Materiality",$M$2:$M$1092,M135,$A$2:$A$1092,"&lt;"&amp;A135)+1))</f>
        <v/>
      </c>
      <c r="T135" s="22"/>
      <c r="U135" s="21" t="str">
        <f aca="false">IF(R135="","",O135&amp;"|A|"&amp;R135)</f>
        <v/>
      </c>
      <c r="V135" s="21" t="str">
        <f aca="false">IF(S135="","",O135&amp;"|R|"&amp;S135)</f>
        <v/>
      </c>
    </row>
    <row r="136" customFormat="false" ht="15" hidden="false" customHeight="false" outlineLevel="0" collapsed="false">
      <c r="A136" s="18" t="n">
        <v>135</v>
      </c>
      <c r="B136" s="18"/>
      <c r="C136" s="18"/>
      <c r="D136" s="18"/>
      <c r="E136" s="18" t="s">
        <v>339</v>
      </c>
      <c r="F136" s="18" t="s">
        <v>340</v>
      </c>
      <c r="G136" s="18" t="s">
        <v>71</v>
      </c>
      <c r="H136" s="18" t="n">
        <v>8</v>
      </c>
      <c r="I136" s="19" t="n">
        <v>0</v>
      </c>
      <c r="J136" s="19" t="n">
        <v>690</v>
      </c>
      <c r="K136" s="19" t="n">
        <v>690</v>
      </c>
      <c r="L136" s="19" t="n">
        <v>0</v>
      </c>
      <c r="M136" s="19" t="n">
        <f aca="false">ABS(L136)</f>
        <v>0</v>
      </c>
      <c r="N136" s="18" t="str">
        <f aca="false">IF(L136=0,"Nil balance",IF(G136="AR file",IF(L136&gt;0,"Accounts Receivable","Customer Advances"),IF(L136&lt;0,"Accounts Payable","Supplier Advances")))</f>
        <v>Nil balance</v>
      </c>
      <c r="O136" s="18" t="str">
        <f aca="false">IF(L136=0,"Excluded",IF(Summary!$C$4="By ledger",IF(G136="AR file","Population 1","Population 2"),IF(L136&gt;0,"Population 1","Population 2")))</f>
        <v>Excluded</v>
      </c>
      <c r="P136" s="18" t="str">
        <f aca="false">IF(O136="Excluded","Excluded – nil closing balance",IF(M136&gt;Summary!$C$5,"Above Materiality","Below Materiality"))</f>
        <v>Excluded – nil closing balance</v>
      </c>
      <c r="Q136" s="20" t="str">
        <f aca="false">IF(P136="Below Materiality",T136,"")</f>
        <v/>
      </c>
      <c r="R136" s="21" t="str">
        <f aca="false">IF(P136="Above Materiality",COUNTIFS($O$2:$O$1092,O136,$P$2:$P$1092,"Above Materiality",$M$2:$M$1092,"&gt;"&amp;M136)+COUNTIFS($O$2:$O$1092,O136,$P$2:$P$1092,"Above Materiality",$M$2:$M$1092,M136,$A$2:$A$1092,"&lt;"&amp;A136)+1,"")</f>
        <v/>
      </c>
      <c r="S136" s="21" t="str">
        <f aca="false">IF(P136&lt;&gt;"Below Materiality","",IF(Summary!$C$9="Random",COUNTIFS($O$2:$O$1092,O136,$Q$2:$Q$1092,"&gt;"&amp;Q136)+1,COUNTIFS($O$2:$O$1092,O136,$P$2:$P$1092,"Below Materiality",$M$2:$M$1092,"&gt;"&amp;M136)+COUNTIFS($O$2:$O$1092,O136,$P$2:$P$1092,"Below Materiality",$M$2:$M$1092,M136,$A$2:$A$1092,"&lt;"&amp;A136)+1))</f>
        <v/>
      </c>
      <c r="T136" s="22"/>
      <c r="U136" s="21" t="str">
        <f aca="false">IF(R136="","",O136&amp;"|A|"&amp;R136)</f>
        <v/>
      </c>
      <c r="V136" s="21" t="str">
        <f aca="false">IF(S136="","",O136&amp;"|R|"&amp;S136)</f>
        <v/>
      </c>
    </row>
    <row r="137" customFormat="false" ht="15" hidden="false" customHeight="false" outlineLevel="0" collapsed="false">
      <c r="A137" s="18" t="n">
        <v>136</v>
      </c>
      <c r="B137" s="18"/>
      <c r="C137" s="18"/>
      <c r="D137" s="18"/>
      <c r="E137" s="18" t="s">
        <v>341</v>
      </c>
      <c r="F137" s="18" t="s">
        <v>342</v>
      </c>
      <c r="G137" s="18" t="s">
        <v>71</v>
      </c>
      <c r="H137" s="18" t="n">
        <v>9</v>
      </c>
      <c r="I137" s="19" t="n">
        <v>0</v>
      </c>
      <c r="J137" s="19" t="n">
        <v>13641.3</v>
      </c>
      <c r="K137" s="19" t="n">
        <v>13641.3</v>
      </c>
      <c r="L137" s="19" t="n">
        <v>0</v>
      </c>
      <c r="M137" s="19" t="n">
        <f aca="false">ABS(L137)</f>
        <v>0</v>
      </c>
      <c r="N137" s="18" t="str">
        <f aca="false">IF(L137=0,"Nil balance",IF(G137="AR file",IF(L137&gt;0,"Accounts Receivable","Customer Advances"),IF(L137&lt;0,"Accounts Payable","Supplier Advances")))</f>
        <v>Nil balance</v>
      </c>
      <c r="O137" s="18" t="str">
        <f aca="false">IF(L137=0,"Excluded",IF(Summary!$C$4="By ledger",IF(G137="AR file","Population 1","Population 2"),IF(L137&gt;0,"Population 1","Population 2")))</f>
        <v>Excluded</v>
      </c>
      <c r="P137" s="18" t="str">
        <f aca="false">IF(O137="Excluded","Excluded – nil closing balance",IF(M137&gt;Summary!$C$5,"Above Materiality","Below Materiality"))</f>
        <v>Excluded – nil closing balance</v>
      </c>
      <c r="Q137" s="20" t="str">
        <f aca="false">IF(P137="Below Materiality",T137,"")</f>
        <v/>
      </c>
      <c r="R137" s="21" t="str">
        <f aca="false">IF(P137="Above Materiality",COUNTIFS($O$2:$O$1092,O137,$P$2:$P$1092,"Above Materiality",$M$2:$M$1092,"&gt;"&amp;M137)+COUNTIFS($O$2:$O$1092,O137,$P$2:$P$1092,"Above Materiality",$M$2:$M$1092,M137,$A$2:$A$1092,"&lt;"&amp;A137)+1,"")</f>
        <v/>
      </c>
      <c r="S137" s="21" t="str">
        <f aca="false">IF(P137&lt;&gt;"Below Materiality","",IF(Summary!$C$9="Random",COUNTIFS($O$2:$O$1092,O137,$Q$2:$Q$1092,"&gt;"&amp;Q137)+1,COUNTIFS($O$2:$O$1092,O137,$P$2:$P$1092,"Below Materiality",$M$2:$M$1092,"&gt;"&amp;M137)+COUNTIFS($O$2:$O$1092,O137,$P$2:$P$1092,"Below Materiality",$M$2:$M$1092,M137,$A$2:$A$1092,"&lt;"&amp;A137)+1))</f>
        <v/>
      </c>
      <c r="T137" s="22"/>
      <c r="U137" s="21" t="str">
        <f aca="false">IF(R137="","",O137&amp;"|A|"&amp;R137)</f>
        <v/>
      </c>
      <c r="V137" s="21" t="str">
        <f aca="false">IF(S137="","",O137&amp;"|R|"&amp;S137)</f>
        <v/>
      </c>
    </row>
    <row r="138" customFormat="false" ht="15" hidden="false" customHeight="false" outlineLevel="0" collapsed="false">
      <c r="A138" s="18" t="n">
        <v>137</v>
      </c>
      <c r="B138" s="18"/>
      <c r="C138" s="18"/>
      <c r="D138" s="18"/>
      <c r="E138" s="18" t="s">
        <v>343</v>
      </c>
      <c r="F138" s="18" t="s">
        <v>344</v>
      </c>
      <c r="G138" s="18" t="s">
        <v>71</v>
      </c>
      <c r="H138" s="18" t="n">
        <v>10</v>
      </c>
      <c r="I138" s="19" t="n">
        <v>0</v>
      </c>
      <c r="J138" s="19" t="n">
        <v>2470.15</v>
      </c>
      <c r="K138" s="19" t="n">
        <v>2470.15</v>
      </c>
      <c r="L138" s="19" t="n">
        <v>0</v>
      </c>
      <c r="M138" s="19" t="n">
        <f aca="false">ABS(L138)</f>
        <v>0</v>
      </c>
      <c r="N138" s="18" t="str">
        <f aca="false">IF(L138=0,"Nil balance",IF(G138="AR file",IF(L138&gt;0,"Accounts Receivable","Customer Advances"),IF(L138&lt;0,"Accounts Payable","Supplier Advances")))</f>
        <v>Nil balance</v>
      </c>
      <c r="O138" s="18" t="str">
        <f aca="false">IF(L138=0,"Excluded",IF(Summary!$C$4="By ledger",IF(G138="AR file","Population 1","Population 2"),IF(L138&gt;0,"Population 1","Population 2")))</f>
        <v>Excluded</v>
      </c>
      <c r="P138" s="18" t="str">
        <f aca="false">IF(O138="Excluded","Excluded – nil closing balance",IF(M138&gt;Summary!$C$5,"Above Materiality","Below Materiality"))</f>
        <v>Excluded – nil closing balance</v>
      </c>
      <c r="Q138" s="20" t="str">
        <f aca="false">IF(P138="Below Materiality",T138,"")</f>
        <v/>
      </c>
      <c r="R138" s="21" t="str">
        <f aca="false">IF(P138="Above Materiality",COUNTIFS($O$2:$O$1092,O138,$P$2:$P$1092,"Above Materiality",$M$2:$M$1092,"&gt;"&amp;M138)+COUNTIFS($O$2:$O$1092,O138,$P$2:$P$1092,"Above Materiality",$M$2:$M$1092,M138,$A$2:$A$1092,"&lt;"&amp;A138)+1,"")</f>
        <v/>
      </c>
      <c r="S138" s="21" t="str">
        <f aca="false">IF(P138&lt;&gt;"Below Materiality","",IF(Summary!$C$9="Random",COUNTIFS($O$2:$O$1092,O138,$Q$2:$Q$1092,"&gt;"&amp;Q138)+1,COUNTIFS($O$2:$O$1092,O138,$P$2:$P$1092,"Below Materiality",$M$2:$M$1092,"&gt;"&amp;M138)+COUNTIFS($O$2:$O$1092,O138,$P$2:$P$1092,"Below Materiality",$M$2:$M$1092,M138,$A$2:$A$1092,"&lt;"&amp;A138)+1))</f>
        <v/>
      </c>
      <c r="T138" s="22"/>
      <c r="U138" s="21" t="str">
        <f aca="false">IF(R138="","",O138&amp;"|A|"&amp;R138)</f>
        <v/>
      </c>
      <c r="V138" s="21" t="str">
        <f aca="false">IF(S138="","",O138&amp;"|R|"&amp;S138)</f>
        <v/>
      </c>
    </row>
    <row r="139" customFormat="false" ht="15" hidden="false" customHeight="false" outlineLevel="0" collapsed="false">
      <c r="A139" s="18" t="n">
        <v>138</v>
      </c>
      <c r="B139" s="18"/>
      <c r="C139" s="18"/>
      <c r="D139" s="18"/>
      <c r="E139" s="18" t="s">
        <v>345</v>
      </c>
      <c r="F139" s="18" t="s">
        <v>346</v>
      </c>
      <c r="G139" s="18" t="s">
        <v>71</v>
      </c>
      <c r="H139" s="18" t="n">
        <v>12</v>
      </c>
      <c r="I139" s="19" t="n">
        <v>0</v>
      </c>
      <c r="J139" s="19" t="n">
        <v>5071.5</v>
      </c>
      <c r="K139" s="19" t="n">
        <v>5071.5</v>
      </c>
      <c r="L139" s="19" t="n">
        <v>0</v>
      </c>
      <c r="M139" s="19" t="n">
        <f aca="false">ABS(L139)</f>
        <v>0</v>
      </c>
      <c r="N139" s="18" t="str">
        <f aca="false">IF(L139=0,"Nil balance",IF(G139="AR file",IF(L139&gt;0,"Accounts Receivable","Customer Advances"),IF(L139&lt;0,"Accounts Payable","Supplier Advances")))</f>
        <v>Nil balance</v>
      </c>
      <c r="O139" s="18" t="str">
        <f aca="false">IF(L139=0,"Excluded",IF(Summary!$C$4="By ledger",IF(G139="AR file","Population 1","Population 2"),IF(L139&gt;0,"Population 1","Population 2")))</f>
        <v>Excluded</v>
      </c>
      <c r="P139" s="18" t="str">
        <f aca="false">IF(O139="Excluded","Excluded – nil closing balance",IF(M139&gt;Summary!$C$5,"Above Materiality","Below Materiality"))</f>
        <v>Excluded – nil closing balance</v>
      </c>
      <c r="Q139" s="20" t="str">
        <f aca="false">IF(P139="Below Materiality",T139,"")</f>
        <v/>
      </c>
      <c r="R139" s="21" t="str">
        <f aca="false">IF(P139="Above Materiality",COUNTIFS($O$2:$O$1092,O139,$P$2:$P$1092,"Above Materiality",$M$2:$M$1092,"&gt;"&amp;M139)+COUNTIFS($O$2:$O$1092,O139,$P$2:$P$1092,"Above Materiality",$M$2:$M$1092,M139,$A$2:$A$1092,"&lt;"&amp;A139)+1,"")</f>
        <v/>
      </c>
      <c r="S139" s="21" t="str">
        <f aca="false">IF(P139&lt;&gt;"Below Materiality","",IF(Summary!$C$9="Random",COUNTIFS($O$2:$O$1092,O139,$Q$2:$Q$1092,"&gt;"&amp;Q139)+1,COUNTIFS($O$2:$O$1092,O139,$P$2:$P$1092,"Below Materiality",$M$2:$M$1092,"&gt;"&amp;M139)+COUNTIFS($O$2:$O$1092,O139,$P$2:$P$1092,"Below Materiality",$M$2:$M$1092,M139,$A$2:$A$1092,"&lt;"&amp;A139)+1))</f>
        <v/>
      </c>
      <c r="T139" s="22"/>
      <c r="U139" s="21" t="str">
        <f aca="false">IF(R139="","",O139&amp;"|A|"&amp;R139)</f>
        <v/>
      </c>
      <c r="V139" s="21" t="str">
        <f aca="false">IF(S139="","",O139&amp;"|R|"&amp;S139)</f>
        <v/>
      </c>
    </row>
    <row r="140" customFormat="false" ht="15" hidden="false" customHeight="false" outlineLevel="0" collapsed="false">
      <c r="A140" s="18" t="n">
        <v>139</v>
      </c>
      <c r="B140" s="18"/>
      <c r="C140" s="18"/>
      <c r="D140" s="18"/>
      <c r="E140" s="18" t="s">
        <v>347</v>
      </c>
      <c r="F140" s="18" t="s">
        <v>348</v>
      </c>
      <c r="G140" s="18" t="s">
        <v>71</v>
      </c>
      <c r="H140" s="18" t="n">
        <v>13</v>
      </c>
      <c r="I140" s="19" t="n">
        <v>0</v>
      </c>
      <c r="J140" s="19" t="n">
        <v>35</v>
      </c>
      <c r="K140" s="19" t="n">
        <v>35</v>
      </c>
      <c r="L140" s="19" t="n">
        <v>0</v>
      </c>
      <c r="M140" s="19" t="n">
        <f aca="false">ABS(L140)</f>
        <v>0</v>
      </c>
      <c r="N140" s="18" t="str">
        <f aca="false">IF(L140=0,"Nil balance",IF(G140="AR file",IF(L140&gt;0,"Accounts Receivable","Customer Advances"),IF(L140&lt;0,"Accounts Payable","Supplier Advances")))</f>
        <v>Nil balance</v>
      </c>
      <c r="O140" s="18" t="str">
        <f aca="false">IF(L140=0,"Excluded",IF(Summary!$C$4="By ledger",IF(G140="AR file","Population 1","Population 2"),IF(L140&gt;0,"Population 1","Population 2")))</f>
        <v>Excluded</v>
      </c>
      <c r="P140" s="18" t="str">
        <f aca="false">IF(O140="Excluded","Excluded – nil closing balance",IF(M140&gt;Summary!$C$5,"Above Materiality","Below Materiality"))</f>
        <v>Excluded – nil closing balance</v>
      </c>
      <c r="Q140" s="20" t="str">
        <f aca="false">IF(P140="Below Materiality",T140,"")</f>
        <v/>
      </c>
      <c r="R140" s="21" t="str">
        <f aca="false">IF(P140="Above Materiality",COUNTIFS($O$2:$O$1092,O140,$P$2:$P$1092,"Above Materiality",$M$2:$M$1092,"&gt;"&amp;M140)+COUNTIFS($O$2:$O$1092,O140,$P$2:$P$1092,"Above Materiality",$M$2:$M$1092,M140,$A$2:$A$1092,"&lt;"&amp;A140)+1,"")</f>
        <v/>
      </c>
      <c r="S140" s="21" t="str">
        <f aca="false">IF(P140&lt;&gt;"Below Materiality","",IF(Summary!$C$9="Random",COUNTIFS($O$2:$O$1092,O140,$Q$2:$Q$1092,"&gt;"&amp;Q140)+1,COUNTIFS($O$2:$O$1092,O140,$P$2:$P$1092,"Below Materiality",$M$2:$M$1092,"&gt;"&amp;M140)+COUNTIFS($O$2:$O$1092,O140,$P$2:$P$1092,"Below Materiality",$M$2:$M$1092,M140,$A$2:$A$1092,"&lt;"&amp;A140)+1))</f>
        <v/>
      </c>
      <c r="T140" s="22"/>
      <c r="U140" s="21" t="str">
        <f aca="false">IF(R140="","",O140&amp;"|A|"&amp;R140)</f>
        <v/>
      </c>
      <c r="V140" s="21" t="str">
        <f aca="false">IF(S140="","",O140&amp;"|R|"&amp;S140)</f>
        <v/>
      </c>
    </row>
    <row r="141" customFormat="false" ht="15" hidden="false" customHeight="false" outlineLevel="0" collapsed="false">
      <c r="A141" s="18" t="n">
        <v>140</v>
      </c>
      <c r="B141" s="18"/>
      <c r="C141" s="18"/>
      <c r="D141" s="18"/>
      <c r="E141" s="18" t="s">
        <v>349</v>
      </c>
      <c r="F141" s="18" t="s">
        <v>350</v>
      </c>
      <c r="G141" s="18" t="s">
        <v>71</v>
      </c>
      <c r="H141" s="18" t="n">
        <v>14</v>
      </c>
      <c r="I141" s="19" t="n">
        <v>0</v>
      </c>
      <c r="J141" s="19" t="n">
        <v>348577.11</v>
      </c>
      <c r="K141" s="19" t="n">
        <v>348577.11</v>
      </c>
      <c r="L141" s="19" t="n">
        <v>0</v>
      </c>
      <c r="M141" s="19" t="n">
        <f aca="false">ABS(L141)</f>
        <v>0</v>
      </c>
      <c r="N141" s="18" t="str">
        <f aca="false">IF(L141=0,"Nil balance",IF(G141="AR file",IF(L141&gt;0,"Accounts Receivable","Customer Advances"),IF(L141&lt;0,"Accounts Payable","Supplier Advances")))</f>
        <v>Nil balance</v>
      </c>
      <c r="O141" s="18" t="str">
        <f aca="false">IF(L141=0,"Excluded",IF(Summary!$C$4="By ledger",IF(G141="AR file","Population 1","Population 2"),IF(L141&gt;0,"Population 1","Population 2")))</f>
        <v>Excluded</v>
      </c>
      <c r="P141" s="18" t="str">
        <f aca="false">IF(O141="Excluded","Excluded – nil closing balance",IF(M141&gt;Summary!$C$5,"Above Materiality","Below Materiality"))</f>
        <v>Excluded – nil closing balance</v>
      </c>
      <c r="Q141" s="20" t="str">
        <f aca="false">IF(P141="Below Materiality",T141,"")</f>
        <v/>
      </c>
      <c r="R141" s="21" t="str">
        <f aca="false">IF(P141="Above Materiality",COUNTIFS($O$2:$O$1092,O141,$P$2:$P$1092,"Above Materiality",$M$2:$M$1092,"&gt;"&amp;M141)+COUNTIFS($O$2:$O$1092,O141,$P$2:$P$1092,"Above Materiality",$M$2:$M$1092,M141,$A$2:$A$1092,"&lt;"&amp;A141)+1,"")</f>
        <v/>
      </c>
      <c r="S141" s="21" t="str">
        <f aca="false">IF(P141&lt;&gt;"Below Materiality","",IF(Summary!$C$9="Random",COUNTIFS($O$2:$O$1092,O141,$Q$2:$Q$1092,"&gt;"&amp;Q141)+1,COUNTIFS($O$2:$O$1092,O141,$P$2:$P$1092,"Below Materiality",$M$2:$M$1092,"&gt;"&amp;M141)+COUNTIFS($O$2:$O$1092,O141,$P$2:$P$1092,"Below Materiality",$M$2:$M$1092,M141,$A$2:$A$1092,"&lt;"&amp;A141)+1))</f>
        <v/>
      </c>
      <c r="T141" s="22"/>
      <c r="U141" s="21" t="str">
        <f aca="false">IF(R141="","",O141&amp;"|A|"&amp;R141)</f>
        <v/>
      </c>
      <c r="V141" s="21" t="str">
        <f aca="false">IF(S141="","",O141&amp;"|R|"&amp;S141)</f>
        <v/>
      </c>
    </row>
    <row r="142" customFormat="false" ht="15" hidden="false" customHeight="false" outlineLevel="0" collapsed="false">
      <c r="A142" s="18" t="n">
        <v>141</v>
      </c>
      <c r="B142" s="18"/>
      <c r="C142" s="18"/>
      <c r="D142" s="18"/>
      <c r="E142" s="18" t="s">
        <v>351</v>
      </c>
      <c r="F142" s="18" t="s">
        <v>352</v>
      </c>
      <c r="G142" s="18" t="s">
        <v>71</v>
      </c>
      <c r="H142" s="18" t="n">
        <v>15</v>
      </c>
      <c r="I142" s="19" t="n">
        <v>0</v>
      </c>
      <c r="J142" s="19" t="n">
        <v>1803.75</v>
      </c>
      <c r="K142" s="19" t="n">
        <v>1803.75</v>
      </c>
      <c r="L142" s="19" t="n">
        <v>0</v>
      </c>
      <c r="M142" s="19" t="n">
        <f aca="false">ABS(L142)</f>
        <v>0</v>
      </c>
      <c r="N142" s="18" t="str">
        <f aca="false">IF(L142=0,"Nil balance",IF(G142="AR file",IF(L142&gt;0,"Accounts Receivable","Customer Advances"),IF(L142&lt;0,"Accounts Payable","Supplier Advances")))</f>
        <v>Nil balance</v>
      </c>
      <c r="O142" s="18" t="str">
        <f aca="false">IF(L142=0,"Excluded",IF(Summary!$C$4="By ledger",IF(G142="AR file","Population 1","Population 2"),IF(L142&gt;0,"Population 1","Population 2")))</f>
        <v>Excluded</v>
      </c>
      <c r="P142" s="18" t="str">
        <f aca="false">IF(O142="Excluded","Excluded – nil closing balance",IF(M142&gt;Summary!$C$5,"Above Materiality","Below Materiality"))</f>
        <v>Excluded – nil closing balance</v>
      </c>
      <c r="Q142" s="20" t="str">
        <f aca="false">IF(P142="Below Materiality",T142,"")</f>
        <v/>
      </c>
      <c r="R142" s="21" t="str">
        <f aca="false">IF(P142="Above Materiality",COUNTIFS($O$2:$O$1092,O142,$P$2:$P$1092,"Above Materiality",$M$2:$M$1092,"&gt;"&amp;M142)+COUNTIFS($O$2:$O$1092,O142,$P$2:$P$1092,"Above Materiality",$M$2:$M$1092,M142,$A$2:$A$1092,"&lt;"&amp;A142)+1,"")</f>
        <v/>
      </c>
      <c r="S142" s="21" t="str">
        <f aca="false">IF(P142&lt;&gt;"Below Materiality","",IF(Summary!$C$9="Random",COUNTIFS($O$2:$O$1092,O142,$Q$2:$Q$1092,"&gt;"&amp;Q142)+1,COUNTIFS($O$2:$O$1092,O142,$P$2:$P$1092,"Below Materiality",$M$2:$M$1092,"&gt;"&amp;M142)+COUNTIFS($O$2:$O$1092,O142,$P$2:$P$1092,"Below Materiality",$M$2:$M$1092,M142,$A$2:$A$1092,"&lt;"&amp;A142)+1))</f>
        <v/>
      </c>
      <c r="T142" s="22"/>
      <c r="U142" s="21" t="str">
        <f aca="false">IF(R142="","",O142&amp;"|A|"&amp;R142)</f>
        <v/>
      </c>
      <c r="V142" s="21" t="str">
        <f aca="false">IF(S142="","",O142&amp;"|R|"&amp;S142)</f>
        <v/>
      </c>
    </row>
    <row r="143" customFormat="false" ht="15" hidden="false" customHeight="false" outlineLevel="0" collapsed="false">
      <c r="A143" s="18" t="n">
        <v>142</v>
      </c>
      <c r="B143" s="18"/>
      <c r="C143" s="18"/>
      <c r="D143" s="18"/>
      <c r="E143" s="18" t="s">
        <v>353</v>
      </c>
      <c r="F143" s="18" t="s">
        <v>354</v>
      </c>
      <c r="G143" s="18" t="s">
        <v>71</v>
      </c>
      <c r="H143" s="18" t="n">
        <v>16</v>
      </c>
      <c r="I143" s="19" t="n">
        <v>0</v>
      </c>
      <c r="J143" s="19" t="n">
        <v>8818</v>
      </c>
      <c r="K143" s="19" t="n">
        <v>8818</v>
      </c>
      <c r="L143" s="19" t="n">
        <v>0</v>
      </c>
      <c r="M143" s="19" t="n">
        <f aca="false">ABS(L143)</f>
        <v>0</v>
      </c>
      <c r="N143" s="18" t="str">
        <f aca="false">IF(L143=0,"Nil balance",IF(G143="AR file",IF(L143&gt;0,"Accounts Receivable","Customer Advances"),IF(L143&lt;0,"Accounts Payable","Supplier Advances")))</f>
        <v>Nil balance</v>
      </c>
      <c r="O143" s="18" t="str">
        <f aca="false">IF(L143=0,"Excluded",IF(Summary!$C$4="By ledger",IF(G143="AR file","Population 1","Population 2"),IF(L143&gt;0,"Population 1","Population 2")))</f>
        <v>Excluded</v>
      </c>
      <c r="P143" s="18" t="str">
        <f aca="false">IF(O143="Excluded","Excluded – nil closing balance",IF(M143&gt;Summary!$C$5,"Above Materiality","Below Materiality"))</f>
        <v>Excluded – nil closing balance</v>
      </c>
      <c r="Q143" s="20" t="str">
        <f aca="false">IF(P143="Below Materiality",T143,"")</f>
        <v/>
      </c>
      <c r="R143" s="21" t="str">
        <f aca="false">IF(P143="Above Materiality",COUNTIFS($O$2:$O$1092,O143,$P$2:$P$1092,"Above Materiality",$M$2:$M$1092,"&gt;"&amp;M143)+COUNTIFS($O$2:$O$1092,O143,$P$2:$P$1092,"Above Materiality",$M$2:$M$1092,M143,$A$2:$A$1092,"&lt;"&amp;A143)+1,"")</f>
        <v/>
      </c>
      <c r="S143" s="21" t="str">
        <f aca="false">IF(P143&lt;&gt;"Below Materiality","",IF(Summary!$C$9="Random",COUNTIFS($O$2:$O$1092,O143,$Q$2:$Q$1092,"&gt;"&amp;Q143)+1,COUNTIFS($O$2:$O$1092,O143,$P$2:$P$1092,"Below Materiality",$M$2:$M$1092,"&gt;"&amp;M143)+COUNTIFS($O$2:$O$1092,O143,$P$2:$P$1092,"Below Materiality",$M$2:$M$1092,M143,$A$2:$A$1092,"&lt;"&amp;A143)+1))</f>
        <v/>
      </c>
      <c r="T143" s="22"/>
      <c r="U143" s="21" t="str">
        <f aca="false">IF(R143="","",O143&amp;"|A|"&amp;R143)</f>
        <v/>
      </c>
      <c r="V143" s="21" t="str">
        <f aca="false">IF(S143="","",O143&amp;"|R|"&amp;S143)</f>
        <v/>
      </c>
    </row>
    <row r="144" customFormat="false" ht="15" hidden="false" customHeight="false" outlineLevel="0" collapsed="false">
      <c r="A144" s="18" t="n">
        <v>143</v>
      </c>
      <c r="B144" s="18"/>
      <c r="C144" s="18"/>
      <c r="D144" s="18"/>
      <c r="E144" s="18" t="s">
        <v>355</v>
      </c>
      <c r="F144" s="18" t="s">
        <v>356</v>
      </c>
      <c r="G144" s="18" t="s">
        <v>71</v>
      </c>
      <c r="H144" s="18" t="n">
        <v>17</v>
      </c>
      <c r="I144" s="19" t="n">
        <v>0</v>
      </c>
      <c r="J144" s="19" t="n">
        <v>26102.9</v>
      </c>
      <c r="K144" s="19" t="n">
        <v>26102.9</v>
      </c>
      <c r="L144" s="19" t="n">
        <v>0</v>
      </c>
      <c r="M144" s="19" t="n">
        <f aca="false">ABS(L144)</f>
        <v>0</v>
      </c>
      <c r="N144" s="18" t="str">
        <f aca="false">IF(L144=0,"Nil balance",IF(G144="AR file",IF(L144&gt;0,"Accounts Receivable","Customer Advances"),IF(L144&lt;0,"Accounts Payable","Supplier Advances")))</f>
        <v>Nil balance</v>
      </c>
      <c r="O144" s="18" t="str">
        <f aca="false">IF(L144=0,"Excluded",IF(Summary!$C$4="By ledger",IF(G144="AR file","Population 1","Population 2"),IF(L144&gt;0,"Population 1","Population 2")))</f>
        <v>Excluded</v>
      </c>
      <c r="P144" s="18" t="str">
        <f aca="false">IF(O144="Excluded","Excluded – nil closing balance",IF(M144&gt;Summary!$C$5,"Above Materiality","Below Materiality"))</f>
        <v>Excluded – nil closing balance</v>
      </c>
      <c r="Q144" s="20" t="str">
        <f aca="false">IF(P144="Below Materiality",T144,"")</f>
        <v/>
      </c>
      <c r="R144" s="21" t="str">
        <f aca="false">IF(P144="Above Materiality",COUNTIFS($O$2:$O$1092,O144,$P$2:$P$1092,"Above Materiality",$M$2:$M$1092,"&gt;"&amp;M144)+COUNTIFS($O$2:$O$1092,O144,$P$2:$P$1092,"Above Materiality",$M$2:$M$1092,M144,$A$2:$A$1092,"&lt;"&amp;A144)+1,"")</f>
        <v/>
      </c>
      <c r="S144" s="21" t="str">
        <f aca="false">IF(P144&lt;&gt;"Below Materiality","",IF(Summary!$C$9="Random",COUNTIFS($O$2:$O$1092,O144,$Q$2:$Q$1092,"&gt;"&amp;Q144)+1,COUNTIFS($O$2:$O$1092,O144,$P$2:$P$1092,"Below Materiality",$M$2:$M$1092,"&gt;"&amp;M144)+COUNTIFS($O$2:$O$1092,O144,$P$2:$P$1092,"Below Materiality",$M$2:$M$1092,M144,$A$2:$A$1092,"&lt;"&amp;A144)+1))</f>
        <v/>
      </c>
      <c r="T144" s="22"/>
      <c r="U144" s="21" t="str">
        <f aca="false">IF(R144="","",O144&amp;"|A|"&amp;R144)</f>
        <v/>
      </c>
      <c r="V144" s="21" t="str">
        <f aca="false">IF(S144="","",O144&amp;"|R|"&amp;S144)</f>
        <v/>
      </c>
    </row>
    <row r="145" customFormat="false" ht="15" hidden="false" customHeight="false" outlineLevel="0" collapsed="false">
      <c r="A145" s="18" t="n">
        <v>144</v>
      </c>
      <c r="B145" s="18"/>
      <c r="C145" s="18"/>
      <c r="D145" s="18"/>
      <c r="E145" s="18" t="s">
        <v>357</v>
      </c>
      <c r="F145" s="18" t="s">
        <v>358</v>
      </c>
      <c r="G145" s="18" t="s">
        <v>71</v>
      </c>
      <c r="H145" s="18" t="n">
        <v>18</v>
      </c>
      <c r="I145" s="19" t="n">
        <v>0</v>
      </c>
      <c r="J145" s="19" t="n">
        <v>20718.65</v>
      </c>
      <c r="K145" s="19" t="n">
        <v>20718.65</v>
      </c>
      <c r="L145" s="19" t="n">
        <v>0</v>
      </c>
      <c r="M145" s="19" t="n">
        <f aca="false">ABS(L145)</f>
        <v>0</v>
      </c>
      <c r="N145" s="18" t="str">
        <f aca="false">IF(L145=0,"Nil balance",IF(G145="AR file",IF(L145&gt;0,"Accounts Receivable","Customer Advances"),IF(L145&lt;0,"Accounts Payable","Supplier Advances")))</f>
        <v>Nil balance</v>
      </c>
      <c r="O145" s="18" t="str">
        <f aca="false">IF(L145=0,"Excluded",IF(Summary!$C$4="By ledger",IF(G145="AR file","Population 1","Population 2"),IF(L145&gt;0,"Population 1","Population 2")))</f>
        <v>Excluded</v>
      </c>
      <c r="P145" s="18" t="str">
        <f aca="false">IF(O145="Excluded","Excluded – nil closing balance",IF(M145&gt;Summary!$C$5,"Above Materiality","Below Materiality"))</f>
        <v>Excluded – nil closing balance</v>
      </c>
      <c r="Q145" s="20" t="str">
        <f aca="false">IF(P145="Below Materiality",T145,"")</f>
        <v/>
      </c>
      <c r="R145" s="21" t="str">
        <f aca="false">IF(P145="Above Materiality",COUNTIFS($O$2:$O$1092,O145,$P$2:$P$1092,"Above Materiality",$M$2:$M$1092,"&gt;"&amp;M145)+COUNTIFS($O$2:$O$1092,O145,$P$2:$P$1092,"Above Materiality",$M$2:$M$1092,M145,$A$2:$A$1092,"&lt;"&amp;A145)+1,"")</f>
        <v/>
      </c>
      <c r="S145" s="21" t="str">
        <f aca="false">IF(P145&lt;&gt;"Below Materiality","",IF(Summary!$C$9="Random",COUNTIFS($O$2:$O$1092,O145,$Q$2:$Q$1092,"&gt;"&amp;Q145)+1,COUNTIFS($O$2:$O$1092,O145,$P$2:$P$1092,"Below Materiality",$M$2:$M$1092,"&gt;"&amp;M145)+COUNTIFS($O$2:$O$1092,O145,$P$2:$P$1092,"Below Materiality",$M$2:$M$1092,M145,$A$2:$A$1092,"&lt;"&amp;A145)+1))</f>
        <v/>
      </c>
      <c r="T145" s="22"/>
      <c r="U145" s="21" t="str">
        <f aca="false">IF(R145="","",O145&amp;"|A|"&amp;R145)</f>
        <v/>
      </c>
      <c r="V145" s="21" t="str">
        <f aca="false">IF(S145="","",O145&amp;"|R|"&amp;S145)</f>
        <v/>
      </c>
    </row>
    <row r="146" customFormat="false" ht="15" hidden="false" customHeight="false" outlineLevel="0" collapsed="false">
      <c r="A146" s="18" t="n">
        <v>145</v>
      </c>
      <c r="B146" s="18"/>
      <c r="C146" s="18"/>
      <c r="D146" s="18"/>
      <c r="E146" s="18" t="s">
        <v>359</v>
      </c>
      <c r="F146" s="18" t="s">
        <v>360</v>
      </c>
      <c r="G146" s="18" t="s">
        <v>71</v>
      </c>
      <c r="H146" s="18" t="n">
        <v>19</v>
      </c>
      <c r="I146" s="19" t="n">
        <v>0</v>
      </c>
      <c r="J146" s="19" t="n">
        <v>6180.6</v>
      </c>
      <c r="K146" s="19" t="n">
        <v>6180.6</v>
      </c>
      <c r="L146" s="19" t="n">
        <v>0</v>
      </c>
      <c r="M146" s="19" t="n">
        <f aca="false">ABS(L146)</f>
        <v>0</v>
      </c>
      <c r="N146" s="18" t="str">
        <f aca="false">IF(L146=0,"Nil balance",IF(G146="AR file",IF(L146&gt;0,"Accounts Receivable","Customer Advances"),IF(L146&lt;0,"Accounts Payable","Supplier Advances")))</f>
        <v>Nil balance</v>
      </c>
      <c r="O146" s="18" t="str">
        <f aca="false">IF(L146=0,"Excluded",IF(Summary!$C$4="By ledger",IF(G146="AR file","Population 1","Population 2"),IF(L146&gt;0,"Population 1","Population 2")))</f>
        <v>Excluded</v>
      </c>
      <c r="P146" s="18" t="str">
        <f aca="false">IF(O146="Excluded","Excluded – nil closing balance",IF(M146&gt;Summary!$C$5,"Above Materiality","Below Materiality"))</f>
        <v>Excluded – nil closing balance</v>
      </c>
      <c r="Q146" s="20" t="str">
        <f aca="false">IF(P146="Below Materiality",T146,"")</f>
        <v/>
      </c>
      <c r="R146" s="21" t="str">
        <f aca="false">IF(P146="Above Materiality",COUNTIFS($O$2:$O$1092,O146,$P$2:$P$1092,"Above Materiality",$M$2:$M$1092,"&gt;"&amp;M146)+COUNTIFS($O$2:$O$1092,O146,$P$2:$P$1092,"Above Materiality",$M$2:$M$1092,M146,$A$2:$A$1092,"&lt;"&amp;A146)+1,"")</f>
        <v/>
      </c>
      <c r="S146" s="21" t="str">
        <f aca="false">IF(P146&lt;&gt;"Below Materiality","",IF(Summary!$C$9="Random",COUNTIFS($O$2:$O$1092,O146,$Q$2:$Q$1092,"&gt;"&amp;Q146)+1,COUNTIFS($O$2:$O$1092,O146,$P$2:$P$1092,"Below Materiality",$M$2:$M$1092,"&gt;"&amp;M146)+COUNTIFS($O$2:$O$1092,O146,$P$2:$P$1092,"Below Materiality",$M$2:$M$1092,M146,$A$2:$A$1092,"&lt;"&amp;A146)+1))</f>
        <v/>
      </c>
      <c r="T146" s="22"/>
      <c r="U146" s="21" t="str">
        <f aca="false">IF(R146="","",O146&amp;"|A|"&amp;R146)</f>
        <v/>
      </c>
      <c r="V146" s="21" t="str">
        <f aca="false">IF(S146="","",O146&amp;"|R|"&amp;S146)</f>
        <v/>
      </c>
    </row>
    <row r="147" customFormat="false" ht="15" hidden="false" customHeight="false" outlineLevel="0" collapsed="false">
      <c r="A147" s="18" t="n">
        <v>146</v>
      </c>
      <c r="B147" s="18"/>
      <c r="C147" s="18"/>
      <c r="D147" s="18"/>
      <c r="E147" s="18" t="s">
        <v>361</v>
      </c>
      <c r="F147" s="18" t="s">
        <v>362</v>
      </c>
      <c r="G147" s="18" t="s">
        <v>71</v>
      </c>
      <c r="H147" s="18" t="n">
        <v>20</v>
      </c>
      <c r="I147" s="19" t="n">
        <v>0</v>
      </c>
      <c r="J147" s="19" t="n">
        <v>143.75</v>
      </c>
      <c r="K147" s="19" t="n">
        <v>143.75</v>
      </c>
      <c r="L147" s="19" t="n">
        <v>0</v>
      </c>
      <c r="M147" s="19" t="n">
        <f aca="false">ABS(L147)</f>
        <v>0</v>
      </c>
      <c r="N147" s="18" t="str">
        <f aca="false">IF(L147=0,"Nil balance",IF(G147="AR file",IF(L147&gt;0,"Accounts Receivable","Customer Advances"),IF(L147&lt;0,"Accounts Payable","Supplier Advances")))</f>
        <v>Nil balance</v>
      </c>
      <c r="O147" s="18" t="str">
        <f aca="false">IF(L147=0,"Excluded",IF(Summary!$C$4="By ledger",IF(G147="AR file","Population 1","Population 2"),IF(L147&gt;0,"Population 1","Population 2")))</f>
        <v>Excluded</v>
      </c>
      <c r="P147" s="18" t="str">
        <f aca="false">IF(O147="Excluded","Excluded – nil closing balance",IF(M147&gt;Summary!$C$5,"Above Materiality","Below Materiality"))</f>
        <v>Excluded – nil closing balance</v>
      </c>
      <c r="Q147" s="20" t="str">
        <f aca="false">IF(P147="Below Materiality",T147,"")</f>
        <v/>
      </c>
      <c r="R147" s="21" t="str">
        <f aca="false">IF(P147="Above Materiality",COUNTIFS($O$2:$O$1092,O147,$P$2:$P$1092,"Above Materiality",$M$2:$M$1092,"&gt;"&amp;M147)+COUNTIFS($O$2:$O$1092,O147,$P$2:$P$1092,"Above Materiality",$M$2:$M$1092,M147,$A$2:$A$1092,"&lt;"&amp;A147)+1,"")</f>
        <v/>
      </c>
      <c r="S147" s="21" t="str">
        <f aca="false">IF(P147&lt;&gt;"Below Materiality","",IF(Summary!$C$9="Random",COUNTIFS($O$2:$O$1092,O147,$Q$2:$Q$1092,"&gt;"&amp;Q147)+1,COUNTIFS($O$2:$O$1092,O147,$P$2:$P$1092,"Below Materiality",$M$2:$M$1092,"&gt;"&amp;M147)+COUNTIFS($O$2:$O$1092,O147,$P$2:$P$1092,"Below Materiality",$M$2:$M$1092,M147,$A$2:$A$1092,"&lt;"&amp;A147)+1))</f>
        <v/>
      </c>
      <c r="T147" s="22"/>
      <c r="U147" s="21" t="str">
        <f aca="false">IF(R147="","",O147&amp;"|A|"&amp;R147)</f>
        <v/>
      </c>
      <c r="V147" s="21" t="str">
        <f aca="false">IF(S147="","",O147&amp;"|R|"&amp;S147)</f>
        <v/>
      </c>
    </row>
    <row r="148" customFormat="false" ht="15" hidden="false" customHeight="false" outlineLevel="0" collapsed="false">
      <c r="A148" s="18" t="n">
        <v>147</v>
      </c>
      <c r="B148" s="18"/>
      <c r="C148" s="18"/>
      <c r="D148" s="18"/>
      <c r="E148" s="18" t="s">
        <v>363</v>
      </c>
      <c r="F148" s="18" t="s">
        <v>364</v>
      </c>
      <c r="G148" s="18" t="s">
        <v>71</v>
      </c>
      <c r="H148" s="18" t="n">
        <v>21</v>
      </c>
      <c r="I148" s="19" t="n">
        <v>0</v>
      </c>
      <c r="J148" s="19" t="n">
        <v>175</v>
      </c>
      <c r="K148" s="19" t="n">
        <v>175</v>
      </c>
      <c r="L148" s="19" t="n">
        <v>0</v>
      </c>
      <c r="M148" s="19" t="n">
        <f aca="false">ABS(L148)</f>
        <v>0</v>
      </c>
      <c r="N148" s="18" t="str">
        <f aca="false">IF(L148=0,"Nil balance",IF(G148="AR file",IF(L148&gt;0,"Accounts Receivable","Customer Advances"),IF(L148&lt;0,"Accounts Payable","Supplier Advances")))</f>
        <v>Nil balance</v>
      </c>
      <c r="O148" s="18" t="str">
        <f aca="false">IF(L148=0,"Excluded",IF(Summary!$C$4="By ledger",IF(G148="AR file","Population 1","Population 2"),IF(L148&gt;0,"Population 1","Population 2")))</f>
        <v>Excluded</v>
      </c>
      <c r="P148" s="18" t="str">
        <f aca="false">IF(O148="Excluded","Excluded – nil closing balance",IF(M148&gt;Summary!$C$5,"Above Materiality","Below Materiality"))</f>
        <v>Excluded – nil closing balance</v>
      </c>
      <c r="Q148" s="20" t="str">
        <f aca="false">IF(P148="Below Materiality",T148,"")</f>
        <v/>
      </c>
      <c r="R148" s="21" t="str">
        <f aca="false">IF(P148="Above Materiality",COUNTIFS($O$2:$O$1092,O148,$P$2:$P$1092,"Above Materiality",$M$2:$M$1092,"&gt;"&amp;M148)+COUNTIFS($O$2:$O$1092,O148,$P$2:$P$1092,"Above Materiality",$M$2:$M$1092,M148,$A$2:$A$1092,"&lt;"&amp;A148)+1,"")</f>
        <v/>
      </c>
      <c r="S148" s="21" t="str">
        <f aca="false">IF(P148&lt;&gt;"Below Materiality","",IF(Summary!$C$9="Random",COUNTIFS($O$2:$O$1092,O148,$Q$2:$Q$1092,"&gt;"&amp;Q148)+1,COUNTIFS($O$2:$O$1092,O148,$P$2:$P$1092,"Below Materiality",$M$2:$M$1092,"&gt;"&amp;M148)+COUNTIFS($O$2:$O$1092,O148,$P$2:$P$1092,"Below Materiality",$M$2:$M$1092,M148,$A$2:$A$1092,"&lt;"&amp;A148)+1))</f>
        <v/>
      </c>
      <c r="T148" s="22"/>
      <c r="U148" s="21" t="str">
        <f aca="false">IF(R148="","",O148&amp;"|A|"&amp;R148)</f>
        <v/>
      </c>
      <c r="V148" s="21" t="str">
        <f aca="false">IF(S148="","",O148&amp;"|R|"&amp;S148)</f>
        <v/>
      </c>
    </row>
    <row r="149" customFormat="false" ht="15" hidden="false" customHeight="false" outlineLevel="0" collapsed="false">
      <c r="A149" s="18" t="n">
        <v>148</v>
      </c>
      <c r="B149" s="18"/>
      <c r="C149" s="18"/>
      <c r="D149" s="18"/>
      <c r="E149" s="18" t="s">
        <v>365</v>
      </c>
      <c r="F149" s="18" t="s">
        <v>366</v>
      </c>
      <c r="G149" s="18" t="s">
        <v>71</v>
      </c>
      <c r="H149" s="18" t="n">
        <v>22</v>
      </c>
      <c r="I149" s="19" t="n">
        <v>0</v>
      </c>
      <c r="J149" s="19" t="n">
        <v>100</v>
      </c>
      <c r="K149" s="19" t="n">
        <v>100</v>
      </c>
      <c r="L149" s="19" t="n">
        <v>0</v>
      </c>
      <c r="M149" s="19" t="n">
        <f aca="false">ABS(L149)</f>
        <v>0</v>
      </c>
      <c r="N149" s="18" t="str">
        <f aca="false">IF(L149=0,"Nil balance",IF(G149="AR file",IF(L149&gt;0,"Accounts Receivable","Customer Advances"),IF(L149&lt;0,"Accounts Payable","Supplier Advances")))</f>
        <v>Nil balance</v>
      </c>
      <c r="O149" s="18" t="str">
        <f aca="false">IF(L149=0,"Excluded",IF(Summary!$C$4="By ledger",IF(G149="AR file","Population 1","Population 2"),IF(L149&gt;0,"Population 1","Population 2")))</f>
        <v>Excluded</v>
      </c>
      <c r="P149" s="18" t="str">
        <f aca="false">IF(O149="Excluded","Excluded – nil closing balance",IF(M149&gt;Summary!$C$5,"Above Materiality","Below Materiality"))</f>
        <v>Excluded – nil closing balance</v>
      </c>
      <c r="Q149" s="20" t="str">
        <f aca="false">IF(P149="Below Materiality",T149,"")</f>
        <v/>
      </c>
      <c r="R149" s="21" t="str">
        <f aca="false">IF(P149="Above Materiality",COUNTIFS($O$2:$O$1092,O149,$P$2:$P$1092,"Above Materiality",$M$2:$M$1092,"&gt;"&amp;M149)+COUNTIFS($O$2:$O$1092,O149,$P$2:$P$1092,"Above Materiality",$M$2:$M$1092,M149,$A$2:$A$1092,"&lt;"&amp;A149)+1,"")</f>
        <v/>
      </c>
      <c r="S149" s="21" t="str">
        <f aca="false">IF(P149&lt;&gt;"Below Materiality","",IF(Summary!$C$9="Random",COUNTIFS($O$2:$O$1092,O149,$Q$2:$Q$1092,"&gt;"&amp;Q149)+1,COUNTIFS($O$2:$O$1092,O149,$P$2:$P$1092,"Below Materiality",$M$2:$M$1092,"&gt;"&amp;M149)+COUNTIFS($O$2:$O$1092,O149,$P$2:$P$1092,"Below Materiality",$M$2:$M$1092,M149,$A$2:$A$1092,"&lt;"&amp;A149)+1))</f>
        <v/>
      </c>
      <c r="T149" s="22"/>
      <c r="U149" s="21" t="str">
        <f aca="false">IF(R149="","",O149&amp;"|A|"&amp;R149)</f>
        <v/>
      </c>
      <c r="V149" s="21" t="str">
        <f aca="false">IF(S149="","",O149&amp;"|R|"&amp;S149)</f>
        <v/>
      </c>
    </row>
    <row r="150" customFormat="false" ht="15" hidden="false" customHeight="false" outlineLevel="0" collapsed="false">
      <c r="A150" s="18" t="n">
        <v>149</v>
      </c>
      <c r="B150" s="18"/>
      <c r="C150" s="18"/>
      <c r="D150" s="18"/>
      <c r="E150" s="18" t="s">
        <v>367</v>
      </c>
      <c r="F150" s="18" t="s">
        <v>368</v>
      </c>
      <c r="G150" s="18" t="s">
        <v>71</v>
      </c>
      <c r="H150" s="18" t="n">
        <v>23</v>
      </c>
      <c r="I150" s="19" t="n">
        <v>0</v>
      </c>
      <c r="J150" s="19" t="n">
        <v>2790.36</v>
      </c>
      <c r="K150" s="19" t="n">
        <v>2790.36</v>
      </c>
      <c r="L150" s="19" t="n">
        <v>0</v>
      </c>
      <c r="M150" s="19" t="n">
        <f aca="false">ABS(L150)</f>
        <v>0</v>
      </c>
      <c r="N150" s="18" t="str">
        <f aca="false">IF(L150=0,"Nil balance",IF(G150="AR file",IF(L150&gt;0,"Accounts Receivable","Customer Advances"),IF(L150&lt;0,"Accounts Payable","Supplier Advances")))</f>
        <v>Nil balance</v>
      </c>
      <c r="O150" s="18" t="str">
        <f aca="false">IF(L150=0,"Excluded",IF(Summary!$C$4="By ledger",IF(G150="AR file","Population 1","Population 2"),IF(L150&gt;0,"Population 1","Population 2")))</f>
        <v>Excluded</v>
      </c>
      <c r="P150" s="18" t="str">
        <f aca="false">IF(O150="Excluded","Excluded – nil closing balance",IF(M150&gt;Summary!$C$5,"Above Materiality","Below Materiality"))</f>
        <v>Excluded – nil closing balance</v>
      </c>
      <c r="Q150" s="20" t="str">
        <f aca="false">IF(P150="Below Materiality",T150,"")</f>
        <v/>
      </c>
      <c r="R150" s="21" t="str">
        <f aca="false">IF(P150="Above Materiality",COUNTIFS($O$2:$O$1092,O150,$P$2:$P$1092,"Above Materiality",$M$2:$M$1092,"&gt;"&amp;M150)+COUNTIFS($O$2:$O$1092,O150,$P$2:$P$1092,"Above Materiality",$M$2:$M$1092,M150,$A$2:$A$1092,"&lt;"&amp;A150)+1,"")</f>
        <v/>
      </c>
      <c r="S150" s="21" t="str">
        <f aca="false">IF(P150&lt;&gt;"Below Materiality","",IF(Summary!$C$9="Random",COUNTIFS($O$2:$O$1092,O150,$Q$2:$Q$1092,"&gt;"&amp;Q150)+1,COUNTIFS($O$2:$O$1092,O150,$P$2:$P$1092,"Below Materiality",$M$2:$M$1092,"&gt;"&amp;M150)+COUNTIFS($O$2:$O$1092,O150,$P$2:$P$1092,"Below Materiality",$M$2:$M$1092,M150,$A$2:$A$1092,"&lt;"&amp;A150)+1))</f>
        <v/>
      </c>
      <c r="T150" s="22"/>
      <c r="U150" s="21" t="str">
        <f aca="false">IF(R150="","",O150&amp;"|A|"&amp;R150)</f>
        <v/>
      </c>
      <c r="V150" s="21" t="str">
        <f aca="false">IF(S150="","",O150&amp;"|R|"&amp;S150)</f>
        <v/>
      </c>
    </row>
    <row r="151" customFormat="false" ht="15" hidden="false" customHeight="false" outlineLevel="0" collapsed="false">
      <c r="A151" s="18" t="n">
        <v>150</v>
      </c>
      <c r="B151" s="18"/>
      <c r="C151" s="18"/>
      <c r="D151" s="18"/>
      <c r="E151" s="18" t="s">
        <v>369</v>
      </c>
      <c r="F151" s="18" t="s">
        <v>370</v>
      </c>
      <c r="G151" s="18" t="s">
        <v>71</v>
      </c>
      <c r="H151" s="18" t="n">
        <v>25</v>
      </c>
      <c r="I151" s="19" t="n">
        <v>0</v>
      </c>
      <c r="J151" s="19" t="n">
        <v>3651.25</v>
      </c>
      <c r="K151" s="19" t="n">
        <v>3651.25</v>
      </c>
      <c r="L151" s="19" t="n">
        <v>0</v>
      </c>
      <c r="M151" s="19" t="n">
        <f aca="false">ABS(L151)</f>
        <v>0</v>
      </c>
      <c r="N151" s="18" t="str">
        <f aca="false">IF(L151=0,"Nil balance",IF(G151="AR file",IF(L151&gt;0,"Accounts Receivable","Customer Advances"),IF(L151&lt;0,"Accounts Payable","Supplier Advances")))</f>
        <v>Nil balance</v>
      </c>
      <c r="O151" s="18" t="str">
        <f aca="false">IF(L151=0,"Excluded",IF(Summary!$C$4="By ledger",IF(G151="AR file","Population 1","Population 2"),IF(L151&gt;0,"Population 1","Population 2")))</f>
        <v>Excluded</v>
      </c>
      <c r="P151" s="18" t="str">
        <f aca="false">IF(O151="Excluded","Excluded – nil closing balance",IF(M151&gt;Summary!$C$5,"Above Materiality","Below Materiality"))</f>
        <v>Excluded – nil closing balance</v>
      </c>
      <c r="Q151" s="20" t="str">
        <f aca="false">IF(P151="Below Materiality",T151,"")</f>
        <v/>
      </c>
      <c r="R151" s="21" t="str">
        <f aca="false">IF(P151="Above Materiality",COUNTIFS($O$2:$O$1092,O151,$P$2:$P$1092,"Above Materiality",$M$2:$M$1092,"&gt;"&amp;M151)+COUNTIFS($O$2:$O$1092,O151,$P$2:$P$1092,"Above Materiality",$M$2:$M$1092,M151,$A$2:$A$1092,"&lt;"&amp;A151)+1,"")</f>
        <v/>
      </c>
      <c r="S151" s="21" t="str">
        <f aca="false">IF(P151&lt;&gt;"Below Materiality","",IF(Summary!$C$9="Random",COUNTIFS($O$2:$O$1092,O151,$Q$2:$Q$1092,"&gt;"&amp;Q151)+1,COUNTIFS($O$2:$O$1092,O151,$P$2:$P$1092,"Below Materiality",$M$2:$M$1092,"&gt;"&amp;M151)+COUNTIFS($O$2:$O$1092,O151,$P$2:$P$1092,"Below Materiality",$M$2:$M$1092,M151,$A$2:$A$1092,"&lt;"&amp;A151)+1))</f>
        <v/>
      </c>
      <c r="T151" s="22"/>
      <c r="U151" s="21" t="str">
        <f aca="false">IF(R151="","",O151&amp;"|A|"&amp;R151)</f>
        <v/>
      </c>
      <c r="V151" s="21" t="str">
        <f aca="false">IF(S151="","",O151&amp;"|R|"&amp;S151)</f>
        <v/>
      </c>
    </row>
    <row r="152" customFormat="false" ht="15" hidden="false" customHeight="false" outlineLevel="0" collapsed="false">
      <c r="A152" s="18" t="n">
        <v>151</v>
      </c>
      <c r="B152" s="18"/>
      <c r="C152" s="18"/>
      <c r="D152" s="18"/>
      <c r="E152" s="18" t="s">
        <v>371</v>
      </c>
      <c r="F152" s="18" t="s">
        <v>372</v>
      </c>
      <c r="G152" s="18" t="s">
        <v>71</v>
      </c>
      <c r="H152" s="18" t="n">
        <v>26</v>
      </c>
      <c r="I152" s="19" t="n">
        <v>0</v>
      </c>
      <c r="J152" s="19" t="n">
        <v>366</v>
      </c>
      <c r="K152" s="19" t="n">
        <v>366</v>
      </c>
      <c r="L152" s="19" t="n">
        <v>0</v>
      </c>
      <c r="M152" s="19" t="n">
        <f aca="false">ABS(L152)</f>
        <v>0</v>
      </c>
      <c r="N152" s="18" t="str">
        <f aca="false">IF(L152=0,"Nil balance",IF(G152="AR file",IF(L152&gt;0,"Accounts Receivable","Customer Advances"),IF(L152&lt;0,"Accounts Payable","Supplier Advances")))</f>
        <v>Nil balance</v>
      </c>
      <c r="O152" s="18" t="str">
        <f aca="false">IF(L152=0,"Excluded",IF(Summary!$C$4="By ledger",IF(G152="AR file","Population 1","Population 2"),IF(L152&gt;0,"Population 1","Population 2")))</f>
        <v>Excluded</v>
      </c>
      <c r="P152" s="18" t="str">
        <f aca="false">IF(O152="Excluded","Excluded – nil closing balance",IF(M152&gt;Summary!$C$5,"Above Materiality","Below Materiality"))</f>
        <v>Excluded – nil closing balance</v>
      </c>
      <c r="Q152" s="20" t="str">
        <f aca="false">IF(P152="Below Materiality",T152,"")</f>
        <v/>
      </c>
      <c r="R152" s="21" t="str">
        <f aca="false">IF(P152="Above Materiality",COUNTIFS($O$2:$O$1092,O152,$P$2:$P$1092,"Above Materiality",$M$2:$M$1092,"&gt;"&amp;M152)+COUNTIFS($O$2:$O$1092,O152,$P$2:$P$1092,"Above Materiality",$M$2:$M$1092,M152,$A$2:$A$1092,"&lt;"&amp;A152)+1,"")</f>
        <v/>
      </c>
      <c r="S152" s="21" t="str">
        <f aca="false">IF(P152&lt;&gt;"Below Materiality","",IF(Summary!$C$9="Random",COUNTIFS($O$2:$O$1092,O152,$Q$2:$Q$1092,"&gt;"&amp;Q152)+1,COUNTIFS($O$2:$O$1092,O152,$P$2:$P$1092,"Below Materiality",$M$2:$M$1092,"&gt;"&amp;M152)+COUNTIFS($O$2:$O$1092,O152,$P$2:$P$1092,"Below Materiality",$M$2:$M$1092,M152,$A$2:$A$1092,"&lt;"&amp;A152)+1))</f>
        <v/>
      </c>
      <c r="T152" s="22"/>
      <c r="U152" s="21" t="str">
        <f aca="false">IF(R152="","",O152&amp;"|A|"&amp;R152)</f>
        <v/>
      </c>
      <c r="V152" s="21" t="str">
        <f aca="false">IF(S152="","",O152&amp;"|R|"&amp;S152)</f>
        <v/>
      </c>
    </row>
    <row r="153" customFormat="false" ht="15" hidden="false" customHeight="false" outlineLevel="0" collapsed="false">
      <c r="A153" s="18" t="n">
        <v>152</v>
      </c>
      <c r="B153" s="18"/>
      <c r="C153" s="18"/>
      <c r="D153" s="18"/>
      <c r="E153" s="18" t="s">
        <v>373</v>
      </c>
      <c r="F153" s="18" t="s">
        <v>374</v>
      </c>
      <c r="G153" s="18" t="s">
        <v>71</v>
      </c>
      <c r="H153" s="18" t="n">
        <v>27</v>
      </c>
      <c r="I153" s="19" t="n">
        <v>0</v>
      </c>
      <c r="J153" s="19" t="n">
        <v>11081</v>
      </c>
      <c r="K153" s="19" t="n">
        <v>11081</v>
      </c>
      <c r="L153" s="19" t="n">
        <v>0</v>
      </c>
      <c r="M153" s="19" t="n">
        <f aca="false">ABS(L153)</f>
        <v>0</v>
      </c>
      <c r="N153" s="18" t="str">
        <f aca="false">IF(L153=0,"Nil balance",IF(G153="AR file",IF(L153&gt;0,"Accounts Receivable","Customer Advances"),IF(L153&lt;0,"Accounts Payable","Supplier Advances")))</f>
        <v>Nil balance</v>
      </c>
      <c r="O153" s="18" t="str">
        <f aca="false">IF(L153=0,"Excluded",IF(Summary!$C$4="By ledger",IF(G153="AR file","Population 1","Population 2"),IF(L153&gt;0,"Population 1","Population 2")))</f>
        <v>Excluded</v>
      </c>
      <c r="P153" s="18" t="str">
        <f aca="false">IF(O153="Excluded","Excluded – nil closing balance",IF(M153&gt;Summary!$C$5,"Above Materiality","Below Materiality"))</f>
        <v>Excluded – nil closing balance</v>
      </c>
      <c r="Q153" s="20" t="str">
        <f aca="false">IF(P153="Below Materiality",T153,"")</f>
        <v/>
      </c>
      <c r="R153" s="21" t="str">
        <f aca="false">IF(P153="Above Materiality",COUNTIFS($O$2:$O$1092,O153,$P$2:$P$1092,"Above Materiality",$M$2:$M$1092,"&gt;"&amp;M153)+COUNTIFS($O$2:$O$1092,O153,$P$2:$P$1092,"Above Materiality",$M$2:$M$1092,M153,$A$2:$A$1092,"&lt;"&amp;A153)+1,"")</f>
        <v/>
      </c>
      <c r="S153" s="21" t="str">
        <f aca="false">IF(P153&lt;&gt;"Below Materiality","",IF(Summary!$C$9="Random",COUNTIFS($O$2:$O$1092,O153,$Q$2:$Q$1092,"&gt;"&amp;Q153)+1,COUNTIFS($O$2:$O$1092,O153,$P$2:$P$1092,"Below Materiality",$M$2:$M$1092,"&gt;"&amp;M153)+COUNTIFS($O$2:$O$1092,O153,$P$2:$P$1092,"Below Materiality",$M$2:$M$1092,M153,$A$2:$A$1092,"&lt;"&amp;A153)+1))</f>
        <v/>
      </c>
      <c r="T153" s="22"/>
      <c r="U153" s="21" t="str">
        <f aca="false">IF(R153="","",O153&amp;"|A|"&amp;R153)</f>
        <v/>
      </c>
      <c r="V153" s="21" t="str">
        <f aca="false">IF(S153="","",O153&amp;"|R|"&amp;S153)</f>
        <v/>
      </c>
    </row>
    <row r="154" customFormat="false" ht="15" hidden="false" customHeight="false" outlineLevel="0" collapsed="false">
      <c r="A154" s="18" t="n">
        <v>153</v>
      </c>
      <c r="B154" s="18"/>
      <c r="C154" s="18"/>
      <c r="D154" s="18"/>
      <c r="E154" s="18" t="s">
        <v>375</v>
      </c>
      <c r="F154" s="18" t="s">
        <v>376</v>
      </c>
      <c r="G154" s="18" t="s">
        <v>71</v>
      </c>
      <c r="H154" s="18" t="n">
        <v>28</v>
      </c>
      <c r="I154" s="19" t="n">
        <v>0</v>
      </c>
      <c r="J154" s="19" t="n">
        <v>11349.55</v>
      </c>
      <c r="K154" s="19" t="n">
        <v>11349.55</v>
      </c>
      <c r="L154" s="19" t="n">
        <v>0</v>
      </c>
      <c r="M154" s="19" t="n">
        <f aca="false">ABS(L154)</f>
        <v>0</v>
      </c>
      <c r="N154" s="18" t="str">
        <f aca="false">IF(L154=0,"Nil balance",IF(G154="AR file",IF(L154&gt;0,"Accounts Receivable","Customer Advances"),IF(L154&lt;0,"Accounts Payable","Supplier Advances")))</f>
        <v>Nil balance</v>
      </c>
      <c r="O154" s="18" t="str">
        <f aca="false">IF(L154=0,"Excluded",IF(Summary!$C$4="By ledger",IF(G154="AR file","Population 1","Population 2"),IF(L154&gt;0,"Population 1","Population 2")))</f>
        <v>Excluded</v>
      </c>
      <c r="P154" s="18" t="str">
        <f aca="false">IF(O154="Excluded","Excluded – nil closing balance",IF(M154&gt;Summary!$C$5,"Above Materiality","Below Materiality"))</f>
        <v>Excluded – nil closing balance</v>
      </c>
      <c r="Q154" s="20" t="str">
        <f aca="false">IF(P154="Below Materiality",T154,"")</f>
        <v/>
      </c>
      <c r="R154" s="21" t="str">
        <f aca="false">IF(P154="Above Materiality",COUNTIFS($O$2:$O$1092,O154,$P$2:$P$1092,"Above Materiality",$M$2:$M$1092,"&gt;"&amp;M154)+COUNTIFS($O$2:$O$1092,O154,$P$2:$P$1092,"Above Materiality",$M$2:$M$1092,M154,$A$2:$A$1092,"&lt;"&amp;A154)+1,"")</f>
        <v/>
      </c>
      <c r="S154" s="21" t="str">
        <f aca="false">IF(P154&lt;&gt;"Below Materiality","",IF(Summary!$C$9="Random",COUNTIFS($O$2:$O$1092,O154,$Q$2:$Q$1092,"&gt;"&amp;Q154)+1,COUNTIFS($O$2:$O$1092,O154,$P$2:$P$1092,"Below Materiality",$M$2:$M$1092,"&gt;"&amp;M154)+COUNTIFS($O$2:$O$1092,O154,$P$2:$P$1092,"Below Materiality",$M$2:$M$1092,M154,$A$2:$A$1092,"&lt;"&amp;A154)+1))</f>
        <v/>
      </c>
      <c r="T154" s="22"/>
      <c r="U154" s="21" t="str">
        <f aca="false">IF(R154="","",O154&amp;"|A|"&amp;R154)</f>
        <v/>
      </c>
      <c r="V154" s="21" t="str">
        <f aca="false">IF(S154="","",O154&amp;"|R|"&amp;S154)</f>
        <v/>
      </c>
    </row>
    <row r="155" customFormat="false" ht="15" hidden="false" customHeight="false" outlineLevel="0" collapsed="false">
      <c r="A155" s="18" t="n">
        <v>154</v>
      </c>
      <c r="B155" s="18"/>
      <c r="C155" s="18"/>
      <c r="D155" s="18"/>
      <c r="E155" s="18" t="s">
        <v>377</v>
      </c>
      <c r="F155" s="18" t="s">
        <v>378</v>
      </c>
      <c r="G155" s="18" t="s">
        <v>71</v>
      </c>
      <c r="H155" s="18" t="n">
        <v>29</v>
      </c>
      <c r="I155" s="19" t="n">
        <v>0</v>
      </c>
      <c r="J155" s="19" t="n">
        <v>1895.43</v>
      </c>
      <c r="K155" s="19" t="n">
        <v>1895.43</v>
      </c>
      <c r="L155" s="19" t="n">
        <v>0</v>
      </c>
      <c r="M155" s="19" t="n">
        <f aca="false">ABS(L155)</f>
        <v>0</v>
      </c>
      <c r="N155" s="18" t="str">
        <f aca="false">IF(L155=0,"Nil balance",IF(G155="AR file",IF(L155&gt;0,"Accounts Receivable","Customer Advances"),IF(L155&lt;0,"Accounts Payable","Supplier Advances")))</f>
        <v>Nil balance</v>
      </c>
      <c r="O155" s="18" t="str">
        <f aca="false">IF(L155=0,"Excluded",IF(Summary!$C$4="By ledger",IF(G155="AR file","Population 1","Population 2"),IF(L155&gt;0,"Population 1","Population 2")))</f>
        <v>Excluded</v>
      </c>
      <c r="P155" s="18" t="str">
        <f aca="false">IF(O155="Excluded","Excluded – nil closing balance",IF(M155&gt;Summary!$C$5,"Above Materiality","Below Materiality"))</f>
        <v>Excluded – nil closing balance</v>
      </c>
      <c r="Q155" s="20" t="str">
        <f aca="false">IF(P155="Below Materiality",T155,"")</f>
        <v/>
      </c>
      <c r="R155" s="21" t="str">
        <f aca="false">IF(P155="Above Materiality",COUNTIFS($O$2:$O$1092,O155,$P$2:$P$1092,"Above Materiality",$M$2:$M$1092,"&gt;"&amp;M155)+COUNTIFS($O$2:$O$1092,O155,$P$2:$P$1092,"Above Materiality",$M$2:$M$1092,M155,$A$2:$A$1092,"&lt;"&amp;A155)+1,"")</f>
        <v/>
      </c>
      <c r="S155" s="21" t="str">
        <f aca="false">IF(P155&lt;&gt;"Below Materiality","",IF(Summary!$C$9="Random",COUNTIFS($O$2:$O$1092,O155,$Q$2:$Q$1092,"&gt;"&amp;Q155)+1,COUNTIFS($O$2:$O$1092,O155,$P$2:$P$1092,"Below Materiality",$M$2:$M$1092,"&gt;"&amp;M155)+COUNTIFS($O$2:$O$1092,O155,$P$2:$P$1092,"Below Materiality",$M$2:$M$1092,M155,$A$2:$A$1092,"&lt;"&amp;A155)+1))</f>
        <v/>
      </c>
      <c r="T155" s="22"/>
      <c r="U155" s="21" t="str">
        <f aca="false">IF(R155="","",O155&amp;"|A|"&amp;R155)</f>
        <v/>
      </c>
      <c r="V155" s="21" t="str">
        <f aca="false">IF(S155="","",O155&amp;"|R|"&amp;S155)</f>
        <v/>
      </c>
    </row>
    <row r="156" customFormat="false" ht="15" hidden="false" customHeight="false" outlineLevel="0" collapsed="false">
      <c r="A156" s="18" t="n">
        <v>155</v>
      </c>
      <c r="B156" s="18"/>
      <c r="C156" s="18"/>
      <c r="D156" s="18"/>
      <c r="E156" s="18" t="s">
        <v>379</v>
      </c>
      <c r="F156" s="18" t="s">
        <v>380</v>
      </c>
      <c r="G156" s="18" t="s">
        <v>71</v>
      </c>
      <c r="H156" s="18" t="n">
        <v>30</v>
      </c>
      <c r="I156" s="19" t="n">
        <v>2300</v>
      </c>
      <c r="J156" s="19" t="n">
        <v>0</v>
      </c>
      <c r="K156" s="19" t="n">
        <v>2300</v>
      </c>
      <c r="L156" s="19" t="n">
        <v>0</v>
      </c>
      <c r="M156" s="19" t="n">
        <f aca="false">ABS(L156)</f>
        <v>0</v>
      </c>
      <c r="N156" s="18" t="str">
        <f aca="false">IF(L156=0,"Nil balance",IF(G156="AR file",IF(L156&gt;0,"Accounts Receivable","Customer Advances"),IF(L156&lt;0,"Accounts Payable","Supplier Advances")))</f>
        <v>Nil balance</v>
      </c>
      <c r="O156" s="18" t="str">
        <f aca="false">IF(L156=0,"Excluded",IF(Summary!$C$4="By ledger",IF(G156="AR file","Population 1","Population 2"),IF(L156&gt;0,"Population 1","Population 2")))</f>
        <v>Excluded</v>
      </c>
      <c r="P156" s="18" t="str">
        <f aca="false">IF(O156="Excluded","Excluded – nil closing balance",IF(M156&gt;Summary!$C$5,"Above Materiality","Below Materiality"))</f>
        <v>Excluded – nil closing balance</v>
      </c>
      <c r="Q156" s="20" t="str">
        <f aca="false">IF(P156="Below Materiality",T156,"")</f>
        <v/>
      </c>
      <c r="R156" s="21" t="str">
        <f aca="false">IF(P156="Above Materiality",COUNTIFS($O$2:$O$1092,O156,$P$2:$P$1092,"Above Materiality",$M$2:$M$1092,"&gt;"&amp;M156)+COUNTIFS($O$2:$O$1092,O156,$P$2:$P$1092,"Above Materiality",$M$2:$M$1092,M156,$A$2:$A$1092,"&lt;"&amp;A156)+1,"")</f>
        <v/>
      </c>
      <c r="S156" s="21" t="str">
        <f aca="false">IF(P156&lt;&gt;"Below Materiality","",IF(Summary!$C$9="Random",COUNTIFS($O$2:$O$1092,O156,$Q$2:$Q$1092,"&gt;"&amp;Q156)+1,COUNTIFS($O$2:$O$1092,O156,$P$2:$P$1092,"Below Materiality",$M$2:$M$1092,"&gt;"&amp;M156)+COUNTIFS($O$2:$O$1092,O156,$P$2:$P$1092,"Below Materiality",$M$2:$M$1092,M156,$A$2:$A$1092,"&lt;"&amp;A156)+1))</f>
        <v/>
      </c>
      <c r="T156" s="22"/>
      <c r="U156" s="21" t="str">
        <f aca="false">IF(R156="","",O156&amp;"|A|"&amp;R156)</f>
        <v/>
      </c>
      <c r="V156" s="21" t="str">
        <f aca="false">IF(S156="","",O156&amp;"|R|"&amp;S156)</f>
        <v/>
      </c>
    </row>
    <row r="157" customFormat="false" ht="15" hidden="false" customHeight="false" outlineLevel="0" collapsed="false">
      <c r="A157" s="18" t="n">
        <v>156</v>
      </c>
      <c r="B157" s="18"/>
      <c r="C157" s="18"/>
      <c r="D157" s="18"/>
      <c r="E157" s="18" t="s">
        <v>381</v>
      </c>
      <c r="F157" s="18" t="s">
        <v>382</v>
      </c>
      <c r="G157" s="18" t="s">
        <v>71</v>
      </c>
      <c r="H157" s="18" t="n">
        <v>31</v>
      </c>
      <c r="I157" s="19" t="n">
        <v>0</v>
      </c>
      <c r="J157" s="19" t="n">
        <v>18032.7</v>
      </c>
      <c r="K157" s="19" t="n">
        <v>18032.7</v>
      </c>
      <c r="L157" s="19" t="n">
        <v>0</v>
      </c>
      <c r="M157" s="19" t="n">
        <f aca="false">ABS(L157)</f>
        <v>0</v>
      </c>
      <c r="N157" s="18" t="str">
        <f aca="false">IF(L157=0,"Nil balance",IF(G157="AR file",IF(L157&gt;0,"Accounts Receivable","Customer Advances"),IF(L157&lt;0,"Accounts Payable","Supplier Advances")))</f>
        <v>Nil balance</v>
      </c>
      <c r="O157" s="18" t="str">
        <f aca="false">IF(L157=0,"Excluded",IF(Summary!$C$4="By ledger",IF(G157="AR file","Population 1","Population 2"),IF(L157&gt;0,"Population 1","Population 2")))</f>
        <v>Excluded</v>
      </c>
      <c r="P157" s="18" t="str">
        <f aca="false">IF(O157="Excluded","Excluded – nil closing balance",IF(M157&gt;Summary!$C$5,"Above Materiality","Below Materiality"))</f>
        <v>Excluded – nil closing balance</v>
      </c>
      <c r="Q157" s="20" t="str">
        <f aca="false">IF(P157="Below Materiality",T157,"")</f>
        <v/>
      </c>
      <c r="R157" s="21" t="str">
        <f aca="false">IF(P157="Above Materiality",COUNTIFS($O$2:$O$1092,O157,$P$2:$P$1092,"Above Materiality",$M$2:$M$1092,"&gt;"&amp;M157)+COUNTIFS($O$2:$O$1092,O157,$P$2:$P$1092,"Above Materiality",$M$2:$M$1092,M157,$A$2:$A$1092,"&lt;"&amp;A157)+1,"")</f>
        <v/>
      </c>
      <c r="S157" s="21" t="str">
        <f aca="false">IF(P157&lt;&gt;"Below Materiality","",IF(Summary!$C$9="Random",COUNTIFS($O$2:$O$1092,O157,$Q$2:$Q$1092,"&gt;"&amp;Q157)+1,COUNTIFS($O$2:$O$1092,O157,$P$2:$P$1092,"Below Materiality",$M$2:$M$1092,"&gt;"&amp;M157)+COUNTIFS($O$2:$O$1092,O157,$P$2:$P$1092,"Below Materiality",$M$2:$M$1092,M157,$A$2:$A$1092,"&lt;"&amp;A157)+1))</f>
        <v/>
      </c>
      <c r="T157" s="22"/>
      <c r="U157" s="21" t="str">
        <f aca="false">IF(R157="","",O157&amp;"|A|"&amp;R157)</f>
        <v/>
      </c>
      <c r="V157" s="21" t="str">
        <f aca="false">IF(S157="","",O157&amp;"|R|"&amp;S157)</f>
        <v/>
      </c>
    </row>
    <row r="158" customFormat="false" ht="15" hidden="false" customHeight="false" outlineLevel="0" collapsed="false">
      <c r="A158" s="18" t="n">
        <v>157</v>
      </c>
      <c r="B158" s="18"/>
      <c r="C158" s="18"/>
      <c r="D158" s="18"/>
      <c r="E158" s="18" t="s">
        <v>383</v>
      </c>
      <c r="F158" s="18" t="s">
        <v>384</v>
      </c>
      <c r="G158" s="18" t="s">
        <v>71</v>
      </c>
      <c r="H158" s="18" t="n">
        <v>32</v>
      </c>
      <c r="I158" s="19" t="n">
        <v>0</v>
      </c>
      <c r="J158" s="19" t="n">
        <v>18193</v>
      </c>
      <c r="K158" s="19" t="n">
        <v>18193</v>
      </c>
      <c r="L158" s="19" t="n">
        <v>0</v>
      </c>
      <c r="M158" s="19" t="n">
        <f aca="false">ABS(L158)</f>
        <v>0</v>
      </c>
      <c r="N158" s="18" t="str">
        <f aca="false">IF(L158=0,"Nil balance",IF(G158="AR file",IF(L158&gt;0,"Accounts Receivable","Customer Advances"),IF(L158&lt;0,"Accounts Payable","Supplier Advances")))</f>
        <v>Nil balance</v>
      </c>
      <c r="O158" s="18" t="str">
        <f aca="false">IF(L158=0,"Excluded",IF(Summary!$C$4="By ledger",IF(G158="AR file","Population 1","Population 2"),IF(L158&gt;0,"Population 1","Population 2")))</f>
        <v>Excluded</v>
      </c>
      <c r="P158" s="18" t="str">
        <f aca="false">IF(O158="Excluded","Excluded – nil closing balance",IF(M158&gt;Summary!$C$5,"Above Materiality","Below Materiality"))</f>
        <v>Excluded – nil closing balance</v>
      </c>
      <c r="Q158" s="20" t="str">
        <f aca="false">IF(P158="Below Materiality",T158,"")</f>
        <v/>
      </c>
      <c r="R158" s="21" t="str">
        <f aca="false">IF(P158="Above Materiality",COUNTIFS($O$2:$O$1092,O158,$P$2:$P$1092,"Above Materiality",$M$2:$M$1092,"&gt;"&amp;M158)+COUNTIFS($O$2:$O$1092,O158,$P$2:$P$1092,"Above Materiality",$M$2:$M$1092,M158,$A$2:$A$1092,"&lt;"&amp;A158)+1,"")</f>
        <v/>
      </c>
      <c r="S158" s="21" t="str">
        <f aca="false">IF(P158&lt;&gt;"Below Materiality","",IF(Summary!$C$9="Random",COUNTIFS($O$2:$O$1092,O158,$Q$2:$Q$1092,"&gt;"&amp;Q158)+1,COUNTIFS($O$2:$O$1092,O158,$P$2:$P$1092,"Below Materiality",$M$2:$M$1092,"&gt;"&amp;M158)+COUNTIFS($O$2:$O$1092,O158,$P$2:$P$1092,"Below Materiality",$M$2:$M$1092,M158,$A$2:$A$1092,"&lt;"&amp;A158)+1))</f>
        <v/>
      </c>
      <c r="T158" s="22"/>
      <c r="U158" s="21" t="str">
        <f aca="false">IF(R158="","",O158&amp;"|A|"&amp;R158)</f>
        <v/>
      </c>
      <c r="V158" s="21" t="str">
        <f aca="false">IF(S158="","",O158&amp;"|R|"&amp;S158)</f>
        <v/>
      </c>
    </row>
    <row r="159" customFormat="false" ht="15" hidden="false" customHeight="false" outlineLevel="0" collapsed="false">
      <c r="A159" s="18" t="n">
        <v>158</v>
      </c>
      <c r="B159" s="18"/>
      <c r="C159" s="18"/>
      <c r="D159" s="18"/>
      <c r="E159" s="18" t="s">
        <v>385</v>
      </c>
      <c r="F159" s="18" t="s">
        <v>386</v>
      </c>
      <c r="G159" s="18" t="s">
        <v>71</v>
      </c>
      <c r="H159" s="18" t="n">
        <v>33</v>
      </c>
      <c r="I159" s="19" t="n">
        <v>0</v>
      </c>
      <c r="J159" s="19" t="n">
        <v>3829.5</v>
      </c>
      <c r="K159" s="19" t="n">
        <v>3829.5</v>
      </c>
      <c r="L159" s="19" t="n">
        <v>0</v>
      </c>
      <c r="M159" s="19" t="n">
        <f aca="false">ABS(L159)</f>
        <v>0</v>
      </c>
      <c r="N159" s="18" t="str">
        <f aca="false">IF(L159=0,"Nil balance",IF(G159="AR file",IF(L159&gt;0,"Accounts Receivable","Customer Advances"),IF(L159&lt;0,"Accounts Payable","Supplier Advances")))</f>
        <v>Nil balance</v>
      </c>
      <c r="O159" s="18" t="str">
        <f aca="false">IF(L159=0,"Excluded",IF(Summary!$C$4="By ledger",IF(G159="AR file","Population 1","Population 2"),IF(L159&gt;0,"Population 1","Population 2")))</f>
        <v>Excluded</v>
      </c>
      <c r="P159" s="18" t="str">
        <f aca="false">IF(O159="Excluded","Excluded – nil closing balance",IF(M159&gt;Summary!$C$5,"Above Materiality","Below Materiality"))</f>
        <v>Excluded – nil closing balance</v>
      </c>
      <c r="Q159" s="20" t="str">
        <f aca="false">IF(P159="Below Materiality",T159,"")</f>
        <v/>
      </c>
      <c r="R159" s="21" t="str">
        <f aca="false">IF(P159="Above Materiality",COUNTIFS($O$2:$O$1092,O159,$P$2:$P$1092,"Above Materiality",$M$2:$M$1092,"&gt;"&amp;M159)+COUNTIFS($O$2:$O$1092,O159,$P$2:$P$1092,"Above Materiality",$M$2:$M$1092,M159,$A$2:$A$1092,"&lt;"&amp;A159)+1,"")</f>
        <v/>
      </c>
      <c r="S159" s="21" t="str">
        <f aca="false">IF(P159&lt;&gt;"Below Materiality","",IF(Summary!$C$9="Random",COUNTIFS($O$2:$O$1092,O159,$Q$2:$Q$1092,"&gt;"&amp;Q159)+1,COUNTIFS($O$2:$O$1092,O159,$P$2:$P$1092,"Below Materiality",$M$2:$M$1092,"&gt;"&amp;M159)+COUNTIFS($O$2:$O$1092,O159,$P$2:$P$1092,"Below Materiality",$M$2:$M$1092,M159,$A$2:$A$1092,"&lt;"&amp;A159)+1))</f>
        <v/>
      </c>
      <c r="T159" s="22"/>
      <c r="U159" s="21" t="str">
        <f aca="false">IF(R159="","",O159&amp;"|A|"&amp;R159)</f>
        <v/>
      </c>
      <c r="V159" s="21" t="str">
        <f aca="false">IF(S159="","",O159&amp;"|R|"&amp;S159)</f>
        <v/>
      </c>
    </row>
    <row r="160" customFormat="false" ht="15" hidden="false" customHeight="false" outlineLevel="0" collapsed="false">
      <c r="A160" s="18" t="n">
        <v>159</v>
      </c>
      <c r="B160" s="18"/>
      <c r="C160" s="18"/>
      <c r="D160" s="18"/>
      <c r="E160" s="18" t="s">
        <v>387</v>
      </c>
      <c r="F160" s="18" t="s">
        <v>388</v>
      </c>
      <c r="G160" s="18" t="s">
        <v>71</v>
      </c>
      <c r="H160" s="18" t="n">
        <v>34</v>
      </c>
      <c r="I160" s="19" t="n">
        <v>0</v>
      </c>
      <c r="J160" s="19" t="n">
        <v>1606</v>
      </c>
      <c r="K160" s="19" t="n">
        <v>1606</v>
      </c>
      <c r="L160" s="19" t="n">
        <v>0</v>
      </c>
      <c r="M160" s="19" t="n">
        <f aca="false">ABS(L160)</f>
        <v>0</v>
      </c>
      <c r="N160" s="18" t="str">
        <f aca="false">IF(L160=0,"Nil balance",IF(G160="AR file",IF(L160&gt;0,"Accounts Receivable","Customer Advances"),IF(L160&lt;0,"Accounts Payable","Supplier Advances")))</f>
        <v>Nil balance</v>
      </c>
      <c r="O160" s="18" t="str">
        <f aca="false">IF(L160=0,"Excluded",IF(Summary!$C$4="By ledger",IF(G160="AR file","Population 1","Population 2"),IF(L160&gt;0,"Population 1","Population 2")))</f>
        <v>Excluded</v>
      </c>
      <c r="P160" s="18" t="str">
        <f aca="false">IF(O160="Excluded","Excluded – nil closing balance",IF(M160&gt;Summary!$C$5,"Above Materiality","Below Materiality"))</f>
        <v>Excluded – nil closing balance</v>
      </c>
      <c r="Q160" s="20" t="str">
        <f aca="false">IF(P160="Below Materiality",T160,"")</f>
        <v/>
      </c>
      <c r="R160" s="21" t="str">
        <f aca="false">IF(P160="Above Materiality",COUNTIFS($O$2:$O$1092,O160,$P$2:$P$1092,"Above Materiality",$M$2:$M$1092,"&gt;"&amp;M160)+COUNTIFS($O$2:$O$1092,O160,$P$2:$P$1092,"Above Materiality",$M$2:$M$1092,M160,$A$2:$A$1092,"&lt;"&amp;A160)+1,"")</f>
        <v/>
      </c>
      <c r="S160" s="21" t="str">
        <f aca="false">IF(P160&lt;&gt;"Below Materiality","",IF(Summary!$C$9="Random",COUNTIFS($O$2:$O$1092,O160,$Q$2:$Q$1092,"&gt;"&amp;Q160)+1,COUNTIFS($O$2:$O$1092,O160,$P$2:$P$1092,"Below Materiality",$M$2:$M$1092,"&gt;"&amp;M160)+COUNTIFS($O$2:$O$1092,O160,$P$2:$P$1092,"Below Materiality",$M$2:$M$1092,M160,$A$2:$A$1092,"&lt;"&amp;A160)+1))</f>
        <v/>
      </c>
      <c r="T160" s="22"/>
      <c r="U160" s="21" t="str">
        <f aca="false">IF(R160="","",O160&amp;"|A|"&amp;R160)</f>
        <v/>
      </c>
      <c r="V160" s="21" t="str">
        <f aca="false">IF(S160="","",O160&amp;"|R|"&amp;S160)</f>
        <v/>
      </c>
    </row>
    <row r="161" customFormat="false" ht="15" hidden="false" customHeight="false" outlineLevel="0" collapsed="false">
      <c r="A161" s="18" t="n">
        <v>160</v>
      </c>
      <c r="B161" s="18"/>
      <c r="C161" s="18"/>
      <c r="D161" s="18"/>
      <c r="E161" s="18" t="s">
        <v>389</v>
      </c>
      <c r="F161" s="18" t="s">
        <v>390</v>
      </c>
      <c r="G161" s="18" t="s">
        <v>71</v>
      </c>
      <c r="H161" s="18" t="n">
        <v>35</v>
      </c>
      <c r="I161" s="19" t="n">
        <v>0</v>
      </c>
      <c r="J161" s="19" t="n">
        <v>20325</v>
      </c>
      <c r="K161" s="19" t="n">
        <v>20325</v>
      </c>
      <c r="L161" s="19" t="n">
        <v>0</v>
      </c>
      <c r="M161" s="19" t="n">
        <f aca="false">ABS(L161)</f>
        <v>0</v>
      </c>
      <c r="N161" s="18" t="str">
        <f aca="false">IF(L161=0,"Nil balance",IF(G161="AR file",IF(L161&gt;0,"Accounts Receivable","Customer Advances"),IF(L161&lt;0,"Accounts Payable","Supplier Advances")))</f>
        <v>Nil balance</v>
      </c>
      <c r="O161" s="18" t="str">
        <f aca="false">IF(L161=0,"Excluded",IF(Summary!$C$4="By ledger",IF(G161="AR file","Population 1","Population 2"),IF(L161&gt;0,"Population 1","Population 2")))</f>
        <v>Excluded</v>
      </c>
      <c r="P161" s="18" t="str">
        <f aca="false">IF(O161="Excluded","Excluded – nil closing balance",IF(M161&gt;Summary!$C$5,"Above Materiality","Below Materiality"))</f>
        <v>Excluded – nil closing balance</v>
      </c>
      <c r="Q161" s="20" t="str">
        <f aca="false">IF(P161="Below Materiality",T161,"")</f>
        <v/>
      </c>
      <c r="R161" s="21" t="str">
        <f aca="false">IF(P161="Above Materiality",COUNTIFS($O$2:$O$1092,O161,$P$2:$P$1092,"Above Materiality",$M$2:$M$1092,"&gt;"&amp;M161)+COUNTIFS($O$2:$O$1092,O161,$P$2:$P$1092,"Above Materiality",$M$2:$M$1092,M161,$A$2:$A$1092,"&lt;"&amp;A161)+1,"")</f>
        <v/>
      </c>
      <c r="S161" s="21" t="str">
        <f aca="false">IF(P161&lt;&gt;"Below Materiality","",IF(Summary!$C$9="Random",COUNTIFS($O$2:$O$1092,O161,$Q$2:$Q$1092,"&gt;"&amp;Q161)+1,COUNTIFS($O$2:$O$1092,O161,$P$2:$P$1092,"Below Materiality",$M$2:$M$1092,"&gt;"&amp;M161)+COUNTIFS($O$2:$O$1092,O161,$P$2:$P$1092,"Below Materiality",$M$2:$M$1092,M161,$A$2:$A$1092,"&lt;"&amp;A161)+1))</f>
        <v/>
      </c>
      <c r="T161" s="22"/>
      <c r="U161" s="21" t="str">
        <f aca="false">IF(R161="","",O161&amp;"|A|"&amp;R161)</f>
        <v/>
      </c>
      <c r="V161" s="21" t="str">
        <f aca="false">IF(S161="","",O161&amp;"|R|"&amp;S161)</f>
        <v/>
      </c>
    </row>
    <row r="162" customFormat="false" ht="15" hidden="false" customHeight="false" outlineLevel="0" collapsed="false">
      <c r="A162" s="18" t="n">
        <v>161</v>
      </c>
      <c r="B162" s="18"/>
      <c r="C162" s="18"/>
      <c r="D162" s="18"/>
      <c r="E162" s="18" t="s">
        <v>391</v>
      </c>
      <c r="F162" s="18" t="s">
        <v>392</v>
      </c>
      <c r="G162" s="18" t="s">
        <v>71</v>
      </c>
      <c r="H162" s="18" t="n">
        <v>36</v>
      </c>
      <c r="I162" s="19" t="n">
        <v>0</v>
      </c>
      <c r="J162" s="19" t="n">
        <v>182401.5</v>
      </c>
      <c r="K162" s="19" t="n">
        <v>182401.5</v>
      </c>
      <c r="L162" s="19" t="n">
        <v>0</v>
      </c>
      <c r="M162" s="19" t="n">
        <f aca="false">ABS(L162)</f>
        <v>0</v>
      </c>
      <c r="N162" s="18" t="str">
        <f aca="false">IF(L162=0,"Nil balance",IF(G162="AR file",IF(L162&gt;0,"Accounts Receivable","Customer Advances"),IF(L162&lt;0,"Accounts Payable","Supplier Advances")))</f>
        <v>Nil balance</v>
      </c>
      <c r="O162" s="18" t="str">
        <f aca="false">IF(L162=0,"Excluded",IF(Summary!$C$4="By ledger",IF(G162="AR file","Population 1","Population 2"),IF(L162&gt;0,"Population 1","Population 2")))</f>
        <v>Excluded</v>
      </c>
      <c r="P162" s="18" t="str">
        <f aca="false">IF(O162="Excluded","Excluded – nil closing balance",IF(M162&gt;Summary!$C$5,"Above Materiality","Below Materiality"))</f>
        <v>Excluded – nil closing balance</v>
      </c>
      <c r="Q162" s="20" t="str">
        <f aca="false">IF(P162="Below Materiality",T162,"")</f>
        <v/>
      </c>
      <c r="R162" s="21" t="str">
        <f aca="false">IF(P162="Above Materiality",COUNTIFS($O$2:$O$1092,O162,$P$2:$P$1092,"Above Materiality",$M$2:$M$1092,"&gt;"&amp;M162)+COUNTIFS($O$2:$O$1092,O162,$P$2:$P$1092,"Above Materiality",$M$2:$M$1092,M162,$A$2:$A$1092,"&lt;"&amp;A162)+1,"")</f>
        <v/>
      </c>
      <c r="S162" s="21" t="str">
        <f aca="false">IF(P162&lt;&gt;"Below Materiality","",IF(Summary!$C$9="Random",COUNTIFS($O$2:$O$1092,O162,$Q$2:$Q$1092,"&gt;"&amp;Q162)+1,COUNTIFS($O$2:$O$1092,O162,$P$2:$P$1092,"Below Materiality",$M$2:$M$1092,"&gt;"&amp;M162)+COUNTIFS($O$2:$O$1092,O162,$P$2:$P$1092,"Below Materiality",$M$2:$M$1092,M162,$A$2:$A$1092,"&lt;"&amp;A162)+1))</f>
        <v/>
      </c>
      <c r="T162" s="22"/>
      <c r="U162" s="21" t="str">
        <f aca="false">IF(R162="","",O162&amp;"|A|"&amp;R162)</f>
        <v/>
      </c>
      <c r="V162" s="21" t="str">
        <f aca="false">IF(S162="","",O162&amp;"|R|"&amp;S162)</f>
        <v/>
      </c>
    </row>
    <row r="163" customFormat="false" ht="15" hidden="false" customHeight="false" outlineLevel="0" collapsed="false">
      <c r="A163" s="18" t="n">
        <v>162</v>
      </c>
      <c r="B163" s="18"/>
      <c r="C163" s="18"/>
      <c r="D163" s="18"/>
      <c r="E163" s="18" t="s">
        <v>393</v>
      </c>
      <c r="F163" s="18" t="s">
        <v>394</v>
      </c>
      <c r="G163" s="18" t="s">
        <v>71</v>
      </c>
      <c r="H163" s="18" t="n">
        <v>37</v>
      </c>
      <c r="I163" s="19" t="n">
        <v>0</v>
      </c>
      <c r="J163" s="19" t="n">
        <v>16</v>
      </c>
      <c r="K163" s="19" t="n">
        <v>16</v>
      </c>
      <c r="L163" s="19" t="n">
        <v>0</v>
      </c>
      <c r="M163" s="19" t="n">
        <f aca="false">ABS(L163)</f>
        <v>0</v>
      </c>
      <c r="N163" s="18" t="str">
        <f aca="false">IF(L163=0,"Nil balance",IF(G163="AR file",IF(L163&gt;0,"Accounts Receivable","Customer Advances"),IF(L163&lt;0,"Accounts Payable","Supplier Advances")))</f>
        <v>Nil balance</v>
      </c>
      <c r="O163" s="18" t="str">
        <f aca="false">IF(L163=0,"Excluded",IF(Summary!$C$4="By ledger",IF(G163="AR file","Population 1","Population 2"),IF(L163&gt;0,"Population 1","Population 2")))</f>
        <v>Excluded</v>
      </c>
      <c r="P163" s="18" t="str">
        <f aca="false">IF(O163="Excluded","Excluded – nil closing balance",IF(M163&gt;Summary!$C$5,"Above Materiality","Below Materiality"))</f>
        <v>Excluded – nil closing balance</v>
      </c>
      <c r="Q163" s="20" t="str">
        <f aca="false">IF(P163="Below Materiality",T163,"")</f>
        <v/>
      </c>
      <c r="R163" s="21" t="str">
        <f aca="false">IF(P163="Above Materiality",COUNTIFS($O$2:$O$1092,O163,$P$2:$P$1092,"Above Materiality",$M$2:$M$1092,"&gt;"&amp;M163)+COUNTIFS($O$2:$O$1092,O163,$P$2:$P$1092,"Above Materiality",$M$2:$M$1092,M163,$A$2:$A$1092,"&lt;"&amp;A163)+1,"")</f>
        <v/>
      </c>
      <c r="S163" s="21" t="str">
        <f aca="false">IF(P163&lt;&gt;"Below Materiality","",IF(Summary!$C$9="Random",COUNTIFS($O$2:$O$1092,O163,$Q$2:$Q$1092,"&gt;"&amp;Q163)+1,COUNTIFS($O$2:$O$1092,O163,$P$2:$P$1092,"Below Materiality",$M$2:$M$1092,"&gt;"&amp;M163)+COUNTIFS($O$2:$O$1092,O163,$P$2:$P$1092,"Below Materiality",$M$2:$M$1092,M163,$A$2:$A$1092,"&lt;"&amp;A163)+1))</f>
        <v/>
      </c>
      <c r="T163" s="22"/>
      <c r="U163" s="21" t="str">
        <f aca="false">IF(R163="","",O163&amp;"|A|"&amp;R163)</f>
        <v/>
      </c>
      <c r="V163" s="21" t="str">
        <f aca="false">IF(S163="","",O163&amp;"|R|"&amp;S163)</f>
        <v/>
      </c>
    </row>
    <row r="164" customFormat="false" ht="15" hidden="false" customHeight="false" outlineLevel="0" collapsed="false">
      <c r="A164" s="18" t="n">
        <v>163</v>
      </c>
      <c r="B164" s="18"/>
      <c r="C164" s="18"/>
      <c r="D164" s="18"/>
      <c r="E164" s="18" t="s">
        <v>395</v>
      </c>
      <c r="F164" s="18" t="s">
        <v>396</v>
      </c>
      <c r="G164" s="18" t="s">
        <v>71</v>
      </c>
      <c r="H164" s="18" t="n">
        <v>38</v>
      </c>
      <c r="I164" s="19" t="n">
        <v>22.6500000000015</v>
      </c>
      <c r="J164" s="19" t="n">
        <v>32880.55</v>
      </c>
      <c r="K164" s="19" t="n">
        <v>32903.2</v>
      </c>
      <c r="L164" s="19" t="n">
        <v>0</v>
      </c>
      <c r="M164" s="19" t="n">
        <f aca="false">ABS(L164)</f>
        <v>0</v>
      </c>
      <c r="N164" s="18" t="str">
        <f aca="false">IF(L164=0,"Nil balance",IF(G164="AR file",IF(L164&gt;0,"Accounts Receivable","Customer Advances"),IF(L164&lt;0,"Accounts Payable","Supplier Advances")))</f>
        <v>Nil balance</v>
      </c>
      <c r="O164" s="18" t="str">
        <f aca="false">IF(L164=0,"Excluded",IF(Summary!$C$4="By ledger",IF(G164="AR file","Population 1","Population 2"),IF(L164&gt;0,"Population 1","Population 2")))</f>
        <v>Excluded</v>
      </c>
      <c r="P164" s="18" t="str">
        <f aca="false">IF(O164="Excluded","Excluded – nil closing balance",IF(M164&gt;Summary!$C$5,"Above Materiality","Below Materiality"))</f>
        <v>Excluded – nil closing balance</v>
      </c>
      <c r="Q164" s="20" t="str">
        <f aca="false">IF(P164="Below Materiality",T164,"")</f>
        <v/>
      </c>
      <c r="R164" s="21" t="str">
        <f aca="false">IF(P164="Above Materiality",COUNTIFS($O$2:$O$1092,O164,$P$2:$P$1092,"Above Materiality",$M$2:$M$1092,"&gt;"&amp;M164)+COUNTIFS($O$2:$O$1092,O164,$P$2:$P$1092,"Above Materiality",$M$2:$M$1092,M164,$A$2:$A$1092,"&lt;"&amp;A164)+1,"")</f>
        <v/>
      </c>
      <c r="S164" s="21" t="str">
        <f aca="false">IF(P164&lt;&gt;"Below Materiality","",IF(Summary!$C$9="Random",COUNTIFS($O$2:$O$1092,O164,$Q$2:$Q$1092,"&gt;"&amp;Q164)+1,COUNTIFS($O$2:$O$1092,O164,$P$2:$P$1092,"Below Materiality",$M$2:$M$1092,"&gt;"&amp;M164)+COUNTIFS($O$2:$O$1092,O164,$P$2:$P$1092,"Below Materiality",$M$2:$M$1092,M164,$A$2:$A$1092,"&lt;"&amp;A164)+1))</f>
        <v/>
      </c>
      <c r="T164" s="22"/>
      <c r="U164" s="21" t="str">
        <f aca="false">IF(R164="","",O164&amp;"|A|"&amp;R164)</f>
        <v/>
      </c>
      <c r="V164" s="21" t="str">
        <f aca="false">IF(S164="","",O164&amp;"|R|"&amp;S164)</f>
        <v/>
      </c>
    </row>
    <row r="165" customFormat="false" ht="15" hidden="false" customHeight="false" outlineLevel="0" collapsed="false">
      <c r="A165" s="18" t="n">
        <v>164</v>
      </c>
      <c r="B165" s="18"/>
      <c r="C165" s="18"/>
      <c r="D165" s="18"/>
      <c r="E165" s="18" t="s">
        <v>397</v>
      </c>
      <c r="F165" s="18" t="s">
        <v>398</v>
      </c>
      <c r="G165" s="18" t="s">
        <v>71</v>
      </c>
      <c r="H165" s="18" t="n">
        <v>39</v>
      </c>
      <c r="I165" s="19" t="n">
        <v>0</v>
      </c>
      <c r="J165" s="19" t="n">
        <v>517.5</v>
      </c>
      <c r="K165" s="19" t="n">
        <v>517.5</v>
      </c>
      <c r="L165" s="19" t="n">
        <v>0</v>
      </c>
      <c r="M165" s="19" t="n">
        <f aca="false">ABS(L165)</f>
        <v>0</v>
      </c>
      <c r="N165" s="18" t="str">
        <f aca="false">IF(L165=0,"Nil balance",IF(G165="AR file",IF(L165&gt;0,"Accounts Receivable","Customer Advances"),IF(L165&lt;0,"Accounts Payable","Supplier Advances")))</f>
        <v>Nil balance</v>
      </c>
      <c r="O165" s="18" t="str">
        <f aca="false">IF(L165=0,"Excluded",IF(Summary!$C$4="By ledger",IF(G165="AR file","Population 1","Population 2"),IF(L165&gt;0,"Population 1","Population 2")))</f>
        <v>Excluded</v>
      </c>
      <c r="P165" s="18" t="str">
        <f aca="false">IF(O165="Excluded","Excluded – nil closing balance",IF(M165&gt;Summary!$C$5,"Above Materiality","Below Materiality"))</f>
        <v>Excluded – nil closing balance</v>
      </c>
      <c r="Q165" s="20" t="str">
        <f aca="false">IF(P165="Below Materiality",T165,"")</f>
        <v/>
      </c>
      <c r="R165" s="21" t="str">
        <f aca="false">IF(P165="Above Materiality",COUNTIFS($O$2:$O$1092,O165,$P$2:$P$1092,"Above Materiality",$M$2:$M$1092,"&gt;"&amp;M165)+COUNTIFS($O$2:$O$1092,O165,$P$2:$P$1092,"Above Materiality",$M$2:$M$1092,M165,$A$2:$A$1092,"&lt;"&amp;A165)+1,"")</f>
        <v/>
      </c>
      <c r="S165" s="21" t="str">
        <f aca="false">IF(P165&lt;&gt;"Below Materiality","",IF(Summary!$C$9="Random",COUNTIFS($O$2:$O$1092,O165,$Q$2:$Q$1092,"&gt;"&amp;Q165)+1,COUNTIFS($O$2:$O$1092,O165,$P$2:$P$1092,"Below Materiality",$M$2:$M$1092,"&gt;"&amp;M165)+COUNTIFS($O$2:$O$1092,O165,$P$2:$P$1092,"Below Materiality",$M$2:$M$1092,M165,$A$2:$A$1092,"&lt;"&amp;A165)+1))</f>
        <v/>
      </c>
      <c r="T165" s="22"/>
      <c r="U165" s="21" t="str">
        <f aca="false">IF(R165="","",O165&amp;"|A|"&amp;R165)</f>
        <v/>
      </c>
      <c r="V165" s="21" t="str">
        <f aca="false">IF(S165="","",O165&amp;"|R|"&amp;S165)</f>
        <v/>
      </c>
    </row>
    <row r="166" customFormat="false" ht="15" hidden="false" customHeight="false" outlineLevel="0" collapsed="false">
      <c r="A166" s="18" t="n">
        <v>165</v>
      </c>
      <c r="B166" s="18"/>
      <c r="C166" s="18"/>
      <c r="D166" s="18"/>
      <c r="E166" s="18" t="s">
        <v>399</v>
      </c>
      <c r="F166" s="18" t="s">
        <v>400</v>
      </c>
      <c r="G166" s="18" t="s">
        <v>71</v>
      </c>
      <c r="H166" s="18" t="n">
        <v>40</v>
      </c>
      <c r="I166" s="19" t="n">
        <v>0</v>
      </c>
      <c r="J166" s="19" t="n">
        <v>2701.9</v>
      </c>
      <c r="K166" s="19" t="n">
        <v>2701.9</v>
      </c>
      <c r="L166" s="19" t="n">
        <v>0</v>
      </c>
      <c r="M166" s="19" t="n">
        <f aca="false">ABS(L166)</f>
        <v>0</v>
      </c>
      <c r="N166" s="18" t="str">
        <f aca="false">IF(L166=0,"Nil balance",IF(G166="AR file",IF(L166&gt;0,"Accounts Receivable","Customer Advances"),IF(L166&lt;0,"Accounts Payable","Supplier Advances")))</f>
        <v>Nil balance</v>
      </c>
      <c r="O166" s="18" t="str">
        <f aca="false">IF(L166=0,"Excluded",IF(Summary!$C$4="By ledger",IF(G166="AR file","Population 1","Population 2"),IF(L166&gt;0,"Population 1","Population 2")))</f>
        <v>Excluded</v>
      </c>
      <c r="P166" s="18" t="str">
        <f aca="false">IF(O166="Excluded","Excluded – nil closing balance",IF(M166&gt;Summary!$C$5,"Above Materiality","Below Materiality"))</f>
        <v>Excluded – nil closing balance</v>
      </c>
      <c r="Q166" s="20" t="str">
        <f aca="false">IF(P166="Below Materiality",T166,"")</f>
        <v/>
      </c>
      <c r="R166" s="21" t="str">
        <f aca="false">IF(P166="Above Materiality",COUNTIFS($O$2:$O$1092,O166,$P$2:$P$1092,"Above Materiality",$M$2:$M$1092,"&gt;"&amp;M166)+COUNTIFS($O$2:$O$1092,O166,$P$2:$P$1092,"Above Materiality",$M$2:$M$1092,M166,$A$2:$A$1092,"&lt;"&amp;A166)+1,"")</f>
        <v/>
      </c>
      <c r="S166" s="21" t="str">
        <f aca="false">IF(P166&lt;&gt;"Below Materiality","",IF(Summary!$C$9="Random",COUNTIFS($O$2:$O$1092,O166,$Q$2:$Q$1092,"&gt;"&amp;Q166)+1,COUNTIFS($O$2:$O$1092,O166,$P$2:$P$1092,"Below Materiality",$M$2:$M$1092,"&gt;"&amp;M166)+COUNTIFS($O$2:$O$1092,O166,$P$2:$P$1092,"Below Materiality",$M$2:$M$1092,M166,$A$2:$A$1092,"&lt;"&amp;A166)+1))</f>
        <v/>
      </c>
      <c r="T166" s="22"/>
      <c r="U166" s="21" t="str">
        <f aca="false">IF(R166="","",O166&amp;"|A|"&amp;R166)</f>
        <v/>
      </c>
      <c r="V166" s="21" t="str">
        <f aca="false">IF(S166="","",O166&amp;"|R|"&amp;S166)</f>
        <v/>
      </c>
    </row>
    <row r="167" customFormat="false" ht="15" hidden="false" customHeight="false" outlineLevel="0" collapsed="false">
      <c r="A167" s="18" t="n">
        <v>166</v>
      </c>
      <c r="B167" s="18"/>
      <c r="C167" s="18"/>
      <c r="D167" s="18"/>
      <c r="E167" s="18" t="s">
        <v>401</v>
      </c>
      <c r="F167" s="18" t="s">
        <v>402</v>
      </c>
      <c r="G167" s="18" t="s">
        <v>71</v>
      </c>
      <c r="H167" s="18" t="n">
        <v>41</v>
      </c>
      <c r="I167" s="19" t="n">
        <v>0</v>
      </c>
      <c r="J167" s="19" t="n">
        <v>55.03</v>
      </c>
      <c r="K167" s="19" t="n">
        <v>55.03</v>
      </c>
      <c r="L167" s="19" t="n">
        <v>0</v>
      </c>
      <c r="M167" s="19" t="n">
        <f aca="false">ABS(L167)</f>
        <v>0</v>
      </c>
      <c r="N167" s="18" t="str">
        <f aca="false">IF(L167=0,"Nil balance",IF(G167="AR file",IF(L167&gt;0,"Accounts Receivable","Customer Advances"),IF(L167&lt;0,"Accounts Payable","Supplier Advances")))</f>
        <v>Nil balance</v>
      </c>
      <c r="O167" s="18" t="str">
        <f aca="false">IF(L167=0,"Excluded",IF(Summary!$C$4="By ledger",IF(G167="AR file","Population 1","Population 2"),IF(L167&gt;0,"Population 1","Population 2")))</f>
        <v>Excluded</v>
      </c>
      <c r="P167" s="18" t="str">
        <f aca="false">IF(O167="Excluded","Excluded – nil closing balance",IF(M167&gt;Summary!$C$5,"Above Materiality","Below Materiality"))</f>
        <v>Excluded – nil closing balance</v>
      </c>
      <c r="Q167" s="20" t="str">
        <f aca="false">IF(P167="Below Materiality",T167,"")</f>
        <v/>
      </c>
      <c r="R167" s="21" t="str">
        <f aca="false">IF(P167="Above Materiality",COUNTIFS($O$2:$O$1092,O167,$P$2:$P$1092,"Above Materiality",$M$2:$M$1092,"&gt;"&amp;M167)+COUNTIFS($O$2:$O$1092,O167,$P$2:$P$1092,"Above Materiality",$M$2:$M$1092,M167,$A$2:$A$1092,"&lt;"&amp;A167)+1,"")</f>
        <v/>
      </c>
      <c r="S167" s="21" t="str">
        <f aca="false">IF(P167&lt;&gt;"Below Materiality","",IF(Summary!$C$9="Random",COUNTIFS($O$2:$O$1092,O167,$Q$2:$Q$1092,"&gt;"&amp;Q167)+1,COUNTIFS($O$2:$O$1092,O167,$P$2:$P$1092,"Below Materiality",$M$2:$M$1092,"&gt;"&amp;M167)+COUNTIFS($O$2:$O$1092,O167,$P$2:$P$1092,"Below Materiality",$M$2:$M$1092,M167,$A$2:$A$1092,"&lt;"&amp;A167)+1))</f>
        <v/>
      </c>
      <c r="T167" s="22"/>
      <c r="U167" s="21" t="str">
        <f aca="false">IF(R167="","",O167&amp;"|A|"&amp;R167)</f>
        <v/>
      </c>
      <c r="V167" s="21" t="str">
        <f aca="false">IF(S167="","",O167&amp;"|R|"&amp;S167)</f>
        <v/>
      </c>
    </row>
    <row r="168" customFormat="false" ht="15" hidden="false" customHeight="false" outlineLevel="0" collapsed="false">
      <c r="A168" s="18" t="n">
        <v>167</v>
      </c>
      <c r="B168" s="18"/>
      <c r="C168" s="18"/>
      <c r="D168" s="18"/>
      <c r="E168" s="18" t="s">
        <v>403</v>
      </c>
      <c r="F168" s="18" t="s">
        <v>404</v>
      </c>
      <c r="G168" s="18" t="s">
        <v>71</v>
      </c>
      <c r="H168" s="18" t="n">
        <v>42</v>
      </c>
      <c r="I168" s="19" t="n">
        <v>0</v>
      </c>
      <c r="J168" s="19" t="n">
        <v>5437.5</v>
      </c>
      <c r="K168" s="19" t="n">
        <v>5437.5</v>
      </c>
      <c r="L168" s="19" t="n">
        <v>0</v>
      </c>
      <c r="M168" s="19" t="n">
        <f aca="false">ABS(L168)</f>
        <v>0</v>
      </c>
      <c r="N168" s="18" t="str">
        <f aca="false">IF(L168=0,"Nil balance",IF(G168="AR file",IF(L168&gt;0,"Accounts Receivable","Customer Advances"),IF(L168&lt;0,"Accounts Payable","Supplier Advances")))</f>
        <v>Nil balance</v>
      </c>
      <c r="O168" s="18" t="str">
        <f aca="false">IF(L168=0,"Excluded",IF(Summary!$C$4="By ledger",IF(G168="AR file","Population 1","Population 2"),IF(L168&gt;0,"Population 1","Population 2")))</f>
        <v>Excluded</v>
      </c>
      <c r="P168" s="18" t="str">
        <f aca="false">IF(O168="Excluded","Excluded – nil closing balance",IF(M168&gt;Summary!$C$5,"Above Materiality","Below Materiality"))</f>
        <v>Excluded – nil closing balance</v>
      </c>
      <c r="Q168" s="20" t="str">
        <f aca="false">IF(P168="Below Materiality",T168,"")</f>
        <v/>
      </c>
      <c r="R168" s="21" t="str">
        <f aca="false">IF(P168="Above Materiality",COUNTIFS($O$2:$O$1092,O168,$P$2:$P$1092,"Above Materiality",$M$2:$M$1092,"&gt;"&amp;M168)+COUNTIFS($O$2:$O$1092,O168,$P$2:$P$1092,"Above Materiality",$M$2:$M$1092,M168,$A$2:$A$1092,"&lt;"&amp;A168)+1,"")</f>
        <v/>
      </c>
      <c r="S168" s="21" t="str">
        <f aca="false">IF(P168&lt;&gt;"Below Materiality","",IF(Summary!$C$9="Random",COUNTIFS($O$2:$O$1092,O168,$Q$2:$Q$1092,"&gt;"&amp;Q168)+1,COUNTIFS($O$2:$O$1092,O168,$P$2:$P$1092,"Below Materiality",$M$2:$M$1092,"&gt;"&amp;M168)+COUNTIFS($O$2:$O$1092,O168,$P$2:$P$1092,"Below Materiality",$M$2:$M$1092,M168,$A$2:$A$1092,"&lt;"&amp;A168)+1))</f>
        <v/>
      </c>
      <c r="T168" s="22"/>
      <c r="U168" s="21" t="str">
        <f aca="false">IF(R168="","",O168&amp;"|A|"&amp;R168)</f>
        <v/>
      </c>
      <c r="V168" s="21" t="str">
        <f aca="false">IF(S168="","",O168&amp;"|R|"&amp;S168)</f>
        <v/>
      </c>
    </row>
    <row r="169" customFormat="false" ht="15" hidden="false" customHeight="false" outlineLevel="0" collapsed="false">
      <c r="A169" s="18" t="n">
        <v>168</v>
      </c>
      <c r="B169" s="18"/>
      <c r="C169" s="18"/>
      <c r="D169" s="18"/>
      <c r="E169" s="18" t="s">
        <v>405</v>
      </c>
      <c r="F169" s="18" t="s">
        <v>406</v>
      </c>
      <c r="G169" s="18" t="s">
        <v>71</v>
      </c>
      <c r="H169" s="18" t="n">
        <v>44</v>
      </c>
      <c r="I169" s="19" t="n">
        <v>0</v>
      </c>
      <c r="J169" s="19" t="n">
        <v>155186.64</v>
      </c>
      <c r="K169" s="19" t="n">
        <v>155186.64</v>
      </c>
      <c r="L169" s="19" t="n">
        <v>0</v>
      </c>
      <c r="M169" s="19" t="n">
        <f aca="false">ABS(L169)</f>
        <v>0</v>
      </c>
      <c r="N169" s="18" t="str">
        <f aca="false">IF(L169=0,"Nil balance",IF(G169="AR file",IF(L169&gt;0,"Accounts Receivable","Customer Advances"),IF(L169&lt;0,"Accounts Payable","Supplier Advances")))</f>
        <v>Nil balance</v>
      </c>
      <c r="O169" s="18" t="str">
        <f aca="false">IF(L169=0,"Excluded",IF(Summary!$C$4="By ledger",IF(G169="AR file","Population 1","Population 2"),IF(L169&gt;0,"Population 1","Population 2")))</f>
        <v>Excluded</v>
      </c>
      <c r="P169" s="18" t="str">
        <f aca="false">IF(O169="Excluded","Excluded – nil closing balance",IF(M169&gt;Summary!$C$5,"Above Materiality","Below Materiality"))</f>
        <v>Excluded – nil closing balance</v>
      </c>
      <c r="Q169" s="20" t="str">
        <f aca="false">IF(P169="Below Materiality",T169,"")</f>
        <v/>
      </c>
      <c r="R169" s="21" t="str">
        <f aca="false">IF(P169="Above Materiality",COUNTIFS($O$2:$O$1092,O169,$P$2:$P$1092,"Above Materiality",$M$2:$M$1092,"&gt;"&amp;M169)+COUNTIFS($O$2:$O$1092,O169,$P$2:$P$1092,"Above Materiality",$M$2:$M$1092,M169,$A$2:$A$1092,"&lt;"&amp;A169)+1,"")</f>
        <v/>
      </c>
      <c r="S169" s="21" t="str">
        <f aca="false">IF(P169&lt;&gt;"Below Materiality","",IF(Summary!$C$9="Random",COUNTIFS($O$2:$O$1092,O169,$Q$2:$Q$1092,"&gt;"&amp;Q169)+1,COUNTIFS($O$2:$O$1092,O169,$P$2:$P$1092,"Below Materiality",$M$2:$M$1092,"&gt;"&amp;M169)+COUNTIFS($O$2:$O$1092,O169,$P$2:$P$1092,"Below Materiality",$M$2:$M$1092,M169,$A$2:$A$1092,"&lt;"&amp;A169)+1))</f>
        <v/>
      </c>
      <c r="T169" s="22"/>
      <c r="U169" s="21" t="str">
        <f aca="false">IF(R169="","",O169&amp;"|A|"&amp;R169)</f>
        <v/>
      </c>
      <c r="V169" s="21" t="str">
        <f aca="false">IF(S169="","",O169&amp;"|R|"&amp;S169)</f>
        <v/>
      </c>
    </row>
    <row r="170" customFormat="false" ht="15" hidden="false" customHeight="false" outlineLevel="0" collapsed="false">
      <c r="A170" s="18" t="n">
        <v>169</v>
      </c>
      <c r="B170" s="18"/>
      <c r="C170" s="18"/>
      <c r="D170" s="18"/>
      <c r="E170" s="18" t="s">
        <v>407</v>
      </c>
      <c r="F170" s="18" t="s">
        <v>408</v>
      </c>
      <c r="G170" s="18" t="s">
        <v>71</v>
      </c>
      <c r="H170" s="18" t="n">
        <v>45</v>
      </c>
      <c r="I170" s="19" t="n">
        <v>0</v>
      </c>
      <c r="J170" s="19" t="n">
        <v>2155</v>
      </c>
      <c r="K170" s="19" t="n">
        <v>2155</v>
      </c>
      <c r="L170" s="19" t="n">
        <v>0</v>
      </c>
      <c r="M170" s="19" t="n">
        <f aca="false">ABS(L170)</f>
        <v>0</v>
      </c>
      <c r="N170" s="18" t="str">
        <f aca="false">IF(L170=0,"Nil balance",IF(G170="AR file",IF(L170&gt;0,"Accounts Receivable","Customer Advances"),IF(L170&lt;0,"Accounts Payable","Supplier Advances")))</f>
        <v>Nil balance</v>
      </c>
      <c r="O170" s="18" t="str">
        <f aca="false">IF(L170=0,"Excluded",IF(Summary!$C$4="By ledger",IF(G170="AR file","Population 1","Population 2"),IF(L170&gt;0,"Population 1","Population 2")))</f>
        <v>Excluded</v>
      </c>
      <c r="P170" s="18" t="str">
        <f aca="false">IF(O170="Excluded","Excluded – nil closing balance",IF(M170&gt;Summary!$C$5,"Above Materiality","Below Materiality"))</f>
        <v>Excluded – nil closing balance</v>
      </c>
      <c r="Q170" s="20" t="str">
        <f aca="false">IF(P170="Below Materiality",T170,"")</f>
        <v/>
      </c>
      <c r="R170" s="21" t="str">
        <f aca="false">IF(P170="Above Materiality",COUNTIFS($O$2:$O$1092,O170,$P$2:$P$1092,"Above Materiality",$M$2:$M$1092,"&gt;"&amp;M170)+COUNTIFS($O$2:$O$1092,O170,$P$2:$P$1092,"Above Materiality",$M$2:$M$1092,M170,$A$2:$A$1092,"&lt;"&amp;A170)+1,"")</f>
        <v/>
      </c>
      <c r="S170" s="21" t="str">
        <f aca="false">IF(P170&lt;&gt;"Below Materiality","",IF(Summary!$C$9="Random",COUNTIFS($O$2:$O$1092,O170,$Q$2:$Q$1092,"&gt;"&amp;Q170)+1,COUNTIFS($O$2:$O$1092,O170,$P$2:$P$1092,"Below Materiality",$M$2:$M$1092,"&gt;"&amp;M170)+COUNTIFS($O$2:$O$1092,O170,$P$2:$P$1092,"Below Materiality",$M$2:$M$1092,M170,$A$2:$A$1092,"&lt;"&amp;A170)+1))</f>
        <v/>
      </c>
      <c r="T170" s="22"/>
      <c r="U170" s="21" t="str">
        <f aca="false">IF(R170="","",O170&amp;"|A|"&amp;R170)</f>
        <v/>
      </c>
      <c r="V170" s="21" t="str">
        <f aca="false">IF(S170="","",O170&amp;"|R|"&amp;S170)</f>
        <v/>
      </c>
    </row>
    <row r="171" customFormat="false" ht="15" hidden="false" customHeight="false" outlineLevel="0" collapsed="false">
      <c r="A171" s="18" t="n">
        <v>170</v>
      </c>
      <c r="B171" s="18"/>
      <c r="C171" s="18"/>
      <c r="D171" s="18"/>
      <c r="E171" s="18" t="s">
        <v>409</v>
      </c>
      <c r="F171" s="18" t="s">
        <v>410</v>
      </c>
      <c r="G171" s="18" t="s">
        <v>71</v>
      </c>
      <c r="H171" s="18" t="n">
        <v>46</v>
      </c>
      <c r="I171" s="19" t="n">
        <v>0</v>
      </c>
      <c r="J171" s="19" t="n">
        <v>56986.1</v>
      </c>
      <c r="K171" s="19" t="n">
        <v>56986.1</v>
      </c>
      <c r="L171" s="19" t="n">
        <v>0</v>
      </c>
      <c r="M171" s="19" t="n">
        <f aca="false">ABS(L171)</f>
        <v>0</v>
      </c>
      <c r="N171" s="18" t="str">
        <f aca="false">IF(L171=0,"Nil balance",IF(G171="AR file",IF(L171&gt;0,"Accounts Receivable","Customer Advances"),IF(L171&lt;0,"Accounts Payable","Supplier Advances")))</f>
        <v>Nil balance</v>
      </c>
      <c r="O171" s="18" t="str">
        <f aca="false">IF(L171=0,"Excluded",IF(Summary!$C$4="By ledger",IF(G171="AR file","Population 1","Population 2"),IF(L171&gt;0,"Population 1","Population 2")))</f>
        <v>Excluded</v>
      </c>
      <c r="P171" s="18" t="str">
        <f aca="false">IF(O171="Excluded","Excluded – nil closing balance",IF(M171&gt;Summary!$C$5,"Above Materiality","Below Materiality"))</f>
        <v>Excluded – nil closing balance</v>
      </c>
      <c r="Q171" s="20" t="str">
        <f aca="false">IF(P171="Below Materiality",T171,"")</f>
        <v/>
      </c>
      <c r="R171" s="21" t="str">
        <f aca="false">IF(P171="Above Materiality",COUNTIFS($O$2:$O$1092,O171,$P$2:$P$1092,"Above Materiality",$M$2:$M$1092,"&gt;"&amp;M171)+COUNTIFS($O$2:$O$1092,O171,$P$2:$P$1092,"Above Materiality",$M$2:$M$1092,M171,$A$2:$A$1092,"&lt;"&amp;A171)+1,"")</f>
        <v/>
      </c>
      <c r="S171" s="21" t="str">
        <f aca="false">IF(P171&lt;&gt;"Below Materiality","",IF(Summary!$C$9="Random",COUNTIFS($O$2:$O$1092,O171,$Q$2:$Q$1092,"&gt;"&amp;Q171)+1,COUNTIFS($O$2:$O$1092,O171,$P$2:$P$1092,"Below Materiality",$M$2:$M$1092,"&gt;"&amp;M171)+COUNTIFS($O$2:$O$1092,O171,$P$2:$P$1092,"Below Materiality",$M$2:$M$1092,M171,$A$2:$A$1092,"&lt;"&amp;A171)+1))</f>
        <v/>
      </c>
      <c r="T171" s="22"/>
      <c r="U171" s="21" t="str">
        <f aca="false">IF(R171="","",O171&amp;"|A|"&amp;R171)</f>
        <v/>
      </c>
      <c r="V171" s="21" t="str">
        <f aca="false">IF(S171="","",O171&amp;"|R|"&amp;S171)</f>
        <v/>
      </c>
    </row>
    <row r="172" customFormat="false" ht="15" hidden="false" customHeight="false" outlineLevel="0" collapsed="false">
      <c r="A172" s="18" t="n">
        <v>171</v>
      </c>
      <c r="B172" s="18"/>
      <c r="C172" s="18"/>
      <c r="D172" s="18"/>
      <c r="E172" s="18" t="s">
        <v>411</v>
      </c>
      <c r="F172" s="18" t="s">
        <v>412</v>
      </c>
      <c r="G172" s="18" t="s">
        <v>71</v>
      </c>
      <c r="H172" s="18" t="n">
        <v>47</v>
      </c>
      <c r="I172" s="19" t="n">
        <v>0</v>
      </c>
      <c r="J172" s="19" t="n">
        <v>2530</v>
      </c>
      <c r="K172" s="19" t="n">
        <v>2530</v>
      </c>
      <c r="L172" s="19" t="n">
        <v>0</v>
      </c>
      <c r="M172" s="19" t="n">
        <f aca="false">ABS(L172)</f>
        <v>0</v>
      </c>
      <c r="N172" s="18" t="str">
        <f aca="false">IF(L172=0,"Nil balance",IF(G172="AR file",IF(L172&gt;0,"Accounts Receivable","Customer Advances"),IF(L172&lt;0,"Accounts Payable","Supplier Advances")))</f>
        <v>Nil balance</v>
      </c>
      <c r="O172" s="18" t="str">
        <f aca="false">IF(L172=0,"Excluded",IF(Summary!$C$4="By ledger",IF(G172="AR file","Population 1","Population 2"),IF(L172&gt;0,"Population 1","Population 2")))</f>
        <v>Excluded</v>
      </c>
      <c r="P172" s="18" t="str">
        <f aca="false">IF(O172="Excluded","Excluded – nil closing balance",IF(M172&gt;Summary!$C$5,"Above Materiality","Below Materiality"))</f>
        <v>Excluded – nil closing balance</v>
      </c>
      <c r="Q172" s="20" t="str">
        <f aca="false">IF(P172="Below Materiality",T172,"")</f>
        <v/>
      </c>
      <c r="R172" s="21" t="str">
        <f aca="false">IF(P172="Above Materiality",COUNTIFS($O$2:$O$1092,O172,$P$2:$P$1092,"Above Materiality",$M$2:$M$1092,"&gt;"&amp;M172)+COUNTIFS($O$2:$O$1092,O172,$P$2:$P$1092,"Above Materiality",$M$2:$M$1092,M172,$A$2:$A$1092,"&lt;"&amp;A172)+1,"")</f>
        <v/>
      </c>
      <c r="S172" s="21" t="str">
        <f aca="false">IF(P172&lt;&gt;"Below Materiality","",IF(Summary!$C$9="Random",COUNTIFS($O$2:$O$1092,O172,$Q$2:$Q$1092,"&gt;"&amp;Q172)+1,COUNTIFS($O$2:$O$1092,O172,$P$2:$P$1092,"Below Materiality",$M$2:$M$1092,"&gt;"&amp;M172)+COUNTIFS($O$2:$O$1092,O172,$P$2:$P$1092,"Below Materiality",$M$2:$M$1092,M172,$A$2:$A$1092,"&lt;"&amp;A172)+1))</f>
        <v/>
      </c>
      <c r="T172" s="22"/>
      <c r="U172" s="21" t="str">
        <f aca="false">IF(R172="","",O172&amp;"|A|"&amp;R172)</f>
        <v/>
      </c>
      <c r="V172" s="21" t="str">
        <f aca="false">IF(S172="","",O172&amp;"|R|"&amp;S172)</f>
        <v/>
      </c>
    </row>
    <row r="173" customFormat="false" ht="15" hidden="false" customHeight="false" outlineLevel="0" collapsed="false">
      <c r="A173" s="18" t="n">
        <v>172</v>
      </c>
      <c r="B173" s="18"/>
      <c r="C173" s="18"/>
      <c r="D173" s="18"/>
      <c r="E173" s="18" t="s">
        <v>413</v>
      </c>
      <c r="F173" s="18" t="s">
        <v>394</v>
      </c>
      <c r="G173" s="18" t="s">
        <v>71</v>
      </c>
      <c r="H173" s="18" t="n">
        <v>49</v>
      </c>
      <c r="I173" s="19" t="n">
        <v>0</v>
      </c>
      <c r="J173" s="19" t="n">
        <v>16</v>
      </c>
      <c r="K173" s="19" t="n">
        <v>16</v>
      </c>
      <c r="L173" s="19" t="n">
        <v>0</v>
      </c>
      <c r="M173" s="19" t="n">
        <f aca="false">ABS(L173)</f>
        <v>0</v>
      </c>
      <c r="N173" s="18" t="str">
        <f aca="false">IF(L173=0,"Nil balance",IF(G173="AR file",IF(L173&gt;0,"Accounts Receivable","Customer Advances"),IF(L173&lt;0,"Accounts Payable","Supplier Advances")))</f>
        <v>Nil balance</v>
      </c>
      <c r="O173" s="18" t="str">
        <f aca="false">IF(L173=0,"Excluded",IF(Summary!$C$4="By ledger",IF(G173="AR file","Population 1","Population 2"),IF(L173&gt;0,"Population 1","Population 2")))</f>
        <v>Excluded</v>
      </c>
      <c r="P173" s="18" t="str">
        <f aca="false">IF(O173="Excluded","Excluded – nil closing balance",IF(M173&gt;Summary!$C$5,"Above Materiality","Below Materiality"))</f>
        <v>Excluded – nil closing balance</v>
      </c>
      <c r="Q173" s="20" t="str">
        <f aca="false">IF(P173="Below Materiality",T173,"")</f>
        <v/>
      </c>
      <c r="R173" s="21" t="str">
        <f aca="false">IF(P173="Above Materiality",COUNTIFS($O$2:$O$1092,O173,$P$2:$P$1092,"Above Materiality",$M$2:$M$1092,"&gt;"&amp;M173)+COUNTIFS($O$2:$O$1092,O173,$P$2:$P$1092,"Above Materiality",$M$2:$M$1092,M173,$A$2:$A$1092,"&lt;"&amp;A173)+1,"")</f>
        <v/>
      </c>
      <c r="S173" s="21" t="str">
        <f aca="false">IF(P173&lt;&gt;"Below Materiality","",IF(Summary!$C$9="Random",COUNTIFS($O$2:$O$1092,O173,$Q$2:$Q$1092,"&gt;"&amp;Q173)+1,COUNTIFS($O$2:$O$1092,O173,$P$2:$P$1092,"Below Materiality",$M$2:$M$1092,"&gt;"&amp;M173)+COUNTIFS($O$2:$O$1092,O173,$P$2:$P$1092,"Below Materiality",$M$2:$M$1092,M173,$A$2:$A$1092,"&lt;"&amp;A173)+1))</f>
        <v/>
      </c>
      <c r="T173" s="22"/>
      <c r="U173" s="21" t="str">
        <f aca="false">IF(R173="","",O173&amp;"|A|"&amp;R173)</f>
        <v/>
      </c>
      <c r="V173" s="21" t="str">
        <f aca="false">IF(S173="","",O173&amp;"|R|"&amp;S173)</f>
        <v/>
      </c>
    </row>
    <row r="174" customFormat="false" ht="15" hidden="false" customHeight="false" outlineLevel="0" collapsed="false">
      <c r="A174" s="18" t="n">
        <v>173</v>
      </c>
      <c r="B174" s="18"/>
      <c r="C174" s="18"/>
      <c r="D174" s="18"/>
      <c r="E174" s="18" t="s">
        <v>414</v>
      </c>
      <c r="F174" s="18" t="s">
        <v>415</v>
      </c>
      <c r="G174" s="18" t="s">
        <v>71</v>
      </c>
      <c r="H174" s="18" t="n">
        <v>50</v>
      </c>
      <c r="I174" s="19" t="n">
        <v>0</v>
      </c>
      <c r="J174" s="19" t="n">
        <v>66.83</v>
      </c>
      <c r="K174" s="19" t="n">
        <v>66.83</v>
      </c>
      <c r="L174" s="19" t="n">
        <v>0</v>
      </c>
      <c r="M174" s="19" t="n">
        <f aca="false">ABS(L174)</f>
        <v>0</v>
      </c>
      <c r="N174" s="18" t="str">
        <f aca="false">IF(L174=0,"Nil balance",IF(G174="AR file",IF(L174&gt;0,"Accounts Receivable","Customer Advances"),IF(L174&lt;0,"Accounts Payable","Supplier Advances")))</f>
        <v>Nil balance</v>
      </c>
      <c r="O174" s="18" t="str">
        <f aca="false">IF(L174=0,"Excluded",IF(Summary!$C$4="By ledger",IF(G174="AR file","Population 1","Population 2"),IF(L174&gt;0,"Population 1","Population 2")))</f>
        <v>Excluded</v>
      </c>
      <c r="P174" s="18" t="str">
        <f aca="false">IF(O174="Excluded","Excluded – nil closing balance",IF(M174&gt;Summary!$C$5,"Above Materiality","Below Materiality"))</f>
        <v>Excluded – nil closing balance</v>
      </c>
      <c r="Q174" s="20" t="str">
        <f aca="false">IF(P174="Below Materiality",T174,"")</f>
        <v/>
      </c>
      <c r="R174" s="21" t="str">
        <f aca="false">IF(P174="Above Materiality",COUNTIFS($O$2:$O$1092,O174,$P$2:$P$1092,"Above Materiality",$M$2:$M$1092,"&gt;"&amp;M174)+COUNTIFS($O$2:$O$1092,O174,$P$2:$P$1092,"Above Materiality",$M$2:$M$1092,M174,$A$2:$A$1092,"&lt;"&amp;A174)+1,"")</f>
        <v/>
      </c>
      <c r="S174" s="21" t="str">
        <f aca="false">IF(P174&lt;&gt;"Below Materiality","",IF(Summary!$C$9="Random",COUNTIFS($O$2:$O$1092,O174,$Q$2:$Q$1092,"&gt;"&amp;Q174)+1,COUNTIFS($O$2:$O$1092,O174,$P$2:$P$1092,"Below Materiality",$M$2:$M$1092,"&gt;"&amp;M174)+COUNTIFS($O$2:$O$1092,O174,$P$2:$P$1092,"Below Materiality",$M$2:$M$1092,M174,$A$2:$A$1092,"&lt;"&amp;A174)+1))</f>
        <v/>
      </c>
      <c r="T174" s="22"/>
      <c r="U174" s="21" t="str">
        <f aca="false">IF(R174="","",O174&amp;"|A|"&amp;R174)</f>
        <v/>
      </c>
      <c r="V174" s="21" t="str">
        <f aca="false">IF(S174="","",O174&amp;"|R|"&amp;S174)</f>
        <v/>
      </c>
    </row>
    <row r="175" customFormat="false" ht="15" hidden="false" customHeight="false" outlineLevel="0" collapsed="false">
      <c r="A175" s="18" t="n">
        <v>174</v>
      </c>
      <c r="B175" s="18"/>
      <c r="C175" s="18"/>
      <c r="D175" s="18"/>
      <c r="E175" s="18" t="s">
        <v>416</v>
      </c>
      <c r="F175" s="18" t="s">
        <v>417</v>
      </c>
      <c r="G175" s="18" t="s">
        <v>71</v>
      </c>
      <c r="H175" s="18" t="n">
        <v>51</v>
      </c>
      <c r="I175" s="19" t="n">
        <v>0</v>
      </c>
      <c r="J175" s="19" t="n">
        <v>276</v>
      </c>
      <c r="K175" s="19" t="n">
        <v>276</v>
      </c>
      <c r="L175" s="19" t="n">
        <v>0</v>
      </c>
      <c r="M175" s="19" t="n">
        <f aca="false">ABS(L175)</f>
        <v>0</v>
      </c>
      <c r="N175" s="18" t="str">
        <f aca="false">IF(L175=0,"Nil balance",IF(G175="AR file",IF(L175&gt;0,"Accounts Receivable","Customer Advances"),IF(L175&lt;0,"Accounts Payable","Supplier Advances")))</f>
        <v>Nil balance</v>
      </c>
      <c r="O175" s="18" t="str">
        <f aca="false">IF(L175=0,"Excluded",IF(Summary!$C$4="By ledger",IF(G175="AR file","Population 1","Population 2"),IF(L175&gt;0,"Population 1","Population 2")))</f>
        <v>Excluded</v>
      </c>
      <c r="P175" s="18" t="str">
        <f aca="false">IF(O175="Excluded","Excluded – nil closing balance",IF(M175&gt;Summary!$C$5,"Above Materiality","Below Materiality"))</f>
        <v>Excluded – nil closing balance</v>
      </c>
      <c r="Q175" s="20" t="str">
        <f aca="false">IF(P175="Below Materiality",T175,"")</f>
        <v/>
      </c>
      <c r="R175" s="21" t="str">
        <f aca="false">IF(P175="Above Materiality",COUNTIFS($O$2:$O$1092,O175,$P$2:$P$1092,"Above Materiality",$M$2:$M$1092,"&gt;"&amp;M175)+COUNTIFS($O$2:$O$1092,O175,$P$2:$P$1092,"Above Materiality",$M$2:$M$1092,M175,$A$2:$A$1092,"&lt;"&amp;A175)+1,"")</f>
        <v/>
      </c>
      <c r="S175" s="21" t="str">
        <f aca="false">IF(P175&lt;&gt;"Below Materiality","",IF(Summary!$C$9="Random",COUNTIFS($O$2:$O$1092,O175,$Q$2:$Q$1092,"&gt;"&amp;Q175)+1,COUNTIFS($O$2:$O$1092,O175,$P$2:$P$1092,"Below Materiality",$M$2:$M$1092,"&gt;"&amp;M175)+COUNTIFS($O$2:$O$1092,O175,$P$2:$P$1092,"Below Materiality",$M$2:$M$1092,M175,$A$2:$A$1092,"&lt;"&amp;A175)+1))</f>
        <v/>
      </c>
      <c r="T175" s="22"/>
      <c r="U175" s="21" t="str">
        <f aca="false">IF(R175="","",O175&amp;"|A|"&amp;R175)</f>
        <v/>
      </c>
      <c r="V175" s="21" t="str">
        <f aca="false">IF(S175="","",O175&amp;"|R|"&amp;S175)</f>
        <v/>
      </c>
    </row>
    <row r="176" customFormat="false" ht="15" hidden="false" customHeight="false" outlineLevel="0" collapsed="false">
      <c r="A176" s="18" t="n">
        <v>175</v>
      </c>
      <c r="B176" s="18"/>
      <c r="C176" s="18"/>
      <c r="D176" s="18"/>
      <c r="E176" s="18" t="s">
        <v>418</v>
      </c>
      <c r="F176" s="18" t="s">
        <v>419</v>
      </c>
      <c r="G176" s="18" t="s">
        <v>71</v>
      </c>
      <c r="H176" s="18" t="n">
        <v>52</v>
      </c>
      <c r="I176" s="19" t="n">
        <v>0</v>
      </c>
      <c r="J176" s="19" t="n">
        <v>2412</v>
      </c>
      <c r="K176" s="19" t="n">
        <v>2412</v>
      </c>
      <c r="L176" s="19" t="n">
        <v>0</v>
      </c>
      <c r="M176" s="19" t="n">
        <f aca="false">ABS(L176)</f>
        <v>0</v>
      </c>
      <c r="N176" s="18" t="str">
        <f aca="false">IF(L176=0,"Nil balance",IF(G176="AR file",IF(L176&gt;0,"Accounts Receivable","Customer Advances"),IF(L176&lt;0,"Accounts Payable","Supplier Advances")))</f>
        <v>Nil balance</v>
      </c>
      <c r="O176" s="18" t="str">
        <f aca="false">IF(L176=0,"Excluded",IF(Summary!$C$4="By ledger",IF(G176="AR file","Population 1","Population 2"),IF(L176&gt;0,"Population 1","Population 2")))</f>
        <v>Excluded</v>
      </c>
      <c r="P176" s="18" t="str">
        <f aca="false">IF(O176="Excluded","Excluded – nil closing balance",IF(M176&gt;Summary!$C$5,"Above Materiality","Below Materiality"))</f>
        <v>Excluded – nil closing balance</v>
      </c>
      <c r="Q176" s="20" t="str">
        <f aca="false">IF(P176="Below Materiality",T176,"")</f>
        <v/>
      </c>
      <c r="R176" s="21" t="str">
        <f aca="false">IF(P176="Above Materiality",COUNTIFS($O$2:$O$1092,O176,$P$2:$P$1092,"Above Materiality",$M$2:$M$1092,"&gt;"&amp;M176)+COUNTIFS($O$2:$O$1092,O176,$P$2:$P$1092,"Above Materiality",$M$2:$M$1092,M176,$A$2:$A$1092,"&lt;"&amp;A176)+1,"")</f>
        <v/>
      </c>
      <c r="S176" s="21" t="str">
        <f aca="false">IF(P176&lt;&gt;"Below Materiality","",IF(Summary!$C$9="Random",COUNTIFS($O$2:$O$1092,O176,$Q$2:$Q$1092,"&gt;"&amp;Q176)+1,COUNTIFS($O$2:$O$1092,O176,$P$2:$P$1092,"Below Materiality",$M$2:$M$1092,"&gt;"&amp;M176)+COUNTIFS($O$2:$O$1092,O176,$P$2:$P$1092,"Below Materiality",$M$2:$M$1092,M176,$A$2:$A$1092,"&lt;"&amp;A176)+1))</f>
        <v/>
      </c>
      <c r="T176" s="22"/>
      <c r="U176" s="21" t="str">
        <f aca="false">IF(R176="","",O176&amp;"|A|"&amp;R176)</f>
        <v/>
      </c>
      <c r="V176" s="21" t="str">
        <f aca="false">IF(S176="","",O176&amp;"|R|"&amp;S176)</f>
        <v/>
      </c>
    </row>
    <row r="177" customFormat="false" ht="15" hidden="false" customHeight="false" outlineLevel="0" collapsed="false">
      <c r="A177" s="18" t="n">
        <v>176</v>
      </c>
      <c r="B177" s="18"/>
      <c r="C177" s="18"/>
      <c r="D177" s="18"/>
      <c r="E177" s="18" t="s">
        <v>420</v>
      </c>
      <c r="F177" s="18" t="s">
        <v>421</v>
      </c>
      <c r="G177" s="18" t="s">
        <v>71</v>
      </c>
      <c r="H177" s="18" t="n">
        <v>53</v>
      </c>
      <c r="I177" s="19" t="n">
        <v>0</v>
      </c>
      <c r="J177" s="19" t="n">
        <v>11390</v>
      </c>
      <c r="K177" s="19" t="n">
        <v>11390</v>
      </c>
      <c r="L177" s="19" t="n">
        <v>0</v>
      </c>
      <c r="M177" s="19" t="n">
        <f aca="false">ABS(L177)</f>
        <v>0</v>
      </c>
      <c r="N177" s="18" t="str">
        <f aca="false">IF(L177=0,"Nil balance",IF(G177="AR file",IF(L177&gt;0,"Accounts Receivable","Customer Advances"),IF(L177&lt;0,"Accounts Payable","Supplier Advances")))</f>
        <v>Nil balance</v>
      </c>
      <c r="O177" s="18" t="str">
        <f aca="false">IF(L177=0,"Excluded",IF(Summary!$C$4="By ledger",IF(G177="AR file","Population 1","Population 2"),IF(L177&gt;0,"Population 1","Population 2")))</f>
        <v>Excluded</v>
      </c>
      <c r="P177" s="18" t="str">
        <f aca="false">IF(O177="Excluded","Excluded – nil closing balance",IF(M177&gt;Summary!$C$5,"Above Materiality","Below Materiality"))</f>
        <v>Excluded – nil closing balance</v>
      </c>
      <c r="Q177" s="20" t="str">
        <f aca="false">IF(P177="Below Materiality",T177,"")</f>
        <v/>
      </c>
      <c r="R177" s="21" t="str">
        <f aca="false">IF(P177="Above Materiality",COUNTIFS($O$2:$O$1092,O177,$P$2:$P$1092,"Above Materiality",$M$2:$M$1092,"&gt;"&amp;M177)+COUNTIFS($O$2:$O$1092,O177,$P$2:$P$1092,"Above Materiality",$M$2:$M$1092,M177,$A$2:$A$1092,"&lt;"&amp;A177)+1,"")</f>
        <v/>
      </c>
      <c r="S177" s="21" t="str">
        <f aca="false">IF(P177&lt;&gt;"Below Materiality","",IF(Summary!$C$9="Random",COUNTIFS($O$2:$O$1092,O177,$Q$2:$Q$1092,"&gt;"&amp;Q177)+1,COUNTIFS($O$2:$O$1092,O177,$P$2:$P$1092,"Below Materiality",$M$2:$M$1092,"&gt;"&amp;M177)+COUNTIFS($O$2:$O$1092,O177,$P$2:$P$1092,"Below Materiality",$M$2:$M$1092,M177,$A$2:$A$1092,"&lt;"&amp;A177)+1))</f>
        <v/>
      </c>
      <c r="T177" s="22"/>
      <c r="U177" s="21" t="str">
        <f aca="false">IF(R177="","",O177&amp;"|A|"&amp;R177)</f>
        <v/>
      </c>
      <c r="V177" s="21" t="str">
        <f aca="false">IF(S177="","",O177&amp;"|R|"&amp;S177)</f>
        <v/>
      </c>
    </row>
    <row r="178" customFormat="false" ht="15" hidden="false" customHeight="false" outlineLevel="0" collapsed="false">
      <c r="A178" s="18" t="n">
        <v>177</v>
      </c>
      <c r="B178" s="18"/>
      <c r="C178" s="18"/>
      <c r="D178" s="18"/>
      <c r="E178" s="18" t="s">
        <v>422</v>
      </c>
      <c r="F178" s="18" t="s">
        <v>423</v>
      </c>
      <c r="G178" s="18" t="s">
        <v>71</v>
      </c>
      <c r="H178" s="18" t="n">
        <v>54</v>
      </c>
      <c r="I178" s="19" t="n">
        <v>-644</v>
      </c>
      <c r="J178" s="19" t="n">
        <v>7451.43</v>
      </c>
      <c r="K178" s="19" t="n">
        <v>6807.43</v>
      </c>
      <c r="L178" s="19" t="n">
        <v>0</v>
      </c>
      <c r="M178" s="19" t="n">
        <f aca="false">ABS(L178)</f>
        <v>0</v>
      </c>
      <c r="N178" s="18" t="str">
        <f aca="false">IF(L178=0,"Nil balance",IF(G178="AR file",IF(L178&gt;0,"Accounts Receivable","Customer Advances"),IF(L178&lt;0,"Accounts Payable","Supplier Advances")))</f>
        <v>Nil balance</v>
      </c>
      <c r="O178" s="18" t="str">
        <f aca="false">IF(L178=0,"Excluded",IF(Summary!$C$4="By ledger",IF(G178="AR file","Population 1","Population 2"),IF(L178&gt;0,"Population 1","Population 2")))</f>
        <v>Excluded</v>
      </c>
      <c r="P178" s="18" t="str">
        <f aca="false">IF(O178="Excluded","Excluded – nil closing balance",IF(M178&gt;Summary!$C$5,"Above Materiality","Below Materiality"))</f>
        <v>Excluded – nil closing balance</v>
      </c>
      <c r="Q178" s="20" t="str">
        <f aca="false">IF(P178="Below Materiality",T178,"")</f>
        <v/>
      </c>
      <c r="R178" s="21" t="str">
        <f aca="false">IF(P178="Above Materiality",COUNTIFS($O$2:$O$1092,O178,$P$2:$P$1092,"Above Materiality",$M$2:$M$1092,"&gt;"&amp;M178)+COUNTIFS($O$2:$O$1092,O178,$P$2:$P$1092,"Above Materiality",$M$2:$M$1092,M178,$A$2:$A$1092,"&lt;"&amp;A178)+1,"")</f>
        <v/>
      </c>
      <c r="S178" s="21" t="str">
        <f aca="false">IF(P178&lt;&gt;"Below Materiality","",IF(Summary!$C$9="Random",COUNTIFS($O$2:$O$1092,O178,$Q$2:$Q$1092,"&gt;"&amp;Q178)+1,COUNTIFS($O$2:$O$1092,O178,$P$2:$P$1092,"Below Materiality",$M$2:$M$1092,"&gt;"&amp;M178)+COUNTIFS($O$2:$O$1092,O178,$P$2:$P$1092,"Below Materiality",$M$2:$M$1092,M178,$A$2:$A$1092,"&lt;"&amp;A178)+1))</f>
        <v/>
      </c>
      <c r="T178" s="22"/>
      <c r="U178" s="21" t="str">
        <f aca="false">IF(R178="","",O178&amp;"|A|"&amp;R178)</f>
        <v/>
      </c>
      <c r="V178" s="21" t="str">
        <f aca="false">IF(S178="","",O178&amp;"|R|"&amp;S178)</f>
        <v/>
      </c>
    </row>
    <row r="179" customFormat="false" ht="15" hidden="false" customHeight="false" outlineLevel="0" collapsed="false">
      <c r="A179" s="18" t="n">
        <v>178</v>
      </c>
      <c r="B179" s="18"/>
      <c r="C179" s="18"/>
      <c r="D179" s="18"/>
      <c r="E179" s="18" t="s">
        <v>424</v>
      </c>
      <c r="F179" s="18" t="s">
        <v>425</v>
      </c>
      <c r="G179" s="18" t="s">
        <v>71</v>
      </c>
      <c r="H179" s="18" t="n">
        <v>55</v>
      </c>
      <c r="I179" s="19" t="n">
        <v>0</v>
      </c>
      <c r="J179" s="19" t="n">
        <v>34.5</v>
      </c>
      <c r="K179" s="19" t="n">
        <v>34.5</v>
      </c>
      <c r="L179" s="19" t="n">
        <v>0</v>
      </c>
      <c r="M179" s="19" t="n">
        <f aca="false">ABS(L179)</f>
        <v>0</v>
      </c>
      <c r="N179" s="18" t="str">
        <f aca="false">IF(L179=0,"Nil balance",IF(G179="AR file",IF(L179&gt;0,"Accounts Receivable","Customer Advances"),IF(L179&lt;0,"Accounts Payable","Supplier Advances")))</f>
        <v>Nil balance</v>
      </c>
      <c r="O179" s="18" t="str">
        <f aca="false">IF(L179=0,"Excluded",IF(Summary!$C$4="By ledger",IF(G179="AR file","Population 1","Population 2"),IF(L179&gt;0,"Population 1","Population 2")))</f>
        <v>Excluded</v>
      </c>
      <c r="P179" s="18" t="str">
        <f aca="false">IF(O179="Excluded","Excluded – nil closing balance",IF(M179&gt;Summary!$C$5,"Above Materiality","Below Materiality"))</f>
        <v>Excluded – nil closing balance</v>
      </c>
      <c r="Q179" s="20" t="str">
        <f aca="false">IF(P179="Below Materiality",T179,"")</f>
        <v/>
      </c>
      <c r="R179" s="21" t="str">
        <f aca="false">IF(P179="Above Materiality",COUNTIFS($O$2:$O$1092,O179,$P$2:$P$1092,"Above Materiality",$M$2:$M$1092,"&gt;"&amp;M179)+COUNTIFS($O$2:$O$1092,O179,$P$2:$P$1092,"Above Materiality",$M$2:$M$1092,M179,$A$2:$A$1092,"&lt;"&amp;A179)+1,"")</f>
        <v/>
      </c>
      <c r="S179" s="21" t="str">
        <f aca="false">IF(P179&lt;&gt;"Below Materiality","",IF(Summary!$C$9="Random",COUNTIFS($O$2:$O$1092,O179,$Q$2:$Q$1092,"&gt;"&amp;Q179)+1,COUNTIFS($O$2:$O$1092,O179,$P$2:$P$1092,"Below Materiality",$M$2:$M$1092,"&gt;"&amp;M179)+COUNTIFS($O$2:$O$1092,O179,$P$2:$P$1092,"Below Materiality",$M$2:$M$1092,M179,$A$2:$A$1092,"&lt;"&amp;A179)+1))</f>
        <v/>
      </c>
      <c r="T179" s="22"/>
      <c r="U179" s="21" t="str">
        <f aca="false">IF(R179="","",O179&amp;"|A|"&amp;R179)</f>
        <v/>
      </c>
      <c r="V179" s="21" t="str">
        <f aca="false">IF(S179="","",O179&amp;"|R|"&amp;S179)</f>
        <v/>
      </c>
    </row>
    <row r="180" customFormat="false" ht="15" hidden="false" customHeight="false" outlineLevel="0" collapsed="false">
      <c r="A180" s="18" t="n">
        <v>179</v>
      </c>
      <c r="B180" s="18"/>
      <c r="C180" s="18"/>
      <c r="D180" s="18"/>
      <c r="E180" s="18" t="s">
        <v>426</v>
      </c>
      <c r="F180" s="18" t="s">
        <v>427</v>
      </c>
      <c r="G180" s="18" t="s">
        <v>71</v>
      </c>
      <c r="H180" s="18" t="n">
        <v>56</v>
      </c>
      <c r="I180" s="19" t="n">
        <v>0</v>
      </c>
      <c r="J180" s="19" t="n">
        <v>10650.15</v>
      </c>
      <c r="K180" s="19" t="n">
        <v>10650.15</v>
      </c>
      <c r="L180" s="19" t="n">
        <v>0</v>
      </c>
      <c r="M180" s="19" t="n">
        <f aca="false">ABS(L180)</f>
        <v>0</v>
      </c>
      <c r="N180" s="18" t="str">
        <f aca="false">IF(L180=0,"Nil balance",IF(G180="AR file",IF(L180&gt;0,"Accounts Receivable","Customer Advances"),IF(L180&lt;0,"Accounts Payable","Supplier Advances")))</f>
        <v>Nil balance</v>
      </c>
      <c r="O180" s="18" t="str">
        <f aca="false">IF(L180=0,"Excluded",IF(Summary!$C$4="By ledger",IF(G180="AR file","Population 1","Population 2"),IF(L180&gt;0,"Population 1","Population 2")))</f>
        <v>Excluded</v>
      </c>
      <c r="P180" s="18" t="str">
        <f aca="false">IF(O180="Excluded","Excluded – nil closing balance",IF(M180&gt;Summary!$C$5,"Above Materiality","Below Materiality"))</f>
        <v>Excluded – nil closing balance</v>
      </c>
      <c r="Q180" s="20" t="str">
        <f aca="false">IF(P180="Below Materiality",T180,"")</f>
        <v/>
      </c>
      <c r="R180" s="21" t="str">
        <f aca="false">IF(P180="Above Materiality",COUNTIFS($O$2:$O$1092,O180,$P$2:$P$1092,"Above Materiality",$M$2:$M$1092,"&gt;"&amp;M180)+COUNTIFS($O$2:$O$1092,O180,$P$2:$P$1092,"Above Materiality",$M$2:$M$1092,M180,$A$2:$A$1092,"&lt;"&amp;A180)+1,"")</f>
        <v/>
      </c>
      <c r="S180" s="21" t="str">
        <f aca="false">IF(P180&lt;&gt;"Below Materiality","",IF(Summary!$C$9="Random",COUNTIFS($O$2:$O$1092,O180,$Q$2:$Q$1092,"&gt;"&amp;Q180)+1,COUNTIFS($O$2:$O$1092,O180,$P$2:$P$1092,"Below Materiality",$M$2:$M$1092,"&gt;"&amp;M180)+COUNTIFS($O$2:$O$1092,O180,$P$2:$P$1092,"Below Materiality",$M$2:$M$1092,M180,$A$2:$A$1092,"&lt;"&amp;A180)+1))</f>
        <v/>
      </c>
      <c r="T180" s="22"/>
      <c r="U180" s="21" t="str">
        <f aca="false">IF(R180="","",O180&amp;"|A|"&amp;R180)</f>
        <v/>
      </c>
      <c r="V180" s="21" t="str">
        <f aca="false">IF(S180="","",O180&amp;"|R|"&amp;S180)</f>
        <v/>
      </c>
    </row>
    <row r="181" customFormat="false" ht="15" hidden="false" customHeight="false" outlineLevel="0" collapsed="false">
      <c r="A181" s="18" t="n">
        <v>180</v>
      </c>
      <c r="B181" s="18"/>
      <c r="C181" s="18"/>
      <c r="D181" s="18"/>
      <c r="E181" s="18" t="s">
        <v>428</v>
      </c>
      <c r="F181" s="18" t="s">
        <v>429</v>
      </c>
      <c r="G181" s="18" t="s">
        <v>71</v>
      </c>
      <c r="H181" s="18" t="n">
        <v>57</v>
      </c>
      <c r="I181" s="19" t="n">
        <v>0</v>
      </c>
      <c r="J181" s="19" t="n">
        <v>172052.03</v>
      </c>
      <c r="K181" s="19" t="n">
        <v>172052.03</v>
      </c>
      <c r="L181" s="19" t="n">
        <v>0</v>
      </c>
      <c r="M181" s="19" t="n">
        <f aca="false">ABS(L181)</f>
        <v>0</v>
      </c>
      <c r="N181" s="18" t="str">
        <f aca="false">IF(L181=0,"Nil balance",IF(G181="AR file",IF(L181&gt;0,"Accounts Receivable","Customer Advances"),IF(L181&lt;0,"Accounts Payable","Supplier Advances")))</f>
        <v>Nil balance</v>
      </c>
      <c r="O181" s="18" t="str">
        <f aca="false">IF(L181=0,"Excluded",IF(Summary!$C$4="By ledger",IF(G181="AR file","Population 1","Population 2"),IF(L181&gt;0,"Population 1","Population 2")))</f>
        <v>Excluded</v>
      </c>
      <c r="P181" s="18" t="str">
        <f aca="false">IF(O181="Excluded","Excluded – nil closing balance",IF(M181&gt;Summary!$C$5,"Above Materiality","Below Materiality"))</f>
        <v>Excluded – nil closing balance</v>
      </c>
      <c r="Q181" s="20" t="str">
        <f aca="false">IF(P181="Below Materiality",T181,"")</f>
        <v/>
      </c>
      <c r="R181" s="21" t="str">
        <f aca="false">IF(P181="Above Materiality",COUNTIFS($O$2:$O$1092,O181,$P$2:$P$1092,"Above Materiality",$M$2:$M$1092,"&gt;"&amp;M181)+COUNTIFS($O$2:$O$1092,O181,$P$2:$P$1092,"Above Materiality",$M$2:$M$1092,M181,$A$2:$A$1092,"&lt;"&amp;A181)+1,"")</f>
        <v/>
      </c>
      <c r="S181" s="21" t="str">
        <f aca="false">IF(P181&lt;&gt;"Below Materiality","",IF(Summary!$C$9="Random",COUNTIFS($O$2:$O$1092,O181,$Q$2:$Q$1092,"&gt;"&amp;Q181)+1,COUNTIFS($O$2:$O$1092,O181,$P$2:$P$1092,"Below Materiality",$M$2:$M$1092,"&gt;"&amp;M181)+COUNTIFS($O$2:$O$1092,O181,$P$2:$P$1092,"Below Materiality",$M$2:$M$1092,M181,$A$2:$A$1092,"&lt;"&amp;A181)+1))</f>
        <v/>
      </c>
      <c r="T181" s="22"/>
      <c r="U181" s="21" t="str">
        <f aca="false">IF(R181="","",O181&amp;"|A|"&amp;R181)</f>
        <v/>
      </c>
      <c r="V181" s="21" t="str">
        <f aca="false">IF(S181="","",O181&amp;"|R|"&amp;S181)</f>
        <v/>
      </c>
    </row>
    <row r="182" customFormat="false" ht="15" hidden="false" customHeight="false" outlineLevel="0" collapsed="false">
      <c r="A182" s="18" t="n">
        <v>181</v>
      </c>
      <c r="B182" s="18"/>
      <c r="C182" s="18"/>
      <c r="D182" s="18"/>
      <c r="E182" s="18" t="s">
        <v>430</v>
      </c>
      <c r="F182" s="18" t="s">
        <v>431</v>
      </c>
      <c r="G182" s="18" t="s">
        <v>71</v>
      </c>
      <c r="H182" s="18" t="n">
        <v>58</v>
      </c>
      <c r="I182" s="19" t="n">
        <v>0</v>
      </c>
      <c r="J182" s="19" t="n">
        <v>541</v>
      </c>
      <c r="K182" s="19" t="n">
        <v>541</v>
      </c>
      <c r="L182" s="19" t="n">
        <v>0</v>
      </c>
      <c r="M182" s="19" t="n">
        <f aca="false">ABS(L182)</f>
        <v>0</v>
      </c>
      <c r="N182" s="18" t="str">
        <f aca="false">IF(L182=0,"Nil balance",IF(G182="AR file",IF(L182&gt;0,"Accounts Receivable","Customer Advances"),IF(L182&lt;0,"Accounts Payable","Supplier Advances")))</f>
        <v>Nil balance</v>
      </c>
      <c r="O182" s="18" t="str">
        <f aca="false">IF(L182=0,"Excluded",IF(Summary!$C$4="By ledger",IF(G182="AR file","Population 1","Population 2"),IF(L182&gt;0,"Population 1","Population 2")))</f>
        <v>Excluded</v>
      </c>
      <c r="P182" s="18" t="str">
        <f aca="false">IF(O182="Excluded","Excluded – nil closing balance",IF(M182&gt;Summary!$C$5,"Above Materiality","Below Materiality"))</f>
        <v>Excluded – nil closing balance</v>
      </c>
      <c r="Q182" s="20" t="str">
        <f aca="false">IF(P182="Below Materiality",T182,"")</f>
        <v/>
      </c>
      <c r="R182" s="21" t="str">
        <f aca="false">IF(P182="Above Materiality",COUNTIFS($O$2:$O$1092,O182,$P$2:$P$1092,"Above Materiality",$M$2:$M$1092,"&gt;"&amp;M182)+COUNTIFS($O$2:$O$1092,O182,$P$2:$P$1092,"Above Materiality",$M$2:$M$1092,M182,$A$2:$A$1092,"&lt;"&amp;A182)+1,"")</f>
        <v/>
      </c>
      <c r="S182" s="21" t="str">
        <f aca="false">IF(P182&lt;&gt;"Below Materiality","",IF(Summary!$C$9="Random",COUNTIFS($O$2:$O$1092,O182,$Q$2:$Q$1092,"&gt;"&amp;Q182)+1,COUNTIFS($O$2:$O$1092,O182,$P$2:$P$1092,"Below Materiality",$M$2:$M$1092,"&gt;"&amp;M182)+COUNTIFS($O$2:$O$1092,O182,$P$2:$P$1092,"Below Materiality",$M$2:$M$1092,M182,$A$2:$A$1092,"&lt;"&amp;A182)+1))</f>
        <v/>
      </c>
      <c r="T182" s="22"/>
      <c r="U182" s="21" t="str">
        <f aca="false">IF(R182="","",O182&amp;"|A|"&amp;R182)</f>
        <v/>
      </c>
      <c r="V182" s="21" t="str">
        <f aca="false">IF(S182="","",O182&amp;"|R|"&amp;S182)</f>
        <v/>
      </c>
    </row>
    <row r="183" customFormat="false" ht="15" hidden="false" customHeight="false" outlineLevel="0" collapsed="false">
      <c r="A183" s="18" t="n">
        <v>182</v>
      </c>
      <c r="B183" s="18"/>
      <c r="C183" s="18"/>
      <c r="D183" s="18"/>
      <c r="E183" s="18" t="s">
        <v>432</v>
      </c>
      <c r="F183" s="18" t="s">
        <v>433</v>
      </c>
      <c r="G183" s="18" t="s">
        <v>71</v>
      </c>
      <c r="H183" s="18" t="n">
        <v>59</v>
      </c>
      <c r="I183" s="19" t="n">
        <v>0</v>
      </c>
      <c r="J183" s="19" t="n">
        <v>1840</v>
      </c>
      <c r="K183" s="19" t="n">
        <v>1840</v>
      </c>
      <c r="L183" s="19" t="n">
        <v>0</v>
      </c>
      <c r="M183" s="19" t="n">
        <f aca="false">ABS(L183)</f>
        <v>0</v>
      </c>
      <c r="N183" s="18" t="str">
        <f aca="false">IF(L183=0,"Nil balance",IF(G183="AR file",IF(L183&gt;0,"Accounts Receivable","Customer Advances"),IF(L183&lt;0,"Accounts Payable","Supplier Advances")))</f>
        <v>Nil balance</v>
      </c>
      <c r="O183" s="18" t="str">
        <f aca="false">IF(L183=0,"Excluded",IF(Summary!$C$4="By ledger",IF(G183="AR file","Population 1","Population 2"),IF(L183&gt;0,"Population 1","Population 2")))</f>
        <v>Excluded</v>
      </c>
      <c r="P183" s="18" t="str">
        <f aca="false">IF(O183="Excluded","Excluded – nil closing balance",IF(M183&gt;Summary!$C$5,"Above Materiality","Below Materiality"))</f>
        <v>Excluded – nil closing balance</v>
      </c>
      <c r="Q183" s="20" t="str">
        <f aca="false">IF(P183="Below Materiality",T183,"")</f>
        <v/>
      </c>
      <c r="R183" s="21" t="str">
        <f aca="false">IF(P183="Above Materiality",COUNTIFS($O$2:$O$1092,O183,$P$2:$P$1092,"Above Materiality",$M$2:$M$1092,"&gt;"&amp;M183)+COUNTIFS($O$2:$O$1092,O183,$P$2:$P$1092,"Above Materiality",$M$2:$M$1092,M183,$A$2:$A$1092,"&lt;"&amp;A183)+1,"")</f>
        <v/>
      </c>
      <c r="S183" s="21" t="str">
        <f aca="false">IF(P183&lt;&gt;"Below Materiality","",IF(Summary!$C$9="Random",COUNTIFS($O$2:$O$1092,O183,$Q$2:$Q$1092,"&gt;"&amp;Q183)+1,COUNTIFS($O$2:$O$1092,O183,$P$2:$P$1092,"Below Materiality",$M$2:$M$1092,"&gt;"&amp;M183)+COUNTIFS($O$2:$O$1092,O183,$P$2:$P$1092,"Below Materiality",$M$2:$M$1092,M183,$A$2:$A$1092,"&lt;"&amp;A183)+1))</f>
        <v/>
      </c>
      <c r="T183" s="22"/>
      <c r="U183" s="21" t="str">
        <f aca="false">IF(R183="","",O183&amp;"|A|"&amp;R183)</f>
        <v/>
      </c>
      <c r="V183" s="21" t="str">
        <f aca="false">IF(S183="","",O183&amp;"|R|"&amp;S183)</f>
        <v/>
      </c>
    </row>
    <row r="184" customFormat="false" ht="15" hidden="false" customHeight="false" outlineLevel="0" collapsed="false">
      <c r="A184" s="18" t="n">
        <v>183</v>
      </c>
      <c r="B184" s="18"/>
      <c r="C184" s="18"/>
      <c r="D184" s="18"/>
      <c r="E184" s="18" t="s">
        <v>434</v>
      </c>
      <c r="F184" s="18" t="s">
        <v>435</v>
      </c>
      <c r="G184" s="18" t="s">
        <v>71</v>
      </c>
      <c r="H184" s="18" t="n">
        <v>60</v>
      </c>
      <c r="I184" s="19" t="n">
        <v>0</v>
      </c>
      <c r="J184" s="19" t="n">
        <v>453.51</v>
      </c>
      <c r="K184" s="19" t="n">
        <v>453.51</v>
      </c>
      <c r="L184" s="19" t="n">
        <v>0</v>
      </c>
      <c r="M184" s="19" t="n">
        <f aca="false">ABS(L184)</f>
        <v>0</v>
      </c>
      <c r="N184" s="18" t="str">
        <f aca="false">IF(L184=0,"Nil balance",IF(G184="AR file",IF(L184&gt;0,"Accounts Receivable","Customer Advances"),IF(L184&lt;0,"Accounts Payable","Supplier Advances")))</f>
        <v>Nil balance</v>
      </c>
      <c r="O184" s="18" t="str">
        <f aca="false">IF(L184=0,"Excluded",IF(Summary!$C$4="By ledger",IF(G184="AR file","Population 1","Population 2"),IF(L184&gt;0,"Population 1","Population 2")))</f>
        <v>Excluded</v>
      </c>
      <c r="P184" s="18" t="str">
        <f aca="false">IF(O184="Excluded","Excluded – nil closing balance",IF(M184&gt;Summary!$C$5,"Above Materiality","Below Materiality"))</f>
        <v>Excluded – nil closing balance</v>
      </c>
      <c r="Q184" s="20" t="str">
        <f aca="false">IF(P184="Below Materiality",T184,"")</f>
        <v/>
      </c>
      <c r="R184" s="21" t="str">
        <f aca="false">IF(P184="Above Materiality",COUNTIFS($O$2:$O$1092,O184,$P$2:$P$1092,"Above Materiality",$M$2:$M$1092,"&gt;"&amp;M184)+COUNTIFS($O$2:$O$1092,O184,$P$2:$P$1092,"Above Materiality",$M$2:$M$1092,M184,$A$2:$A$1092,"&lt;"&amp;A184)+1,"")</f>
        <v/>
      </c>
      <c r="S184" s="21" t="str">
        <f aca="false">IF(P184&lt;&gt;"Below Materiality","",IF(Summary!$C$9="Random",COUNTIFS($O$2:$O$1092,O184,$Q$2:$Q$1092,"&gt;"&amp;Q184)+1,COUNTIFS($O$2:$O$1092,O184,$P$2:$P$1092,"Below Materiality",$M$2:$M$1092,"&gt;"&amp;M184)+COUNTIFS($O$2:$O$1092,O184,$P$2:$P$1092,"Below Materiality",$M$2:$M$1092,M184,$A$2:$A$1092,"&lt;"&amp;A184)+1))</f>
        <v/>
      </c>
      <c r="T184" s="22"/>
      <c r="U184" s="21" t="str">
        <f aca="false">IF(R184="","",O184&amp;"|A|"&amp;R184)</f>
        <v/>
      </c>
      <c r="V184" s="21" t="str">
        <f aca="false">IF(S184="","",O184&amp;"|R|"&amp;S184)</f>
        <v/>
      </c>
    </row>
    <row r="185" customFormat="false" ht="15" hidden="false" customHeight="false" outlineLevel="0" collapsed="false">
      <c r="A185" s="18" t="n">
        <v>184</v>
      </c>
      <c r="B185" s="18"/>
      <c r="C185" s="18"/>
      <c r="D185" s="18"/>
      <c r="E185" s="18" t="s">
        <v>436</v>
      </c>
      <c r="F185" s="18" t="s">
        <v>437</v>
      </c>
      <c r="G185" s="18" t="s">
        <v>71</v>
      </c>
      <c r="H185" s="18" t="n">
        <v>61</v>
      </c>
      <c r="I185" s="19" t="n">
        <v>0</v>
      </c>
      <c r="J185" s="19" t="n">
        <v>1653</v>
      </c>
      <c r="K185" s="19" t="n">
        <v>1653</v>
      </c>
      <c r="L185" s="19" t="n">
        <v>0</v>
      </c>
      <c r="M185" s="19" t="n">
        <f aca="false">ABS(L185)</f>
        <v>0</v>
      </c>
      <c r="N185" s="18" t="str">
        <f aca="false">IF(L185=0,"Nil balance",IF(G185="AR file",IF(L185&gt;0,"Accounts Receivable","Customer Advances"),IF(L185&lt;0,"Accounts Payable","Supplier Advances")))</f>
        <v>Nil balance</v>
      </c>
      <c r="O185" s="18" t="str">
        <f aca="false">IF(L185=0,"Excluded",IF(Summary!$C$4="By ledger",IF(G185="AR file","Population 1","Population 2"),IF(L185&gt;0,"Population 1","Population 2")))</f>
        <v>Excluded</v>
      </c>
      <c r="P185" s="18" t="str">
        <f aca="false">IF(O185="Excluded","Excluded – nil closing balance",IF(M185&gt;Summary!$C$5,"Above Materiality","Below Materiality"))</f>
        <v>Excluded – nil closing balance</v>
      </c>
      <c r="Q185" s="20" t="str">
        <f aca="false">IF(P185="Below Materiality",T185,"")</f>
        <v/>
      </c>
      <c r="R185" s="21" t="str">
        <f aca="false">IF(P185="Above Materiality",COUNTIFS($O$2:$O$1092,O185,$P$2:$P$1092,"Above Materiality",$M$2:$M$1092,"&gt;"&amp;M185)+COUNTIFS($O$2:$O$1092,O185,$P$2:$P$1092,"Above Materiality",$M$2:$M$1092,M185,$A$2:$A$1092,"&lt;"&amp;A185)+1,"")</f>
        <v/>
      </c>
      <c r="S185" s="21" t="str">
        <f aca="false">IF(P185&lt;&gt;"Below Materiality","",IF(Summary!$C$9="Random",COUNTIFS($O$2:$O$1092,O185,$Q$2:$Q$1092,"&gt;"&amp;Q185)+1,COUNTIFS($O$2:$O$1092,O185,$P$2:$P$1092,"Below Materiality",$M$2:$M$1092,"&gt;"&amp;M185)+COUNTIFS($O$2:$O$1092,O185,$P$2:$P$1092,"Below Materiality",$M$2:$M$1092,M185,$A$2:$A$1092,"&lt;"&amp;A185)+1))</f>
        <v/>
      </c>
      <c r="T185" s="22"/>
      <c r="U185" s="21" t="str">
        <f aca="false">IF(R185="","",O185&amp;"|A|"&amp;R185)</f>
        <v/>
      </c>
      <c r="V185" s="21" t="str">
        <f aca="false">IF(S185="","",O185&amp;"|R|"&amp;S185)</f>
        <v/>
      </c>
    </row>
    <row r="186" customFormat="false" ht="15" hidden="false" customHeight="false" outlineLevel="0" collapsed="false">
      <c r="A186" s="18" t="n">
        <v>185</v>
      </c>
      <c r="B186" s="18"/>
      <c r="C186" s="18"/>
      <c r="D186" s="18"/>
      <c r="E186" s="18" t="s">
        <v>438</v>
      </c>
      <c r="F186" s="18" t="s">
        <v>439</v>
      </c>
      <c r="G186" s="18" t="s">
        <v>71</v>
      </c>
      <c r="H186" s="18" t="n">
        <v>62</v>
      </c>
      <c r="I186" s="19" t="n">
        <v>0</v>
      </c>
      <c r="J186" s="19" t="n">
        <v>145</v>
      </c>
      <c r="K186" s="19" t="n">
        <v>145</v>
      </c>
      <c r="L186" s="19" t="n">
        <v>0</v>
      </c>
      <c r="M186" s="19" t="n">
        <f aca="false">ABS(L186)</f>
        <v>0</v>
      </c>
      <c r="N186" s="18" t="str">
        <f aca="false">IF(L186=0,"Nil balance",IF(G186="AR file",IF(L186&gt;0,"Accounts Receivable","Customer Advances"),IF(L186&lt;0,"Accounts Payable","Supplier Advances")))</f>
        <v>Nil balance</v>
      </c>
      <c r="O186" s="18" t="str">
        <f aca="false">IF(L186=0,"Excluded",IF(Summary!$C$4="By ledger",IF(G186="AR file","Population 1","Population 2"),IF(L186&gt;0,"Population 1","Population 2")))</f>
        <v>Excluded</v>
      </c>
      <c r="P186" s="18" t="str">
        <f aca="false">IF(O186="Excluded","Excluded – nil closing balance",IF(M186&gt;Summary!$C$5,"Above Materiality","Below Materiality"))</f>
        <v>Excluded – nil closing balance</v>
      </c>
      <c r="Q186" s="20" t="str">
        <f aca="false">IF(P186="Below Materiality",T186,"")</f>
        <v/>
      </c>
      <c r="R186" s="21" t="str">
        <f aca="false">IF(P186="Above Materiality",COUNTIFS($O$2:$O$1092,O186,$P$2:$P$1092,"Above Materiality",$M$2:$M$1092,"&gt;"&amp;M186)+COUNTIFS($O$2:$O$1092,O186,$P$2:$P$1092,"Above Materiality",$M$2:$M$1092,M186,$A$2:$A$1092,"&lt;"&amp;A186)+1,"")</f>
        <v/>
      </c>
      <c r="S186" s="21" t="str">
        <f aca="false">IF(P186&lt;&gt;"Below Materiality","",IF(Summary!$C$9="Random",COUNTIFS($O$2:$O$1092,O186,$Q$2:$Q$1092,"&gt;"&amp;Q186)+1,COUNTIFS($O$2:$O$1092,O186,$P$2:$P$1092,"Below Materiality",$M$2:$M$1092,"&gt;"&amp;M186)+COUNTIFS($O$2:$O$1092,O186,$P$2:$P$1092,"Below Materiality",$M$2:$M$1092,M186,$A$2:$A$1092,"&lt;"&amp;A186)+1))</f>
        <v/>
      </c>
      <c r="T186" s="22"/>
      <c r="U186" s="21" t="str">
        <f aca="false">IF(R186="","",O186&amp;"|A|"&amp;R186)</f>
        <v/>
      </c>
      <c r="V186" s="21" t="str">
        <f aca="false">IF(S186="","",O186&amp;"|R|"&amp;S186)</f>
        <v/>
      </c>
    </row>
    <row r="187" customFormat="false" ht="15" hidden="false" customHeight="false" outlineLevel="0" collapsed="false">
      <c r="A187" s="18" t="n">
        <v>186</v>
      </c>
      <c r="B187" s="18"/>
      <c r="C187" s="18"/>
      <c r="D187" s="18"/>
      <c r="E187" s="18" t="s">
        <v>440</v>
      </c>
      <c r="F187" s="18" t="s">
        <v>441</v>
      </c>
      <c r="G187" s="18" t="s">
        <v>71</v>
      </c>
      <c r="H187" s="18" t="n">
        <v>63</v>
      </c>
      <c r="I187" s="19" t="n">
        <v>0</v>
      </c>
      <c r="J187" s="19" t="n">
        <v>934.95</v>
      </c>
      <c r="K187" s="19" t="n">
        <v>934.95</v>
      </c>
      <c r="L187" s="19" t="n">
        <v>0</v>
      </c>
      <c r="M187" s="19" t="n">
        <f aca="false">ABS(L187)</f>
        <v>0</v>
      </c>
      <c r="N187" s="18" t="str">
        <f aca="false">IF(L187=0,"Nil balance",IF(G187="AR file",IF(L187&gt;0,"Accounts Receivable","Customer Advances"),IF(L187&lt;0,"Accounts Payable","Supplier Advances")))</f>
        <v>Nil balance</v>
      </c>
      <c r="O187" s="18" t="str">
        <f aca="false">IF(L187=0,"Excluded",IF(Summary!$C$4="By ledger",IF(G187="AR file","Population 1","Population 2"),IF(L187&gt;0,"Population 1","Population 2")))</f>
        <v>Excluded</v>
      </c>
      <c r="P187" s="18" t="str">
        <f aca="false">IF(O187="Excluded","Excluded – nil closing balance",IF(M187&gt;Summary!$C$5,"Above Materiality","Below Materiality"))</f>
        <v>Excluded – nil closing balance</v>
      </c>
      <c r="Q187" s="20" t="str">
        <f aca="false">IF(P187="Below Materiality",T187,"")</f>
        <v/>
      </c>
      <c r="R187" s="21" t="str">
        <f aca="false">IF(P187="Above Materiality",COUNTIFS($O$2:$O$1092,O187,$P$2:$P$1092,"Above Materiality",$M$2:$M$1092,"&gt;"&amp;M187)+COUNTIFS($O$2:$O$1092,O187,$P$2:$P$1092,"Above Materiality",$M$2:$M$1092,M187,$A$2:$A$1092,"&lt;"&amp;A187)+1,"")</f>
        <v/>
      </c>
      <c r="S187" s="21" t="str">
        <f aca="false">IF(P187&lt;&gt;"Below Materiality","",IF(Summary!$C$9="Random",COUNTIFS($O$2:$O$1092,O187,$Q$2:$Q$1092,"&gt;"&amp;Q187)+1,COUNTIFS($O$2:$O$1092,O187,$P$2:$P$1092,"Below Materiality",$M$2:$M$1092,"&gt;"&amp;M187)+COUNTIFS($O$2:$O$1092,O187,$P$2:$P$1092,"Below Materiality",$M$2:$M$1092,M187,$A$2:$A$1092,"&lt;"&amp;A187)+1))</f>
        <v/>
      </c>
      <c r="T187" s="22"/>
      <c r="U187" s="21" t="str">
        <f aca="false">IF(R187="","",O187&amp;"|A|"&amp;R187)</f>
        <v/>
      </c>
      <c r="V187" s="21" t="str">
        <f aca="false">IF(S187="","",O187&amp;"|R|"&amp;S187)</f>
        <v/>
      </c>
    </row>
    <row r="188" customFormat="false" ht="15" hidden="false" customHeight="false" outlineLevel="0" collapsed="false">
      <c r="A188" s="18" t="n">
        <v>187</v>
      </c>
      <c r="B188" s="18"/>
      <c r="C188" s="18"/>
      <c r="D188" s="18"/>
      <c r="E188" s="18" t="s">
        <v>442</v>
      </c>
      <c r="F188" s="18" t="s">
        <v>443</v>
      </c>
      <c r="G188" s="18" t="s">
        <v>71</v>
      </c>
      <c r="H188" s="18" t="n">
        <v>64</v>
      </c>
      <c r="I188" s="19" t="n">
        <v>0</v>
      </c>
      <c r="J188" s="19" t="n">
        <v>768.2</v>
      </c>
      <c r="K188" s="19" t="n">
        <v>768.2</v>
      </c>
      <c r="L188" s="19" t="n">
        <v>0</v>
      </c>
      <c r="M188" s="19" t="n">
        <f aca="false">ABS(L188)</f>
        <v>0</v>
      </c>
      <c r="N188" s="18" t="str">
        <f aca="false">IF(L188=0,"Nil balance",IF(G188="AR file",IF(L188&gt;0,"Accounts Receivable","Customer Advances"),IF(L188&lt;0,"Accounts Payable","Supplier Advances")))</f>
        <v>Nil balance</v>
      </c>
      <c r="O188" s="18" t="str">
        <f aca="false">IF(L188=0,"Excluded",IF(Summary!$C$4="By ledger",IF(G188="AR file","Population 1","Population 2"),IF(L188&gt;0,"Population 1","Population 2")))</f>
        <v>Excluded</v>
      </c>
      <c r="P188" s="18" t="str">
        <f aca="false">IF(O188="Excluded","Excluded – nil closing balance",IF(M188&gt;Summary!$C$5,"Above Materiality","Below Materiality"))</f>
        <v>Excluded – nil closing balance</v>
      </c>
      <c r="Q188" s="20" t="str">
        <f aca="false">IF(P188="Below Materiality",T188,"")</f>
        <v/>
      </c>
      <c r="R188" s="21" t="str">
        <f aca="false">IF(P188="Above Materiality",COUNTIFS($O$2:$O$1092,O188,$P$2:$P$1092,"Above Materiality",$M$2:$M$1092,"&gt;"&amp;M188)+COUNTIFS($O$2:$O$1092,O188,$P$2:$P$1092,"Above Materiality",$M$2:$M$1092,M188,$A$2:$A$1092,"&lt;"&amp;A188)+1,"")</f>
        <v/>
      </c>
      <c r="S188" s="21" t="str">
        <f aca="false">IF(P188&lt;&gt;"Below Materiality","",IF(Summary!$C$9="Random",COUNTIFS($O$2:$O$1092,O188,$Q$2:$Q$1092,"&gt;"&amp;Q188)+1,COUNTIFS($O$2:$O$1092,O188,$P$2:$P$1092,"Below Materiality",$M$2:$M$1092,"&gt;"&amp;M188)+COUNTIFS($O$2:$O$1092,O188,$P$2:$P$1092,"Below Materiality",$M$2:$M$1092,M188,$A$2:$A$1092,"&lt;"&amp;A188)+1))</f>
        <v/>
      </c>
      <c r="T188" s="22"/>
      <c r="U188" s="21" t="str">
        <f aca="false">IF(R188="","",O188&amp;"|A|"&amp;R188)</f>
        <v/>
      </c>
      <c r="V188" s="21" t="str">
        <f aca="false">IF(S188="","",O188&amp;"|R|"&amp;S188)</f>
        <v/>
      </c>
    </row>
    <row r="189" customFormat="false" ht="15" hidden="false" customHeight="false" outlineLevel="0" collapsed="false">
      <c r="A189" s="18" t="n">
        <v>188</v>
      </c>
      <c r="B189" s="18"/>
      <c r="C189" s="18"/>
      <c r="D189" s="18"/>
      <c r="E189" s="18" t="s">
        <v>444</v>
      </c>
      <c r="F189" s="18" t="s">
        <v>445</v>
      </c>
      <c r="G189" s="18" t="s">
        <v>71</v>
      </c>
      <c r="H189" s="18" t="n">
        <v>65</v>
      </c>
      <c r="I189" s="19" t="n">
        <v>0</v>
      </c>
      <c r="J189" s="19" t="n">
        <v>14769.24</v>
      </c>
      <c r="K189" s="19" t="n">
        <v>14769.24</v>
      </c>
      <c r="L189" s="19" t="n">
        <v>0</v>
      </c>
      <c r="M189" s="19" t="n">
        <f aca="false">ABS(L189)</f>
        <v>0</v>
      </c>
      <c r="N189" s="18" t="str">
        <f aca="false">IF(L189=0,"Nil balance",IF(G189="AR file",IF(L189&gt;0,"Accounts Receivable","Customer Advances"),IF(L189&lt;0,"Accounts Payable","Supplier Advances")))</f>
        <v>Nil balance</v>
      </c>
      <c r="O189" s="18" t="str">
        <f aca="false">IF(L189=0,"Excluded",IF(Summary!$C$4="By ledger",IF(G189="AR file","Population 1","Population 2"),IF(L189&gt;0,"Population 1","Population 2")))</f>
        <v>Excluded</v>
      </c>
      <c r="P189" s="18" t="str">
        <f aca="false">IF(O189="Excluded","Excluded – nil closing balance",IF(M189&gt;Summary!$C$5,"Above Materiality","Below Materiality"))</f>
        <v>Excluded – nil closing balance</v>
      </c>
      <c r="Q189" s="20" t="str">
        <f aca="false">IF(P189="Below Materiality",T189,"")</f>
        <v/>
      </c>
      <c r="R189" s="21" t="str">
        <f aca="false">IF(P189="Above Materiality",COUNTIFS($O$2:$O$1092,O189,$P$2:$P$1092,"Above Materiality",$M$2:$M$1092,"&gt;"&amp;M189)+COUNTIFS($O$2:$O$1092,O189,$P$2:$P$1092,"Above Materiality",$M$2:$M$1092,M189,$A$2:$A$1092,"&lt;"&amp;A189)+1,"")</f>
        <v/>
      </c>
      <c r="S189" s="21" t="str">
        <f aca="false">IF(P189&lt;&gt;"Below Materiality","",IF(Summary!$C$9="Random",COUNTIFS($O$2:$O$1092,O189,$Q$2:$Q$1092,"&gt;"&amp;Q189)+1,COUNTIFS($O$2:$O$1092,O189,$P$2:$P$1092,"Below Materiality",$M$2:$M$1092,"&gt;"&amp;M189)+COUNTIFS($O$2:$O$1092,O189,$P$2:$P$1092,"Below Materiality",$M$2:$M$1092,M189,$A$2:$A$1092,"&lt;"&amp;A189)+1))</f>
        <v/>
      </c>
      <c r="T189" s="22"/>
      <c r="U189" s="21" t="str">
        <f aca="false">IF(R189="","",O189&amp;"|A|"&amp;R189)</f>
        <v/>
      </c>
      <c r="V189" s="21" t="str">
        <f aca="false">IF(S189="","",O189&amp;"|R|"&amp;S189)</f>
        <v/>
      </c>
    </row>
    <row r="190" customFormat="false" ht="15" hidden="false" customHeight="false" outlineLevel="0" collapsed="false">
      <c r="A190" s="18" t="n">
        <v>189</v>
      </c>
      <c r="B190" s="18"/>
      <c r="C190" s="18"/>
      <c r="D190" s="18"/>
      <c r="E190" s="18" t="s">
        <v>446</v>
      </c>
      <c r="F190" s="18" t="s">
        <v>447</v>
      </c>
      <c r="G190" s="18" t="s">
        <v>71</v>
      </c>
      <c r="H190" s="18" t="n">
        <v>66</v>
      </c>
      <c r="I190" s="19" t="n">
        <v>0</v>
      </c>
      <c r="J190" s="19" t="n">
        <v>3680</v>
      </c>
      <c r="K190" s="19" t="n">
        <v>3680</v>
      </c>
      <c r="L190" s="19" t="n">
        <v>0</v>
      </c>
      <c r="M190" s="19" t="n">
        <f aca="false">ABS(L190)</f>
        <v>0</v>
      </c>
      <c r="N190" s="18" t="str">
        <f aca="false">IF(L190=0,"Nil balance",IF(G190="AR file",IF(L190&gt;0,"Accounts Receivable","Customer Advances"),IF(L190&lt;0,"Accounts Payable","Supplier Advances")))</f>
        <v>Nil balance</v>
      </c>
      <c r="O190" s="18" t="str">
        <f aca="false">IF(L190=0,"Excluded",IF(Summary!$C$4="By ledger",IF(G190="AR file","Population 1","Population 2"),IF(L190&gt;0,"Population 1","Population 2")))</f>
        <v>Excluded</v>
      </c>
      <c r="P190" s="18" t="str">
        <f aca="false">IF(O190="Excluded","Excluded – nil closing balance",IF(M190&gt;Summary!$C$5,"Above Materiality","Below Materiality"))</f>
        <v>Excluded – nil closing balance</v>
      </c>
      <c r="Q190" s="20" t="str">
        <f aca="false">IF(P190="Below Materiality",T190,"")</f>
        <v/>
      </c>
      <c r="R190" s="21" t="str">
        <f aca="false">IF(P190="Above Materiality",COUNTIFS($O$2:$O$1092,O190,$P$2:$P$1092,"Above Materiality",$M$2:$M$1092,"&gt;"&amp;M190)+COUNTIFS($O$2:$O$1092,O190,$P$2:$P$1092,"Above Materiality",$M$2:$M$1092,M190,$A$2:$A$1092,"&lt;"&amp;A190)+1,"")</f>
        <v/>
      </c>
      <c r="S190" s="21" t="str">
        <f aca="false">IF(P190&lt;&gt;"Below Materiality","",IF(Summary!$C$9="Random",COUNTIFS($O$2:$O$1092,O190,$Q$2:$Q$1092,"&gt;"&amp;Q190)+1,COUNTIFS($O$2:$O$1092,O190,$P$2:$P$1092,"Below Materiality",$M$2:$M$1092,"&gt;"&amp;M190)+COUNTIFS($O$2:$O$1092,O190,$P$2:$P$1092,"Below Materiality",$M$2:$M$1092,M190,$A$2:$A$1092,"&lt;"&amp;A190)+1))</f>
        <v/>
      </c>
      <c r="T190" s="22"/>
      <c r="U190" s="21" t="str">
        <f aca="false">IF(R190="","",O190&amp;"|A|"&amp;R190)</f>
        <v/>
      </c>
      <c r="V190" s="21" t="str">
        <f aca="false">IF(S190="","",O190&amp;"|R|"&amp;S190)</f>
        <v/>
      </c>
    </row>
    <row r="191" customFormat="false" ht="15" hidden="false" customHeight="false" outlineLevel="0" collapsed="false">
      <c r="A191" s="18" t="n">
        <v>190</v>
      </c>
      <c r="B191" s="18"/>
      <c r="C191" s="18"/>
      <c r="D191" s="18"/>
      <c r="E191" s="18" t="s">
        <v>448</v>
      </c>
      <c r="F191" s="18" t="s">
        <v>449</v>
      </c>
      <c r="G191" s="18" t="s">
        <v>71</v>
      </c>
      <c r="H191" s="18" t="n">
        <v>68</v>
      </c>
      <c r="I191" s="19" t="n">
        <v>0</v>
      </c>
      <c r="J191" s="19" t="n">
        <v>13257.75</v>
      </c>
      <c r="K191" s="19" t="n">
        <v>13257.75</v>
      </c>
      <c r="L191" s="19" t="n">
        <v>0</v>
      </c>
      <c r="M191" s="19" t="n">
        <f aca="false">ABS(L191)</f>
        <v>0</v>
      </c>
      <c r="N191" s="18" t="str">
        <f aca="false">IF(L191=0,"Nil balance",IF(G191="AR file",IF(L191&gt;0,"Accounts Receivable","Customer Advances"),IF(L191&lt;0,"Accounts Payable","Supplier Advances")))</f>
        <v>Nil balance</v>
      </c>
      <c r="O191" s="18" t="str">
        <f aca="false">IF(L191=0,"Excluded",IF(Summary!$C$4="By ledger",IF(G191="AR file","Population 1","Population 2"),IF(L191&gt;0,"Population 1","Population 2")))</f>
        <v>Excluded</v>
      </c>
      <c r="P191" s="18" t="str">
        <f aca="false">IF(O191="Excluded","Excluded – nil closing balance",IF(M191&gt;Summary!$C$5,"Above Materiality","Below Materiality"))</f>
        <v>Excluded – nil closing balance</v>
      </c>
      <c r="Q191" s="20" t="str">
        <f aca="false">IF(P191="Below Materiality",T191,"")</f>
        <v/>
      </c>
      <c r="R191" s="21" t="str">
        <f aca="false">IF(P191="Above Materiality",COUNTIFS($O$2:$O$1092,O191,$P$2:$P$1092,"Above Materiality",$M$2:$M$1092,"&gt;"&amp;M191)+COUNTIFS($O$2:$O$1092,O191,$P$2:$P$1092,"Above Materiality",$M$2:$M$1092,M191,$A$2:$A$1092,"&lt;"&amp;A191)+1,"")</f>
        <v/>
      </c>
      <c r="S191" s="21" t="str">
        <f aca="false">IF(P191&lt;&gt;"Below Materiality","",IF(Summary!$C$9="Random",COUNTIFS($O$2:$O$1092,O191,$Q$2:$Q$1092,"&gt;"&amp;Q191)+1,COUNTIFS($O$2:$O$1092,O191,$P$2:$P$1092,"Below Materiality",$M$2:$M$1092,"&gt;"&amp;M191)+COUNTIFS($O$2:$O$1092,O191,$P$2:$P$1092,"Below Materiality",$M$2:$M$1092,M191,$A$2:$A$1092,"&lt;"&amp;A191)+1))</f>
        <v/>
      </c>
      <c r="T191" s="22"/>
      <c r="U191" s="21" t="str">
        <f aca="false">IF(R191="","",O191&amp;"|A|"&amp;R191)</f>
        <v/>
      </c>
      <c r="V191" s="21" t="str">
        <f aca="false">IF(S191="","",O191&amp;"|R|"&amp;S191)</f>
        <v/>
      </c>
    </row>
    <row r="192" customFormat="false" ht="15" hidden="false" customHeight="false" outlineLevel="0" collapsed="false">
      <c r="A192" s="18" t="n">
        <v>191</v>
      </c>
      <c r="B192" s="18"/>
      <c r="C192" s="18"/>
      <c r="D192" s="18"/>
      <c r="E192" s="18" t="s">
        <v>450</v>
      </c>
      <c r="F192" s="18" t="s">
        <v>451</v>
      </c>
      <c r="G192" s="18" t="s">
        <v>71</v>
      </c>
      <c r="H192" s="18" t="n">
        <v>69</v>
      </c>
      <c r="I192" s="19" t="n">
        <v>0</v>
      </c>
      <c r="J192" s="19" t="n">
        <v>74</v>
      </c>
      <c r="K192" s="19" t="n">
        <v>74</v>
      </c>
      <c r="L192" s="19" t="n">
        <v>0</v>
      </c>
      <c r="M192" s="19" t="n">
        <f aca="false">ABS(L192)</f>
        <v>0</v>
      </c>
      <c r="N192" s="18" t="str">
        <f aca="false">IF(L192=0,"Nil balance",IF(G192="AR file",IF(L192&gt;0,"Accounts Receivable","Customer Advances"),IF(L192&lt;0,"Accounts Payable","Supplier Advances")))</f>
        <v>Nil balance</v>
      </c>
      <c r="O192" s="18" t="str">
        <f aca="false">IF(L192=0,"Excluded",IF(Summary!$C$4="By ledger",IF(G192="AR file","Population 1","Population 2"),IF(L192&gt;0,"Population 1","Population 2")))</f>
        <v>Excluded</v>
      </c>
      <c r="P192" s="18" t="str">
        <f aca="false">IF(O192="Excluded","Excluded – nil closing balance",IF(M192&gt;Summary!$C$5,"Above Materiality","Below Materiality"))</f>
        <v>Excluded – nil closing balance</v>
      </c>
      <c r="Q192" s="20" t="str">
        <f aca="false">IF(P192="Below Materiality",T192,"")</f>
        <v/>
      </c>
      <c r="R192" s="21" t="str">
        <f aca="false">IF(P192="Above Materiality",COUNTIFS($O$2:$O$1092,O192,$P$2:$P$1092,"Above Materiality",$M$2:$M$1092,"&gt;"&amp;M192)+COUNTIFS($O$2:$O$1092,O192,$P$2:$P$1092,"Above Materiality",$M$2:$M$1092,M192,$A$2:$A$1092,"&lt;"&amp;A192)+1,"")</f>
        <v/>
      </c>
      <c r="S192" s="21" t="str">
        <f aca="false">IF(P192&lt;&gt;"Below Materiality","",IF(Summary!$C$9="Random",COUNTIFS($O$2:$O$1092,O192,$Q$2:$Q$1092,"&gt;"&amp;Q192)+1,COUNTIFS($O$2:$O$1092,O192,$P$2:$P$1092,"Below Materiality",$M$2:$M$1092,"&gt;"&amp;M192)+COUNTIFS($O$2:$O$1092,O192,$P$2:$P$1092,"Below Materiality",$M$2:$M$1092,M192,$A$2:$A$1092,"&lt;"&amp;A192)+1))</f>
        <v/>
      </c>
      <c r="T192" s="22"/>
      <c r="U192" s="21" t="str">
        <f aca="false">IF(R192="","",O192&amp;"|A|"&amp;R192)</f>
        <v/>
      </c>
      <c r="V192" s="21" t="str">
        <f aca="false">IF(S192="","",O192&amp;"|R|"&amp;S192)</f>
        <v/>
      </c>
    </row>
    <row r="193" customFormat="false" ht="15" hidden="false" customHeight="false" outlineLevel="0" collapsed="false">
      <c r="A193" s="18" t="n">
        <v>192</v>
      </c>
      <c r="B193" s="18"/>
      <c r="C193" s="18"/>
      <c r="D193" s="18"/>
      <c r="E193" s="18" t="s">
        <v>452</v>
      </c>
      <c r="F193" s="18" t="s">
        <v>453</v>
      </c>
      <c r="G193" s="18" t="s">
        <v>71</v>
      </c>
      <c r="H193" s="18" t="n">
        <v>70</v>
      </c>
      <c r="I193" s="19" t="n">
        <v>0</v>
      </c>
      <c r="J193" s="19" t="n">
        <v>2585.9</v>
      </c>
      <c r="K193" s="19" t="n">
        <v>2585.9</v>
      </c>
      <c r="L193" s="19" t="n">
        <v>0</v>
      </c>
      <c r="M193" s="19" t="n">
        <f aca="false">ABS(L193)</f>
        <v>0</v>
      </c>
      <c r="N193" s="18" t="str">
        <f aca="false">IF(L193=0,"Nil balance",IF(G193="AR file",IF(L193&gt;0,"Accounts Receivable","Customer Advances"),IF(L193&lt;0,"Accounts Payable","Supplier Advances")))</f>
        <v>Nil balance</v>
      </c>
      <c r="O193" s="18" t="str">
        <f aca="false">IF(L193=0,"Excluded",IF(Summary!$C$4="By ledger",IF(G193="AR file","Population 1","Population 2"),IF(L193&gt;0,"Population 1","Population 2")))</f>
        <v>Excluded</v>
      </c>
      <c r="P193" s="18" t="str">
        <f aca="false">IF(O193="Excluded","Excluded – nil closing balance",IF(M193&gt;Summary!$C$5,"Above Materiality","Below Materiality"))</f>
        <v>Excluded – nil closing balance</v>
      </c>
      <c r="Q193" s="20" t="str">
        <f aca="false">IF(P193="Below Materiality",T193,"")</f>
        <v/>
      </c>
      <c r="R193" s="21" t="str">
        <f aca="false">IF(P193="Above Materiality",COUNTIFS($O$2:$O$1092,O193,$P$2:$P$1092,"Above Materiality",$M$2:$M$1092,"&gt;"&amp;M193)+COUNTIFS($O$2:$O$1092,O193,$P$2:$P$1092,"Above Materiality",$M$2:$M$1092,M193,$A$2:$A$1092,"&lt;"&amp;A193)+1,"")</f>
        <v/>
      </c>
      <c r="S193" s="21" t="str">
        <f aca="false">IF(P193&lt;&gt;"Below Materiality","",IF(Summary!$C$9="Random",COUNTIFS($O$2:$O$1092,O193,$Q$2:$Q$1092,"&gt;"&amp;Q193)+1,COUNTIFS($O$2:$O$1092,O193,$P$2:$P$1092,"Below Materiality",$M$2:$M$1092,"&gt;"&amp;M193)+COUNTIFS($O$2:$O$1092,O193,$P$2:$P$1092,"Below Materiality",$M$2:$M$1092,M193,$A$2:$A$1092,"&lt;"&amp;A193)+1))</f>
        <v/>
      </c>
      <c r="T193" s="22"/>
      <c r="U193" s="21" t="str">
        <f aca="false">IF(R193="","",O193&amp;"|A|"&amp;R193)</f>
        <v/>
      </c>
      <c r="V193" s="21" t="str">
        <f aca="false">IF(S193="","",O193&amp;"|R|"&amp;S193)</f>
        <v/>
      </c>
    </row>
    <row r="194" customFormat="false" ht="15" hidden="false" customHeight="false" outlineLevel="0" collapsed="false">
      <c r="A194" s="18" t="n">
        <v>193</v>
      </c>
      <c r="B194" s="18"/>
      <c r="C194" s="18"/>
      <c r="D194" s="18"/>
      <c r="E194" s="18" t="s">
        <v>454</v>
      </c>
      <c r="F194" s="18" t="s">
        <v>455</v>
      </c>
      <c r="G194" s="18" t="s">
        <v>71</v>
      </c>
      <c r="H194" s="18" t="n">
        <v>71</v>
      </c>
      <c r="I194" s="19" t="n">
        <v>0</v>
      </c>
      <c r="J194" s="19" t="n">
        <v>161</v>
      </c>
      <c r="K194" s="19" t="n">
        <v>161</v>
      </c>
      <c r="L194" s="19" t="n">
        <v>0</v>
      </c>
      <c r="M194" s="19" t="n">
        <f aca="false">ABS(L194)</f>
        <v>0</v>
      </c>
      <c r="N194" s="18" t="str">
        <f aca="false">IF(L194=0,"Nil balance",IF(G194="AR file",IF(L194&gt;0,"Accounts Receivable","Customer Advances"),IF(L194&lt;0,"Accounts Payable","Supplier Advances")))</f>
        <v>Nil balance</v>
      </c>
      <c r="O194" s="18" t="str">
        <f aca="false">IF(L194=0,"Excluded",IF(Summary!$C$4="By ledger",IF(G194="AR file","Population 1","Population 2"),IF(L194&gt;0,"Population 1","Population 2")))</f>
        <v>Excluded</v>
      </c>
      <c r="P194" s="18" t="str">
        <f aca="false">IF(O194="Excluded","Excluded – nil closing balance",IF(M194&gt;Summary!$C$5,"Above Materiality","Below Materiality"))</f>
        <v>Excluded – nil closing balance</v>
      </c>
      <c r="Q194" s="20" t="str">
        <f aca="false">IF(P194="Below Materiality",T194,"")</f>
        <v/>
      </c>
      <c r="R194" s="21" t="str">
        <f aca="false">IF(P194="Above Materiality",COUNTIFS($O$2:$O$1092,O194,$P$2:$P$1092,"Above Materiality",$M$2:$M$1092,"&gt;"&amp;M194)+COUNTIFS($O$2:$O$1092,O194,$P$2:$P$1092,"Above Materiality",$M$2:$M$1092,M194,$A$2:$A$1092,"&lt;"&amp;A194)+1,"")</f>
        <v/>
      </c>
      <c r="S194" s="21" t="str">
        <f aca="false">IF(P194&lt;&gt;"Below Materiality","",IF(Summary!$C$9="Random",COUNTIFS($O$2:$O$1092,O194,$Q$2:$Q$1092,"&gt;"&amp;Q194)+1,COUNTIFS($O$2:$O$1092,O194,$P$2:$P$1092,"Below Materiality",$M$2:$M$1092,"&gt;"&amp;M194)+COUNTIFS($O$2:$O$1092,O194,$P$2:$P$1092,"Below Materiality",$M$2:$M$1092,M194,$A$2:$A$1092,"&lt;"&amp;A194)+1))</f>
        <v/>
      </c>
      <c r="T194" s="22"/>
      <c r="U194" s="21" t="str">
        <f aca="false">IF(R194="","",O194&amp;"|A|"&amp;R194)</f>
        <v/>
      </c>
      <c r="V194" s="21" t="str">
        <f aca="false">IF(S194="","",O194&amp;"|R|"&amp;S194)</f>
        <v/>
      </c>
    </row>
    <row r="195" customFormat="false" ht="15" hidden="false" customHeight="false" outlineLevel="0" collapsed="false">
      <c r="A195" s="18" t="n">
        <v>194</v>
      </c>
      <c r="B195" s="18"/>
      <c r="C195" s="18"/>
      <c r="D195" s="18"/>
      <c r="E195" s="18" t="s">
        <v>456</v>
      </c>
      <c r="F195" s="18" t="s">
        <v>366</v>
      </c>
      <c r="G195" s="18" t="s">
        <v>71</v>
      </c>
      <c r="H195" s="18" t="n">
        <v>72</v>
      </c>
      <c r="I195" s="19" t="n">
        <v>0</v>
      </c>
      <c r="J195" s="19" t="n">
        <v>100</v>
      </c>
      <c r="K195" s="19" t="n">
        <v>100</v>
      </c>
      <c r="L195" s="19" t="n">
        <v>0</v>
      </c>
      <c r="M195" s="19" t="n">
        <f aca="false">ABS(L195)</f>
        <v>0</v>
      </c>
      <c r="N195" s="18" t="str">
        <f aca="false">IF(L195=0,"Nil balance",IF(G195="AR file",IF(L195&gt;0,"Accounts Receivable","Customer Advances"),IF(L195&lt;0,"Accounts Payable","Supplier Advances")))</f>
        <v>Nil balance</v>
      </c>
      <c r="O195" s="18" t="str">
        <f aca="false">IF(L195=0,"Excluded",IF(Summary!$C$4="By ledger",IF(G195="AR file","Population 1","Population 2"),IF(L195&gt;0,"Population 1","Population 2")))</f>
        <v>Excluded</v>
      </c>
      <c r="P195" s="18" t="str">
        <f aca="false">IF(O195="Excluded","Excluded – nil closing balance",IF(M195&gt;Summary!$C$5,"Above Materiality","Below Materiality"))</f>
        <v>Excluded – nil closing balance</v>
      </c>
      <c r="Q195" s="20" t="str">
        <f aca="false">IF(P195="Below Materiality",T195,"")</f>
        <v/>
      </c>
      <c r="R195" s="21" t="str">
        <f aca="false">IF(P195="Above Materiality",COUNTIFS($O$2:$O$1092,O195,$P$2:$P$1092,"Above Materiality",$M$2:$M$1092,"&gt;"&amp;M195)+COUNTIFS($O$2:$O$1092,O195,$P$2:$P$1092,"Above Materiality",$M$2:$M$1092,M195,$A$2:$A$1092,"&lt;"&amp;A195)+1,"")</f>
        <v/>
      </c>
      <c r="S195" s="21" t="str">
        <f aca="false">IF(P195&lt;&gt;"Below Materiality","",IF(Summary!$C$9="Random",COUNTIFS($O$2:$O$1092,O195,$Q$2:$Q$1092,"&gt;"&amp;Q195)+1,COUNTIFS($O$2:$O$1092,O195,$P$2:$P$1092,"Below Materiality",$M$2:$M$1092,"&gt;"&amp;M195)+COUNTIFS($O$2:$O$1092,O195,$P$2:$P$1092,"Below Materiality",$M$2:$M$1092,M195,$A$2:$A$1092,"&lt;"&amp;A195)+1))</f>
        <v/>
      </c>
      <c r="T195" s="22"/>
      <c r="U195" s="21" t="str">
        <f aca="false">IF(R195="","",O195&amp;"|A|"&amp;R195)</f>
        <v/>
      </c>
      <c r="V195" s="21" t="str">
        <f aca="false">IF(S195="","",O195&amp;"|R|"&amp;S195)</f>
        <v/>
      </c>
    </row>
    <row r="196" customFormat="false" ht="15" hidden="false" customHeight="false" outlineLevel="0" collapsed="false">
      <c r="A196" s="18" t="n">
        <v>195</v>
      </c>
      <c r="B196" s="18"/>
      <c r="C196" s="18"/>
      <c r="D196" s="18"/>
      <c r="E196" s="18" t="s">
        <v>457</v>
      </c>
      <c r="F196" s="18" t="s">
        <v>458</v>
      </c>
      <c r="G196" s="18" t="s">
        <v>71</v>
      </c>
      <c r="H196" s="18" t="n">
        <v>73</v>
      </c>
      <c r="I196" s="19" t="n">
        <v>0</v>
      </c>
      <c r="J196" s="19" t="n">
        <v>522.85</v>
      </c>
      <c r="K196" s="19" t="n">
        <v>522.85</v>
      </c>
      <c r="L196" s="19" t="n">
        <v>0</v>
      </c>
      <c r="M196" s="19" t="n">
        <f aca="false">ABS(L196)</f>
        <v>0</v>
      </c>
      <c r="N196" s="18" t="str">
        <f aca="false">IF(L196=0,"Nil balance",IF(G196="AR file",IF(L196&gt;0,"Accounts Receivable","Customer Advances"),IF(L196&lt;0,"Accounts Payable","Supplier Advances")))</f>
        <v>Nil balance</v>
      </c>
      <c r="O196" s="18" t="str">
        <f aca="false">IF(L196=0,"Excluded",IF(Summary!$C$4="By ledger",IF(G196="AR file","Population 1","Population 2"),IF(L196&gt;0,"Population 1","Population 2")))</f>
        <v>Excluded</v>
      </c>
      <c r="P196" s="18" t="str">
        <f aca="false">IF(O196="Excluded","Excluded – nil closing balance",IF(M196&gt;Summary!$C$5,"Above Materiality","Below Materiality"))</f>
        <v>Excluded – nil closing balance</v>
      </c>
      <c r="Q196" s="20" t="str">
        <f aca="false">IF(P196="Below Materiality",T196,"")</f>
        <v/>
      </c>
      <c r="R196" s="21" t="str">
        <f aca="false">IF(P196="Above Materiality",COUNTIFS($O$2:$O$1092,O196,$P$2:$P$1092,"Above Materiality",$M$2:$M$1092,"&gt;"&amp;M196)+COUNTIFS($O$2:$O$1092,O196,$P$2:$P$1092,"Above Materiality",$M$2:$M$1092,M196,$A$2:$A$1092,"&lt;"&amp;A196)+1,"")</f>
        <v/>
      </c>
      <c r="S196" s="21" t="str">
        <f aca="false">IF(P196&lt;&gt;"Below Materiality","",IF(Summary!$C$9="Random",COUNTIFS($O$2:$O$1092,O196,$Q$2:$Q$1092,"&gt;"&amp;Q196)+1,COUNTIFS($O$2:$O$1092,O196,$P$2:$P$1092,"Below Materiality",$M$2:$M$1092,"&gt;"&amp;M196)+COUNTIFS($O$2:$O$1092,O196,$P$2:$P$1092,"Below Materiality",$M$2:$M$1092,M196,$A$2:$A$1092,"&lt;"&amp;A196)+1))</f>
        <v/>
      </c>
      <c r="T196" s="22"/>
      <c r="U196" s="21" t="str">
        <f aca="false">IF(R196="","",O196&amp;"|A|"&amp;R196)</f>
        <v/>
      </c>
      <c r="V196" s="21" t="str">
        <f aca="false">IF(S196="","",O196&amp;"|R|"&amp;S196)</f>
        <v/>
      </c>
    </row>
    <row r="197" customFormat="false" ht="15" hidden="false" customHeight="false" outlineLevel="0" collapsed="false">
      <c r="A197" s="18" t="n">
        <v>196</v>
      </c>
      <c r="B197" s="18"/>
      <c r="C197" s="18"/>
      <c r="D197" s="18"/>
      <c r="E197" s="18" t="s">
        <v>459</v>
      </c>
      <c r="F197" s="18" t="s">
        <v>460</v>
      </c>
      <c r="G197" s="18" t="s">
        <v>71</v>
      </c>
      <c r="H197" s="18" t="n">
        <v>74</v>
      </c>
      <c r="I197" s="19" t="n">
        <v>0</v>
      </c>
      <c r="J197" s="19" t="n">
        <v>1462.8</v>
      </c>
      <c r="K197" s="19" t="n">
        <v>1462.8</v>
      </c>
      <c r="L197" s="19" t="n">
        <v>0</v>
      </c>
      <c r="M197" s="19" t="n">
        <f aca="false">ABS(L197)</f>
        <v>0</v>
      </c>
      <c r="N197" s="18" t="str">
        <f aca="false">IF(L197=0,"Nil balance",IF(G197="AR file",IF(L197&gt;0,"Accounts Receivable","Customer Advances"),IF(L197&lt;0,"Accounts Payable","Supplier Advances")))</f>
        <v>Nil balance</v>
      </c>
      <c r="O197" s="18" t="str">
        <f aca="false">IF(L197=0,"Excluded",IF(Summary!$C$4="By ledger",IF(G197="AR file","Population 1","Population 2"),IF(L197&gt;0,"Population 1","Population 2")))</f>
        <v>Excluded</v>
      </c>
      <c r="P197" s="18" t="str">
        <f aca="false">IF(O197="Excluded","Excluded – nil closing balance",IF(M197&gt;Summary!$C$5,"Above Materiality","Below Materiality"))</f>
        <v>Excluded – nil closing balance</v>
      </c>
      <c r="Q197" s="20" t="str">
        <f aca="false">IF(P197="Below Materiality",T197,"")</f>
        <v/>
      </c>
      <c r="R197" s="21" t="str">
        <f aca="false">IF(P197="Above Materiality",COUNTIFS($O$2:$O$1092,O197,$P$2:$P$1092,"Above Materiality",$M$2:$M$1092,"&gt;"&amp;M197)+COUNTIFS($O$2:$O$1092,O197,$P$2:$P$1092,"Above Materiality",$M$2:$M$1092,M197,$A$2:$A$1092,"&lt;"&amp;A197)+1,"")</f>
        <v/>
      </c>
      <c r="S197" s="21" t="str">
        <f aca="false">IF(P197&lt;&gt;"Below Materiality","",IF(Summary!$C$9="Random",COUNTIFS($O$2:$O$1092,O197,$Q$2:$Q$1092,"&gt;"&amp;Q197)+1,COUNTIFS($O$2:$O$1092,O197,$P$2:$P$1092,"Below Materiality",$M$2:$M$1092,"&gt;"&amp;M197)+COUNTIFS($O$2:$O$1092,O197,$P$2:$P$1092,"Below Materiality",$M$2:$M$1092,M197,$A$2:$A$1092,"&lt;"&amp;A197)+1))</f>
        <v/>
      </c>
      <c r="T197" s="22"/>
      <c r="U197" s="21" t="str">
        <f aca="false">IF(R197="","",O197&amp;"|A|"&amp;R197)</f>
        <v/>
      </c>
      <c r="V197" s="21" t="str">
        <f aca="false">IF(S197="","",O197&amp;"|R|"&amp;S197)</f>
        <v/>
      </c>
    </row>
    <row r="198" customFormat="false" ht="15" hidden="false" customHeight="false" outlineLevel="0" collapsed="false">
      <c r="A198" s="18" t="n">
        <v>197</v>
      </c>
      <c r="B198" s="18"/>
      <c r="C198" s="18"/>
      <c r="D198" s="18"/>
      <c r="E198" s="18" t="s">
        <v>461</v>
      </c>
      <c r="F198" s="18" t="s">
        <v>462</v>
      </c>
      <c r="G198" s="18" t="s">
        <v>71</v>
      </c>
      <c r="H198" s="18" t="n">
        <v>75</v>
      </c>
      <c r="I198" s="19" t="n">
        <v>0</v>
      </c>
      <c r="J198" s="19" t="n">
        <v>515</v>
      </c>
      <c r="K198" s="19" t="n">
        <v>515</v>
      </c>
      <c r="L198" s="19" t="n">
        <v>0</v>
      </c>
      <c r="M198" s="19" t="n">
        <f aca="false">ABS(L198)</f>
        <v>0</v>
      </c>
      <c r="N198" s="18" t="str">
        <f aca="false">IF(L198=0,"Nil balance",IF(G198="AR file",IF(L198&gt;0,"Accounts Receivable","Customer Advances"),IF(L198&lt;0,"Accounts Payable","Supplier Advances")))</f>
        <v>Nil balance</v>
      </c>
      <c r="O198" s="18" t="str">
        <f aca="false">IF(L198=0,"Excluded",IF(Summary!$C$4="By ledger",IF(G198="AR file","Population 1","Population 2"),IF(L198&gt;0,"Population 1","Population 2")))</f>
        <v>Excluded</v>
      </c>
      <c r="P198" s="18" t="str">
        <f aca="false">IF(O198="Excluded","Excluded – nil closing balance",IF(M198&gt;Summary!$C$5,"Above Materiality","Below Materiality"))</f>
        <v>Excluded – nil closing balance</v>
      </c>
      <c r="Q198" s="20" t="str">
        <f aca="false">IF(P198="Below Materiality",T198,"")</f>
        <v/>
      </c>
      <c r="R198" s="21" t="str">
        <f aca="false">IF(P198="Above Materiality",COUNTIFS($O$2:$O$1092,O198,$P$2:$P$1092,"Above Materiality",$M$2:$M$1092,"&gt;"&amp;M198)+COUNTIFS($O$2:$O$1092,O198,$P$2:$P$1092,"Above Materiality",$M$2:$M$1092,M198,$A$2:$A$1092,"&lt;"&amp;A198)+1,"")</f>
        <v/>
      </c>
      <c r="S198" s="21" t="str">
        <f aca="false">IF(P198&lt;&gt;"Below Materiality","",IF(Summary!$C$9="Random",COUNTIFS($O$2:$O$1092,O198,$Q$2:$Q$1092,"&gt;"&amp;Q198)+1,COUNTIFS($O$2:$O$1092,O198,$P$2:$P$1092,"Below Materiality",$M$2:$M$1092,"&gt;"&amp;M198)+COUNTIFS($O$2:$O$1092,O198,$P$2:$P$1092,"Below Materiality",$M$2:$M$1092,M198,$A$2:$A$1092,"&lt;"&amp;A198)+1))</f>
        <v/>
      </c>
      <c r="T198" s="22"/>
      <c r="U198" s="21" t="str">
        <f aca="false">IF(R198="","",O198&amp;"|A|"&amp;R198)</f>
        <v/>
      </c>
      <c r="V198" s="21" t="str">
        <f aca="false">IF(S198="","",O198&amp;"|R|"&amp;S198)</f>
        <v/>
      </c>
    </row>
    <row r="199" customFormat="false" ht="15" hidden="false" customHeight="false" outlineLevel="0" collapsed="false">
      <c r="A199" s="18" t="n">
        <v>198</v>
      </c>
      <c r="B199" s="18"/>
      <c r="C199" s="18"/>
      <c r="D199" s="18"/>
      <c r="E199" s="18" t="s">
        <v>463</v>
      </c>
      <c r="F199" s="18" t="s">
        <v>464</v>
      </c>
      <c r="G199" s="18" t="s">
        <v>71</v>
      </c>
      <c r="H199" s="18" t="n">
        <v>76</v>
      </c>
      <c r="I199" s="19" t="n">
        <v>0</v>
      </c>
      <c r="J199" s="19" t="n">
        <v>10206.25</v>
      </c>
      <c r="K199" s="19" t="n">
        <v>10206.25</v>
      </c>
      <c r="L199" s="19" t="n">
        <v>0</v>
      </c>
      <c r="M199" s="19" t="n">
        <f aca="false">ABS(L199)</f>
        <v>0</v>
      </c>
      <c r="N199" s="18" t="str">
        <f aca="false">IF(L199=0,"Nil balance",IF(G199="AR file",IF(L199&gt;0,"Accounts Receivable","Customer Advances"),IF(L199&lt;0,"Accounts Payable","Supplier Advances")))</f>
        <v>Nil balance</v>
      </c>
      <c r="O199" s="18" t="str">
        <f aca="false">IF(L199=0,"Excluded",IF(Summary!$C$4="By ledger",IF(G199="AR file","Population 1","Population 2"),IF(L199&gt;0,"Population 1","Population 2")))</f>
        <v>Excluded</v>
      </c>
      <c r="P199" s="18" t="str">
        <f aca="false">IF(O199="Excluded","Excluded – nil closing balance",IF(M199&gt;Summary!$C$5,"Above Materiality","Below Materiality"))</f>
        <v>Excluded – nil closing balance</v>
      </c>
      <c r="Q199" s="20" t="str">
        <f aca="false">IF(P199="Below Materiality",T199,"")</f>
        <v/>
      </c>
      <c r="R199" s="21" t="str">
        <f aca="false">IF(P199="Above Materiality",COUNTIFS($O$2:$O$1092,O199,$P$2:$P$1092,"Above Materiality",$M$2:$M$1092,"&gt;"&amp;M199)+COUNTIFS($O$2:$O$1092,O199,$P$2:$P$1092,"Above Materiality",$M$2:$M$1092,M199,$A$2:$A$1092,"&lt;"&amp;A199)+1,"")</f>
        <v/>
      </c>
      <c r="S199" s="21" t="str">
        <f aca="false">IF(P199&lt;&gt;"Below Materiality","",IF(Summary!$C$9="Random",COUNTIFS($O$2:$O$1092,O199,$Q$2:$Q$1092,"&gt;"&amp;Q199)+1,COUNTIFS($O$2:$O$1092,O199,$P$2:$P$1092,"Below Materiality",$M$2:$M$1092,"&gt;"&amp;M199)+COUNTIFS($O$2:$O$1092,O199,$P$2:$P$1092,"Below Materiality",$M$2:$M$1092,M199,$A$2:$A$1092,"&lt;"&amp;A199)+1))</f>
        <v/>
      </c>
      <c r="T199" s="22"/>
      <c r="U199" s="21" t="str">
        <f aca="false">IF(R199="","",O199&amp;"|A|"&amp;R199)</f>
        <v/>
      </c>
      <c r="V199" s="21" t="str">
        <f aca="false">IF(S199="","",O199&amp;"|R|"&amp;S199)</f>
        <v/>
      </c>
    </row>
    <row r="200" customFormat="false" ht="15" hidden="false" customHeight="false" outlineLevel="0" collapsed="false">
      <c r="A200" s="18" t="n">
        <v>199</v>
      </c>
      <c r="B200" s="18"/>
      <c r="C200" s="18"/>
      <c r="D200" s="18"/>
      <c r="E200" s="18" t="s">
        <v>465</v>
      </c>
      <c r="F200" s="18" t="s">
        <v>466</v>
      </c>
      <c r="G200" s="18" t="s">
        <v>71</v>
      </c>
      <c r="H200" s="18" t="n">
        <v>77</v>
      </c>
      <c r="I200" s="19" t="n">
        <v>0</v>
      </c>
      <c r="J200" s="19" t="n">
        <v>4830</v>
      </c>
      <c r="K200" s="19" t="n">
        <v>4830</v>
      </c>
      <c r="L200" s="19" t="n">
        <v>0</v>
      </c>
      <c r="M200" s="19" t="n">
        <f aca="false">ABS(L200)</f>
        <v>0</v>
      </c>
      <c r="N200" s="18" t="str">
        <f aca="false">IF(L200=0,"Nil balance",IF(G200="AR file",IF(L200&gt;0,"Accounts Receivable","Customer Advances"),IF(L200&lt;0,"Accounts Payable","Supplier Advances")))</f>
        <v>Nil balance</v>
      </c>
      <c r="O200" s="18" t="str">
        <f aca="false">IF(L200=0,"Excluded",IF(Summary!$C$4="By ledger",IF(G200="AR file","Population 1","Population 2"),IF(L200&gt;0,"Population 1","Population 2")))</f>
        <v>Excluded</v>
      </c>
      <c r="P200" s="18" t="str">
        <f aca="false">IF(O200="Excluded","Excluded – nil closing balance",IF(M200&gt;Summary!$C$5,"Above Materiality","Below Materiality"))</f>
        <v>Excluded – nil closing balance</v>
      </c>
      <c r="Q200" s="20" t="str">
        <f aca="false">IF(P200="Below Materiality",T200,"")</f>
        <v/>
      </c>
      <c r="R200" s="21" t="str">
        <f aca="false">IF(P200="Above Materiality",COUNTIFS($O$2:$O$1092,O200,$P$2:$P$1092,"Above Materiality",$M$2:$M$1092,"&gt;"&amp;M200)+COUNTIFS($O$2:$O$1092,O200,$P$2:$P$1092,"Above Materiality",$M$2:$M$1092,M200,$A$2:$A$1092,"&lt;"&amp;A200)+1,"")</f>
        <v/>
      </c>
      <c r="S200" s="21" t="str">
        <f aca="false">IF(P200&lt;&gt;"Below Materiality","",IF(Summary!$C$9="Random",COUNTIFS($O$2:$O$1092,O200,$Q$2:$Q$1092,"&gt;"&amp;Q200)+1,COUNTIFS($O$2:$O$1092,O200,$P$2:$P$1092,"Below Materiality",$M$2:$M$1092,"&gt;"&amp;M200)+COUNTIFS($O$2:$O$1092,O200,$P$2:$P$1092,"Below Materiality",$M$2:$M$1092,M200,$A$2:$A$1092,"&lt;"&amp;A200)+1))</f>
        <v/>
      </c>
      <c r="T200" s="22"/>
      <c r="U200" s="21" t="str">
        <f aca="false">IF(R200="","",O200&amp;"|A|"&amp;R200)</f>
        <v/>
      </c>
      <c r="V200" s="21" t="str">
        <f aca="false">IF(S200="","",O200&amp;"|R|"&amp;S200)</f>
        <v/>
      </c>
    </row>
    <row r="201" customFormat="false" ht="15" hidden="false" customHeight="false" outlineLevel="0" collapsed="false">
      <c r="A201" s="18" t="n">
        <v>200</v>
      </c>
      <c r="B201" s="18"/>
      <c r="C201" s="18"/>
      <c r="D201" s="18"/>
      <c r="E201" s="18" t="s">
        <v>467</v>
      </c>
      <c r="F201" s="18" t="s">
        <v>468</v>
      </c>
      <c r="G201" s="18" t="s">
        <v>71</v>
      </c>
      <c r="H201" s="18" t="n">
        <v>78</v>
      </c>
      <c r="I201" s="19" t="n">
        <v>0</v>
      </c>
      <c r="J201" s="19" t="n">
        <v>1380</v>
      </c>
      <c r="K201" s="19" t="n">
        <v>1380</v>
      </c>
      <c r="L201" s="19" t="n">
        <v>0</v>
      </c>
      <c r="M201" s="19" t="n">
        <f aca="false">ABS(L201)</f>
        <v>0</v>
      </c>
      <c r="N201" s="18" t="str">
        <f aca="false">IF(L201=0,"Nil balance",IF(G201="AR file",IF(L201&gt;0,"Accounts Receivable","Customer Advances"),IF(L201&lt;0,"Accounts Payable","Supplier Advances")))</f>
        <v>Nil balance</v>
      </c>
      <c r="O201" s="18" t="str">
        <f aca="false">IF(L201=0,"Excluded",IF(Summary!$C$4="By ledger",IF(G201="AR file","Population 1","Population 2"),IF(L201&gt;0,"Population 1","Population 2")))</f>
        <v>Excluded</v>
      </c>
      <c r="P201" s="18" t="str">
        <f aca="false">IF(O201="Excluded","Excluded – nil closing balance",IF(M201&gt;Summary!$C$5,"Above Materiality","Below Materiality"))</f>
        <v>Excluded – nil closing balance</v>
      </c>
      <c r="Q201" s="20" t="str">
        <f aca="false">IF(P201="Below Materiality",T201,"")</f>
        <v/>
      </c>
      <c r="R201" s="21" t="str">
        <f aca="false">IF(P201="Above Materiality",COUNTIFS($O$2:$O$1092,O201,$P$2:$P$1092,"Above Materiality",$M$2:$M$1092,"&gt;"&amp;M201)+COUNTIFS($O$2:$O$1092,O201,$P$2:$P$1092,"Above Materiality",$M$2:$M$1092,M201,$A$2:$A$1092,"&lt;"&amp;A201)+1,"")</f>
        <v/>
      </c>
      <c r="S201" s="21" t="str">
        <f aca="false">IF(P201&lt;&gt;"Below Materiality","",IF(Summary!$C$9="Random",COUNTIFS($O$2:$O$1092,O201,$Q$2:$Q$1092,"&gt;"&amp;Q201)+1,COUNTIFS($O$2:$O$1092,O201,$P$2:$P$1092,"Below Materiality",$M$2:$M$1092,"&gt;"&amp;M201)+COUNTIFS($O$2:$O$1092,O201,$P$2:$P$1092,"Below Materiality",$M$2:$M$1092,M201,$A$2:$A$1092,"&lt;"&amp;A201)+1))</f>
        <v/>
      </c>
      <c r="T201" s="22"/>
      <c r="U201" s="21" t="str">
        <f aca="false">IF(R201="","",O201&amp;"|A|"&amp;R201)</f>
        <v/>
      </c>
      <c r="V201" s="21" t="str">
        <f aca="false">IF(S201="","",O201&amp;"|R|"&amp;S201)</f>
        <v/>
      </c>
    </row>
    <row r="202" customFormat="false" ht="15" hidden="false" customHeight="false" outlineLevel="0" collapsed="false">
      <c r="A202" s="18" t="n">
        <v>201</v>
      </c>
      <c r="B202" s="18"/>
      <c r="C202" s="18"/>
      <c r="D202" s="18"/>
      <c r="E202" s="18" t="s">
        <v>469</v>
      </c>
      <c r="F202" s="18" t="s">
        <v>470</v>
      </c>
      <c r="G202" s="18" t="s">
        <v>71</v>
      </c>
      <c r="H202" s="18" t="n">
        <v>79</v>
      </c>
      <c r="I202" s="19" t="n">
        <v>-7636</v>
      </c>
      <c r="J202" s="19" t="n">
        <v>51833.6</v>
      </c>
      <c r="K202" s="19" t="n">
        <v>44197.6</v>
      </c>
      <c r="L202" s="19" t="n">
        <v>0</v>
      </c>
      <c r="M202" s="19" t="n">
        <f aca="false">ABS(L202)</f>
        <v>0</v>
      </c>
      <c r="N202" s="18" t="str">
        <f aca="false">IF(L202=0,"Nil balance",IF(G202="AR file",IF(L202&gt;0,"Accounts Receivable","Customer Advances"),IF(L202&lt;0,"Accounts Payable","Supplier Advances")))</f>
        <v>Nil balance</v>
      </c>
      <c r="O202" s="18" t="str">
        <f aca="false">IF(L202=0,"Excluded",IF(Summary!$C$4="By ledger",IF(G202="AR file","Population 1","Population 2"),IF(L202&gt;0,"Population 1","Population 2")))</f>
        <v>Excluded</v>
      </c>
      <c r="P202" s="18" t="str">
        <f aca="false">IF(O202="Excluded","Excluded – nil closing balance",IF(M202&gt;Summary!$C$5,"Above Materiality","Below Materiality"))</f>
        <v>Excluded – nil closing balance</v>
      </c>
      <c r="Q202" s="20" t="str">
        <f aca="false">IF(P202="Below Materiality",T202,"")</f>
        <v/>
      </c>
      <c r="R202" s="21" t="str">
        <f aca="false">IF(P202="Above Materiality",COUNTIFS($O$2:$O$1092,O202,$P$2:$P$1092,"Above Materiality",$M$2:$M$1092,"&gt;"&amp;M202)+COUNTIFS($O$2:$O$1092,O202,$P$2:$P$1092,"Above Materiality",$M$2:$M$1092,M202,$A$2:$A$1092,"&lt;"&amp;A202)+1,"")</f>
        <v/>
      </c>
      <c r="S202" s="21" t="str">
        <f aca="false">IF(P202&lt;&gt;"Below Materiality","",IF(Summary!$C$9="Random",COUNTIFS($O$2:$O$1092,O202,$Q$2:$Q$1092,"&gt;"&amp;Q202)+1,COUNTIFS($O$2:$O$1092,O202,$P$2:$P$1092,"Below Materiality",$M$2:$M$1092,"&gt;"&amp;M202)+COUNTIFS($O$2:$O$1092,O202,$P$2:$P$1092,"Below Materiality",$M$2:$M$1092,M202,$A$2:$A$1092,"&lt;"&amp;A202)+1))</f>
        <v/>
      </c>
      <c r="T202" s="22"/>
      <c r="U202" s="21" t="str">
        <f aca="false">IF(R202="","",O202&amp;"|A|"&amp;R202)</f>
        <v/>
      </c>
      <c r="V202" s="21" t="str">
        <f aca="false">IF(S202="","",O202&amp;"|R|"&amp;S202)</f>
        <v/>
      </c>
    </row>
    <row r="203" customFormat="false" ht="15" hidden="false" customHeight="false" outlineLevel="0" collapsed="false">
      <c r="A203" s="18" t="n">
        <v>202</v>
      </c>
      <c r="B203" s="18"/>
      <c r="C203" s="18"/>
      <c r="D203" s="18"/>
      <c r="E203" s="18" t="s">
        <v>471</v>
      </c>
      <c r="F203" s="18" t="s">
        <v>472</v>
      </c>
      <c r="G203" s="18" t="s">
        <v>71</v>
      </c>
      <c r="H203" s="18" t="n">
        <v>80</v>
      </c>
      <c r="I203" s="19" t="n">
        <v>0</v>
      </c>
      <c r="J203" s="19" t="n">
        <v>1444.4</v>
      </c>
      <c r="K203" s="19" t="n">
        <v>1444.4</v>
      </c>
      <c r="L203" s="19" t="n">
        <v>0</v>
      </c>
      <c r="M203" s="19" t="n">
        <f aca="false">ABS(L203)</f>
        <v>0</v>
      </c>
      <c r="N203" s="18" t="str">
        <f aca="false">IF(L203=0,"Nil balance",IF(G203="AR file",IF(L203&gt;0,"Accounts Receivable","Customer Advances"),IF(L203&lt;0,"Accounts Payable","Supplier Advances")))</f>
        <v>Nil balance</v>
      </c>
      <c r="O203" s="18" t="str">
        <f aca="false">IF(L203=0,"Excluded",IF(Summary!$C$4="By ledger",IF(G203="AR file","Population 1","Population 2"),IF(L203&gt;0,"Population 1","Population 2")))</f>
        <v>Excluded</v>
      </c>
      <c r="P203" s="18" t="str">
        <f aca="false">IF(O203="Excluded","Excluded – nil closing balance",IF(M203&gt;Summary!$C$5,"Above Materiality","Below Materiality"))</f>
        <v>Excluded – nil closing balance</v>
      </c>
      <c r="Q203" s="20" t="str">
        <f aca="false">IF(P203="Below Materiality",T203,"")</f>
        <v/>
      </c>
      <c r="R203" s="21" t="str">
        <f aca="false">IF(P203="Above Materiality",COUNTIFS($O$2:$O$1092,O203,$P$2:$P$1092,"Above Materiality",$M$2:$M$1092,"&gt;"&amp;M203)+COUNTIFS($O$2:$O$1092,O203,$P$2:$P$1092,"Above Materiality",$M$2:$M$1092,M203,$A$2:$A$1092,"&lt;"&amp;A203)+1,"")</f>
        <v/>
      </c>
      <c r="S203" s="21" t="str">
        <f aca="false">IF(P203&lt;&gt;"Below Materiality","",IF(Summary!$C$9="Random",COUNTIFS($O$2:$O$1092,O203,$Q$2:$Q$1092,"&gt;"&amp;Q203)+1,COUNTIFS($O$2:$O$1092,O203,$P$2:$P$1092,"Below Materiality",$M$2:$M$1092,"&gt;"&amp;M203)+COUNTIFS($O$2:$O$1092,O203,$P$2:$P$1092,"Below Materiality",$M$2:$M$1092,M203,$A$2:$A$1092,"&lt;"&amp;A203)+1))</f>
        <v/>
      </c>
      <c r="T203" s="22"/>
      <c r="U203" s="21" t="str">
        <f aca="false">IF(R203="","",O203&amp;"|A|"&amp;R203)</f>
        <v/>
      </c>
      <c r="V203" s="21" t="str">
        <f aca="false">IF(S203="","",O203&amp;"|R|"&amp;S203)</f>
        <v/>
      </c>
    </row>
    <row r="204" customFormat="false" ht="15" hidden="false" customHeight="false" outlineLevel="0" collapsed="false">
      <c r="A204" s="18" t="n">
        <v>203</v>
      </c>
      <c r="B204" s="18"/>
      <c r="C204" s="18"/>
      <c r="D204" s="18"/>
      <c r="E204" s="18" t="s">
        <v>473</v>
      </c>
      <c r="F204" s="18" t="s">
        <v>474</v>
      </c>
      <c r="G204" s="18" t="s">
        <v>71</v>
      </c>
      <c r="H204" s="18" t="n">
        <v>81</v>
      </c>
      <c r="I204" s="19" t="n">
        <v>0</v>
      </c>
      <c r="J204" s="19" t="n">
        <v>115</v>
      </c>
      <c r="K204" s="19" t="n">
        <v>115</v>
      </c>
      <c r="L204" s="19" t="n">
        <v>0</v>
      </c>
      <c r="M204" s="19" t="n">
        <f aca="false">ABS(L204)</f>
        <v>0</v>
      </c>
      <c r="N204" s="18" t="str">
        <f aca="false">IF(L204=0,"Nil balance",IF(G204="AR file",IF(L204&gt;0,"Accounts Receivable","Customer Advances"),IF(L204&lt;0,"Accounts Payable","Supplier Advances")))</f>
        <v>Nil balance</v>
      </c>
      <c r="O204" s="18" t="str">
        <f aca="false">IF(L204=0,"Excluded",IF(Summary!$C$4="By ledger",IF(G204="AR file","Population 1","Population 2"),IF(L204&gt;0,"Population 1","Population 2")))</f>
        <v>Excluded</v>
      </c>
      <c r="P204" s="18" t="str">
        <f aca="false">IF(O204="Excluded","Excluded – nil closing balance",IF(M204&gt;Summary!$C$5,"Above Materiality","Below Materiality"))</f>
        <v>Excluded – nil closing balance</v>
      </c>
      <c r="Q204" s="20" t="str">
        <f aca="false">IF(P204="Below Materiality",T204,"")</f>
        <v/>
      </c>
      <c r="R204" s="21" t="str">
        <f aca="false">IF(P204="Above Materiality",COUNTIFS($O$2:$O$1092,O204,$P$2:$P$1092,"Above Materiality",$M$2:$M$1092,"&gt;"&amp;M204)+COUNTIFS($O$2:$O$1092,O204,$P$2:$P$1092,"Above Materiality",$M$2:$M$1092,M204,$A$2:$A$1092,"&lt;"&amp;A204)+1,"")</f>
        <v/>
      </c>
      <c r="S204" s="21" t="str">
        <f aca="false">IF(P204&lt;&gt;"Below Materiality","",IF(Summary!$C$9="Random",COUNTIFS($O$2:$O$1092,O204,$Q$2:$Q$1092,"&gt;"&amp;Q204)+1,COUNTIFS($O$2:$O$1092,O204,$P$2:$P$1092,"Below Materiality",$M$2:$M$1092,"&gt;"&amp;M204)+COUNTIFS($O$2:$O$1092,O204,$P$2:$P$1092,"Below Materiality",$M$2:$M$1092,M204,$A$2:$A$1092,"&lt;"&amp;A204)+1))</f>
        <v/>
      </c>
      <c r="T204" s="22"/>
      <c r="U204" s="21" t="str">
        <f aca="false">IF(R204="","",O204&amp;"|A|"&amp;R204)</f>
        <v/>
      </c>
      <c r="V204" s="21" t="str">
        <f aca="false">IF(S204="","",O204&amp;"|R|"&amp;S204)</f>
        <v/>
      </c>
    </row>
    <row r="205" customFormat="false" ht="15" hidden="false" customHeight="false" outlineLevel="0" collapsed="false">
      <c r="A205" s="18" t="n">
        <v>204</v>
      </c>
      <c r="B205" s="18"/>
      <c r="C205" s="18"/>
      <c r="D205" s="18"/>
      <c r="E205" s="18" t="s">
        <v>475</v>
      </c>
      <c r="F205" s="18" t="s">
        <v>476</v>
      </c>
      <c r="G205" s="18" t="s">
        <v>71</v>
      </c>
      <c r="H205" s="18" t="n">
        <v>82</v>
      </c>
      <c r="I205" s="19" t="n">
        <v>0</v>
      </c>
      <c r="J205" s="19" t="n">
        <v>1253.75</v>
      </c>
      <c r="K205" s="19" t="n">
        <v>1253.75</v>
      </c>
      <c r="L205" s="19" t="n">
        <v>0</v>
      </c>
      <c r="M205" s="19" t="n">
        <f aca="false">ABS(L205)</f>
        <v>0</v>
      </c>
      <c r="N205" s="18" t="str">
        <f aca="false">IF(L205=0,"Nil balance",IF(G205="AR file",IF(L205&gt;0,"Accounts Receivable","Customer Advances"),IF(L205&lt;0,"Accounts Payable","Supplier Advances")))</f>
        <v>Nil balance</v>
      </c>
      <c r="O205" s="18" t="str">
        <f aca="false">IF(L205=0,"Excluded",IF(Summary!$C$4="By ledger",IF(G205="AR file","Population 1","Population 2"),IF(L205&gt;0,"Population 1","Population 2")))</f>
        <v>Excluded</v>
      </c>
      <c r="P205" s="18" t="str">
        <f aca="false">IF(O205="Excluded","Excluded – nil closing balance",IF(M205&gt;Summary!$C$5,"Above Materiality","Below Materiality"))</f>
        <v>Excluded – nil closing balance</v>
      </c>
      <c r="Q205" s="20" t="str">
        <f aca="false">IF(P205="Below Materiality",T205,"")</f>
        <v/>
      </c>
      <c r="R205" s="21" t="str">
        <f aca="false">IF(P205="Above Materiality",COUNTIFS($O$2:$O$1092,O205,$P$2:$P$1092,"Above Materiality",$M$2:$M$1092,"&gt;"&amp;M205)+COUNTIFS($O$2:$O$1092,O205,$P$2:$P$1092,"Above Materiality",$M$2:$M$1092,M205,$A$2:$A$1092,"&lt;"&amp;A205)+1,"")</f>
        <v/>
      </c>
      <c r="S205" s="21" t="str">
        <f aca="false">IF(P205&lt;&gt;"Below Materiality","",IF(Summary!$C$9="Random",COUNTIFS($O$2:$O$1092,O205,$Q$2:$Q$1092,"&gt;"&amp;Q205)+1,COUNTIFS($O$2:$O$1092,O205,$P$2:$P$1092,"Below Materiality",$M$2:$M$1092,"&gt;"&amp;M205)+COUNTIFS($O$2:$O$1092,O205,$P$2:$P$1092,"Below Materiality",$M$2:$M$1092,M205,$A$2:$A$1092,"&lt;"&amp;A205)+1))</f>
        <v/>
      </c>
      <c r="T205" s="22"/>
      <c r="U205" s="21" t="str">
        <f aca="false">IF(R205="","",O205&amp;"|A|"&amp;R205)</f>
        <v/>
      </c>
      <c r="V205" s="21" t="str">
        <f aca="false">IF(S205="","",O205&amp;"|R|"&amp;S205)</f>
        <v/>
      </c>
    </row>
    <row r="206" customFormat="false" ht="15" hidden="false" customHeight="false" outlineLevel="0" collapsed="false">
      <c r="A206" s="18" t="n">
        <v>205</v>
      </c>
      <c r="B206" s="18"/>
      <c r="C206" s="18"/>
      <c r="D206" s="18"/>
      <c r="E206" s="18" t="s">
        <v>477</v>
      </c>
      <c r="F206" s="18" t="s">
        <v>478</v>
      </c>
      <c r="G206" s="18" t="s">
        <v>71</v>
      </c>
      <c r="H206" s="18" t="n">
        <v>83</v>
      </c>
      <c r="I206" s="19" t="n">
        <v>0</v>
      </c>
      <c r="J206" s="19" t="n">
        <v>580.75</v>
      </c>
      <c r="K206" s="19" t="n">
        <v>580.75</v>
      </c>
      <c r="L206" s="19" t="n">
        <v>0</v>
      </c>
      <c r="M206" s="19" t="n">
        <f aca="false">ABS(L206)</f>
        <v>0</v>
      </c>
      <c r="N206" s="18" t="str">
        <f aca="false">IF(L206=0,"Nil balance",IF(G206="AR file",IF(L206&gt;0,"Accounts Receivable","Customer Advances"),IF(L206&lt;0,"Accounts Payable","Supplier Advances")))</f>
        <v>Nil balance</v>
      </c>
      <c r="O206" s="18" t="str">
        <f aca="false">IF(L206=0,"Excluded",IF(Summary!$C$4="By ledger",IF(G206="AR file","Population 1","Population 2"),IF(L206&gt;0,"Population 1","Population 2")))</f>
        <v>Excluded</v>
      </c>
      <c r="P206" s="18" t="str">
        <f aca="false">IF(O206="Excluded","Excluded – nil closing balance",IF(M206&gt;Summary!$C$5,"Above Materiality","Below Materiality"))</f>
        <v>Excluded – nil closing balance</v>
      </c>
      <c r="Q206" s="20" t="str">
        <f aca="false">IF(P206="Below Materiality",T206,"")</f>
        <v/>
      </c>
      <c r="R206" s="21" t="str">
        <f aca="false">IF(P206="Above Materiality",COUNTIFS($O$2:$O$1092,O206,$P$2:$P$1092,"Above Materiality",$M$2:$M$1092,"&gt;"&amp;M206)+COUNTIFS($O$2:$O$1092,O206,$P$2:$P$1092,"Above Materiality",$M$2:$M$1092,M206,$A$2:$A$1092,"&lt;"&amp;A206)+1,"")</f>
        <v/>
      </c>
      <c r="S206" s="21" t="str">
        <f aca="false">IF(P206&lt;&gt;"Below Materiality","",IF(Summary!$C$9="Random",COUNTIFS($O$2:$O$1092,O206,$Q$2:$Q$1092,"&gt;"&amp;Q206)+1,COUNTIFS($O$2:$O$1092,O206,$P$2:$P$1092,"Below Materiality",$M$2:$M$1092,"&gt;"&amp;M206)+COUNTIFS($O$2:$O$1092,O206,$P$2:$P$1092,"Below Materiality",$M$2:$M$1092,M206,$A$2:$A$1092,"&lt;"&amp;A206)+1))</f>
        <v/>
      </c>
      <c r="T206" s="22"/>
      <c r="U206" s="21" t="str">
        <f aca="false">IF(R206="","",O206&amp;"|A|"&amp;R206)</f>
        <v/>
      </c>
      <c r="V206" s="21" t="str">
        <f aca="false">IF(S206="","",O206&amp;"|R|"&amp;S206)</f>
        <v/>
      </c>
    </row>
    <row r="207" customFormat="false" ht="15" hidden="false" customHeight="false" outlineLevel="0" collapsed="false">
      <c r="A207" s="18" t="n">
        <v>206</v>
      </c>
      <c r="B207" s="18"/>
      <c r="C207" s="18"/>
      <c r="D207" s="18"/>
      <c r="E207" s="18" t="s">
        <v>479</v>
      </c>
      <c r="F207" s="18" t="s">
        <v>480</v>
      </c>
      <c r="G207" s="18" t="s">
        <v>71</v>
      </c>
      <c r="H207" s="18" t="n">
        <v>84</v>
      </c>
      <c r="I207" s="19" t="n">
        <v>0</v>
      </c>
      <c r="J207" s="19" t="n">
        <v>87</v>
      </c>
      <c r="K207" s="19" t="n">
        <v>87</v>
      </c>
      <c r="L207" s="19" t="n">
        <v>0</v>
      </c>
      <c r="M207" s="19" t="n">
        <f aca="false">ABS(L207)</f>
        <v>0</v>
      </c>
      <c r="N207" s="18" t="str">
        <f aca="false">IF(L207=0,"Nil balance",IF(G207="AR file",IF(L207&gt;0,"Accounts Receivable","Customer Advances"),IF(L207&lt;0,"Accounts Payable","Supplier Advances")))</f>
        <v>Nil balance</v>
      </c>
      <c r="O207" s="18" t="str">
        <f aca="false">IF(L207=0,"Excluded",IF(Summary!$C$4="By ledger",IF(G207="AR file","Population 1","Population 2"),IF(L207&gt;0,"Population 1","Population 2")))</f>
        <v>Excluded</v>
      </c>
      <c r="P207" s="18" t="str">
        <f aca="false">IF(O207="Excluded","Excluded – nil closing balance",IF(M207&gt;Summary!$C$5,"Above Materiality","Below Materiality"))</f>
        <v>Excluded – nil closing balance</v>
      </c>
      <c r="Q207" s="20" t="str">
        <f aca="false">IF(P207="Below Materiality",T207,"")</f>
        <v/>
      </c>
      <c r="R207" s="21" t="str">
        <f aca="false">IF(P207="Above Materiality",COUNTIFS($O$2:$O$1092,O207,$P$2:$P$1092,"Above Materiality",$M$2:$M$1092,"&gt;"&amp;M207)+COUNTIFS($O$2:$O$1092,O207,$P$2:$P$1092,"Above Materiality",$M$2:$M$1092,M207,$A$2:$A$1092,"&lt;"&amp;A207)+1,"")</f>
        <v/>
      </c>
      <c r="S207" s="21" t="str">
        <f aca="false">IF(P207&lt;&gt;"Below Materiality","",IF(Summary!$C$9="Random",COUNTIFS($O$2:$O$1092,O207,$Q$2:$Q$1092,"&gt;"&amp;Q207)+1,COUNTIFS($O$2:$O$1092,O207,$P$2:$P$1092,"Below Materiality",$M$2:$M$1092,"&gt;"&amp;M207)+COUNTIFS($O$2:$O$1092,O207,$P$2:$P$1092,"Below Materiality",$M$2:$M$1092,M207,$A$2:$A$1092,"&lt;"&amp;A207)+1))</f>
        <v/>
      </c>
      <c r="T207" s="22"/>
      <c r="U207" s="21" t="str">
        <f aca="false">IF(R207="","",O207&amp;"|A|"&amp;R207)</f>
        <v/>
      </c>
      <c r="V207" s="21" t="str">
        <f aca="false">IF(S207="","",O207&amp;"|R|"&amp;S207)</f>
        <v/>
      </c>
    </row>
    <row r="208" customFormat="false" ht="15" hidden="false" customHeight="false" outlineLevel="0" collapsed="false">
      <c r="A208" s="18" t="n">
        <v>207</v>
      </c>
      <c r="B208" s="18"/>
      <c r="C208" s="18"/>
      <c r="D208" s="18"/>
      <c r="E208" s="18" t="s">
        <v>481</v>
      </c>
      <c r="F208" s="18" t="s">
        <v>482</v>
      </c>
      <c r="G208" s="18" t="s">
        <v>71</v>
      </c>
      <c r="H208" s="18" t="n">
        <v>85</v>
      </c>
      <c r="I208" s="19" t="n">
        <v>0</v>
      </c>
      <c r="J208" s="19" t="n">
        <v>575</v>
      </c>
      <c r="K208" s="19" t="n">
        <v>575</v>
      </c>
      <c r="L208" s="19" t="n">
        <v>0</v>
      </c>
      <c r="M208" s="19" t="n">
        <f aca="false">ABS(L208)</f>
        <v>0</v>
      </c>
      <c r="N208" s="18" t="str">
        <f aca="false">IF(L208=0,"Nil balance",IF(G208="AR file",IF(L208&gt;0,"Accounts Receivable","Customer Advances"),IF(L208&lt;0,"Accounts Payable","Supplier Advances")))</f>
        <v>Nil balance</v>
      </c>
      <c r="O208" s="18" t="str">
        <f aca="false">IF(L208=0,"Excluded",IF(Summary!$C$4="By ledger",IF(G208="AR file","Population 1","Population 2"),IF(L208&gt;0,"Population 1","Population 2")))</f>
        <v>Excluded</v>
      </c>
      <c r="P208" s="18" t="str">
        <f aca="false">IF(O208="Excluded","Excluded – nil closing balance",IF(M208&gt;Summary!$C$5,"Above Materiality","Below Materiality"))</f>
        <v>Excluded – nil closing balance</v>
      </c>
      <c r="Q208" s="20" t="str">
        <f aca="false">IF(P208="Below Materiality",T208,"")</f>
        <v/>
      </c>
      <c r="R208" s="21" t="str">
        <f aca="false">IF(P208="Above Materiality",COUNTIFS($O$2:$O$1092,O208,$P$2:$P$1092,"Above Materiality",$M$2:$M$1092,"&gt;"&amp;M208)+COUNTIFS($O$2:$O$1092,O208,$P$2:$P$1092,"Above Materiality",$M$2:$M$1092,M208,$A$2:$A$1092,"&lt;"&amp;A208)+1,"")</f>
        <v/>
      </c>
      <c r="S208" s="21" t="str">
        <f aca="false">IF(P208&lt;&gt;"Below Materiality","",IF(Summary!$C$9="Random",COUNTIFS($O$2:$O$1092,O208,$Q$2:$Q$1092,"&gt;"&amp;Q208)+1,COUNTIFS($O$2:$O$1092,O208,$P$2:$P$1092,"Below Materiality",$M$2:$M$1092,"&gt;"&amp;M208)+COUNTIFS($O$2:$O$1092,O208,$P$2:$P$1092,"Below Materiality",$M$2:$M$1092,M208,$A$2:$A$1092,"&lt;"&amp;A208)+1))</f>
        <v/>
      </c>
      <c r="T208" s="22"/>
      <c r="U208" s="21" t="str">
        <f aca="false">IF(R208="","",O208&amp;"|A|"&amp;R208)</f>
        <v/>
      </c>
      <c r="V208" s="21" t="str">
        <f aca="false">IF(S208="","",O208&amp;"|R|"&amp;S208)</f>
        <v/>
      </c>
    </row>
    <row r="209" customFormat="false" ht="15" hidden="false" customHeight="false" outlineLevel="0" collapsed="false">
      <c r="A209" s="18" t="n">
        <v>208</v>
      </c>
      <c r="B209" s="18"/>
      <c r="C209" s="18"/>
      <c r="D209" s="18"/>
      <c r="E209" s="18" t="s">
        <v>483</v>
      </c>
      <c r="F209" s="18" t="s">
        <v>484</v>
      </c>
      <c r="G209" s="18" t="s">
        <v>71</v>
      </c>
      <c r="H209" s="18" t="n">
        <v>86</v>
      </c>
      <c r="I209" s="19" t="n">
        <v>0</v>
      </c>
      <c r="J209" s="19" t="n">
        <v>12075</v>
      </c>
      <c r="K209" s="19" t="n">
        <v>12075</v>
      </c>
      <c r="L209" s="19" t="n">
        <v>0</v>
      </c>
      <c r="M209" s="19" t="n">
        <f aca="false">ABS(L209)</f>
        <v>0</v>
      </c>
      <c r="N209" s="18" t="str">
        <f aca="false">IF(L209=0,"Nil balance",IF(G209="AR file",IF(L209&gt;0,"Accounts Receivable","Customer Advances"),IF(L209&lt;0,"Accounts Payable","Supplier Advances")))</f>
        <v>Nil balance</v>
      </c>
      <c r="O209" s="18" t="str">
        <f aca="false">IF(L209=0,"Excluded",IF(Summary!$C$4="By ledger",IF(G209="AR file","Population 1","Population 2"),IF(L209&gt;0,"Population 1","Population 2")))</f>
        <v>Excluded</v>
      </c>
      <c r="P209" s="18" t="str">
        <f aca="false">IF(O209="Excluded","Excluded – nil closing balance",IF(M209&gt;Summary!$C$5,"Above Materiality","Below Materiality"))</f>
        <v>Excluded – nil closing balance</v>
      </c>
      <c r="Q209" s="20" t="str">
        <f aca="false">IF(P209="Below Materiality",T209,"")</f>
        <v/>
      </c>
      <c r="R209" s="21" t="str">
        <f aca="false">IF(P209="Above Materiality",COUNTIFS($O$2:$O$1092,O209,$P$2:$P$1092,"Above Materiality",$M$2:$M$1092,"&gt;"&amp;M209)+COUNTIFS($O$2:$O$1092,O209,$P$2:$P$1092,"Above Materiality",$M$2:$M$1092,M209,$A$2:$A$1092,"&lt;"&amp;A209)+1,"")</f>
        <v/>
      </c>
      <c r="S209" s="21" t="str">
        <f aca="false">IF(P209&lt;&gt;"Below Materiality","",IF(Summary!$C$9="Random",COUNTIFS($O$2:$O$1092,O209,$Q$2:$Q$1092,"&gt;"&amp;Q209)+1,COUNTIFS($O$2:$O$1092,O209,$P$2:$P$1092,"Below Materiality",$M$2:$M$1092,"&gt;"&amp;M209)+COUNTIFS($O$2:$O$1092,O209,$P$2:$P$1092,"Below Materiality",$M$2:$M$1092,M209,$A$2:$A$1092,"&lt;"&amp;A209)+1))</f>
        <v/>
      </c>
      <c r="T209" s="22"/>
      <c r="U209" s="21" t="str">
        <f aca="false">IF(R209="","",O209&amp;"|A|"&amp;R209)</f>
        <v/>
      </c>
      <c r="V209" s="21" t="str">
        <f aca="false">IF(S209="","",O209&amp;"|R|"&amp;S209)</f>
        <v/>
      </c>
    </row>
    <row r="210" customFormat="false" ht="15" hidden="false" customHeight="false" outlineLevel="0" collapsed="false">
      <c r="A210" s="18" t="n">
        <v>209</v>
      </c>
      <c r="B210" s="18"/>
      <c r="C210" s="18"/>
      <c r="D210" s="18"/>
      <c r="E210" s="18" t="s">
        <v>485</v>
      </c>
      <c r="F210" s="18" t="s">
        <v>486</v>
      </c>
      <c r="G210" s="18" t="s">
        <v>71</v>
      </c>
      <c r="H210" s="18" t="n">
        <v>87</v>
      </c>
      <c r="I210" s="19" t="n">
        <v>0</v>
      </c>
      <c r="J210" s="19" t="n">
        <v>11520</v>
      </c>
      <c r="K210" s="19" t="n">
        <v>11520</v>
      </c>
      <c r="L210" s="19" t="n">
        <v>0</v>
      </c>
      <c r="M210" s="19" t="n">
        <f aca="false">ABS(L210)</f>
        <v>0</v>
      </c>
      <c r="N210" s="18" t="str">
        <f aca="false">IF(L210=0,"Nil balance",IF(G210="AR file",IF(L210&gt;0,"Accounts Receivable","Customer Advances"),IF(L210&lt;0,"Accounts Payable","Supplier Advances")))</f>
        <v>Nil balance</v>
      </c>
      <c r="O210" s="18" t="str">
        <f aca="false">IF(L210=0,"Excluded",IF(Summary!$C$4="By ledger",IF(G210="AR file","Population 1","Population 2"),IF(L210&gt;0,"Population 1","Population 2")))</f>
        <v>Excluded</v>
      </c>
      <c r="P210" s="18" t="str">
        <f aca="false">IF(O210="Excluded","Excluded – nil closing balance",IF(M210&gt;Summary!$C$5,"Above Materiality","Below Materiality"))</f>
        <v>Excluded – nil closing balance</v>
      </c>
      <c r="Q210" s="20" t="str">
        <f aca="false">IF(P210="Below Materiality",T210,"")</f>
        <v/>
      </c>
      <c r="R210" s="21" t="str">
        <f aca="false">IF(P210="Above Materiality",COUNTIFS($O$2:$O$1092,O210,$P$2:$P$1092,"Above Materiality",$M$2:$M$1092,"&gt;"&amp;M210)+COUNTIFS($O$2:$O$1092,O210,$P$2:$P$1092,"Above Materiality",$M$2:$M$1092,M210,$A$2:$A$1092,"&lt;"&amp;A210)+1,"")</f>
        <v/>
      </c>
      <c r="S210" s="21" t="str">
        <f aca="false">IF(P210&lt;&gt;"Below Materiality","",IF(Summary!$C$9="Random",COUNTIFS($O$2:$O$1092,O210,$Q$2:$Q$1092,"&gt;"&amp;Q210)+1,COUNTIFS($O$2:$O$1092,O210,$P$2:$P$1092,"Below Materiality",$M$2:$M$1092,"&gt;"&amp;M210)+COUNTIFS($O$2:$O$1092,O210,$P$2:$P$1092,"Below Materiality",$M$2:$M$1092,M210,$A$2:$A$1092,"&lt;"&amp;A210)+1))</f>
        <v/>
      </c>
      <c r="T210" s="22"/>
      <c r="U210" s="21" t="str">
        <f aca="false">IF(R210="","",O210&amp;"|A|"&amp;R210)</f>
        <v/>
      </c>
      <c r="V210" s="21" t="str">
        <f aca="false">IF(S210="","",O210&amp;"|R|"&amp;S210)</f>
        <v/>
      </c>
    </row>
    <row r="211" customFormat="false" ht="15" hidden="false" customHeight="false" outlineLevel="0" collapsed="false">
      <c r="A211" s="18" t="n">
        <v>210</v>
      </c>
      <c r="B211" s="18"/>
      <c r="C211" s="18"/>
      <c r="D211" s="18"/>
      <c r="E211" s="18" t="s">
        <v>487</v>
      </c>
      <c r="F211" s="18" t="s">
        <v>488</v>
      </c>
      <c r="G211" s="18" t="s">
        <v>71</v>
      </c>
      <c r="H211" s="18" t="n">
        <v>88</v>
      </c>
      <c r="I211" s="19" t="n">
        <v>0</v>
      </c>
      <c r="J211" s="19" t="n">
        <v>400</v>
      </c>
      <c r="K211" s="19" t="n">
        <v>400</v>
      </c>
      <c r="L211" s="19" t="n">
        <v>0</v>
      </c>
      <c r="M211" s="19" t="n">
        <f aca="false">ABS(L211)</f>
        <v>0</v>
      </c>
      <c r="N211" s="18" t="str">
        <f aca="false">IF(L211=0,"Nil balance",IF(G211="AR file",IF(L211&gt;0,"Accounts Receivable","Customer Advances"),IF(L211&lt;0,"Accounts Payable","Supplier Advances")))</f>
        <v>Nil balance</v>
      </c>
      <c r="O211" s="18" t="str">
        <f aca="false">IF(L211=0,"Excluded",IF(Summary!$C$4="By ledger",IF(G211="AR file","Population 1","Population 2"),IF(L211&gt;0,"Population 1","Population 2")))</f>
        <v>Excluded</v>
      </c>
      <c r="P211" s="18" t="str">
        <f aca="false">IF(O211="Excluded","Excluded – nil closing balance",IF(M211&gt;Summary!$C$5,"Above Materiality","Below Materiality"))</f>
        <v>Excluded – nil closing balance</v>
      </c>
      <c r="Q211" s="20" t="str">
        <f aca="false">IF(P211="Below Materiality",T211,"")</f>
        <v/>
      </c>
      <c r="R211" s="21" t="str">
        <f aca="false">IF(P211="Above Materiality",COUNTIFS($O$2:$O$1092,O211,$P$2:$P$1092,"Above Materiality",$M$2:$M$1092,"&gt;"&amp;M211)+COUNTIFS($O$2:$O$1092,O211,$P$2:$P$1092,"Above Materiality",$M$2:$M$1092,M211,$A$2:$A$1092,"&lt;"&amp;A211)+1,"")</f>
        <v/>
      </c>
      <c r="S211" s="21" t="str">
        <f aca="false">IF(P211&lt;&gt;"Below Materiality","",IF(Summary!$C$9="Random",COUNTIFS($O$2:$O$1092,O211,$Q$2:$Q$1092,"&gt;"&amp;Q211)+1,COUNTIFS($O$2:$O$1092,O211,$P$2:$P$1092,"Below Materiality",$M$2:$M$1092,"&gt;"&amp;M211)+COUNTIFS($O$2:$O$1092,O211,$P$2:$P$1092,"Below Materiality",$M$2:$M$1092,M211,$A$2:$A$1092,"&lt;"&amp;A211)+1))</f>
        <v/>
      </c>
      <c r="T211" s="22"/>
      <c r="U211" s="21" t="str">
        <f aca="false">IF(R211="","",O211&amp;"|A|"&amp;R211)</f>
        <v/>
      </c>
      <c r="V211" s="21" t="str">
        <f aca="false">IF(S211="","",O211&amp;"|R|"&amp;S211)</f>
        <v/>
      </c>
    </row>
    <row r="212" customFormat="false" ht="15" hidden="false" customHeight="false" outlineLevel="0" collapsed="false">
      <c r="A212" s="18" t="n">
        <v>211</v>
      </c>
      <c r="B212" s="18"/>
      <c r="C212" s="18"/>
      <c r="D212" s="18"/>
      <c r="E212" s="18" t="s">
        <v>489</v>
      </c>
      <c r="F212" s="18" t="s">
        <v>490</v>
      </c>
      <c r="G212" s="18" t="s">
        <v>71</v>
      </c>
      <c r="H212" s="18" t="n">
        <v>89</v>
      </c>
      <c r="I212" s="19" t="n">
        <v>0</v>
      </c>
      <c r="J212" s="19" t="n">
        <v>125</v>
      </c>
      <c r="K212" s="19" t="n">
        <v>125</v>
      </c>
      <c r="L212" s="19" t="n">
        <v>0</v>
      </c>
      <c r="M212" s="19" t="n">
        <f aca="false">ABS(L212)</f>
        <v>0</v>
      </c>
      <c r="N212" s="18" t="str">
        <f aca="false">IF(L212=0,"Nil balance",IF(G212="AR file",IF(L212&gt;0,"Accounts Receivable","Customer Advances"),IF(L212&lt;0,"Accounts Payable","Supplier Advances")))</f>
        <v>Nil balance</v>
      </c>
      <c r="O212" s="18" t="str">
        <f aca="false">IF(L212=0,"Excluded",IF(Summary!$C$4="By ledger",IF(G212="AR file","Population 1","Population 2"),IF(L212&gt;0,"Population 1","Population 2")))</f>
        <v>Excluded</v>
      </c>
      <c r="P212" s="18" t="str">
        <f aca="false">IF(O212="Excluded","Excluded – nil closing balance",IF(M212&gt;Summary!$C$5,"Above Materiality","Below Materiality"))</f>
        <v>Excluded – nil closing balance</v>
      </c>
      <c r="Q212" s="20" t="str">
        <f aca="false">IF(P212="Below Materiality",T212,"")</f>
        <v/>
      </c>
      <c r="R212" s="21" t="str">
        <f aca="false">IF(P212="Above Materiality",COUNTIFS($O$2:$O$1092,O212,$P$2:$P$1092,"Above Materiality",$M$2:$M$1092,"&gt;"&amp;M212)+COUNTIFS($O$2:$O$1092,O212,$P$2:$P$1092,"Above Materiality",$M$2:$M$1092,M212,$A$2:$A$1092,"&lt;"&amp;A212)+1,"")</f>
        <v/>
      </c>
      <c r="S212" s="21" t="str">
        <f aca="false">IF(P212&lt;&gt;"Below Materiality","",IF(Summary!$C$9="Random",COUNTIFS($O$2:$O$1092,O212,$Q$2:$Q$1092,"&gt;"&amp;Q212)+1,COUNTIFS($O$2:$O$1092,O212,$P$2:$P$1092,"Below Materiality",$M$2:$M$1092,"&gt;"&amp;M212)+COUNTIFS($O$2:$O$1092,O212,$P$2:$P$1092,"Below Materiality",$M$2:$M$1092,M212,$A$2:$A$1092,"&lt;"&amp;A212)+1))</f>
        <v/>
      </c>
      <c r="T212" s="22"/>
      <c r="U212" s="21" t="str">
        <f aca="false">IF(R212="","",O212&amp;"|A|"&amp;R212)</f>
        <v/>
      </c>
      <c r="V212" s="21" t="str">
        <f aca="false">IF(S212="","",O212&amp;"|R|"&amp;S212)</f>
        <v/>
      </c>
    </row>
    <row r="213" customFormat="false" ht="15" hidden="false" customHeight="false" outlineLevel="0" collapsed="false">
      <c r="A213" s="18" t="n">
        <v>212</v>
      </c>
      <c r="B213" s="18"/>
      <c r="C213" s="18"/>
      <c r="D213" s="18"/>
      <c r="E213" s="18" t="s">
        <v>491</v>
      </c>
      <c r="F213" s="18" t="s">
        <v>468</v>
      </c>
      <c r="G213" s="18" t="s">
        <v>71</v>
      </c>
      <c r="H213" s="18" t="n">
        <v>91</v>
      </c>
      <c r="I213" s="19" t="n">
        <v>0</v>
      </c>
      <c r="J213" s="19" t="n">
        <v>1380</v>
      </c>
      <c r="K213" s="19" t="n">
        <v>1380</v>
      </c>
      <c r="L213" s="19" t="n">
        <v>0</v>
      </c>
      <c r="M213" s="19" t="n">
        <f aca="false">ABS(L213)</f>
        <v>0</v>
      </c>
      <c r="N213" s="18" t="str">
        <f aca="false">IF(L213=0,"Nil balance",IF(G213="AR file",IF(L213&gt;0,"Accounts Receivable","Customer Advances"),IF(L213&lt;0,"Accounts Payable","Supplier Advances")))</f>
        <v>Nil balance</v>
      </c>
      <c r="O213" s="18" t="str">
        <f aca="false">IF(L213=0,"Excluded",IF(Summary!$C$4="By ledger",IF(G213="AR file","Population 1","Population 2"),IF(L213&gt;0,"Population 1","Population 2")))</f>
        <v>Excluded</v>
      </c>
      <c r="P213" s="18" t="str">
        <f aca="false">IF(O213="Excluded","Excluded – nil closing balance",IF(M213&gt;Summary!$C$5,"Above Materiality","Below Materiality"))</f>
        <v>Excluded – nil closing balance</v>
      </c>
      <c r="Q213" s="20" t="str">
        <f aca="false">IF(P213="Below Materiality",T213,"")</f>
        <v/>
      </c>
      <c r="R213" s="21" t="str">
        <f aca="false">IF(P213="Above Materiality",COUNTIFS($O$2:$O$1092,O213,$P$2:$P$1092,"Above Materiality",$M$2:$M$1092,"&gt;"&amp;M213)+COUNTIFS($O$2:$O$1092,O213,$P$2:$P$1092,"Above Materiality",$M$2:$M$1092,M213,$A$2:$A$1092,"&lt;"&amp;A213)+1,"")</f>
        <v/>
      </c>
      <c r="S213" s="21" t="str">
        <f aca="false">IF(P213&lt;&gt;"Below Materiality","",IF(Summary!$C$9="Random",COUNTIFS($O$2:$O$1092,O213,$Q$2:$Q$1092,"&gt;"&amp;Q213)+1,COUNTIFS($O$2:$O$1092,O213,$P$2:$P$1092,"Below Materiality",$M$2:$M$1092,"&gt;"&amp;M213)+COUNTIFS($O$2:$O$1092,O213,$P$2:$P$1092,"Below Materiality",$M$2:$M$1092,M213,$A$2:$A$1092,"&lt;"&amp;A213)+1))</f>
        <v/>
      </c>
      <c r="T213" s="22"/>
      <c r="U213" s="21" t="str">
        <f aca="false">IF(R213="","",O213&amp;"|A|"&amp;R213)</f>
        <v/>
      </c>
      <c r="V213" s="21" t="str">
        <f aca="false">IF(S213="","",O213&amp;"|R|"&amp;S213)</f>
        <v/>
      </c>
    </row>
    <row r="214" customFormat="false" ht="15" hidden="false" customHeight="false" outlineLevel="0" collapsed="false">
      <c r="A214" s="18" t="n">
        <v>213</v>
      </c>
      <c r="B214" s="18"/>
      <c r="C214" s="18"/>
      <c r="D214" s="18"/>
      <c r="E214" s="18" t="s">
        <v>492</v>
      </c>
      <c r="F214" s="18" t="s">
        <v>493</v>
      </c>
      <c r="G214" s="18" t="s">
        <v>71</v>
      </c>
      <c r="H214" s="18" t="n">
        <v>92</v>
      </c>
      <c r="I214" s="19" t="n">
        <v>3005</v>
      </c>
      <c r="J214" s="19" t="n">
        <v>11094</v>
      </c>
      <c r="K214" s="19" t="n">
        <v>14099</v>
      </c>
      <c r="L214" s="19" t="n">
        <v>0</v>
      </c>
      <c r="M214" s="19" t="n">
        <f aca="false">ABS(L214)</f>
        <v>0</v>
      </c>
      <c r="N214" s="18" t="str">
        <f aca="false">IF(L214=0,"Nil balance",IF(G214="AR file",IF(L214&gt;0,"Accounts Receivable","Customer Advances"),IF(L214&lt;0,"Accounts Payable","Supplier Advances")))</f>
        <v>Nil balance</v>
      </c>
      <c r="O214" s="18" t="str">
        <f aca="false">IF(L214=0,"Excluded",IF(Summary!$C$4="By ledger",IF(G214="AR file","Population 1","Population 2"),IF(L214&gt;0,"Population 1","Population 2")))</f>
        <v>Excluded</v>
      </c>
      <c r="P214" s="18" t="str">
        <f aca="false">IF(O214="Excluded","Excluded – nil closing balance",IF(M214&gt;Summary!$C$5,"Above Materiality","Below Materiality"))</f>
        <v>Excluded – nil closing balance</v>
      </c>
      <c r="Q214" s="20" t="str">
        <f aca="false">IF(P214="Below Materiality",T214,"")</f>
        <v/>
      </c>
      <c r="R214" s="21" t="str">
        <f aca="false">IF(P214="Above Materiality",COUNTIFS($O$2:$O$1092,O214,$P$2:$P$1092,"Above Materiality",$M$2:$M$1092,"&gt;"&amp;M214)+COUNTIFS($O$2:$O$1092,O214,$P$2:$P$1092,"Above Materiality",$M$2:$M$1092,M214,$A$2:$A$1092,"&lt;"&amp;A214)+1,"")</f>
        <v/>
      </c>
      <c r="S214" s="21" t="str">
        <f aca="false">IF(P214&lt;&gt;"Below Materiality","",IF(Summary!$C$9="Random",COUNTIFS($O$2:$O$1092,O214,$Q$2:$Q$1092,"&gt;"&amp;Q214)+1,COUNTIFS($O$2:$O$1092,O214,$P$2:$P$1092,"Below Materiality",$M$2:$M$1092,"&gt;"&amp;M214)+COUNTIFS($O$2:$O$1092,O214,$P$2:$P$1092,"Below Materiality",$M$2:$M$1092,M214,$A$2:$A$1092,"&lt;"&amp;A214)+1))</f>
        <v/>
      </c>
      <c r="T214" s="22"/>
      <c r="U214" s="21" t="str">
        <f aca="false">IF(R214="","",O214&amp;"|A|"&amp;R214)</f>
        <v/>
      </c>
      <c r="V214" s="21" t="str">
        <f aca="false">IF(S214="","",O214&amp;"|R|"&amp;S214)</f>
        <v/>
      </c>
    </row>
    <row r="215" customFormat="false" ht="15" hidden="false" customHeight="false" outlineLevel="0" collapsed="false">
      <c r="A215" s="18" t="n">
        <v>214</v>
      </c>
      <c r="B215" s="18"/>
      <c r="C215" s="18"/>
      <c r="D215" s="18"/>
      <c r="E215" s="18" t="s">
        <v>494</v>
      </c>
      <c r="F215" s="18" t="s">
        <v>495</v>
      </c>
      <c r="G215" s="18" t="s">
        <v>71</v>
      </c>
      <c r="H215" s="18" t="n">
        <v>94</v>
      </c>
      <c r="I215" s="19" t="n">
        <v>0</v>
      </c>
      <c r="J215" s="19" t="n">
        <v>20000.75</v>
      </c>
      <c r="K215" s="19" t="n">
        <v>20000.75</v>
      </c>
      <c r="L215" s="19" t="n">
        <v>0</v>
      </c>
      <c r="M215" s="19" t="n">
        <f aca="false">ABS(L215)</f>
        <v>0</v>
      </c>
      <c r="N215" s="18" t="str">
        <f aca="false">IF(L215=0,"Nil balance",IF(G215="AR file",IF(L215&gt;0,"Accounts Receivable","Customer Advances"),IF(L215&lt;0,"Accounts Payable","Supplier Advances")))</f>
        <v>Nil balance</v>
      </c>
      <c r="O215" s="18" t="str">
        <f aca="false">IF(L215=0,"Excluded",IF(Summary!$C$4="By ledger",IF(G215="AR file","Population 1","Population 2"),IF(L215&gt;0,"Population 1","Population 2")))</f>
        <v>Excluded</v>
      </c>
      <c r="P215" s="18" t="str">
        <f aca="false">IF(O215="Excluded","Excluded – nil closing balance",IF(M215&gt;Summary!$C$5,"Above Materiality","Below Materiality"))</f>
        <v>Excluded – nil closing balance</v>
      </c>
      <c r="Q215" s="20" t="str">
        <f aca="false">IF(P215="Below Materiality",T215,"")</f>
        <v/>
      </c>
      <c r="R215" s="21" t="str">
        <f aca="false">IF(P215="Above Materiality",COUNTIFS($O$2:$O$1092,O215,$P$2:$P$1092,"Above Materiality",$M$2:$M$1092,"&gt;"&amp;M215)+COUNTIFS($O$2:$O$1092,O215,$P$2:$P$1092,"Above Materiality",$M$2:$M$1092,M215,$A$2:$A$1092,"&lt;"&amp;A215)+1,"")</f>
        <v/>
      </c>
      <c r="S215" s="21" t="str">
        <f aca="false">IF(P215&lt;&gt;"Below Materiality","",IF(Summary!$C$9="Random",COUNTIFS($O$2:$O$1092,O215,$Q$2:$Q$1092,"&gt;"&amp;Q215)+1,COUNTIFS($O$2:$O$1092,O215,$P$2:$P$1092,"Below Materiality",$M$2:$M$1092,"&gt;"&amp;M215)+COUNTIFS($O$2:$O$1092,O215,$P$2:$P$1092,"Below Materiality",$M$2:$M$1092,M215,$A$2:$A$1092,"&lt;"&amp;A215)+1))</f>
        <v/>
      </c>
      <c r="T215" s="22"/>
      <c r="U215" s="21" t="str">
        <f aca="false">IF(R215="","",O215&amp;"|A|"&amp;R215)</f>
        <v/>
      </c>
      <c r="V215" s="21" t="str">
        <f aca="false">IF(S215="","",O215&amp;"|R|"&amp;S215)</f>
        <v/>
      </c>
    </row>
    <row r="216" customFormat="false" ht="15" hidden="false" customHeight="false" outlineLevel="0" collapsed="false">
      <c r="A216" s="18" t="n">
        <v>215</v>
      </c>
      <c r="B216" s="18"/>
      <c r="C216" s="18"/>
      <c r="D216" s="18"/>
      <c r="E216" s="18" t="s">
        <v>496</v>
      </c>
      <c r="F216" s="18" t="s">
        <v>497</v>
      </c>
      <c r="G216" s="18" t="s">
        <v>71</v>
      </c>
      <c r="H216" s="18" t="n">
        <v>95</v>
      </c>
      <c r="I216" s="19" t="n">
        <v>0</v>
      </c>
      <c r="J216" s="19" t="n">
        <v>173</v>
      </c>
      <c r="K216" s="19" t="n">
        <v>173</v>
      </c>
      <c r="L216" s="19" t="n">
        <v>0</v>
      </c>
      <c r="M216" s="19" t="n">
        <f aca="false">ABS(L216)</f>
        <v>0</v>
      </c>
      <c r="N216" s="18" t="str">
        <f aca="false">IF(L216=0,"Nil balance",IF(G216="AR file",IF(L216&gt;0,"Accounts Receivable","Customer Advances"),IF(L216&lt;0,"Accounts Payable","Supplier Advances")))</f>
        <v>Nil balance</v>
      </c>
      <c r="O216" s="18" t="str">
        <f aca="false">IF(L216=0,"Excluded",IF(Summary!$C$4="By ledger",IF(G216="AR file","Population 1","Population 2"),IF(L216&gt;0,"Population 1","Population 2")))</f>
        <v>Excluded</v>
      </c>
      <c r="P216" s="18" t="str">
        <f aca="false">IF(O216="Excluded","Excluded – nil closing balance",IF(M216&gt;Summary!$C$5,"Above Materiality","Below Materiality"))</f>
        <v>Excluded – nil closing balance</v>
      </c>
      <c r="Q216" s="20" t="str">
        <f aca="false">IF(P216="Below Materiality",T216,"")</f>
        <v/>
      </c>
      <c r="R216" s="21" t="str">
        <f aca="false">IF(P216="Above Materiality",COUNTIFS($O$2:$O$1092,O216,$P$2:$P$1092,"Above Materiality",$M$2:$M$1092,"&gt;"&amp;M216)+COUNTIFS($O$2:$O$1092,O216,$P$2:$P$1092,"Above Materiality",$M$2:$M$1092,M216,$A$2:$A$1092,"&lt;"&amp;A216)+1,"")</f>
        <v/>
      </c>
      <c r="S216" s="21" t="str">
        <f aca="false">IF(P216&lt;&gt;"Below Materiality","",IF(Summary!$C$9="Random",COUNTIFS($O$2:$O$1092,O216,$Q$2:$Q$1092,"&gt;"&amp;Q216)+1,COUNTIFS($O$2:$O$1092,O216,$P$2:$P$1092,"Below Materiality",$M$2:$M$1092,"&gt;"&amp;M216)+COUNTIFS($O$2:$O$1092,O216,$P$2:$P$1092,"Below Materiality",$M$2:$M$1092,M216,$A$2:$A$1092,"&lt;"&amp;A216)+1))</f>
        <v/>
      </c>
      <c r="T216" s="22"/>
      <c r="U216" s="21" t="str">
        <f aca="false">IF(R216="","",O216&amp;"|A|"&amp;R216)</f>
        <v/>
      </c>
      <c r="V216" s="21" t="str">
        <f aca="false">IF(S216="","",O216&amp;"|R|"&amp;S216)</f>
        <v/>
      </c>
    </row>
    <row r="217" customFormat="false" ht="15" hidden="false" customHeight="false" outlineLevel="0" collapsed="false">
      <c r="A217" s="18" t="n">
        <v>216</v>
      </c>
      <c r="B217" s="18"/>
      <c r="C217" s="18"/>
      <c r="D217" s="18"/>
      <c r="E217" s="18" t="s">
        <v>498</v>
      </c>
      <c r="F217" s="18" t="s">
        <v>499</v>
      </c>
      <c r="G217" s="18" t="s">
        <v>71</v>
      </c>
      <c r="H217" s="18" t="n">
        <v>96</v>
      </c>
      <c r="I217" s="19" t="n">
        <v>0</v>
      </c>
      <c r="J217" s="19" t="n">
        <v>1289.19</v>
      </c>
      <c r="K217" s="19" t="n">
        <v>1289.19</v>
      </c>
      <c r="L217" s="19" t="n">
        <v>0</v>
      </c>
      <c r="M217" s="19" t="n">
        <f aca="false">ABS(L217)</f>
        <v>0</v>
      </c>
      <c r="N217" s="18" t="str">
        <f aca="false">IF(L217=0,"Nil balance",IF(G217="AR file",IF(L217&gt;0,"Accounts Receivable","Customer Advances"),IF(L217&lt;0,"Accounts Payable","Supplier Advances")))</f>
        <v>Nil balance</v>
      </c>
      <c r="O217" s="18" t="str">
        <f aca="false">IF(L217=0,"Excluded",IF(Summary!$C$4="By ledger",IF(G217="AR file","Population 1","Population 2"),IF(L217&gt;0,"Population 1","Population 2")))</f>
        <v>Excluded</v>
      </c>
      <c r="P217" s="18" t="str">
        <f aca="false">IF(O217="Excluded","Excluded – nil closing balance",IF(M217&gt;Summary!$C$5,"Above Materiality","Below Materiality"))</f>
        <v>Excluded – nil closing balance</v>
      </c>
      <c r="Q217" s="20" t="str">
        <f aca="false">IF(P217="Below Materiality",T217,"")</f>
        <v/>
      </c>
      <c r="R217" s="21" t="str">
        <f aca="false">IF(P217="Above Materiality",COUNTIFS($O$2:$O$1092,O217,$P$2:$P$1092,"Above Materiality",$M$2:$M$1092,"&gt;"&amp;M217)+COUNTIFS($O$2:$O$1092,O217,$P$2:$P$1092,"Above Materiality",$M$2:$M$1092,M217,$A$2:$A$1092,"&lt;"&amp;A217)+1,"")</f>
        <v/>
      </c>
      <c r="S217" s="21" t="str">
        <f aca="false">IF(P217&lt;&gt;"Below Materiality","",IF(Summary!$C$9="Random",COUNTIFS($O$2:$O$1092,O217,$Q$2:$Q$1092,"&gt;"&amp;Q217)+1,COUNTIFS($O$2:$O$1092,O217,$P$2:$P$1092,"Below Materiality",$M$2:$M$1092,"&gt;"&amp;M217)+COUNTIFS($O$2:$O$1092,O217,$P$2:$P$1092,"Below Materiality",$M$2:$M$1092,M217,$A$2:$A$1092,"&lt;"&amp;A217)+1))</f>
        <v/>
      </c>
      <c r="T217" s="22"/>
      <c r="U217" s="21" t="str">
        <f aca="false">IF(R217="","",O217&amp;"|A|"&amp;R217)</f>
        <v/>
      </c>
      <c r="V217" s="21" t="str">
        <f aca="false">IF(S217="","",O217&amp;"|R|"&amp;S217)</f>
        <v/>
      </c>
    </row>
    <row r="218" customFormat="false" ht="15" hidden="false" customHeight="false" outlineLevel="0" collapsed="false">
      <c r="A218" s="18" t="n">
        <v>217</v>
      </c>
      <c r="B218" s="18"/>
      <c r="C218" s="18"/>
      <c r="D218" s="18"/>
      <c r="E218" s="18" t="s">
        <v>500</v>
      </c>
      <c r="F218" s="18" t="s">
        <v>501</v>
      </c>
      <c r="G218" s="18" t="s">
        <v>71</v>
      </c>
      <c r="H218" s="18" t="n">
        <v>97</v>
      </c>
      <c r="I218" s="19" t="n">
        <v>0</v>
      </c>
      <c r="J218" s="19" t="n">
        <v>25058</v>
      </c>
      <c r="K218" s="19" t="n">
        <v>25058</v>
      </c>
      <c r="L218" s="19" t="n">
        <v>0</v>
      </c>
      <c r="M218" s="19" t="n">
        <f aca="false">ABS(L218)</f>
        <v>0</v>
      </c>
      <c r="N218" s="18" t="str">
        <f aca="false">IF(L218=0,"Nil balance",IF(G218="AR file",IF(L218&gt;0,"Accounts Receivable","Customer Advances"),IF(L218&lt;0,"Accounts Payable","Supplier Advances")))</f>
        <v>Nil balance</v>
      </c>
      <c r="O218" s="18" t="str">
        <f aca="false">IF(L218=0,"Excluded",IF(Summary!$C$4="By ledger",IF(G218="AR file","Population 1","Population 2"),IF(L218&gt;0,"Population 1","Population 2")))</f>
        <v>Excluded</v>
      </c>
      <c r="P218" s="18" t="str">
        <f aca="false">IF(O218="Excluded","Excluded – nil closing balance",IF(M218&gt;Summary!$C$5,"Above Materiality","Below Materiality"))</f>
        <v>Excluded – nil closing balance</v>
      </c>
      <c r="Q218" s="20" t="str">
        <f aca="false">IF(P218="Below Materiality",T218,"")</f>
        <v/>
      </c>
      <c r="R218" s="21" t="str">
        <f aca="false">IF(P218="Above Materiality",COUNTIFS($O$2:$O$1092,O218,$P$2:$P$1092,"Above Materiality",$M$2:$M$1092,"&gt;"&amp;M218)+COUNTIFS($O$2:$O$1092,O218,$P$2:$P$1092,"Above Materiality",$M$2:$M$1092,M218,$A$2:$A$1092,"&lt;"&amp;A218)+1,"")</f>
        <v/>
      </c>
      <c r="S218" s="21" t="str">
        <f aca="false">IF(P218&lt;&gt;"Below Materiality","",IF(Summary!$C$9="Random",COUNTIFS($O$2:$O$1092,O218,$Q$2:$Q$1092,"&gt;"&amp;Q218)+1,COUNTIFS($O$2:$O$1092,O218,$P$2:$P$1092,"Below Materiality",$M$2:$M$1092,"&gt;"&amp;M218)+COUNTIFS($O$2:$O$1092,O218,$P$2:$P$1092,"Below Materiality",$M$2:$M$1092,M218,$A$2:$A$1092,"&lt;"&amp;A218)+1))</f>
        <v/>
      </c>
      <c r="T218" s="22"/>
      <c r="U218" s="21" t="str">
        <f aca="false">IF(R218="","",O218&amp;"|A|"&amp;R218)</f>
        <v/>
      </c>
      <c r="V218" s="21" t="str">
        <f aca="false">IF(S218="","",O218&amp;"|R|"&amp;S218)</f>
        <v/>
      </c>
    </row>
    <row r="219" customFormat="false" ht="15" hidden="false" customHeight="false" outlineLevel="0" collapsed="false">
      <c r="A219" s="18" t="n">
        <v>218</v>
      </c>
      <c r="B219" s="18"/>
      <c r="C219" s="18"/>
      <c r="D219" s="18"/>
      <c r="E219" s="18" t="s">
        <v>502</v>
      </c>
      <c r="F219" s="18" t="s">
        <v>425</v>
      </c>
      <c r="G219" s="18" t="s">
        <v>71</v>
      </c>
      <c r="H219" s="18" t="n">
        <v>98</v>
      </c>
      <c r="I219" s="19" t="n">
        <v>0</v>
      </c>
      <c r="J219" s="19" t="n">
        <v>34.5</v>
      </c>
      <c r="K219" s="19" t="n">
        <v>34.5</v>
      </c>
      <c r="L219" s="19" t="n">
        <v>0</v>
      </c>
      <c r="M219" s="19" t="n">
        <f aca="false">ABS(L219)</f>
        <v>0</v>
      </c>
      <c r="N219" s="18" t="str">
        <f aca="false">IF(L219=0,"Nil balance",IF(G219="AR file",IF(L219&gt;0,"Accounts Receivable","Customer Advances"),IF(L219&lt;0,"Accounts Payable","Supplier Advances")))</f>
        <v>Nil balance</v>
      </c>
      <c r="O219" s="18" t="str">
        <f aca="false">IF(L219=0,"Excluded",IF(Summary!$C$4="By ledger",IF(G219="AR file","Population 1","Population 2"),IF(L219&gt;0,"Population 1","Population 2")))</f>
        <v>Excluded</v>
      </c>
      <c r="P219" s="18" t="str">
        <f aca="false">IF(O219="Excluded","Excluded – nil closing balance",IF(M219&gt;Summary!$C$5,"Above Materiality","Below Materiality"))</f>
        <v>Excluded – nil closing balance</v>
      </c>
      <c r="Q219" s="20" t="str">
        <f aca="false">IF(P219="Below Materiality",T219,"")</f>
        <v/>
      </c>
      <c r="R219" s="21" t="str">
        <f aca="false">IF(P219="Above Materiality",COUNTIFS($O$2:$O$1092,O219,$P$2:$P$1092,"Above Materiality",$M$2:$M$1092,"&gt;"&amp;M219)+COUNTIFS($O$2:$O$1092,O219,$P$2:$P$1092,"Above Materiality",$M$2:$M$1092,M219,$A$2:$A$1092,"&lt;"&amp;A219)+1,"")</f>
        <v/>
      </c>
      <c r="S219" s="21" t="str">
        <f aca="false">IF(P219&lt;&gt;"Below Materiality","",IF(Summary!$C$9="Random",COUNTIFS($O$2:$O$1092,O219,$Q$2:$Q$1092,"&gt;"&amp;Q219)+1,COUNTIFS($O$2:$O$1092,O219,$P$2:$P$1092,"Below Materiality",$M$2:$M$1092,"&gt;"&amp;M219)+COUNTIFS($O$2:$O$1092,O219,$P$2:$P$1092,"Below Materiality",$M$2:$M$1092,M219,$A$2:$A$1092,"&lt;"&amp;A219)+1))</f>
        <v/>
      </c>
      <c r="T219" s="22"/>
      <c r="U219" s="21" t="str">
        <f aca="false">IF(R219="","",O219&amp;"|A|"&amp;R219)</f>
        <v/>
      </c>
      <c r="V219" s="21" t="str">
        <f aca="false">IF(S219="","",O219&amp;"|R|"&amp;S219)</f>
        <v/>
      </c>
    </row>
    <row r="220" customFormat="false" ht="15" hidden="false" customHeight="false" outlineLevel="0" collapsed="false">
      <c r="A220" s="18" t="n">
        <v>219</v>
      </c>
      <c r="B220" s="18"/>
      <c r="C220" s="18"/>
      <c r="D220" s="18"/>
      <c r="E220" s="18" t="s">
        <v>503</v>
      </c>
      <c r="F220" s="18" t="s">
        <v>504</v>
      </c>
      <c r="G220" s="18" t="s">
        <v>71</v>
      </c>
      <c r="H220" s="18" t="n">
        <v>99</v>
      </c>
      <c r="I220" s="19" t="n">
        <v>0</v>
      </c>
      <c r="J220" s="19" t="n">
        <v>49</v>
      </c>
      <c r="K220" s="19" t="n">
        <v>49</v>
      </c>
      <c r="L220" s="19" t="n">
        <v>0</v>
      </c>
      <c r="M220" s="19" t="n">
        <f aca="false">ABS(L220)</f>
        <v>0</v>
      </c>
      <c r="N220" s="18" t="str">
        <f aca="false">IF(L220=0,"Nil balance",IF(G220="AR file",IF(L220&gt;0,"Accounts Receivable","Customer Advances"),IF(L220&lt;0,"Accounts Payable","Supplier Advances")))</f>
        <v>Nil balance</v>
      </c>
      <c r="O220" s="18" t="str">
        <f aca="false">IF(L220=0,"Excluded",IF(Summary!$C$4="By ledger",IF(G220="AR file","Population 1","Population 2"),IF(L220&gt;0,"Population 1","Population 2")))</f>
        <v>Excluded</v>
      </c>
      <c r="P220" s="18" t="str">
        <f aca="false">IF(O220="Excluded","Excluded – nil closing balance",IF(M220&gt;Summary!$C$5,"Above Materiality","Below Materiality"))</f>
        <v>Excluded – nil closing balance</v>
      </c>
      <c r="Q220" s="20" t="str">
        <f aca="false">IF(P220="Below Materiality",T220,"")</f>
        <v/>
      </c>
      <c r="R220" s="21" t="str">
        <f aca="false">IF(P220="Above Materiality",COUNTIFS($O$2:$O$1092,O220,$P$2:$P$1092,"Above Materiality",$M$2:$M$1092,"&gt;"&amp;M220)+COUNTIFS($O$2:$O$1092,O220,$P$2:$P$1092,"Above Materiality",$M$2:$M$1092,M220,$A$2:$A$1092,"&lt;"&amp;A220)+1,"")</f>
        <v/>
      </c>
      <c r="S220" s="21" t="str">
        <f aca="false">IF(P220&lt;&gt;"Below Materiality","",IF(Summary!$C$9="Random",COUNTIFS($O$2:$O$1092,O220,$Q$2:$Q$1092,"&gt;"&amp;Q220)+1,COUNTIFS($O$2:$O$1092,O220,$P$2:$P$1092,"Below Materiality",$M$2:$M$1092,"&gt;"&amp;M220)+COUNTIFS($O$2:$O$1092,O220,$P$2:$P$1092,"Below Materiality",$M$2:$M$1092,M220,$A$2:$A$1092,"&lt;"&amp;A220)+1))</f>
        <v/>
      </c>
      <c r="T220" s="22"/>
      <c r="U220" s="21" t="str">
        <f aca="false">IF(R220="","",O220&amp;"|A|"&amp;R220)</f>
        <v/>
      </c>
      <c r="V220" s="21" t="str">
        <f aca="false">IF(S220="","",O220&amp;"|R|"&amp;S220)</f>
        <v/>
      </c>
    </row>
    <row r="221" customFormat="false" ht="15" hidden="false" customHeight="false" outlineLevel="0" collapsed="false">
      <c r="A221" s="18" t="n">
        <v>220</v>
      </c>
      <c r="B221" s="18"/>
      <c r="C221" s="18"/>
      <c r="D221" s="18"/>
      <c r="E221" s="18" t="s">
        <v>505</v>
      </c>
      <c r="F221" s="18" t="s">
        <v>506</v>
      </c>
      <c r="G221" s="18" t="s">
        <v>71</v>
      </c>
      <c r="H221" s="18" t="n">
        <v>100</v>
      </c>
      <c r="I221" s="19" t="n">
        <v>0</v>
      </c>
      <c r="J221" s="19" t="n">
        <v>747.5</v>
      </c>
      <c r="K221" s="19" t="n">
        <v>747.5</v>
      </c>
      <c r="L221" s="19" t="n">
        <v>0</v>
      </c>
      <c r="M221" s="19" t="n">
        <f aca="false">ABS(L221)</f>
        <v>0</v>
      </c>
      <c r="N221" s="18" t="str">
        <f aca="false">IF(L221=0,"Nil balance",IF(G221="AR file",IF(L221&gt;0,"Accounts Receivable","Customer Advances"),IF(L221&lt;0,"Accounts Payable","Supplier Advances")))</f>
        <v>Nil balance</v>
      </c>
      <c r="O221" s="18" t="str">
        <f aca="false">IF(L221=0,"Excluded",IF(Summary!$C$4="By ledger",IF(G221="AR file","Population 1","Population 2"),IF(L221&gt;0,"Population 1","Population 2")))</f>
        <v>Excluded</v>
      </c>
      <c r="P221" s="18" t="str">
        <f aca="false">IF(O221="Excluded","Excluded – nil closing balance",IF(M221&gt;Summary!$C$5,"Above Materiality","Below Materiality"))</f>
        <v>Excluded – nil closing balance</v>
      </c>
      <c r="Q221" s="20" t="str">
        <f aca="false">IF(P221="Below Materiality",T221,"")</f>
        <v/>
      </c>
      <c r="R221" s="21" t="str">
        <f aca="false">IF(P221="Above Materiality",COUNTIFS($O$2:$O$1092,O221,$P$2:$P$1092,"Above Materiality",$M$2:$M$1092,"&gt;"&amp;M221)+COUNTIFS($O$2:$O$1092,O221,$P$2:$P$1092,"Above Materiality",$M$2:$M$1092,M221,$A$2:$A$1092,"&lt;"&amp;A221)+1,"")</f>
        <v/>
      </c>
      <c r="S221" s="21" t="str">
        <f aca="false">IF(P221&lt;&gt;"Below Materiality","",IF(Summary!$C$9="Random",COUNTIFS($O$2:$O$1092,O221,$Q$2:$Q$1092,"&gt;"&amp;Q221)+1,COUNTIFS($O$2:$O$1092,O221,$P$2:$P$1092,"Below Materiality",$M$2:$M$1092,"&gt;"&amp;M221)+COUNTIFS($O$2:$O$1092,O221,$P$2:$P$1092,"Below Materiality",$M$2:$M$1092,M221,$A$2:$A$1092,"&lt;"&amp;A221)+1))</f>
        <v/>
      </c>
      <c r="T221" s="22"/>
      <c r="U221" s="21" t="str">
        <f aca="false">IF(R221="","",O221&amp;"|A|"&amp;R221)</f>
        <v/>
      </c>
      <c r="V221" s="21" t="str">
        <f aca="false">IF(S221="","",O221&amp;"|R|"&amp;S221)</f>
        <v/>
      </c>
    </row>
    <row r="222" customFormat="false" ht="15" hidden="false" customHeight="false" outlineLevel="0" collapsed="false">
      <c r="A222" s="18" t="n">
        <v>221</v>
      </c>
      <c r="B222" s="18"/>
      <c r="C222" s="18"/>
      <c r="D222" s="18"/>
      <c r="E222" s="18" t="s">
        <v>507</v>
      </c>
      <c r="F222" s="18" t="s">
        <v>508</v>
      </c>
      <c r="G222" s="18" t="s">
        <v>71</v>
      </c>
      <c r="H222" s="18" t="n">
        <v>101</v>
      </c>
      <c r="I222" s="19" t="n">
        <v>0</v>
      </c>
      <c r="J222" s="19" t="n">
        <v>60</v>
      </c>
      <c r="K222" s="19" t="n">
        <v>60</v>
      </c>
      <c r="L222" s="19" t="n">
        <v>0</v>
      </c>
      <c r="M222" s="19" t="n">
        <f aca="false">ABS(L222)</f>
        <v>0</v>
      </c>
      <c r="N222" s="18" t="str">
        <f aca="false">IF(L222=0,"Nil balance",IF(G222="AR file",IF(L222&gt;0,"Accounts Receivable","Customer Advances"),IF(L222&lt;0,"Accounts Payable","Supplier Advances")))</f>
        <v>Nil balance</v>
      </c>
      <c r="O222" s="18" t="str">
        <f aca="false">IF(L222=0,"Excluded",IF(Summary!$C$4="By ledger",IF(G222="AR file","Population 1","Population 2"),IF(L222&gt;0,"Population 1","Population 2")))</f>
        <v>Excluded</v>
      </c>
      <c r="P222" s="18" t="str">
        <f aca="false">IF(O222="Excluded","Excluded – nil closing balance",IF(M222&gt;Summary!$C$5,"Above Materiality","Below Materiality"))</f>
        <v>Excluded – nil closing balance</v>
      </c>
      <c r="Q222" s="20" t="str">
        <f aca="false">IF(P222="Below Materiality",T222,"")</f>
        <v/>
      </c>
      <c r="R222" s="21" t="str">
        <f aca="false">IF(P222="Above Materiality",COUNTIFS($O$2:$O$1092,O222,$P$2:$P$1092,"Above Materiality",$M$2:$M$1092,"&gt;"&amp;M222)+COUNTIFS($O$2:$O$1092,O222,$P$2:$P$1092,"Above Materiality",$M$2:$M$1092,M222,$A$2:$A$1092,"&lt;"&amp;A222)+1,"")</f>
        <v/>
      </c>
      <c r="S222" s="21" t="str">
        <f aca="false">IF(P222&lt;&gt;"Below Materiality","",IF(Summary!$C$9="Random",COUNTIFS($O$2:$O$1092,O222,$Q$2:$Q$1092,"&gt;"&amp;Q222)+1,COUNTIFS($O$2:$O$1092,O222,$P$2:$P$1092,"Below Materiality",$M$2:$M$1092,"&gt;"&amp;M222)+COUNTIFS($O$2:$O$1092,O222,$P$2:$P$1092,"Below Materiality",$M$2:$M$1092,M222,$A$2:$A$1092,"&lt;"&amp;A222)+1))</f>
        <v/>
      </c>
      <c r="T222" s="22"/>
      <c r="U222" s="21" t="str">
        <f aca="false">IF(R222="","",O222&amp;"|A|"&amp;R222)</f>
        <v/>
      </c>
      <c r="V222" s="21" t="str">
        <f aca="false">IF(S222="","",O222&amp;"|R|"&amp;S222)</f>
        <v/>
      </c>
    </row>
    <row r="223" customFormat="false" ht="15" hidden="false" customHeight="false" outlineLevel="0" collapsed="false">
      <c r="A223" s="18" t="n">
        <v>222</v>
      </c>
      <c r="B223" s="18"/>
      <c r="C223" s="18"/>
      <c r="D223" s="18"/>
      <c r="E223" s="18" t="s">
        <v>509</v>
      </c>
      <c r="F223" s="18" t="s">
        <v>510</v>
      </c>
      <c r="G223" s="18" t="s">
        <v>71</v>
      </c>
      <c r="H223" s="18" t="n">
        <v>102</v>
      </c>
      <c r="I223" s="19" t="n">
        <v>0</v>
      </c>
      <c r="J223" s="19" t="n">
        <v>75</v>
      </c>
      <c r="K223" s="19" t="n">
        <v>75</v>
      </c>
      <c r="L223" s="19" t="n">
        <v>0</v>
      </c>
      <c r="M223" s="19" t="n">
        <f aca="false">ABS(L223)</f>
        <v>0</v>
      </c>
      <c r="N223" s="18" t="str">
        <f aca="false">IF(L223=0,"Nil balance",IF(G223="AR file",IF(L223&gt;0,"Accounts Receivable","Customer Advances"),IF(L223&lt;0,"Accounts Payable","Supplier Advances")))</f>
        <v>Nil balance</v>
      </c>
      <c r="O223" s="18" t="str">
        <f aca="false">IF(L223=0,"Excluded",IF(Summary!$C$4="By ledger",IF(G223="AR file","Population 1","Population 2"),IF(L223&gt;0,"Population 1","Population 2")))</f>
        <v>Excluded</v>
      </c>
      <c r="P223" s="18" t="str">
        <f aca="false">IF(O223="Excluded","Excluded – nil closing balance",IF(M223&gt;Summary!$C$5,"Above Materiality","Below Materiality"))</f>
        <v>Excluded – nil closing balance</v>
      </c>
      <c r="Q223" s="20" t="str">
        <f aca="false">IF(P223="Below Materiality",T223,"")</f>
        <v/>
      </c>
      <c r="R223" s="21" t="str">
        <f aca="false">IF(P223="Above Materiality",COUNTIFS($O$2:$O$1092,O223,$P$2:$P$1092,"Above Materiality",$M$2:$M$1092,"&gt;"&amp;M223)+COUNTIFS($O$2:$O$1092,O223,$P$2:$P$1092,"Above Materiality",$M$2:$M$1092,M223,$A$2:$A$1092,"&lt;"&amp;A223)+1,"")</f>
        <v/>
      </c>
      <c r="S223" s="21" t="str">
        <f aca="false">IF(P223&lt;&gt;"Below Materiality","",IF(Summary!$C$9="Random",COUNTIFS($O$2:$O$1092,O223,$Q$2:$Q$1092,"&gt;"&amp;Q223)+1,COUNTIFS($O$2:$O$1092,O223,$P$2:$P$1092,"Below Materiality",$M$2:$M$1092,"&gt;"&amp;M223)+COUNTIFS($O$2:$O$1092,O223,$P$2:$P$1092,"Below Materiality",$M$2:$M$1092,M223,$A$2:$A$1092,"&lt;"&amp;A223)+1))</f>
        <v/>
      </c>
      <c r="T223" s="22"/>
      <c r="U223" s="21" t="str">
        <f aca="false">IF(R223="","",O223&amp;"|A|"&amp;R223)</f>
        <v/>
      </c>
      <c r="V223" s="21" t="str">
        <f aca="false">IF(S223="","",O223&amp;"|R|"&amp;S223)</f>
        <v/>
      </c>
    </row>
    <row r="224" customFormat="false" ht="15" hidden="false" customHeight="false" outlineLevel="0" collapsed="false">
      <c r="A224" s="18" t="n">
        <v>223</v>
      </c>
      <c r="B224" s="18"/>
      <c r="C224" s="18"/>
      <c r="D224" s="18"/>
      <c r="E224" s="18" t="s">
        <v>511</v>
      </c>
      <c r="F224" s="18" t="s">
        <v>512</v>
      </c>
      <c r="G224" s="18" t="s">
        <v>71</v>
      </c>
      <c r="H224" s="18" t="n">
        <v>103</v>
      </c>
      <c r="I224" s="19" t="n">
        <v>0</v>
      </c>
      <c r="J224" s="19" t="n">
        <v>6900.9</v>
      </c>
      <c r="K224" s="19" t="n">
        <v>6900.9</v>
      </c>
      <c r="L224" s="19" t="n">
        <v>0</v>
      </c>
      <c r="M224" s="19" t="n">
        <f aca="false">ABS(L224)</f>
        <v>0</v>
      </c>
      <c r="N224" s="18" t="str">
        <f aca="false">IF(L224=0,"Nil balance",IF(G224="AR file",IF(L224&gt;0,"Accounts Receivable","Customer Advances"),IF(L224&lt;0,"Accounts Payable","Supplier Advances")))</f>
        <v>Nil balance</v>
      </c>
      <c r="O224" s="18" t="str">
        <f aca="false">IF(L224=0,"Excluded",IF(Summary!$C$4="By ledger",IF(G224="AR file","Population 1","Population 2"),IF(L224&gt;0,"Population 1","Population 2")))</f>
        <v>Excluded</v>
      </c>
      <c r="P224" s="18" t="str">
        <f aca="false">IF(O224="Excluded","Excluded – nil closing balance",IF(M224&gt;Summary!$C$5,"Above Materiality","Below Materiality"))</f>
        <v>Excluded – nil closing balance</v>
      </c>
      <c r="Q224" s="20" t="str">
        <f aca="false">IF(P224="Below Materiality",T224,"")</f>
        <v/>
      </c>
      <c r="R224" s="21" t="str">
        <f aca="false">IF(P224="Above Materiality",COUNTIFS($O$2:$O$1092,O224,$P$2:$P$1092,"Above Materiality",$M$2:$M$1092,"&gt;"&amp;M224)+COUNTIFS($O$2:$O$1092,O224,$P$2:$P$1092,"Above Materiality",$M$2:$M$1092,M224,$A$2:$A$1092,"&lt;"&amp;A224)+1,"")</f>
        <v/>
      </c>
      <c r="S224" s="21" t="str">
        <f aca="false">IF(P224&lt;&gt;"Below Materiality","",IF(Summary!$C$9="Random",COUNTIFS($O$2:$O$1092,O224,$Q$2:$Q$1092,"&gt;"&amp;Q224)+1,COUNTIFS($O$2:$O$1092,O224,$P$2:$P$1092,"Below Materiality",$M$2:$M$1092,"&gt;"&amp;M224)+COUNTIFS($O$2:$O$1092,O224,$P$2:$P$1092,"Below Materiality",$M$2:$M$1092,M224,$A$2:$A$1092,"&lt;"&amp;A224)+1))</f>
        <v/>
      </c>
      <c r="T224" s="22"/>
      <c r="U224" s="21" t="str">
        <f aca="false">IF(R224="","",O224&amp;"|A|"&amp;R224)</f>
        <v/>
      </c>
      <c r="V224" s="21" t="str">
        <f aca="false">IF(S224="","",O224&amp;"|R|"&amp;S224)</f>
        <v/>
      </c>
    </row>
    <row r="225" customFormat="false" ht="15" hidden="false" customHeight="false" outlineLevel="0" collapsed="false">
      <c r="A225" s="18" t="n">
        <v>224</v>
      </c>
      <c r="B225" s="18"/>
      <c r="C225" s="18"/>
      <c r="D225" s="18"/>
      <c r="E225" s="18" t="s">
        <v>513</v>
      </c>
      <c r="F225" s="18" t="s">
        <v>514</v>
      </c>
      <c r="G225" s="18" t="s">
        <v>71</v>
      </c>
      <c r="H225" s="18" t="n">
        <v>104</v>
      </c>
      <c r="I225" s="19" t="n">
        <v>0</v>
      </c>
      <c r="J225" s="19" t="n">
        <v>107.9</v>
      </c>
      <c r="K225" s="19" t="n">
        <v>107.9</v>
      </c>
      <c r="L225" s="19" t="n">
        <v>0</v>
      </c>
      <c r="M225" s="19" t="n">
        <f aca="false">ABS(L225)</f>
        <v>0</v>
      </c>
      <c r="N225" s="18" t="str">
        <f aca="false">IF(L225=0,"Nil balance",IF(G225="AR file",IF(L225&gt;0,"Accounts Receivable","Customer Advances"),IF(L225&lt;0,"Accounts Payable","Supplier Advances")))</f>
        <v>Nil balance</v>
      </c>
      <c r="O225" s="18" t="str">
        <f aca="false">IF(L225=0,"Excluded",IF(Summary!$C$4="By ledger",IF(G225="AR file","Population 1","Population 2"),IF(L225&gt;0,"Population 1","Population 2")))</f>
        <v>Excluded</v>
      </c>
      <c r="P225" s="18" t="str">
        <f aca="false">IF(O225="Excluded","Excluded – nil closing balance",IF(M225&gt;Summary!$C$5,"Above Materiality","Below Materiality"))</f>
        <v>Excluded – nil closing balance</v>
      </c>
      <c r="Q225" s="20" t="str">
        <f aca="false">IF(P225="Below Materiality",T225,"")</f>
        <v/>
      </c>
      <c r="R225" s="21" t="str">
        <f aca="false">IF(P225="Above Materiality",COUNTIFS($O$2:$O$1092,O225,$P$2:$P$1092,"Above Materiality",$M$2:$M$1092,"&gt;"&amp;M225)+COUNTIFS($O$2:$O$1092,O225,$P$2:$P$1092,"Above Materiality",$M$2:$M$1092,M225,$A$2:$A$1092,"&lt;"&amp;A225)+1,"")</f>
        <v/>
      </c>
      <c r="S225" s="21" t="str">
        <f aca="false">IF(P225&lt;&gt;"Below Materiality","",IF(Summary!$C$9="Random",COUNTIFS($O$2:$O$1092,O225,$Q$2:$Q$1092,"&gt;"&amp;Q225)+1,COUNTIFS($O$2:$O$1092,O225,$P$2:$P$1092,"Below Materiality",$M$2:$M$1092,"&gt;"&amp;M225)+COUNTIFS($O$2:$O$1092,O225,$P$2:$P$1092,"Below Materiality",$M$2:$M$1092,M225,$A$2:$A$1092,"&lt;"&amp;A225)+1))</f>
        <v/>
      </c>
      <c r="T225" s="22"/>
      <c r="U225" s="21" t="str">
        <f aca="false">IF(R225="","",O225&amp;"|A|"&amp;R225)</f>
        <v/>
      </c>
      <c r="V225" s="21" t="str">
        <f aca="false">IF(S225="","",O225&amp;"|R|"&amp;S225)</f>
        <v/>
      </c>
    </row>
    <row r="226" customFormat="false" ht="15" hidden="false" customHeight="false" outlineLevel="0" collapsed="false">
      <c r="A226" s="18" t="n">
        <v>225</v>
      </c>
      <c r="B226" s="18"/>
      <c r="C226" s="18"/>
      <c r="D226" s="18"/>
      <c r="E226" s="18" t="s">
        <v>515</v>
      </c>
      <c r="F226" s="18" t="s">
        <v>516</v>
      </c>
      <c r="G226" s="18" t="s">
        <v>71</v>
      </c>
      <c r="H226" s="18" t="n">
        <v>105</v>
      </c>
      <c r="I226" s="19" t="n">
        <v>0</v>
      </c>
      <c r="J226" s="19" t="n">
        <v>695</v>
      </c>
      <c r="K226" s="19" t="n">
        <v>695</v>
      </c>
      <c r="L226" s="19" t="n">
        <v>0</v>
      </c>
      <c r="M226" s="19" t="n">
        <f aca="false">ABS(L226)</f>
        <v>0</v>
      </c>
      <c r="N226" s="18" t="str">
        <f aca="false">IF(L226=0,"Nil balance",IF(G226="AR file",IF(L226&gt;0,"Accounts Receivable","Customer Advances"),IF(L226&lt;0,"Accounts Payable","Supplier Advances")))</f>
        <v>Nil balance</v>
      </c>
      <c r="O226" s="18" t="str">
        <f aca="false">IF(L226=0,"Excluded",IF(Summary!$C$4="By ledger",IF(G226="AR file","Population 1","Population 2"),IF(L226&gt;0,"Population 1","Population 2")))</f>
        <v>Excluded</v>
      </c>
      <c r="P226" s="18" t="str">
        <f aca="false">IF(O226="Excluded","Excluded – nil closing balance",IF(M226&gt;Summary!$C$5,"Above Materiality","Below Materiality"))</f>
        <v>Excluded – nil closing balance</v>
      </c>
      <c r="Q226" s="20" t="str">
        <f aca="false">IF(P226="Below Materiality",T226,"")</f>
        <v/>
      </c>
      <c r="R226" s="21" t="str">
        <f aca="false">IF(P226="Above Materiality",COUNTIFS($O$2:$O$1092,O226,$P$2:$P$1092,"Above Materiality",$M$2:$M$1092,"&gt;"&amp;M226)+COUNTIFS($O$2:$O$1092,O226,$P$2:$P$1092,"Above Materiality",$M$2:$M$1092,M226,$A$2:$A$1092,"&lt;"&amp;A226)+1,"")</f>
        <v/>
      </c>
      <c r="S226" s="21" t="str">
        <f aca="false">IF(P226&lt;&gt;"Below Materiality","",IF(Summary!$C$9="Random",COUNTIFS($O$2:$O$1092,O226,$Q$2:$Q$1092,"&gt;"&amp;Q226)+1,COUNTIFS($O$2:$O$1092,O226,$P$2:$P$1092,"Below Materiality",$M$2:$M$1092,"&gt;"&amp;M226)+COUNTIFS($O$2:$O$1092,O226,$P$2:$P$1092,"Below Materiality",$M$2:$M$1092,M226,$A$2:$A$1092,"&lt;"&amp;A226)+1))</f>
        <v/>
      </c>
      <c r="T226" s="22"/>
      <c r="U226" s="21" t="str">
        <f aca="false">IF(R226="","",O226&amp;"|A|"&amp;R226)</f>
        <v/>
      </c>
      <c r="V226" s="21" t="str">
        <f aca="false">IF(S226="","",O226&amp;"|R|"&amp;S226)</f>
        <v/>
      </c>
    </row>
    <row r="227" customFormat="false" ht="15" hidden="false" customHeight="false" outlineLevel="0" collapsed="false">
      <c r="A227" s="18" t="n">
        <v>226</v>
      </c>
      <c r="B227" s="18"/>
      <c r="C227" s="18"/>
      <c r="D227" s="18"/>
      <c r="E227" s="18" t="s">
        <v>517</v>
      </c>
      <c r="F227" s="18" t="s">
        <v>518</v>
      </c>
      <c r="G227" s="18" t="s">
        <v>71</v>
      </c>
      <c r="H227" s="18" t="n">
        <v>106</v>
      </c>
      <c r="I227" s="19" t="n">
        <v>0</v>
      </c>
      <c r="J227" s="19" t="n">
        <v>425.04</v>
      </c>
      <c r="K227" s="19" t="n">
        <v>425.04</v>
      </c>
      <c r="L227" s="19" t="n">
        <v>0</v>
      </c>
      <c r="M227" s="19" t="n">
        <f aca="false">ABS(L227)</f>
        <v>0</v>
      </c>
      <c r="N227" s="18" t="str">
        <f aca="false">IF(L227=0,"Nil balance",IF(G227="AR file",IF(L227&gt;0,"Accounts Receivable","Customer Advances"),IF(L227&lt;0,"Accounts Payable","Supplier Advances")))</f>
        <v>Nil balance</v>
      </c>
      <c r="O227" s="18" t="str">
        <f aca="false">IF(L227=0,"Excluded",IF(Summary!$C$4="By ledger",IF(G227="AR file","Population 1","Population 2"),IF(L227&gt;0,"Population 1","Population 2")))</f>
        <v>Excluded</v>
      </c>
      <c r="P227" s="18" t="str">
        <f aca="false">IF(O227="Excluded","Excluded – nil closing balance",IF(M227&gt;Summary!$C$5,"Above Materiality","Below Materiality"))</f>
        <v>Excluded – nil closing balance</v>
      </c>
      <c r="Q227" s="20" t="str">
        <f aca="false">IF(P227="Below Materiality",T227,"")</f>
        <v/>
      </c>
      <c r="R227" s="21" t="str">
        <f aca="false">IF(P227="Above Materiality",COUNTIFS($O$2:$O$1092,O227,$P$2:$P$1092,"Above Materiality",$M$2:$M$1092,"&gt;"&amp;M227)+COUNTIFS($O$2:$O$1092,O227,$P$2:$P$1092,"Above Materiality",$M$2:$M$1092,M227,$A$2:$A$1092,"&lt;"&amp;A227)+1,"")</f>
        <v/>
      </c>
      <c r="S227" s="21" t="str">
        <f aca="false">IF(P227&lt;&gt;"Below Materiality","",IF(Summary!$C$9="Random",COUNTIFS($O$2:$O$1092,O227,$Q$2:$Q$1092,"&gt;"&amp;Q227)+1,COUNTIFS($O$2:$O$1092,O227,$P$2:$P$1092,"Below Materiality",$M$2:$M$1092,"&gt;"&amp;M227)+COUNTIFS($O$2:$O$1092,O227,$P$2:$P$1092,"Below Materiality",$M$2:$M$1092,M227,$A$2:$A$1092,"&lt;"&amp;A227)+1))</f>
        <v/>
      </c>
      <c r="T227" s="22"/>
      <c r="U227" s="21" t="str">
        <f aca="false">IF(R227="","",O227&amp;"|A|"&amp;R227)</f>
        <v/>
      </c>
      <c r="V227" s="21" t="str">
        <f aca="false">IF(S227="","",O227&amp;"|R|"&amp;S227)</f>
        <v/>
      </c>
    </row>
    <row r="228" customFormat="false" ht="15" hidden="false" customHeight="false" outlineLevel="0" collapsed="false">
      <c r="A228" s="18" t="n">
        <v>227</v>
      </c>
      <c r="B228" s="18"/>
      <c r="C228" s="18"/>
      <c r="D228" s="18"/>
      <c r="E228" s="18" t="s">
        <v>519</v>
      </c>
      <c r="F228" s="18" t="s">
        <v>520</v>
      </c>
      <c r="G228" s="18" t="s">
        <v>71</v>
      </c>
      <c r="H228" s="18" t="n">
        <v>107</v>
      </c>
      <c r="I228" s="19" t="n">
        <v>0</v>
      </c>
      <c r="J228" s="19" t="n">
        <v>1676.7</v>
      </c>
      <c r="K228" s="19" t="n">
        <v>1676.7</v>
      </c>
      <c r="L228" s="19" t="n">
        <v>0</v>
      </c>
      <c r="M228" s="19" t="n">
        <f aca="false">ABS(L228)</f>
        <v>0</v>
      </c>
      <c r="N228" s="18" t="str">
        <f aca="false">IF(L228=0,"Nil balance",IF(G228="AR file",IF(L228&gt;0,"Accounts Receivable","Customer Advances"),IF(L228&lt;0,"Accounts Payable","Supplier Advances")))</f>
        <v>Nil balance</v>
      </c>
      <c r="O228" s="18" t="str">
        <f aca="false">IF(L228=0,"Excluded",IF(Summary!$C$4="By ledger",IF(G228="AR file","Population 1","Population 2"),IF(L228&gt;0,"Population 1","Population 2")))</f>
        <v>Excluded</v>
      </c>
      <c r="P228" s="18" t="str">
        <f aca="false">IF(O228="Excluded","Excluded – nil closing balance",IF(M228&gt;Summary!$C$5,"Above Materiality","Below Materiality"))</f>
        <v>Excluded – nil closing balance</v>
      </c>
      <c r="Q228" s="20" t="str">
        <f aca="false">IF(P228="Below Materiality",T228,"")</f>
        <v/>
      </c>
      <c r="R228" s="21" t="str">
        <f aca="false">IF(P228="Above Materiality",COUNTIFS($O$2:$O$1092,O228,$P$2:$P$1092,"Above Materiality",$M$2:$M$1092,"&gt;"&amp;M228)+COUNTIFS($O$2:$O$1092,O228,$P$2:$P$1092,"Above Materiality",$M$2:$M$1092,M228,$A$2:$A$1092,"&lt;"&amp;A228)+1,"")</f>
        <v/>
      </c>
      <c r="S228" s="21" t="str">
        <f aca="false">IF(P228&lt;&gt;"Below Materiality","",IF(Summary!$C$9="Random",COUNTIFS($O$2:$O$1092,O228,$Q$2:$Q$1092,"&gt;"&amp;Q228)+1,COUNTIFS($O$2:$O$1092,O228,$P$2:$P$1092,"Below Materiality",$M$2:$M$1092,"&gt;"&amp;M228)+COUNTIFS($O$2:$O$1092,O228,$P$2:$P$1092,"Below Materiality",$M$2:$M$1092,M228,$A$2:$A$1092,"&lt;"&amp;A228)+1))</f>
        <v/>
      </c>
      <c r="T228" s="22"/>
      <c r="U228" s="21" t="str">
        <f aca="false">IF(R228="","",O228&amp;"|A|"&amp;R228)</f>
        <v/>
      </c>
      <c r="V228" s="21" t="str">
        <f aca="false">IF(S228="","",O228&amp;"|R|"&amp;S228)</f>
        <v/>
      </c>
    </row>
    <row r="229" customFormat="false" ht="15" hidden="false" customHeight="false" outlineLevel="0" collapsed="false">
      <c r="A229" s="18" t="n">
        <v>228</v>
      </c>
      <c r="B229" s="18"/>
      <c r="C229" s="18"/>
      <c r="D229" s="18"/>
      <c r="E229" s="18" t="s">
        <v>521</v>
      </c>
      <c r="F229" s="18" t="s">
        <v>522</v>
      </c>
      <c r="G229" s="18" t="s">
        <v>71</v>
      </c>
      <c r="H229" s="18" t="n">
        <v>108</v>
      </c>
      <c r="I229" s="19" t="n">
        <v>0</v>
      </c>
      <c r="J229" s="19" t="n">
        <v>28.74</v>
      </c>
      <c r="K229" s="19" t="n">
        <v>28.74</v>
      </c>
      <c r="L229" s="19" t="n">
        <v>0</v>
      </c>
      <c r="M229" s="19" t="n">
        <f aca="false">ABS(L229)</f>
        <v>0</v>
      </c>
      <c r="N229" s="18" t="str">
        <f aca="false">IF(L229=0,"Nil balance",IF(G229="AR file",IF(L229&gt;0,"Accounts Receivable","Customer Advances"),IF(L229&lt;0,"Accounts Payable","Supplier Advances")))</f>
        <v>Nil balance</v>
      </c>
      <c r="O229" s="18" t="str">
        <f aca="false">IF(L229=0,"Excluded",IF(Summary!$C$4="By ledger",IF(G229="AR file","Population 1","Population 2"),IF(L229&gt;0,"Population 1","Population 2")))</f>
        <v>Excluded</v>
      </c>
      <c r="P229" s="18" t="str">
        <f aca="false">IF(O229="Excluded","Excluded – nil closing balance",IF(M229&gt;Summary!$C$5,"Above Materiality","Below Materiality"))</f>
        <v>Excluded – nil closing balance</v>
      </c>
      <c r="Q229" s="20" t="str">
        <f aca="false">IF(P229="Below Materiality",T229,"")</f>
        <v/>
      </c>
      <c r="R229" s="21" t="str">
        <f aca="false">IF(P229="Above Materiality",COUNTIFS($O$2:$O$1092,O229,$P$2:$P$1092,"Above Materiality",$M$2:$M$1092,"&gt;"&amp;M229)+COUNTIFS($O$2:$O$1092,O229,$P$2:$P$1092,"Above Materiality",$M$2:$M$1092,M229,$A$2:$A$1092,"&lt;"&amp;A229)+1,"")</f>
        <v/>
      </c>
      <c r="S229" s="21" t="str">
        <f aca="false">IF(P229&lt;&gt;"Below Materiality","",IF(Summary!$C$9="Random",COUNTIFS($O$2:$O$1092,O229,$Q$2:$Q$1092,"&gt;"&amp;Q229)+1,COUNTIFS($O$2:$O$1092,O229,$P$2:$P$1092,"Below Materiality",$M$2:$M$1092,"&gt;"&amp;M229)+COUNTIFS($O$2:$O$1092,O229,$P$2:$P$1092,"Below Materiality",$M$2:$M$1092,M229,$A$2:$A$1092,"&lt;"&amp;A229)+1))</f>
        <v/>
      </c>
      <c r="T229" s="22"/>
      <c r="U229" s="21" t="str">
        <f aca="false">IF(R229="","",O229&amp;"|A|"&amp;R229)</f>
        <v/>
      </c>
      <c r="V229" s="21" t="str">
        <f aca="false">IF(S229="","",O229&amp;"|R|"&amp;S229)</f>
        <v/>
      </c>
    </row>
    <row r="230" customFormat="false" ht="15" hidden="false" customHeight="false" outlineLevel="0" collapsed="false">
      <c r="A230" s="18" t="n">
        <v>229</v>
      </c>
      <c r="B230" s="18"/>
      <c r="C230" s="18"/>
      <c r="D230" s="18"/>
      <c r="E230" s="18" t="s">
        <v>523</v>
      </c>
      <c r="F230" s="18" t="s">
        <v>524</v>
      </c>
      <c r="G230" s="18" t="s">
        <v>71</v>
      </c>
      <c r="H230" s="18" t="n">
        <v>109</v>
      </c>
      <c r="I230" s="19" t="n">
        <v>0</v>
      </c>
      <c r="J230" s="19" t="n">
        <v>15180</v>
      </c>
      <c r="K230" s="19" t="n">
        <v>15180</v>
      </c>
      <c r="L230" s="19" t="n">
        <v>0</v>
      </c>
      <c r="M230" s="19" t="n">
        <f aca="false">ABS(L230)</f>
        <v>0</v>
      </c>
      <c r="N230" s="18" t="str">
        <f aca="false">IF(L230=0,"Nil balance",IF(G230="AR file",IF(L230&gt;0,"Accounts Receivable","Customer Advances"),IF(L230&lt;0,"Accounts Payable","Supplier Advances")))</f>
        <v>Nil balance</v>
      </c>
      <c r="O230" s="18" t="str">
        <f aca="false">IF(L230=0,"Excluded",IF(Summary!$C$4="By ledger",IF(G230="AR file","Population 1","Population 2"),IF(L230&gt;0,"Population 1","Population 2")))</f>
        <v>Excluded</v>
      </c>
      <c r="P230" s="18" t="str">
        <f aca="false">IF(O230="Excluded","Excluded – nil closing balance",IF(M230&gt;Summary!$C$5,"Above Materiality","Below Materiality"))</f>
        <v>Excluded – nil closing balance</v>
      </c>
      <c r="Q230" s="20" t="str">
        <f aca="false">IF(P230="Below Materiality",T230,"")</f>
        <v/>
      </c>
      <c r="R230" s="21" t="str">
        <f aca="false">IF(P230="Above Materiality",COUNTIFS($O$2:$O$1092,O230,$P$2:$P$1092,"Above Materiality",$M$2:$M$1092,"&gt;"&amp;M230)+COUNTIFS($O$2:$O$1092,O230,$P$2:$P$1092,"Above Materiality",$M$2:$M$1092,M230,$A$2:$A$1092,"&lt;"&amp;A230)+1,"")</f>
        <v/>
      </c>
      <c r="S230" s="21" t="str">
        <f aca="false">IF(P230&lt;&gt;"Below Materiality","",IF(Summary!$C$9="Random",COUNTIFS($O$2:$O$1092,O230,$Q$2:$Q$1092,"&gt;"&amp;Q230)+1,COUNTIFS($O$2:$O$1092,O230,$P$2:$P$1092,"Below Materiality",$M$2:$M$1092,"&gt;"&amp;M230)+COUNTIFS($O$2:$O$1092,O230,$P$2:$P$1092,"Below Materiality",$M$2:$M$1092,M230,$A$2:$A$1092,"&lt;"&amp;A230)+1))</f>
        <v/>
      </c>
      <c r="T230" s="22"/>
      <c r="U230" s="21" t="str">
        <f aca="false">IF(R230="","",O230&amp;"|A|"&amp;R230)</f>
        <v/>
      </c>
      <c r="V230" s="21" t="str">
        <f aca="false">IF(S230="","",O230&amp;"|R|"&amp;S230)</f>
        <v/>
      </c>
    </row>
    <row r="231" customFormat="false" ht="15" hidden="false" customHeight="false" outlineLevel="0" collapsed="false">
      <c r="A231" s="18" t="n">
        <v>230</v>
      </c>
      <c r="B231" s="18"/>
      <c r="C231" s="18"/>
      <c r="D231" s="18"/>
      <c r="E231" s="18" t="s">
        <v>525</v>
      </c>
      <c r="F231" s="18" t="s">
        <v>526</v>
      </c>
      <c r="G231" s="18" t="s">
        <v>71</v>
      </c>
      <c r="H231" s="18" t="n">
        <v>110</v>
      </c>
      <c r="I231" s="19" t="n">
        <v>0.75</v>
      </c>
      <c r="J231" s="19" t="n">
        <v>0</v>
      </c>
      <c r="K231" s="19" t="n">
        <v>0.75</v>
      </c>
      <c r="L231" s="19" t="n">
        <v>0</v>
      </c>
      <c r="M231" s="19" t="n">
        <f aca="false">ABS(L231)</f>
        <v>0</v>
      </c>
      <c r="N231" s="18" t="str">
        <f aca="false">IF(L231=0,"Nil balance",IF(G231="AR file",IF(L231&gt;0,"Accounts Receivable","Customer Advances"),IF(L231&lt;0,"Accounts Payable","Supplier Advances")))</f>
        <v>Nil balance</v>
      </c>
      <c r="O231" s="18" t="str">
        <f aca="false">IF(L231=0,"Excluded",IF(Summary!$C$4="By ledger",IF(G231="AR file","Population 1","Population 2"),IF(L231&gt;0,"Population 1","Population 2")))</f>
        <v>Excluded</v>
      </c>
      <c r="P231" s="18" t="str">
        <f aca="false">IF(O231="Excluded","Excluded – nil closing balance",IF(M231&gt;Summary!$C$5,"Above Materiality","Below Materiality"))</f>
        <v>Excluded – nil closing balance</v>
      </c>
      <c r="Q231" s="20" t="str">
        <f aca="false">IF(P231="Below Materiality",T231,"")</f>
        <v/>
      </c>
      <c r="R231" s="21" t="str">
        <f aca="false">IF(P231="Above Materiality",COUNTIFS($O$2:$O$1092,O231,$P$2:$P$1092,"Above Materiality",$M$2:$M$1092,"&gt;"&amp;M231)+COUNTIFS($O$2:$O$1092,O231,$P$2:$P$1092,"Above Materiality",$M$2:$M$1092,M231,$A$2:$A$1092,"&lt;"&amp;A231)+1,"")</f>
        <v/>
      </c>
      <c r="S231" s="21" t="str">
        <f aca="false">IF(P231&lt;&gt;"Below Materiality","",IF(Summary!$C$9="Random",COUNTIFS($O$2:$O$1092,O231,$Q$2:$Q$1092,"&gt;"&amp;Q231)+1,COUNTIFS($O$2:$O$1092,O231,$P$2:$P$1092,"Below Materiality",$M$2:$M$1092,"&gt;"&amp;M231)+COUNTIFS($O$2:$O$1092,O231,$P$2:$P$1092,"Below Materiality",$M$2:$M$1092,M231,$A$2:$A$1092,"&lt;"&amp;A231)+1))</f>
        <v/>
      </c>
      <c r="T231" s="22"/>
      <c r="U231" s="21" t="str">
        <f aca="false">IF(R231="","",O231&amp;"|A|"&amp;R231)</f>
        <v/>
      </c>
      <c r="V231" s="21" t="str">
        <f aca="false">IF(S231="","",O231&amp;"|R|"&amp;S231)</f>
        <v/>
      </c>
    </row>
    <row r="232" customFormat="false" ht="15" hidden="false" customHeight="false" outlineLevel="0" collapsed="false">
      <c r="A232" s="18" t="n">
        <v>231</v>
      </c>
      <c r="B232" s="18"/>
      <c r="C232" s="18"/>
      <c r="D232" s="18"/>
      <c r="E232" s="18" t="s">
        <v>527</v>
      </c>
      <c r="F232" s="18" t="s">
        <v>528</v>
      </c>
      <c r="G232" s="18" t="s">
        <v>71</v>
      </c>
      <c r="H232" s="18" t="n">
        <v>111</v>
      </c>
      <c r="I232" s="19" t="n">
        <v>0</v>
      </c>
      <c r="J232" s="19" t="n">
        <v>12841.25</v>
      </c>
      <c r="K232" s="19" t="n">
        <v>12841.25</v>
      </c>
      <c r="L232" s="19" t="n">
        <v>0</v>
      </c>
      <c r="M232" s="19" t="n">
        <f aca="false">ABS(L232)</f>
        <v>0</v>
      </c>
      <c r="N232" s="18" t="str">
        <f aca="false">IF(L232=0,"Nil balance",IF(G232="AR file",IF(L232&gt;0,"Accounts Receivable","Customer Advances"),IF(L232&lt;0,"Accounts Payable","Supplier Advances")))</f>
        <v>Nil balance</v>
      </c>
      <c r="O232" s="18" t="str">
        <f aca="false">IF(L232=0,"Excluded",IF(Summary!$C$4="By ledger",IF(G232="AR file","Population 1","Population 2"),IF(L232&gt;0,"Population 1","Population 2")))</f>
        <v>Excluded</v>
      </c>
      <c r="P232" s="18" t="str">
        <f aca="false">IF(O232="Excluded","Excluded – nil closing balance",IF(M232&gt;Summary!$C$5,"Above Materiality","Below Materiality"))</f>
        <v>Excluded – nil closing balance</v>
      </c>
      <c r="Q232" s="20" t="str">
        <f aca="false">IF(P232="Below Materiality",T232,"")</f>
        <v/>
      </c>
      <c r="R232" s="21" t="str">
        <f aca="false">IF(P232="Above Materiality",COUNTIFS($O$2:$O$1092,O232,$P$2:$P$1092,"Above Materiality",$M$2:$M$1092,"&gt;"&amp;M232)+COUNTIFS($O$2:$O$1092,O232,$P$2:$P$1092,"Above Materiality",$M$2:$M$1092,M232,$A$2:$A$1092,"&lt;"&amp;A232)+1,"")</f>
        <v/>
      </c>
      <c r="S232" s="21" t="str">
        <f aca="false">IF(P232&lt;&gt;"Below Materiality","",IF(Summary!$C$9="Random",COUNTIFS($O$2:$O$1092,O232,$Q$2:$Q$1092,"&gt;"&amp;Q232)+1,COUNTIFS($O$2:$O$1092,O232,$P$2:$P$1092,"Below Materiality",$M$2:$M$1092,"&gt;"&amp;M232)+COUNTIFS($O$2:$O$1092,O232,$P$2:$P$1092,"Below Materiality",$M$2:$M$1092,M232,$A$2:$A$1092,"&lt;"&amp;A232)+1))</f>
        <v/>
      </c>
      <c r="T232" s="22"/>
      <c r="U232" s="21" t="str">
        <f aca="false">IF(R232="","",O232&amp;"|A|"&amp;R232)</f>
        <v/>
      </c>
      <c r="V232" s="21" t="str">
        <f aca="false">IF(S232="","",O232&amp;"|R|"&amp;S232)</f>
        <v/>
      </c>
    </row>
    <row r="233" customFormat="false" ht="15" hidden="false" customHeight="false" outlineLevel="0" collapsed="false">
      <c r="A233" s="18" t="n">
        <v>232</v>
      </c>
      <c r="B233" s="18"/>
      <c r="C233" s="18"/>
      <c r="D233" s="18"/>
      <c r="E233" s="18" t="s">
        <v>529</v>
      </c>
      <c r="F233" s="18" t="s">
        <v>530</v>
      </c>
      <c r="G233" s="18" t="s">
        <v>71</v>
      </c>
      <c r="H233" s="18" t="n">
        <v>112</v>
      </c>
      <c r="I233" s="19" t="n">
        <v>0</v>
      </c>
      <c r="J233" s="19" t="n">
        <v>511.75</v>
      </c>
      <c r="K233" s="19" t="n">
        <v>511.75</v>
      </c>
      <c r="L233" s="19" t="n">
        <v>0</v>
      </c>
      <c r="M233" s="19" t="n">
        <f aca="false">ABS(L233)</f>
        <v>0</v>
      </c>
      <c r="N233" s="18" t="str">
        <f aca="false">IF(L233=0,"Nil balance",IF(G233="AR file",IF(L233&gt;0,"Accounts Receivable","Customer Advances"),IF(L233&lt;0,"Accounts Payable","Supplier Advances")))</f>
        <v>Nil balance</v>
      </c>
      <c r="O233" s="18" t="str">
        <f aca="false">IF(L233=0,"Excluded",IF(Summary!$C$4="By ledger",IF(G233="AR file","Population 1","Population 2"),IF(L233&gt;0,"Population 1","Population 2")))</f>
        <v>Excluded</v>
      </c>
      <c r="P233" s="18" t="str">
        <f aca="false">IF(O233="Excluded","Excluded – nil closing balance",IF(M233&gt;Summary!$C$5,"Above Materiality","Below Materiality"))</f>
        <v>Excluded – nil closing balance</v>
      </c>
      <c r="Q233" s="20" t="str">
        <f aca="false">IF(P233="Below Materiality",T233,"")</f>
        <v/>
      </c>
      <c r="R233" s="21" t="str">
        <f aca="false">IF(P233="Above Materiality",COUNTIFS($O$2:$O$1092,O233,$P$2:$P$1092,"Above Materiality",$M$2:$M$1092,"&gt;"&amp;M233)+COUNTIFS($O$2:$O$1092,O233,$P$2:$P$1092,"Above Materiality",$M$2:$M$1092,M233,$A$2:$A$1092,"&lt;"&amp;A233)+1,"")</f>
        <v/>
      </c>
      <c r="S233" s="21" t="str">
        <f aca="false">IF(P233&lt;&gt;"Below Materiality","",IF(Summary!$C$9="Random",COUNTIFS($O$2:$O$1092,O233,$Q$2:$Q$1092,"&gt;"&amp;Q233)+1,COUNTIFS($O$2:$O$1092,O233,$P$2:$P$1092,"Below Materiality",$M$2:$M$1092,"&gt;"&amp;M233)+COUNTIFS($O$2:$O$1092,O233,$P$2:$P$1092,"Below Materiality",$M$2:$M$1092,M233,$A$2:$A$1092,"&lt;"&amp;A233)+1))</f>
        <v/>
      </c>
      <c r="T233" s="22"/>
      <c r="U233" s="21" t="str">
        <f aca="false">IF(R233="","",O233&amp;"|A|"&amp;R233)</f>
        <v/>
      </c>
      <c r="V233" s="21" t="str">
        <f aca="false">IF(S233="","",O233&amp;"|R|"&amp;S233)</f>
        <v/>
      </c>
    </row>
    <row r="234" customFormat="false" ht="15" hidden="false" customHeight="false" outlineLevel="0" collapsed="false">
      <c r="A234" s="18" t="n">
        <v>233</v>
      </c>
      <c r="B234" s="18"/>
      <c r="C234" s="18"/>
      <c r="D234" s="18"/>
      <c r="E234" s="18" t="s">
        <v>531</v>
      </c>
      <c r="F234" s="18" t="s">
        <v>532</v>
      </c>
      <c r="G234" s="18" t="s">
        <v>71</v>
      </c>
      <c r="H234" s="18" t="n">
        <v>113</v>
      </c>
      <c r="I234" s="19" t="n">
        <v>0</v>
      </c>
      <c r="J234" s="19" t="n">
        <v>21615.52</v>
      </c>
      <c r="K234" s="19" t="n">
        <v>21615.52</v>
      </c>
      <c r="L234" s="19" t="n">
        <v>0</v>
      </c>
      <c r="M234" s="19" t="n">
        <f aca="false">ABS(L234)</f>
        <v>0</v>
      </c>
      <c r="N234" s="18" t="str">
        <f aca="false">IF(L234=0,"Nil balance",IF(G234="AR file",IF(L234&gt;0,"Accounts Receivable","Customer Advances"),IF(L234&lt;0,"Accounts Payable","Supplier Advances")))</f>
        <v>Nil balance</v>
      </c>
      <c r="O234" s="18" t="str">
        <f aca="false">IF(L234=0,"Excluded",IF(Summary!$C$4="By ledger",IF(G234="AR file","Population 1","Population 2"),IF(L234&gt;0,"Population 1","Population 2")))</f>
        <v>Excluded</v>
      </c>
      <c r="P234" s="18" t="str">
        <f aca="false">IF(O234="Excluded","Excluded – nil closing balance",IF(M234&gt;Summary!$C$5,"Above Materiality","Below Materiality"))</f>
        <v>Excluded – nil closing balance</v>
      </c>
      <c r="Q234" s="20" t="str">
        <f aca="false">IF(P234="Below Materiality",T234,"")</f>
        <v/>
      </c>
      <c r="R234" s="21" t="str">
        <f aca="false">IF(P234="Above Materiality",COUNTIFS($O$2:$O$1092,O234,$P$2:$P$1092,"Above Materiality",$M$2:$M$1092,"&gt;"&amp;M234)+COUNTIFS($O$2:$O$1092,O234,$P$2:$P$1092,"Above Materiality",$M$2:$M$1092,M234,$A$2:$A$1092,"&lt;"&amp;A234)+1,"")</f>
        <v/>
      </c>
      <c r="S234" s="21" t="str">
        <f aca="false">IF(P234&lt;&gt;"Below Materiality","",IF(Summary!$C$9="Random",COUNTIFS($O$2:$O$1092,O234,$Q$2:$Q$1092,"&gt;"&amp;Q234)+1,COUNTIFS($O$2:$O$1092,O234,$P$2:$P$1092,"Below Materiality",$M$2:$M$1092,"&gt;"&amp;M234)+COUNTIFS($O$2:$O$1092,O234,$P$2:$P$1092,"Below Materiality",$M$2:$M$1092,M234,$A$2:$A$1092,"&lt;"&amp;A234)+1))</f>
        <v/>
      </c>
      <c r="T234" s="22"/>
      <c r="U234" s="21" t="str">
        <f aca="false">IF(R234="","",O234&amp;"|A|"&amp;R234)</f>
        <v/>
      </c>
      <c r="V234" s="21" t="str">
        <f aca="false">IF(S234="","",O234&amp;"|R|"&amp;S234)</f>
        <v/>
      </c>
    </row>
    <row r="235" customFormat="false" ht="15" hidden="false" customHeight="false" outlineLevel="0" collapsed="false">
      <c r="A235" s="18" t="n">
        <v>234</v>
      </c>
      <c r="B235" s="18"/>
      <c r="C235" s="18"/>
      <c r="D235" s="18"/>
      <c r="E235" s="18" t="s">
        <v>533</v>
      </c>
      <c r="F235" s="18" t="s">
        <v>534</v>
      </c>
      <c r="G235" s="18" t="s">
        <v>71</v>
      </c>
      <c r="H235" s="18" t="n">
        <v>114</v>
      </c>
      <c r="I235" s="19" t="n">
        <v>0</v>
      </c>
      <c r="J235" s="19" t="n">
        <v>2559</v>
      </c>
      <c r="K235" s="19" t="n">
        <v>2559</v>
      </c>
      <c r="L235" s="19" t="n">
        <v>0</v>
      </c>
      <c r="M235" s="19" t="n">
        <f aca="false">ABS(L235)</f>
        <v>0</v>
      </c>
      <c r="N235" s="18" t="str">
        <f aca="false">IF(L235=0,"Nil balance",IF(G235="AR file",IF(L235&gt;0,"Accounts Receivable","Customer Advances"),IF(L235&lt;0,"Accounts Payable","Supplier Advances")))</f>
        <v>Nil balance</v>
      </c>
      <c r="O235" s="18" t="str">
        <f aca="false">IF(L235=0,"Excluded",IF(Summary!$C$4="By ledger",IF(G235="AR file","Population 1","Population 2"),IF(L235&gt;0,"Population 1","Population 2")))</f>
        <v>Excluded</v>
      </c>
      <c r="P235" s="18" t="str">
        <f aca="false">IF(O235="Excluded","Excluded – nil closing balance",IF(M235&gt;Summary!$C$5,"Above Materiality","Below Materiality"))</f>
        <v>Excluded – nil closing balance</v>
      </c>
      <c r="Q235" s="20" t="str">
        <f aca="false">IF(P235="Below Materiality",T235,"")</f>
        <v/>
      </c>
      <c r="R235" s="21" t="str">
        <f aca="false">IF(P235="Above Materiality",COUNTIFS($O$2:$O$1092,O235,$P$2:$P$1092,"Above Materiality",$M$2:$M$1092,"&gt;"&amp;M235)+COUNTIFS($O$2:$O$1092,O235,$P$2:$P$1092,"Above Materiality",$M$2:$M$1092,M235,$A$2:$A$1092,"&lt;"&amp;A235)+1,"")</f>
        <v/>
      </c>
      <c r="S235" s="21" t="str">
        <f aca="false">IF(P235&lt;&gt;"Below Materiality","",IF(Summary!$C$9="Random",COUNTIFS($O$2:$O$1092,O235,$Q$2:$Q$1092,"&gt;"&amp;Q235)+1,COUNTIFS($O$2:$O$1092,O235,$P$2:$P$1092,"Below Materiality",$M$2:$M$1092,"&gt;"&amp;M235)+COUNTIFS($O$2:$O$1092,O235,$P$2:$P$1092,"Below Materiality",$M$2:$M$1092,M235,$A$2:$A$1092,"&lt;"&amp;A235)+1))</f>
        <v/>
      </c>
      <c r="T235" s="22"/>
      <c r="U235" s="21" t="str">
        <f aca="false">IF(R235="","",O235&amp;"|A|"&amp;R235)</f>
        <v/>
      </c>
      <c r="V235" s="21" t="str">
        <f aca="false">IF(S235="","",O235&amp;"|R|"&amp;S235)</f>
        <v/>
      </c>
    </row>
    <row r="236" customFormat="false" ht="15" hidden="false" customHeight="false" outlineLevel="0" collapsed="false">
      <c r="A236" s="18" t="n">
        <v>235</v>
      </c>
      <c r="B236" s="18"/>
      <c r="C236" s="18"/>
      <c r="D236" s="18"/>
      <c r="E236" s="18" t="s">
        <v>535</v>
      </c>
      <c r="F236" s="18" t="s">
        <v>536</v>
      </c>
      <c r="G236" s="18" t="s">
        <v>71</v>
      </c>
      <c r="H236" s="18" t="n">
        <v>115</v>
      </c>
      <c r="I236" s="19" t="n">
        <v>0</v>
      </c>
      <c r="J236" s="19" t="n">
        <v>4595.99</v>
      </c>
      <c r="K236" s="19" t="n">
        <v>4595.99</v>
      </c>
      <c r="L236" s="19" t="n">
        <v>0</v>
      </c>
      <c r="M236" s="19" t="n">
        <f aca="false">ABS(L236)</f>
        <v>0</v>
      </c>
      <c r="N236" s="18" t="str">
        <f aca="false">IF(L236=0,"Nil balance",IF(G236="AR file",IF(L236&gt;0,"Accounts Receivable","Customer Advances"),IF(L236&lt;0,"Accounts Payable","Supplier Advances")))</f>
        <v>Nil balance</v>
      </c>
      <c r="O236" s="18" t="str">
        <f aca="false">IF(L236=0,"Excluded",IF(Summary!$C$4="By ledger",IF(G236="AR file","Population 1","Population 2"),IF(L236&gt;0,"Population 1","Population 2")))</f>
        <v>Excluded</v>
      </c>
      <c r="P236" s="18" t="str">
        <f aca="false">IF(O236="Excluded","Excluded – nil closing balance",IF(M236&gt;Summary!$C$5,"Above Materiality","Below Materiality"))</f>
        <v>Excluded – nil closing balance</v>
      </c>
      <c r="Q236" s="20" t="str">
        <f aca="false">IF(P236="Below Materiality",T236,"")</f>
        <v/>
      </c>
      <c r="R236" s="21" t="str">
        <f aca="false">IF(P236="Above Materiality",COUNTIFS($O$2:$O$1092,O236,$P$2:$P$1092,"Above Materiality",$M$2:$M$1092,"&gt;"&amp;M236)+COUNTIFS($O$2:$O$1092,O236,$P$2:$P$1092,"Above Materiality",$M$2:$M$1092,M236,$A$2:$A$1092,"&lt;"&amp;A236)+1,"")</f>
        <v/>
      </c>
      <c r="S236" s="21" t="str">
        <f aca="false">IF(P236&lt;&gt;"Below Materiality","",IF(Summary!$C$9="Random",COUNTIFS($O$2:$O$1092,O236,$Q$2:$Q$1092,"&gt;"&amp;Q236)+1,COUNTIFS($O$2:$O$1092,O236,$P$2:$P$1092,"Below Materiality",$M$2:$M$1092,"&gt;"&amp;M236)+COUNTIFS($O$2:$O$1092,O236,$P$2:$P$1092,"Below Materiality",$M$2:$M$1092,M236,$A$2:$A$1092,"&lt;"&amp;A236)+1))</f>
        <v/>
      </c>
      <c r="T236" s="22"/>
      <c r="U236" s="21" t="str">
        <f aca="false">IF(R236="","",O236&amp;"|A|"&amp;R236)</f>
        <v/>
      </c>
      <c r="V236" s="21" t="str">
        <f aca="false">IF(S236="","",O236&amp;"|R|"&amp;S236)</f>
        <v/>
      </c>
    </row>
    <row r="237" customFormat="false" ht="15" hidden="false" customHeight="false" outlineLevel="0" collapsed="false">
      <c r="A237" s="18" t="n">
        <v>236</v>
      </c>
      <c r="B237" s="18"/>
      <c r="C237" s="18"/>
      <c r="D237" s="18"/>
      <c r="E237" s="18" t="s">
        <v>537</v>
      </c>
      <c r="F237" s="18" t="s">
        <v>538</v>
      </c>
      <c r="G237" s="18" t="s">
        <v>71</v>
      </c>
      <c r="H237" s="18" t="n">
        <v>116</v>
      </c>
      <c r="I237" s="19" t="n">
        <v>0</v>
      </c>
      <c r="J237" s="19" t="n">
        <v>2590</v>
      </c>
      <c r="K237" s="19" t="n">
        <v>2590</v>
      </c>
      <c r="L237" s="19" t="n">
        <v>0</v>
      </c>
      <c r="M237" s="19" t="n">
        <f aca="false">ABS(L237)</f>
        <v>0</v>
      </c>
      <c r="N237" s="18" t="str">
        <f aca="false">IF(L237=0,"Nil balance",IF(G237="AR file",IF(L237&gt;0,"Accounts Receivable","Customer Advances"),IF(L237&lt;0,"Accounts Payable","Supplier Advances")))</f>
        <v>Nil balance</v>
      </c>
      <c r="O237" s="18" t="str">
        <f aca="false">IF(L237=0,"Excluded",IF(Summary!$C$4="By ledger",IF(G237="AR file","Population 1","Population 2"),IF(L237&gt;0,"Population 1","Population 2")))</f>
        <v>Excluded</v>
      </c>
      <c r="P237" s="18" t="str">
        <f aca="false">IF(O237="Excluded","Excluded – nil closing balance",IF(M237&gt;Summary!$C$5,"Above Materiality","Below Materiality"))</f>
        <v>Excluded – nil closing balance</v>
      </c>
      <c r="Q237" s="20" t="str">
        <f aca="false">IF(P237="Below Materiality",T237,"")</f>
        <v/>
      </c>
      <c r="R237" s="21" t="str">
        <f aca="false">IF(P237="Above Materiality",COUNTIFS($O$2:$O$1092,O237,$P$2:$P$1092,"Above Materiality",$M$2:$M$1092,"&gt;"&amp;M237)+COUNTIFS($O$2:$O$1092,O237,$P$2:$P$1092,"Above Materiality",$M$2:$M$1092,M237,$A$2:$A$1092,"&lt;"&amp;A237)+1,"")</f>
        <v/>
      </c>
      <c r="S237" s="21" t="str">
        <f aca="false">IF(P237&lt;&gt;"Below Materiality","",IF(Summary!$C$9="Random",COUNTIFS($O$2:$O$1092,O237,$Q$2:$Q$1092,"&gt;"&amp;Q237)+1,COUNTIFS($O$2:$O$1092,O237,$P$2:$P$1092,"Below Materiality",$M$2:$M$1092,"&gt;"&amp;M237)+COUNTIFS($O$2:$O$1092,O237,$P$2:$P$1092,"Below Materiality",$M$2:$M$1092,M237,$A$2:$A$1092,"&lt;"&amp;A237)+1))</f>
        <v/>
      </c>
      <c r="T237" s="22"/>
      <c r="U237" s="21" t="str">
        <f aca="false">IF(R237="","",O237&amp;"|A|"&amp;R237)</f>
        <v/>
      </c>
      <c r="V237" s="21" t="str">
        <f aca="false">IF(S237="","",O237&amp;"|R|"&amp;S237)</f>
        <v/>
      </c>
    </row>
    <row r="238" customFormat="false" ht="15" hidden="false" customHeight="false" outlineLevel="0" collapsed="false">
      <c r="A238" s="18" t="n">
        <v>237</v>
      </c>
      <c r="B238" s="18"/>
      <c r="C238" s="18"/>
      <c r="D238" s="18"/>
      <c r="E238" s="18" t="s">
        <v>539</v>
      </c>
      <c r="F238" s="18" t="s">
        <v>540</v>
      </c>
      <c r="G238" s="18" t="s">
        <v>71</v>
      </c>
      <c r="H238" s="18" t="n">
        <v>117</v>
      </c>
      <c r="I238" s="19" t="n">
        <v>0</v>
      </c>
      <c r="J238" s="19" t="n">
        <v>345</v>
      </c>
      <c r="K238" s="19" t="n">
        <v>345</v>
      </c>
      <c r="L238" s="19" t="n">
        <v>0</v>
      </c>
      <c r="M238" s="19" t="n">
        <f aca="false">ABS(L238)</f>
        <v>0</v>
      </c>
      <c r="N238" s="18" t="str">
        <f aca="false">IF(L238=0,"Nil balance",IF(G238="AR file",IF(L238&gt;0,"Accounts Receivable","Customer Advances"),IF(L238&lt;0,"Accounts Payable","Supplier Advances")))</f>
        <v>Nil balance</v>
      </c>
      <c r="O238" s="18" t="str">
        <f aca="false">IF(L238=0,"Excluded",IF(Summary!$C$4="By ledger",IF(G238="AR file","Population 1","Population 2"),IF(L238&gt;0,"Population 1","Population 2")))</f>
        <v>Excluded</v>
      </c>
      <c r="P238" s="18" t="str">
        <f aca="false">IF(O238="Excluded","Excluded – nil closing balance",IF(M238&gt;Summary!$C$5,"Above Materiality","Below Materiality"))</f>
        <v>Excluded – nil closing balance</v>
      </c>
      <c r="Q238" s="20" t="str">
        <f aca="false">IF(P238="Below Materiality",T238,"")</f>
        <v/>
      </c>
      <c r="R238" s="21" t="str">
        <f aca="false">IF(P238="Above Materiality",COUNTIFS($O$2:$O$1092,O238,$P$2:$P$1092,"Above Materiality",$M$2:$M$1092,"&gt;"&amp;M238)+COUNTIFS($O$2:$O$1092,O238,$P$2:$P$1092,"Above Materiality",$M$2:$M$1092,M238,$A$2:$A$1092,"&lt;"&amp;A238)+1,"")</f>
        <v/>
      </c>
      <c r="S238" s="21" t="str">
        <f aca="false">IF(P238&lt;&gt;"Below Materiality","",IF(Summary!$C$9="Random",COUNTIFS($O$2:$O$1092,O238,$Q$2:$Q$1092,"&gt;"&amp;Q238)+1,COUNTIFS($O$2:$O$1092,O238,$P$2:$P$1092,"Below Materiality",$M$2:$M$1092,"&gt;"&amp;M238)+COUNTIFS($O$2:$O$1092,O238,$P$2:$P$1092,"Below Materiality",$M$2:$M$1092,M238,$A$2:$A$1092,"&lt;"&amp;A238)+1))</f>
        <v/>
      </c>
      <c r="T238" s="22"/>
      <c r="U238" s="21" t="str">
        <f aca="false">IF(R238="","",O238&amp;"|A|"&amp;R238)</f>
        <v/>
      </c>
      <c r="V238" s="21" t="str">
        <f aca="false">IF(S238="","",O238&amp;"|R|"&amp;S238)</f>
        <v/>
      </c>
    </row>
    <row r="239" customFormat="false" ht="15" hidden="false" customHeight="false" outlineLevel="0" collapsed="false">
      <c r="A239" s="18" t="n">
        <v>238</v>
      </c>
      <c r="B239" s="18"/>
      <c r="C239" s="18"/>
      <c r="D239" s="18"/>
      <c r="E239" s="18" t="s">
        <v>541</v>
      </c>
      <c r="F239" s="18" t="s">
        <v>542</v>
      </c>
      <c r="G239" s="18" t="s">
        <v>71</v>
      </c>
      <c r="H239" s="18" t="n">
        <v>118</v>
      </c>
      <c r="I239" s="19" t="n">
        <v>0</v>
      </c>
      <c r="J239" s="19" t="n">
        <v>1081</v>
      </c>
      <c r="K239" s="19" t="n">
        <v>1081</v>
      </c>
      <c r="L239" s="19" t="n">
        <v>0</v>
      </c>
      <c r="M239" s="19" t="n">
        <f aca="false">ABS(L239)</f>
        <v>0</v>
      </c>
      <c r="N239" s="18" t="str">
        <f aca="false">IF(L239=0,"Nil balance",IF(G239="AR file",IF(L239&gt;0,"Accounts Receivable","Customer Advances"),IF(L239&lt;0,"Accounts Payable","Supplier Advances")))</f>
        <v>Nil balance</v>
      </c>
      <c r="O239" s="18" t="str">
        <f aca="false">IF(L239=0,"Excluded",IF(Summary!$C$4="By ledger",IF(G239="AR file","Population 1","Population 2"),IF(L239&gt;0,"Population 1","Population 2")))</f>
        <v>Excluded</v>
      </c>
      <c r="P239" s="18" t="str">
        <f aca="false">IF(O239="Excluded","Excluded – nil closing balance",IF(M239&gt;Summary!$C$5,"Above Materiality","Below Materiality"))</f>
        <v>Excluded – nil closing balance</v>
      </c>
      <c r="Q239" s="20" t="str">
        <f aca="false">IF(P239="Below Materiality",T239,"")</f>
        <v/>
      </c>
      <c r="R239" s="21" t="str">
        <f aca="false">IF(P239="Above Materiality",COUNTIFS($O$2:$O$1092,O239,$P$2:$P$1092,"Above Materiality",$M$2:$M$1092,"&gt;"&amp;M239)+COUNTIFS($O$2:$O$1092,O239,$P$2:$P$1092,"Above Materiality",$M$2:$M$1092,M239,$A$2:$A$1092,"&lt;"&amp;A239)+1,"")</f>
        <v/>
      </c>
      <c r="S239" s="21" t="str">
        <f aca="false">IF(P239&lt;&gt;"Below Materiality","",IF(Summary!$C$9="Random",COUNTIFS($O$2:$O$1092,O239,$Q$2:$Q$1092,"&gt;"&amp;Q239)+1,COUNTIFS($O$2:$O$1092,O239,$P$2:$P$1092,"Below Materiality",$M$2:$M$1092,"&gt;"&amp;M239)+COUNTIFS($O$2:$O$1092,O239,$P$2:$P$1092,"Below Materiality",$M$2:$M$1092,M239,$A$2:$A$1092,"&lt;"&amp;A239)+1))</f>
        <v/>
      </c>
      <c r="T239" s="22"/>
      <c r="U239" s="21" t="str">
        <f aca="false">IF(R239="","",O239&amp;"|A|"&amp;R239)</f>
        <v/>
      </c>
      <c r="V239" s="21" t="str">
        <f aca="false">IF(S239="","",O239&amp;"|R|"&amp;S239)</f>
        <v/>
      </c>
    </row>
    <row r="240" customFormat="false" ht="15" hidden="false" customHeight="false" outlineLevel="0" collapsed="false">
      <c r="A240" s="18" t="n">
        <v>239</v>
      </c>
      <c r="B240" s="18"/>
      <c r="C240" s="18"/>
      <c r="D240" s="18"/>
      <c r="E240" s="18" t="s">
        <v>543</v>
      </c>
      <c r="F240" s="18" t="s">
        <v>544</v>
      </c>
      <c r="G240" s="18" t="s">
        <v>71</v>
      </c>
      <c r="H240" s="18" t="n">
        <v>119</v>
      </c>
      <c r="I240" s="19" t="n">
        <v>0</v>
      </c>
      <c r="J240" s="19" t="n">
        <v>15.53</v>
      </c>
      <c r="K240" s="19" t="n">
        <v>15.53</v>
      </c>
      <c r="L240" s="19" t="n">
        <v>0</v>
      </c>
      <c r="M240" s="19" t="n">
        <f aca="false">ABS(L240)</f>
        <v>0</v>
      </c>
      <c r="N240" s="18" t="str">
        <f aca="false">IF(L240=0,"Nil balance",IF(G240="AR file",IF(L240&gt;0,"Accounts Receivable","Customer Advances"),IF(L240&lt;0,"Accounts Payable","Supplier Advances")))</f>
        <v>Nil balance</v>
      </c>
      <c r="O240" s="18" t="str">
        <f aca="false">IF(L240=0,"Excluded",IF(Summary!$C$4="By ledger",IF(G240="AR file","Population 1","Population 2"),IF(L240&gt;0,"Population 1","Population 2")))</f>
        <v>Excluded</v>
      </c>
      <c r="P240" s="18" t="str">
        <f aca="false">IF(O240="Excluded","Excluded – nil closing balance",IF(M240&gt;Summary!$C$5,"Above Materiality","Below Materiality"))</f>
        <v>Excluded – nil closing balance</v>
      </c>
      <c r="Q240" s="20" t="str">
        <f aca="false">IF(P240="Below Materiality",T240,"")</f>
        <v/>
      </c>
      <c r="R240" s="21" t="str">
        <f aca="false">IF(P240="Above Materiality",COUNTIFS($O$2:$O$1092,O240,$P$2:$P$1092,"Above Materiality",$M$2:$M$1092,"&gt;"&amp;M240)+COUNTIFS($O$2:$O$1092,O240,$P$2:$P$1092,"Above Materiality",$M$2:$M$1092,M240,$A$2:$A$1092,"&lt;"&amp;A240)+1,"")</f>
        <v/>
      </c>
      <c r="S240" s="21" t="str">
        <f aca="false">IF(P240&lt;&gt;"Below Materiality","",IF(Summary!$C$9="Random",COUNTIFS($O$2:$O$1092,O240,$Q$2:$Q$1092,"&gt;"&amp;Q240)+1,COUNTIFS($O$2:$O$1092,O240,$P$2:$P$1092,"Below Materiality",$M$2:$M$1092,"&gt;"&amp;M240)+COUNTIFS($O$2:$O$1092,O240,$P$2:$P$1092,"Below Materiality",$M$2:$M$1092,M240,$A$2:$A$1092,"&lt;"&amp;A240)+1))</f>
        <v/>
      </c>
      <c r="T240" s="22"/>
      <c r="U240" s="21" t="str">
        <f aca="false">IF(R240="","",O240&amp;"|A|"&amp;R240)</f>
        <v/>
      </c>
      <c r="V240" s="21" t="str">
        <f aca="false">IF(S240="","",O240&amp;"|R|"&amp;S240)</f>
        <v/>
      </c>
    </row>
    <row r="241" customFormat="false" ht="15" hidden="false" customHeight="false" outlineLevel="0" collapsed="false">
      <c r="A241" s="18" t="n">
        <v>240</v>
      </c>
      <c r="B241" s="18"/>
      <c r="C241" s="18"/>
      <c r="D241" s="18"/>
      <c r="E241" s="18" t="s">
        <v>545</v>
      </c>
      <c r="F241" s="18" t="s">
        <v>546</v>
      </c>
      <c r="G241" s="18" t="s">
        <v>71</v>
      </c>
      <c r="H241" s="18" t="n">
        <v>120</v>
      </c>
      <c r="I241" s="19" t="n">
        <v>0</v>
      </c>
      <c r="J241" s="19" t="n">
        <v>646</v>
      </c>
      <c r="K241" s="19" t="n">
        <v>646</v>
      </c>
      <c r="L241" s="19" t="n">
        <v>0</v>
      </c>
      <c r="M241" s="19" t="n">
        <f aca="false">ABS(L241)</f>
        <v>0</v>
      </c>
      <c r="N241" s="18" t="str">
        <f aca="false">IF(L241=0,"Nil balance",IF(G241="AR file",IF(L241&gt;0,"Accounts Receivable","Customer Advances"),IF(L241&lt;0,"Accounts Payable","Supplier Advances")))</f>
        <v>Nil balance</v>
      </c>
      <c r="O241" s="18" t="str">
        <f aca="false">IF(L241=0,"Excluded",IF(Summary!$C$4="By ledger",IF(G241="AR file","Population 1","Population 2"),IF(L241&gt;0,"Population 1","Population 2")))</f>
        <v>Excluded</v>
      </c>
      <c r="P241" s="18" t="str">
        <f aca="false">IF(O241="Excluded","Excluded – nil closing balance",IF(M241&gt;Summary!$C$5,"Above Materiality","Below Materiality"))</f>
        <v>Excluded – nil closing balance</v>
      </c>
      <c r="Q241" s="20" t="str">
        <f aca="false">IF(P241="Below Materiality",T241,"")</f>
        <v/>
      </c>
      <c r="R241" s="21" t="str">
        <f aca="false">IF(P241="Above Materiality",COUNTIFS($O$2:$O$1092,O241,$P$2:$P$1092,"Above Materiality",$M$2:$M$1092,"&gt;"&amp;M241)+COUNTIFS($O$2:$O$1092,O241,$P$2:$P$1092,"Above Materiality",$M$2:$M$1092,M241,$A$2:$A$1092,"&lt;"&amp;A241)+1,"")</f>
        <v/>
      </c>
      <c r="S241" s="21" t="str">
        <f aca="false">IF(P241&lt;&gt;"Below Materiality","",IF(Summary!$C$9="Random",COUNTIFS($O$2:$O$1092,O241,$Q$2:$Q$1092,"&gt;"&amp;Q241)+1,COUNTIFS($O$2:$O$1092,O241,$P$2:$P$1092,"Below Materiality",$M$2:$M$1092,"&gt;"&amp;M241)+COUNTIFS($O$2:$O$1092,O241,$P$2:$P$1092,"Below Materiality",$M$2:$M$1092,M241,$A$2:$A$1092,"&lt;"&amp;A241)+1))</f>
        <v/>
      </c>
      <c r="T241" s="22"/>
      <c r="U241" s="21" t="str">
        <f aca="false">IF(R241="","",O241&amp;"|A|"&amp;R241)</f>
        <v/>
      </c>
      <c r="V241" s="21" t="str">
        <f aca="false">IF(S241="","",O241&amp;"|R|"&amp;S241)</f>
        <v/>
      </c>
    </row>
    <row r="242" customFormat="false" ht="15" hidden="false" customHeight="false" outlineLevel="0" collapsed="false">
      <c r="A242" s="18" t="n">
        <v>241</v>
      </c>
      <c r="B242" s="18"/>
      <c r="C242" s="18"/>
      <c r="D242" s="18"/>
      <c r="E242" s="18" t="s">
        <v>547</v>
      </c>
      <c r="F242" s="18" t="s">
        <v>548</v>
      </c>
      <c r="G242" s="18" t="s">
        <v>71</v>
      </c>
      <c r="H242" s="18" t="n">
        <v>121</v>
      </c>
      <c r="I242" s="19" t="n">
        <v>-0.880000000004657</v>
      </c>
      <c r="J242" s="19" t="n">
        <v>246397.88</v>
      </c>
      <c r="K242" s="19" t="n">
        <v>246397</v>
      </c>
      <c r="L242" s="19" t="n">
        <v>0</v>
      </c>
      <c r="M242" s="19" t="n">
        <f aca="false">ABS(L242)</f>
        <v>0</v>
      </c>
      <c r="N242" s="18" t="str">
        <f aca="false">IF(L242=0,"Nil balance",IF(G242="AR file",IF(L242&gt;0,"Accounts Receivable","Customer Advances"),IF(L242&lt;0,"Accounts Payable","Supplier Advances")))</f>
        <v>Nil balance</v>
      </c>
      <c r="O242" s="18" t="str">
        <f aca="false">IF(L242=0,"Excluded",IF(Summary!$C$4="By ledger",IF(G242="AR file","Population 1","Population 2"),IF(L242&gt;0,"Population 1","Population 2")))</f>
        <v>Excluded</v>
      </c>
      <c r="P242" s="18" t="str">
        <f aca="false">IF(O242="Excluded","Excluded – nil closing balance",IF(M242&gt;Summary!$C$5,"Above Materiality","Below Materiality"))</f>
        <v>Excluded – nil closing balance</v>
      </c>
      <c r="Q242" s="20" t="str">
        <f aca="false">IF(P242="Below Materiality",T242,"")</f>
        <v/>
      </c>
      <c r="R242" s="21" t="str">
        <f aca="false">IF(P242="Above Materiality",COUNTIFS($O$2:$O$1092,O242,$P$2:$P$1092,"Above Materiality",$M$2:$M$1092,"&gt;"&amp;M242)+COUNTIFS($O$2:$O$1092,O242,$P$2:$P$1092,"Above Materiality",$M$2:$M$1092,M242,$A$2:$A$1092,"&lt;"&amp;A242)+1,"")</f>
        <v/>
      </c>
      <c r="S242" s="21" t="str">
        <f aca="false">IF(P242&lt;&gt;"Below Materiality","",IF(Summary!$C$9="Random",COUNTIFS($O$2:$O$1092,O242,$Q$2:$Q$1092,"&gt;"&amp;Q242)+1,COUNTIFS($O$2:$O$1092,O242,$P$2:$P$1092,"Below Materiality",$M$2:$M$1092,"&gt;"&amp;M242)+COUNTIFS($O$2:$O$1092,O242,$P$2:$P$1092,"Below Materiality",$M$2:$M$1092,M242,$A$2:$A$1092,"&lt;"&amp;A242)+1))</f>
        <v/>
      </c>
      <c r="T242" s="22"/>
      <c r="U242" s="21" t="str">
        <f aca="false">IF(R242="","",O242&amp;"|A|"&amp;R242)</f>
        <v/>
      </c>
      <c r="V242" s="21" t="str">
        <f aca="false">IF(S242="","",O242&amp;"|R|"&amp;S242)</f>
        <v/>
      </c>
    </row>
    <row r="243" customFormat="false" ht="15" hidden="false" customHeight="false" outlineLevel="0" collapsed="false">
      <c r="A243" s="18" t="n">
        <v>242</v>
      </c>
      <c r="B243" s="18"/>
      <c r="C243" s="18"/>
      <c r="D243" s="18"/>
      <c r="E243" s="18" t="s">
        <v>549</v>
      </c>
      <c r="F243" s="18" t="s">
        <v>550</v>
      </c>
      <c r="G243" s="18" t="s">
        <v>71</v>
      </c>
      <c r="H243" s="18" t="n">
        <v>122</v>
      </c>
      <c r="I243" s="19" t="n">
        <v>0</v>
      </c>
      <c r="J243" s="19" t="n">
        <v>1001</v>
      </c>
      <c r="K243" s="19" t="n">
        <v>1001</v>
      </c>
      <c r="L243" s="19" t="n">
        <v>0</v>
      </c>
      <c r="M243" s="19" t="n">
        <f aca="false">ABS(L243)</f>
        <v>0</v>
      </c>
      <c r="N243" s="18" t="str">
        <f aca="false">IF(L243=0,"Nil balance",IF(G243="AR file",IF(L243&gt;0,"Accounts Receivable","Customer Advances"),IF(L243&lt;0,"Accounts Payable","Supplier Advances")))</f>
        <v>Nil balance</v>
      </c>
      <c r="O243" s="18" t="str">
        <f aca="false">IF(L243=0,"Excluded",IF(Summary!$C$4="By ledger",IF(G243="AR file","Population 1","Population 2"),IF(L243&gt;0,"Population 1","Population 2")))</f>
        <v>Excluded</v>
      </c>
      <c r="P243" s="18" t="str">
        <f aca="false">IF(O243="Excluded","Excluded – nil closing balance",IF(M243&gt;Summary!$C$5,"Above Materiality","Below Materiality"))</f>
        <v>Excluded – nil closing balance</v>
      </c>
      <c r="Q243" s="20" t="str">
        <f aca="false">IF(P243="Below Materiality",T243,"")</f>
        <v/>
      </c>
      <c r="R243" s="21" t="str">
        <f aca="false">IF(P243="Above Materiality",COUNTIFS($O$2:$O$1092,O243,$P$2:$P$1092,"Above Materiality",$M$2:$M$1092,"&gt;"&amp;M243)+COUNTIFS($O$2:$O$1092,O243,$P$2:$P$1092,"Above Materiality",$M$2:$M$1092,M243,$A$2:$A$1092,"&lt;"&amp;A243)+1,"")</f>
        <v/>
      </c>
      <c r="S243" s="21" t="str">
        <f aca="false">IF(P243&lt;&gt;"Below Materiality","",IF(Summary!$C$9="Random",COUNTIFS($O$2:$O$1092,O243,$Q$2:$Q$1092,"&gt;"&amp;Q243)+1,COUNTIFS($O$2:$O$1092,O243,$P$2:$P$1092,"Below Materiality",$M$2:$M$1092,"&gt;"&amp;M243)+COUNTIFS($O$2:$O$1092,O243,$P$2:$P$1092,"Below Materiality",$M$2:$M$1092,M243,$A$2:$A$1092,"&lt;"&amp;A243)+1))</f>
        <v/>
      </c>
      <c r="T243" s="22"/>
      <c r="U243" s="21" t="str">
        <f aca="false">IF(R243="","",O243&amp;"|A|"&amp;R243)</f>
        <v/>
      </c>
      <c r="V243" s="21" t="str">
        <f aca="false">IF(S243="","",O243&amp;"|R|"&amp;S243)</f>
        <v/>
      </c>
    </row>
    <row r="244" customFormat="false" ht="15" hidden="false" customHeight="false" outlineLevel="0" collapsed="false">
      <c r="A244" s="18" t="n">
        <v>243</v>
      </c>
      <c r="B244" s="18"/>
      <c r="C244" s="18"/>
      <c r="D244" s="18"/>
      <c r="E244" s="18" t="s">
        <v>551</v>
      </c>
      <c r="F244" s="18" t="s">
        <v>552</v>
      </c>
      <c r="G244" s="18" t="s">
        <v>71</v>
      </c>
      <c r="H244" s="18" t="n">
        <v>123</v>
      </c>
      <c r="I244" s="19" t="n">
        <v>0</v>
      </c>
      <c r="J244" s="19" t="n">
        <v>7000</v>
      </c>
      <c r="K244" s="19" t="n">
        <v>7000</v>
      </c>
      <c r="L244" s="19" t="n">
        <v>0</v>
      </c>
      <c r="M244" s="19" t="n">
        <f aca="false">ABS(L244)</f>
        <v>0</v>
      </c>
      <c r="N244" s="18" t="str">
        <f aca="false">IF(L244=0,"Nil balance",IF(G244="AR file",IF(L244&gt;0,"Accounts Receivable","Customer Advances"),IF(L244&lt;0,"Accounts Payable","Supplier Advances")))</f>
        <v>Nil balance</v>
      </c>
      <c r="O244" s="18" t="str">
        <f aca="false">IF(L244=0,"Excluded",IF(Summary!$C$4="By ledger",IF(G244="AR file","Population 1","Population 2"),IF(L244&gt;0,"Population 1","Population 2")))</f>
        <v>Excluded</v>
      </c>
      <c r="P244" s="18" t="str">
        <f aca="false">IF(O244="Excluded","Excluded – nil closing balance",IF(M244&gt;Summary!$C$5,"Above Materiality","Below Materiality"))</f>
        <v>Excluded – nil closing balance</v>
      </c>
      <c r="Q244" s="20" t="str">
        <f aca="false">IF(P244="Below Materiality",T244,"")</f>
        <v/>
      </c>
      <c r="R244" s="21" t="str">
        <f aca="false">IF(P244="Above Materiality",COUNTIFS($O$2:$O$1092,O244,$P$2:$P$1092,"Above Materiality",$M$2:$M$1092,"&gt;"&amp;M244)+COUNTIFS($O$2:$O$1092,O244,$P$2:$P$1092,"Above Materiality",$M$2:$M$1092,M244,$A$2:$A$1092,"&lt;"&amp;A244)+1,"")</f>
        <v/>
      </c>
      <c r="S244" s="21" t="str">
        <f aca="false">IF(P244&lt;&gt;"Below Materiality","",IF(Summary!$C$9="Random",COUNTIFS($O$2:$O$1092,O244,$Q$2:$Q$1092,"&gt;"&amp;Q244)+1,COUNTIFS($O$2:$O$1092,O244,$P$2:$P$1092,"Below Materiality",$M$2:$M$1092,"&gt;"&amp;M244)+COUNTIFS($O$2:$O$1092,O244,$P$2:$P$1092,"Below Materiality",$M$2:$M$1092,M244,$A$2:$A$1092,"&lt;"&amp;A244)+1))</f>
        <v/>
      </c>
      <c r="T244" s="22"/>
      <c r="U244" s="21" t="str">
        <f aca="false">IF(R244="","",O244&amp;"|A|"&amp;R244)</f>
        <v/>
      </c>
      <c r="V244" s="21" t="str">
        <f aca="false">IF(S244="","",O244&amp;"|R|"&amp;S244)</f>
        <v/>
      </c>
    </row>
    <row r="245" customFormat="false" ht="15" hidden="false" customHeight="false" outlineLevel="0" collapsed="false">
      <c r="A245" s="18" t="n">
        <v>244</v>
      </c>
      <c r="B245" s="18"/>
      <c r="C245" s="18"/>
      <c r="D245" s="18"/>
      <c r="E245" s="18" t="s">
        <v>553</v>
      </c>
      <c r="F245" s="18" t="s">
        <v>554</v>
      </c>
      <c r="G245" s="18" t="s">
        <v>71</v>
      </c>
      <c r="H245" s="18" t="n">
        <v>124</v>
      </c>
      <c r="I245" s="19" t="n">
        <v>0</v>
      </c>
      <c r="J245" s="19" t="n">
        <v>12055</v>
      </c>
      <c r="K245" s="19" t="n">
        <v>12055</v>
      </c>
      <c r="L245" s="19" t="n">
        <v>0</v>
      </c>
      <c r="M245" s="19" t="n">
        <f aca="false">ABS(L245)</f>
        <v>0</v>
      </c>
      <c r="N245" s="18" t="str">
        <f aca="false">IF(L245=0,"Nil balance",IF(G245="AR file",IF(L245&gt;0,"Accounts Receivable","Customer Advances"),IF(L245&lt;0,"Accounts Payable","Supplier Advances")))</f>
        <v>Nil balance</v>
      </c>
      <c r="O245" s="18" t="str">
        <f aca="false">IF(L245=0,"Excluded",IF(Summary!$C$4="By ledger",IF(G245="AR file","Population 1","Population 2"),IF(L245&gt;0,"Population 1","Population 2")))</f>
        <v>Excluded</v>
      </c>
      <c r="P245" s="18" t="str">
        <f aca="false">IF(O245="Excluded","Excluded – nil closing balance",IF(M245&gt;Summary!$C$5,"Above Materiality","Below Materiality"))</f>
        <v>Excluded – nil closing balance</v>
      </c>
      <c r="Q245" s="20" t="str">
        <f aca="false">IF(P245="Below Materiality",T245,"")</f>
        <v/>
      </c>
      <c r="R245" s="21" t="str">
        <f aca="false">IF(P245="Above Materiality",COUNTIFS($O$2:$O$1092,O245,$P$2:$P$1092,"Above Materiality",$M$2:$M$1092,"&gt;"&amp;M245)+COUNTIFS($O$2:$O$1092,O245,$P$2:$P$1092,"Above Materiality",$M$2:$M$1092,M245,$A$2:$A$1092,"&lt;"&amp;A245)+1,"")</f>
        <v/>
      </c>
      <c r="S245" s="21" t="str">
        <f aca="false">IF(P245&lt;&gt;"Below Materiality","",IF(Summary!$C$9="Random",COUNTIFS($O$2:$O$1092,O245,$Q$2:$Q$1092,"&gt;"&amp;Q245)+1,COUNTIFS($O$2:$O$1092,O245,$P$2:$P$1092,"Below Materiality",$M$2:$M$1092,"&gt;"&amp;M245)+COUNTIFS($O$2:$O$1092,O245,$P$2:$P$1092,"Below Materiality",$M$2:$M$1092,M245,$A$2:$A$1092,"&lt;"&amp;A245)+1))</f>
        <v/>
      </c>
      <c r="T245" s="22"/>
      <c r="U245" s="21" t="str">
        <f aca="false">IF(R245="","",O245&amp;"|A|"&amp;R245)</f>
        <v/>
      </c>
      <c r="V245" s="21" t="str">
        <f aca="false">IF(S245="","",O245&amp;"|R|"&amp;S245)</f>
        <v/>
      </c>
    </row>
    <row r="246" customFormat="false" ht="15" hidden="false" customHeight="false" outlineLevel="0" collapsed="false">
      <c r="A246" s="18" t="n">
        <v>245</v>
      </c>
      <c r="B246" s="18"/>
      <c r="C246" s="18"/>
      <c r="D246" s="18"/>
      <c r="E246" s="18" t="s">
        <v>555</v>
      </c>
      <c r="F246" s="18" t="s">
        <v>417</v>
      </c>
      <c r="G246" s="18" t="s">
        <v>71</v>
      </c>
      <c r="H246" s="18" t="n">
        <v>125</v>
      </c>
      <c r="I246" s="19" t="n">
        <v>0</v>
      </c>
      <c r="J246" s="19" t="n">
        <v>276</v>
      </c>
      <c r="K246" s="19" t="n">
        <v>276</v>
      </c>
      <c r="L246" s="19" t="n">
        <v>0</v>
      </c>
      <c r="M246" s="19" t="n">
        <f aca="false">ABS(L246)</f>
        <v>0</v>
      </c>
      <c r="N246" s="18" t="str">
        <f aca="false">IF(L246=0,"Nil balance",IF(G246="AR file",IF(L246&gt;0,"Accounts Receivable","Customer Advances"),IF(L246&lt;0,"Accounts Payable","Supplier Advances")))</f>
        <v>Nil balance</v>
      </c>
      <c r="O246" s="18" t="str">
        <f aca="false">IF(L246=0,"Excluded",IF(Summary!$C$4="By ledger",IF(G246="AR file","Population 1","Population 2"),IF(L246&gt;0,"Population 1","Population 2")))</f>
        <v>Excluded</v>
      </c>
      <c r="P246" s="18" t="str">
        <f aca="false">IF(O246="Excluded","Excluded – nil closing balance",IF(M246&gt;Summary!$C$5,"Above Materiality","Below Materiality"))</f>
        <v>Excluded – nil closing balance</v>
      </c>
      <c r="Q246" s="20" t="str">
        <f aca="false">IF(P246="Below Materiality",T246,"")</f>
        <v/>
      </c>
      <c r="R246" s="21" t="str">
        <f aca="false">IF(P246="Above Materiality",COUNTIFS($O$2:$O$1092,O246,$P$2:$P$1092,"Above Materiality",$M$2:$M$1092,"&gt;"&amp;M246)+COUNTIFS($O$2:$O$1092,O246,$P$2:$P$1092,"Above Materiality",$M$2:$M$1092,M246,$A$2:$A$1092,"&lt;"&amp;A246)+1,"")</f>
        <v/>
      </c>
      <c r="S246" s="21" t="str">
        <f aca="false">IF(P246&lt;&gt;"Below Materiality","",IF(Summary!$C$9="Random",COUNTIFS($O$2:$O$1092,O246,$Q$2:$Q$1092,"&gt;"&amp;Q246)+1,COUNTIFS($O$2:$O$1092,O246,$P$2:$P$1092,"Below Materiality",$M$2:$M$1092,"&gt;"&amp;M246)+COUNTIFS($O$2:$O$1092,O246,$P$2:$P$1092,"Below Materiality",$M$2:$M$1092,M246,$A$2:$A$1092,"&lt;"&amp;A246)+1))</f>
        <v/>
      </c>
      <c r="T246" s="22"/>
      <c r="U246" s="21" t="str">
        <f aca="false">IF(R246="","",O246&amp;"|A|"&amp;R246)</f>
        <v/>
      </c>
      <c r="V246" s="21" t="str">
        <f aca="false">IF(S246="","",O246&amp;"|R|"&amp;S246)</f>
        <v/>
      </c>
    </row>
    <row r="247" customFormat="false" ht="15" hidden="false" customHeight="false" outlineLevel="0" collapsed="false">
      <c r="A247" s="18" t="n">
        <v>246</v>
      </c>
      <c r="B247" s="18"/>
      <c r="C247" s="18"/>
      <c r="D247" s="18"/>
      <c r="E247" s="18" t="s">
        <v>556</v>
      </c>
      <c r="F247" s="18" t="s">
        <v>557</v>
      </c>
      <c r="G247" s="18" t="s">
        <v>71</v>
      </c>
      <c r="H247" s="18" t="n">
        <v>126</v>
      </c>
      <c r="I247" s="19" t="n">
        <v>0</v>
      </c>
      <c r="J247" s="19" t="n">
        <v>500.25</v>
      </c>
      <c r="K247" s="19" t="n">
        <v>500.25</v>
      </c>
      <c r="L247" s="19" t="n">
        <v>0</v>
      </c>
      <c r="M247" s="19" t="n">
        <f aca="false">ABS(L247)</f>
        <v>0</v>
      </c>
      <c r="N247" s="18" t="str">
        <f aca="false">IF(L247=0,"Nil balance",IF(G247="AR file",IF(L247&gt;0,"Accounts Receivable","Customer Advances"),IF(L247&lt;0,"Accounts Payable","Supplier Advances")))</f>
        <v>Nil balance</v>
      </c>
      <c r="O247" s="18" t="str">
        <f aca="false">IF(L247=0,"Excluded",IF(Summary!$C$4="By ledger",IF(G247="AR file","Population 1","Population 2"),IF(L247&gt;0,"Population 1","Population 2")))</f>
        <v>Excluded</v>
      </c>
      <c r="P247" s="18" t="str">
        <f aca="false">IF(O247="Excluded","Excluded – nil closing balance",IF(M247&gt;Summary!$C$5,"Above Materiality","Below Materiality"))</f>
        <v>Excluded – nil closing balance</v>
      </c>
      <c r="Q247" s="20" t="str">
        <f aca="false">IF(P247="Below Materiality",T247,"")</f>
        <v/>
      </c>
      <c r="R247" s="21" t="str">
        <f aca="false">IF(P247="Above Materiality",COUNTIFS($O$2:$O$1092,O247,$P$2:$P$1092,"Above Materiality",$M$2:$M$1092,"&gt;"&amp;M247)+COUNTIFS($O$2:$O$1092,O247,$P$2:$P$1092,"Above Materiality",$M$2:$M$1092,M247,$A$2:$A$1092,"&lt;"&amp;A247)+1,"")</f>
        <v/>
      </c>
      <c r="S247" s="21" t="str">
        <f aca="false">IF(P247&lt;&gt;"Below Materiality","",IF(Summary!$C$9="Random",COUNTIFS($O$2:$O$1092,O247,$Q$2:$Q$1092,"&gt;"&amp;Q247)+1,COUNTIFS($O$2:$O$1092,O247,$P$2:$P$1092,"Below Materiality",$M$2:$M$1092,"&gt;"&amp;M247)+COUNTIFS($O$2:$O$1092,O247,$P$2:$P$1092,"Below Materiality",$M$2:$M$1092,M247,$A$2:$A$1092,"&lt;"&amp;A247)+1))</f>
        <v/>
      </c>
      <c r="T247" s="22"/>
      <c r="U247" s="21" t="str">
        <f aca="false">IF(R247="","",O247&amp;"|A|"&amp;R247)</f>
        <v/>
      </c>
      <c r="V247" s="21" t="str">
        <f aca="false">IF(S247="","",O247&amp;"|R|"&amp;S247)</f>
        <v/>
      </c>
    </row>
    <row r="248" customFormat="false" ht="15" hidden="false" customHeight="false" outlineLevel="0" collapsed="false">
      <c r="A248" s="18" t="n">
        <v>247</v>
      </c>
      <c r="B248" s="18"/>
      <c r="C248" s="18"/>
      <c r="D248" s="18"/>
      <c r="E248" s="18" t="s">
        <v>558</v>
      </c>
      <c r="F248" s="18" t="s">
        <v>559</v>
      </c>
      <c r="G248" s="18" t="s">
        <v>71</v>
      </c>
      <c r="H248" s="18" t="n">
        <v>127</v>
      </c>
      <c r="I248" s="19" t="n">
        <v>0</v>
      </c>
      <c r="J248" s="19" t="n">
        <v>2484</v>
      </c>
      <c r="K248" s="19" t="n">
        <v>2484</v>
      </c>
      <c r="L248" s="19" t="n">
        <v>0</v>
      </c>
      <c r="M248" s="19" t="n">
        <f aca="false">ABS(L248)</f>
        <v>0</v>
      </c>
      <c r="N248" s="18" t="str">
        <f aca="false">IF(L248=0,"Nil balance",IF(G248="AR file",IF(L248&gt;0,"Accounts Receivable","Customer Advances"),IF(L248&lt;0,"Accounts Payable","Supplier Advances")))</f>
        <v>Nil balance</v>
      </c>
      <c r="O248" s="18" t="str">
        <f aca="false">IF(L248=0,"Excluded",IF(Summary!$C$4="By ledger",IF(G248="AR file","Population 1","Population 2"),IF(L248&gt;0,"Population 1","Population 2")))</f>
        <v>Excluded</v>
      </c>
      <c r="P248" s="18" t="str">
        <f aca="false">IF(O248="Excluded","Excluded – nil closing balance",IF(M248&gt;Summary!$C$5,"Above Materiality","Below Materiality"))</f>
        <v>Excluded – nil closing balance</v>
      </c>
      <c r="Q248" s="20" t="str">
        <f aca="false">IF(P248="Below Materiality",T248,"")</f>
        <v/>
      </c>
      <c r="R248" s="21" t="str">
        <f aca="false">IF(P248="Above Materiality",COUNTIFS($O$2:$O$1092,O248,$P$2:$P$1092,"Above Materiality",$M$2:$M$1092,"&gt;"&amp;M248)+COUNTIFS($O$2:$O$1092,O248,$P$2:$P$1092,"Above Materiality",$M$2:$M$1092,M248,$A$2:$A$1092,"&lt;"&amp;A248)+1,"")</f>
        <v/>
      </c>
      <c r="S248" s="21" t="str">
        <f aca="false">IF(P248&lt;&gt;"Below Materiality","",IF(Summary!$C$9="Random",COUNTIFS($O$2:$O$1092,O248,$Q$2:$Q$1092,"&gt;"&amp;Q248)+1,COUNTIFS($O$2:$O$1092,O248,$P$2:$P$1092,"Below Materiality",$M$2:$M$1092,"&gt;"&amp;M248)+COUNTIFS($O$2:$O$1092,O248,$P$2:$P$1092,"Below Materiality",$M$2:$M$1092,M248,$A$2:$A$1092,"&lt;"&amp;A248)+1))</f>
        <v/>
      </c>
      <c r="T248" s="22"/>
      <c r="U248" s="21" t="str">
        <f aca="false">IF(R248="","",O248&amp;"|A|"&amp;R248)</f>
        <v/>
      </c>
      <c r="V248" s="21" t="str">
        <f aca="false">IF(S248="","",O248&amp;"|R|"&amp;S248)</f>
        <v/>
      </c>
    </row>
    <row r="249" customFormat="false" ht="15" hidden="false" customHeight="false" outlineLevel="0" collapsed="false">
      <c r="A249" s="18" t="n">
        <v>248</v>
      </c>
      <c r="B249" s="18"/>
      <c r="C249" s="18"/>
      <c r="D249" s="18"/>
      <c r="E249" s="18" t="s">
        <v>560</v>
      </c>
      <c r="F249" s="18" t="s">
        <v>561</v>
      </c>
      <c r="G249" s="18" t="s">
        <v>71</v>
      </c>
      <c r="H249" s="18" t="n">
        <v>128</v>
      </c>
      <c r="I249" s="19" t="n">
        <v>0</v>
      </c>
      <c r="J249" s="19" t="n">
        <v>19124.5</v>
      </c>
      <c r="K249" s="19" t="n">
        <v>19124.5</v>
      </c>
      <c r="L249" s="19" t="n">
        <v>0</v>
      </c>
      <c r="M249" s="19" t="n">
        <f aca="false">ABS(L249)</f>
        <v>0</v>
      </c>
      <c r="N249" s="18" t="str">
        <f aca="false">IF(L249=0,"Nil balance",IF(G249="AR file",IF(L249&gt;0,"Accounts Receivable","Customer Advances"),IF(L249&lt;0,"Accounts Payable","Supplier Advances")))</f>
        <v>Nil balance</v>
      </c>
      <c r="O249" s="18" t="str">
        <f aca="false">IF(L249=0,"Excluded",IF(Summary!$C$4="By ledger",IF(G249="AR file","Population 1","Population 2"),IF(L249&gt;0,"Population 1","Population 2")))</f>
        <v>Excluded</v>
      </c>
      <c r="P249" s="18" t="str">
        <f aca="false">IF(O249="Excluded","Excluded – nil closing balance",IF(M249&gt;Summary!$C$5,"Above Materiality","Below Materiality"))</f>
        <v>Excluded – nil closing balance</v>
      </c>
      <c r="Q249" s="20" t="str">
        <f aca="false">IF(P249="Below Materiality",T249,"")</f>
        <v/>
      </c>
      <c r="R249" s="21" t="str">
        <f aca="false">IF(P249="Above Materiality",COUNTIFS($O$2:$O$1092,O249,$P$2:$P$1092,"Above Materiality",$M$2:$M$1092,"&gt;"&amp;M249)+COUNTIFS($O$2:$O$1092,O249,$P$2:$P$1092,"Above Materiality",$M$2:$M$1092,M249,$A$2:$A$1092,"&lt;"&amp;A249)+1,"")</f>
        <v/>
      </c>
      <c r="S249" s="21" t="str">
        <f aca="false">IF(P249&lt;&gt;"Below Materiality","",IF(Summary!$C$9="Random",COUNTIFS($O$2:$O$1092,O249,$Q$2:$Q$1092,"&gt;"&amp;Q249)+1,COUNTIFS($O$2:$O$1092,O249,$P$2:$P$1092,"Below Materiality",$M$2:$M$1092,"&gt;"&amp;M249)+COUNTIFS($O$2:$O$1092,O249,$P$2:$P$1092,"Below Materiality",$M$2:$M$1092,M249,$A$2:$A$1092,"&lt;"&amp;A249)+1))</f>
        <v/>
      </c>
      <c r="T249" s="22"/>
      <c r="U249" s="21" t="str">
        <f aca="false">IF(R249="","",O249&amp;"|A|"&amp;R249)</f>
        <v/>
      </c>
      <c r="V249" s="21" t="str">
        <f aca="false">IF(S249="","",O249&amp;"|R|"&amp;S249)</f>
        <v/>
      </c>
    </row>
    <row r="250" customFormat="false" ht="15" hidden="false" customHeight="false" outlineLevel="0" collapsed="false">
      <c r="A250" s="18" t="n">
        <v>249</v>
      </c>
      <c r="B250" s="18"/>
      <c r="C250" s="18"/>
      <c r="D250" s="18"/>
      <c r="E250" s="18" t="s">
        <v>562</v>
      </c>
      <c r="F250" s="18" t="s">
        <v>563</v>
      </c>
      <c r="G250" s="18" t="s">
        <v>71</v>
      </c>
      <c r="H250" s="18" t="n">
        <v>130</v>
      </c>
      <c r="I250" s="19" t="n">
        <v>0</v>
      </c>
      <c r="J250" s="19" t="n">
        <v>1092.51</v>
      </c>
      <c r="K250" s="19" t="n">
        <v>1092.51</v>
      </c>
      <c r="L250" s="19" t="n">
        <v>0</v>
      </c>
      <c r="M250" s="19" t="n">
        <f aca="false">ABS(L250)</f>
        <v>0</v>
      </c>
      <c r="N250" s="18" t="str">
        <f aca="false">IF(L250=0,"Nil balance",IF(G250="AR file",IF(L250&gt;0,"Accounts Receivable","Customer Advances"),IF(L250&lt;0,"Accounts Payable","Supplier Advances")))</f>
        <v>Nil balance</v>
      </c>
      <c r="O250" s="18" t="str">
        <f aca="false">IF(L250=0,"Excluded",IF(Summary!$C$4="By ledger",IF(G250="AR file","Population 1","Population 2"),IF(L250&gt;0,"Population 1","Population 2")))</f>
        <v>Excluded</v>
      </c>
      <c r="P250" s="18" t="str">
        <f aca="false">IF(O250="Excluded","Excluded – nil closing balance",IF(M250&gt;Summary!$C$5,"Above Materiality","Below Materiality"))</f>
        <v>Excluded – nil closing balance</v>
      </c>
      <c r="Q250" s="20" t="str">
        <f aca="false">IF(P250="Below Materiality",T250,"")</f>
        <v/>
      </c>
      <c r="R250" s="21" t="str">
        <f aca="false">IF(P250="Above Materiality",COUNTIFS($O$2:$O$1092,O250,$P$2:$P$1092,"Above Materiality",$M$2:$M$1092,"&gt;"&amp;M250)+COUNTIFS($O$2:$O$1092,O250,$P$2:$P$1092,"Above Materiality",$M$2:$M$1092,M250,$A$2:$A$1092,"&lt;"&amp;A250)+1,"")</f>
        <v/>
      </c>
      <c r="S250" s="21" t="str">
        <f aca="false">IF(P250&lt;&gt;"Below Materiality","",IF(Summary!$C$9="Random",COUNTIFS($O$2:$O$1092,O250,$Q$2:$Q$1092,"&gt;"&amp;Q250)+1,COUNTIFS($O$2:$O$1092,O250,$P$2:$P$1092,"Below Materiality",$M$2:$M$1092,"&gt;"&amp;M250)+COUNTIFS($O$2:$O$1092,O250,$P$2:$P$1092,"Below Materiality",$M$2:$M$1092,M250,$A$2:$A$1092,"&lt;"&amp;A250)+1))</f>
        <v/>
      </c>
      <c r="T250" s="22"/>
      <c r="U250" s="21" t="str">
        <f aca="false">IF(R250="","",O250&amp;"|A|"&amp;R250)</f>
        <v/>
      </c>
      <c r="V250" s="21" t="str">
        <f aca="false">IF(S250="","",O250&amp;"|R|"&amp;S250)</f>
        <v/>
      </c>
    </row>
    <row r="251" customFormat="false" ht="15" hidden="false" customHeight="false" outlineLevel="0" collapsed="false">
      <c r="A251" s="18" t="n">
        <v>250</v>
      </c>
      <c r="B251" s="18"/>
      <c r="C251" s="18"/>
      <c r="D251" s="18"/>
      <c r="E251" s="18" t="s">
        <v>564</v>
      </c>
      <c r="F251" s="18" t="s">
        <v>565</v>
      </c>
      <c r="G251" s="18" t="s">
        <v>71</v>
      </c>
      <c r="H251" s="18" t="n">
        <v>131</v>
      </c>
      <c r="I251" s="19" t="n">
        <v>0</v>
      </c>
      <c r="J251" s="19" t="n">
        <v>21792.5</v>
      </c>
      <c r="K251" s="19" t="n">
        <v>21792.5</v>
      </c>
      <c r="L251" s="19" t="n">
        <v>0</v>
      </c>
      <c r="M251" s="19" t="n">
        <f aca="false">ABS(L251)</f>
        <v>0</v>
      </c>
      <c r="N251" s="18" t="str">
        <f aca="false">IF(L251=0,"Nil balance",IF(G251="AR file",IF(L251&gt;0,"Accounts Receivable","Customer Advances"),IF(L251&lt;0,"Accounts Payable","Supplier Advances")))</f>
        <v>Nil balance</v>
      </c>
      <c r="O251" s="18" t="str">
        <f aca="false">IF(L251=0,"Excluded",IF(Summary!$C$4="By ledger",IF(G251="AR file","Population 1","Population 2"),IF(L251&gt;0,"Population 1","Population 2")))</f>
        <v>Excluded</v>
      </c>
      <c r="P251" s="18" t="str">
        <f aca="false">IF(O251="Excluded","Excluded – nil closing balance",IF(M251&gt;Summary!$C$5,"Above Materiality","Below Materiality"))</f>
        <v>Excluded – nil closing balance</v>
      </c>
      <c r="Q251" s="20" t="str">
        <f aca="false">IF(P251="Below Materiality",T251,"")</f>
        <v/>
      </c>
      <c r="R251" s="21" t="str">
        <f aca="false">IF(P251="Above Materiality",COUNTIFS($O$2:$O$1092,O251,$P$2:$P$1092,"Above Materiality",$M$2:$M$1092,"&gt;"&amp;M251)+COUNTIFS($O$2:$O$1092,O251,$P$2:$P$1092,"Above Materiality",$M$2:$M$1092,M251,$A$2:$A$1092,"&lt;"&amp;A251)+1,"")</f>
        <v/>
      </c>
      <c r="S251" s="21" t="str">
        <f aca="false">IF(P251&lt;&gt;"Below Materiality","",IF(Summary!$C$9="Random",COUNTIFS($O$2:$O$1092,O251,$Q$2:$Q$1092,"&gt;"&amp;Q251)+1,COUNTIFS($O$2:$O$1092,O251,$P$2:$P$1092,"Below Materiality",$M$2:$M$1092,"&gt;"&amp;M251)+COUNTIFS($O$2:$O$1092,O251,$P$2:$P$1092,"Below Materiality",$M$2:$M$1092,M251,$A$2:$A$1092,"&lt;"&amp;A251)+1))</f>
        <v/>
      </c>
      <c r="T251" s="22"/>
      <c r="U251" s="21" t="str">
        <f aca="false">IF(R251="","",O251&amp;"|A|"&amp;R251)</f>
        <v/>
      </c>
      <c r="V251" s="21" t="str">
        <f aca="false">IF(S251="","",O251&amp;"|R|"&amp;S251)</f>
        <v/>
      </c>
    </row>
    <row r="252" customFormat="false" ht="15" hidden="false" customHeight="false" outlineLevel="0" collapsed="false">
      <c r="A252" s="18" t="n">
        <v>251</v>
      </c>
      <c r="B252" s="18"/>
      <c r="C252" s="18"/>
      <c r="D252" s="18"/>
      <c r="E252" s="18" t="s">
        <v>566</v>
      </c>
      <c r="F252" s="18" t="s">
        <v>567</v>
      </c>
      <c r="G252" s="18" t="s">
        <v>71</v>
      </c>
      <c r="H252" s="18" t="n">
        <v>132</v>
      </c>
      <c r="I252" s="19" t="n">
        <v>0</v>
      </c>
      <c r="J252" s="19" t="n">
        <v>1719.25</v>
      </c>
      <c r="K252" s="19" t="n">
        <v>1719.25</v>
      </c>
      <c r="L252" s="19" t="n">
        <v>0</v>
      </c>
      <c r="M252" s="19" t="n">
        <f aca="false">ABS(L252)</f>
        <v>0</v>
      </c>
      <c r="N252" s="18" t="str">
        <f aca="false">IF(L252=0,"Nil balance",IF(G252="AR file",IF(L252&gt;0,"Accounts Receivable","Customer Advances"),IF(L252&lt;0,"Accounts Payable","Supplier Advances")))</f>
        <v>Nil balance</v>
      </c>
      <c r="O252" s="18" t="str">
        <f aca="false">IF(L252=0,"Excluded",IF(Summary!$C$4="By ledger",IF(G252="AR file","Population 1","Population 2"),IF(L252&gt;0,"Population 1","Population 2")))</f>
        <v>Excluded</v>
      </c>
      <c r="P252" s="18" t="str">
        <f aca="false">IF(O252="Excluded","Excluded – nil closing balance",IF(M252&gt;Summary!$C$5,"Above Materiality","Below Materiality"))</f>
        <v>Excluded – nil closing balance</v>
      </c>
      <c r="Q252" s="20" t="str">
        <f aca="false">IF(P252="Below Materiality",T252,"")</f>
        <v/>
      </c>
      <c r="R252" s="21" t="str">
        <f aca="false">IF(P252="Above Materiality",COUNTIFS($O$2:$O$1092,O252,$P$2:$P$1092,"Above Materiality",$M$2:$M$1092,"&gt;"&amp;M252)+COUNTIFS($O$2:$O$1092,O252,$P$2:$P$1092,"Above Materiality",$M$2:$M$1092,M252,$A$2:$A$1092,"&lt;"&amp;A252)+1,"")</f>
        <v/>
      </c>
      <c r="S252" s="21" t="str">
        <f aca="false">IF(P252&lt;&gt;"Below Materiality","",IF(Summary!$C$9="Random",COUNTIFS($O$2:$O$1092,O252,$Q$2:$Q$1092,"&gt;"&amp;Q252)+1,COUNTIFS($O$2:$O$1092,O252,$P$2:$P$1092,"Below Materiality",$M$2:$M$1092,"&gt;"&amp;M252)+COUNTIFS($O$2:$O$1092,O252,$P$2:$P$1092,"Below Materiality",$M$2:$M$1092,M252,$A$2:$A$1092,"&lt;"&amp;A252)+1))</f>
        <v/>
      </c>
      <c r="T252" s="22"/>
      <c r="U252" s="21" t="str">
        <f aca="false">IF(R252="","",O252&amp;"|A|"&amp;R252)</f>
        <v/>
      </c>
      <c r="V252" s="21" t="str">
        <f aca="false">IF(S252="","",O252&amp;"|R|"&amp;S252)</f>
        <v/>
      </c>
    </row>
    <row r="253" customFormat="false" ht="15" hidden="false" customHeight="false" outlineLevel="0" collapsed="false">
      <c r="A253" s="18" t="n">
        <v>252</v>
      </c>
      <c r="B253" s="18"/>
      <c r="C253" s="18"/>
      <c r="D253" s="18"/>
      <c r="E253" s="18" t="s">
        <v>568</v>
      </c>
      <c r="F253" s="18" t="s">
        <v>569</v>
      </c>
      <c r="G253" s="18" t="s">
        <v>71</v>
      </c>
      <c r="H253" s="18" t="n">
        <v>133</v>
      </c>
      <c r="I253" s="19" t="n">
        <v>0</v>
      </c>
      <c r="J253" s="19" t="n">
        <v>19550</v>
      </c>
      <c r="K253" s="19" t="n">
        <v>19550</v>
      </c>
      <c r="L253" s="19" t="n">
        <v>0</v>
      </c>
      <c r="M253" s="19" t="n">
        <f aca="false">ABS(L253)</f>
        <v>0</v>
      </c>
      <c r="N253" s="18" t="str">
        <f aca="false">IF(L253=0,"Nil balance",IF(G253="AR file",IF(L253&gt;0,"Accounts Receivable","Customer Advances"),IF(L253&lt;0,"Accounts Payable","Supplier Advances")))</f>
        <v>Nil balance</v>
      </c>
      <c r="O253" s="18" t="str">
        <f aca="false">IF(L253=0,"Excluded",IF(Summary!$C$4="By ledger",IF(G253="AR file","Population 1","Population 2"),IF(L253&gt;0,"Population 1","Population 2")))</f>
        <v>Excluded</v>
      </c>
      <c r="P253" s="18" t="str">
        <f aca="false">IF(O253="Excluded","Excluded – nil closing balance",IF(M253&gt;Summary!$C$5,"Above Materiality","Below Materiality"))</f>
        <v>Excluded – nil closing balance</v>
      </c>
      <c r="Q253" s="20" t="str">
        <f aca="false">IF(P253="Below Materiality",T253,"")</f>
        <v/>
      </c>
      <c r="R253" s="21" t="str">
        <f aca="false">IF(P253="Above Materiality",COUNTIFS($O$2:$O$1092,O253,$P$2:$P$1092,"Above Materiality",$M$2:$M$1092,"&gt;"&amp;M253)+COUNTIFS($O$2:$O$1092,O253,$P$2:$P$1092,"Above Materiality",$M$2:$M$1092,M253,$A$2:$A$1092,"&lt;"&amp;A253)+1,"")</f>
        <v/>
      </c>
      <c r="S253" s="21" t="str">
        <f aca="false">IF(P253&lt;&gt;"Below Materiality","",IF(Summary!$C$9="Random",COUNTIFS($O$2:$O$1092,O253,$Q$2:$Q$1092,"&gt;"&amp;Q253)+1,COUNTIFS($O$2:$O$1092,O253,$P$2:$P$1092,"Below Materiality",$M$2:$M$1092,"&gt;"&amp;M253)+COUNTIFS($O$2:$O$1092,O253,$P$2:$P$1092,"Below Materiality",$M$2:$M$1092,M253,$A$2:$A$1092,"&lt;"&amp;A253)+1))</f>
        <v/>
      </c>
      <c r="T253" s="22"/>
      <c r="U253" s="21" t="str">
        <f aca="false">IF(R253="","",O253&amp;"|A|"&amp;R253)</f>
        <v/>
      </c>
      <c r="V253" s="21" t="str">
        <f aca="false">IF(S253="","",O253&amp;"|R|"&amp;S253)</f>
        <v/>
      </c>
    </row>
    <row r="254" customFormat="false" ht="15" hidden="false" customHeight="false" outlineLevel="0" collapsed="false">
      <c r="A254" s="18" t="n">
        <v>253</v>
      </c>
      <c r="B254" s="18"/>
      <c r="C254" s="18"/>
      <c r="D254" s="18"/>
      <c r="E254" s="18" t="s">
        <v>570</v>
      </c>
      <c r="F254" s="18" t="s">
        <v>571</v>
      </c>
      <c r="G254" s="18" t="s">
        <v>71</v>
      </c>
      <c r="H254" s="18" t="n">
        <v>134</v>
      </c>
      <c r="I254" s="19" t="n">
        <v>0</v>
      </c>
      <c r="J254" s="19" t="n">
        <v>20806.29</v>
      </c>
      <c r="K254" s="19" t="n">
        <v>20806.29</v>
      </c>
      <c r="L254" s="19" t="n">
        <v>0</v>
      </c>
      <c r="M254" s="19" t="n">
        <f aca="false">ABS(L254)</f>
        <v>0</v>
      </c>
      <c r="N254" s="18" t="str">
        <f aca="false">IF(L254=0,"Nil balance",IF(G254="AR file",IF(L254&gt;0,"Accounts Receivable","Customer Advances"),IF(L254&lt;0,"Accounts Payable","Supplier Advances")))</f>
        <v>Nil balance</v>
      </c>
      <c r="O254" s="18" t="str">
        <f aca="false">IF(L254=0,"Excluded",IF(Summary!$C$4="By ledger",IF(G254="AR file","Population 1","Population 2"),IF(L254&gt;0,"Population 1","Population 2")))</f>
        <v>Excluded</v>
      </c>
      <c r="P254" s="18" t="str">
        <f aca="false">IF(O254="Excluded","Excluded – nil closing balance",IF(M254&gt;Summary!$C$5,"Above Materiality","Below Materiality"))</f>
        <v>Excluded – nil closing balance</v>
      </c>
      <c r="Q254" s="20" t="str">
        <f aca="false">IF(P254="Below Materiality",T254,"")</f>
        <v/>
      </c>
      <c r="R254" s="21" t="str">
        <f aca="false">IF(P254="Above Materiality",COUNTIFS($O$2:$O$1092,O254,$P$2:$P$1092,"Above Materiality",$M$2:$M$1092,"&gt;"&amp;M254)+COUNTIFS($O$2:$O$1092,O254,$P$2:$P$1092,"Above Materiality",$M$2:$M$1092,M254,$A$2:$A$1092,"&lt;"&amp;A254)+1,"")</f>
        <v/>
      </c>
      <c r="S254" s="21" t="str">
        <f aca="false">IF(P254&lt;&gt;"Below Materiality","",IF(Summary!$C$9="Random",COUNTIFS($O$2:$O$1092,O254,$Q$2:$Q$1092,"&gt;"&amp;Q254)+1,COUNTIFS($O$2:$O$1092,O254,$P$2:$P$1092,"Below Materiality",$M$2:$M$1092,"&gt;"&amp;M254)+COUNTIFS($O$2:$O$1092,O254,$P$2:$P$1092,"Below Materiality",$M$2:$M$1092,M254,$A$2:$A$1092,"&lt;"&amp;A254)+1))</f>
        <v/>
      </c>
      <c r="T254" s="22"/>
      <c r="U254" s="21" t="str">
        <f aca="false">IF(R254="","",O254&amp;"|A|"&amp;R254)</f>
        <v/>
      </c>
      <c r="V254" s="21" t="str">
        <f aca="false">IF(S254="","",O254&amp;"|R|"&amp;S254)</f>
        <v/>
      </c>
    </row>
    <row r="255" customFormat="false" ht="15" hidden="false" customHeight="false" outlineLevel="0" collapsed="false">
      <c r="A255" s="18" t="n">
        <v>254</v>
      </c>
      <c r="B255" s="18"/>
      <c r="C255" s="18"/>
      <c r="D255" s="18"/>
      <c r="E255" s="18" t="s">
        <v>572</v>
      </c>
      <c r="F255" s="18" t="s">
        <v>573</v>
      </c>
      <c r="G255" s="18" t="s">
        <v>71</v>
      </c>
      <c r="H255" s="18" t="n">
        <v>135</v>
      </c>
      <c r="I255" s="19" t="n">
        <v>0</v>
      </c>
      <c r="J255" s="19" t="n">
        <v>86.25</v>
      </c>
      <c r="K255" s="19" t="n">
        <v>86.25</v>
      </c>
      <c r="L255" s="19" t="n">
        <v>0</v>
      </c>
      <c r="M255" s="19" t="n">
        <f aca="false">ABS(L255)</f>
        <v>0</v>
      </c>
      <c r="N255" s="18" t="str">
        <f aca="false">IF(L255=0,"Nil balance",IF(G255="AR file",IF(L255&gt;0,"Accounts Receivable","Customer Advances"),IF(L255&lt;0,"Accounts Payable","Supplier Advances")))</f>
        <v>Nil balance</v>
      </c>
      <c r="O255" s="18" t="str">
        <f aca="false">IF(L255=0,"Excluded",IF(Summary!$C$4="By ledger",IF(G255="AR file","Population 1","Population 2"),IF(L255&gt;0,"Population 1","Population 2")))</f>
        <v>Excluded</v>
      </c>
      <c r="P255" s="18" t="str">
        <f aca="false">IF(O255="Excluded","Excluded – nil closing balance",IF(M255&gt;Summary!$C$5,"Above Materiality","Below Materiality"))</f>
        <v>Excluded – nil closing balance</v>
      </c>
      <c r="Q255" s="20" t="str">
        <f aca="false">IF(P255="Below Materiality",T255,"")</f>
        <v/>
      </c>
      <c r="R255" s="21" t="str">
        <f aca="false">IF(P255="Above Materiality",COUNTIFS($O$2:$O$1092,O255,$P$2:$P$1092,"Above Materiality",$M$2:$M$1092,"&gt;"&amp;M255)+COUNTIFS($O$2:$O$1092,O255,$P$2:$P$1092,"Above Materiality",$M$2:$M$1092,M255,$A$2:$A$1092,"&lt;"&amp;A255)+1,"")</f>
        <v/>
      </c>
      <c r="S255" s="21" t="str">
        <f aca="false">IF(P255&lt;&gt;"Below Materiality","",IF(Summary!$C$9="Random",COUNTIFS($O$2:$O$1092,O255,$Q$2:$Q$1092,"&gt;"&amp;Q255)+1,COUNTIFS($O$2:$O$1092,O255,$P$2:$P$1092,"Below Materiality",$M$2:$M$1092,"&gt;"&amp;M255)+COUNTIFS($O$2:$O$1092,O255,$P$2:$P$1092,"Below Materiality",$M$2:$M$1092,M255,$A$2:$A$1092,"&lt;"&amp;A255)+1))</f>
        <v/>
      </c>
      <c r="T255" s="22"/>
      <c r="U255" s="21" t="str">
        <f aca="false">IF(R255="","",O255&amp;"|A|"&amp;R255)</f>
        <v/>
      </c>
      <c r="V255" s="21" t="str">
        <f aca="false">IF(S255="","",O255&amp;"|R|"&amp;S255)</f>
        <v/>
      </c>
    </row>
    <row r="256" customFormat="false" ht="15" hidden="false" customHeight="false" outlineLevel="0" collapsed="false">
      <c r="A256" s="18" t="n">
        <v>255</v>
      </c>
      <c r="B256" s="18"/>
      <c r="C256" s="18"/>
      <c r="D256" s="18"/>
      <c r="E256" s="18" t="s">
        <v>574</v>
      </c>
      <c r="F256" s="18" t="s">
        <v>575</v>
      </c>
      <c r="G256" s="18" t="s">
        <v>71</v>
      </c>
      <c r="H256" s="18" t="n">
        <v>136</v>
      </c>
      <c r="I256" s="19" t="n">
        <v>0</v>
      </c>
      <c r="J256" s="19" t="n">
        <v>9775</v>
      </c>
      <c r="K256" s="19" t="n">
        <v>9775</v>
      </c>
      <c r="L256" s="19" t="n">
        <v>0</v>
      </c>
      <c r="M256" s="19" t="n">
        <f aca="false">ABS(L256)</f>
        <v>0</v>
      </c>
      <c r="N256" s="18" t="str">
        <f aca="false">IF(L256=0,"Nil balance",IF(G256="AR file",IF(L256&gt;0,"Accounts Receivable","Customer Advances"),IF(L256&lt;0,"Accounts Payable","Supplier Advances")))</f>
        <v>Nil balance</v>
      </c>
      <c r="O256" s="18" t="str">
        <f aca="false">IF(L256=0,"Excluded",IF(Summary!$C$4="By ledger",IF(G256="AR file","Population 1","Population 2"),IF(L256&gt;0,"Population 1","Population 2")))</f>
        <v>Excluded</v>
      </c>
      <c r="P256" s="18" t="str">
        <f aca="false">IF(O256="Excluded","Excluded – nil closing balance",IF(M256&gt;Summary!$C$5,"Above Materiality","Below Materiality"))</f>
        <v>Excluded – nil closing balance</v>
      </c>
      <c r="Q256" s="20" t="str">
        <f aca="false">IF(P256="Below Materiality",T256,"")</f>
        <v/>
      </c>
      <c r="R256" s="21" t="str">
        <f aca="false">IF(P256="Above Materiality",COUNTIFS($O$2:$O$1092,O256,$P$2:$P$1092,"Above Materiality",$M$2:$M$1092,"&gt;"&amp;M256)+COUNTIFS($O$2:$O$1092,O256,$P$2:$P$1092,"Above Materiality",$M$2:$M$1092,M256,$A$2:$A$1092,"&lt;"&amp;A256)+1,"")</f>
        <v/>
      </c>
      <c r="S256" s="21" t="str">
        <f aca="false">IF(P256&lt;&gt;"Below Materiality","",IF(Summary!$C$9="Random",COUNTIFS($O$2:$O$1092,O256,$Q$2:$Q$1092,"&gt;"&amp;Q256)+1,COUNTIFS($O$2:$O$1092,O256,$P$2:$P$1092,"Below Materiality",$M$2:$M$1092,"&gt;"&amp;M256)+COUNTIFS($O$2:$O$1092,O256,$P$2:$P$1092,"Below Materiality",$M$2:$M$1092,M256,$A$2:$A$1092,"&lt;"&amp;A256)+1))</f>
        <v/>
      </c>
      <c r="T256" s="22"/>
      <c r="U256" s="21" t="str">
        <f aca="false">IF(R256="","",O256&amp;"|A|"&amp;R256)</f>
        <v/>
      </c>
      <c r="V256" s="21" t="str">
        <f aca="false">IF(S256="","",O256&amp;"|R|"&amp;S256)</f>
        <v/>
      </c>
    </row>
    <row r="257" customFormat="false" ht="15" hidden="false" customHeight="false" outlineLevel="0" collapsed="false">
      <c r="A257" s="18" t="n">
        <v>256</v>
      </c>
      <c r="B257" s="18"/>
      <c r="C257" s="18"/>
      <c r="D257" s="18"/>
      <c r="E257" s="18" t="s">
        <v>576</v>
      </c>
      <c r="F257" s="18" t="s">
        <v>577</v>
      </c>
      <c r="G257" s="18" t="s">
        <v>71</v>
      </c>
      <c r="H257" s="18" t="n">
        <v>138</v>
      </c>
      <c r="I257" s="19" t="n">
        <v>0</v>
      </c>
      <c r="J257" s="19" t="n">
        <v>390.5</v>
      </c>
      <c r="K257" s="19" t="n">
        <v>390.5</v>
      </c>
      <c r="L257" s="19" t="n">
        <v>0</v>
      </c>
      <c r="M257" s="19" t="n">
        <f aca="false">ABS(L257)</f>
        <v>0</v>
      </c>
      <c r="N257" s="18" t="str">
        <f aca="false">IF(L257=0,"Nil balance",IF(G257="AR file",IF(L257&gt;0,"Accounts Receivable","Customer Advances"),IF(L257&lt;0,"Accounts Payable","Supplier Advances")))</f>
        <v>Nil balance</v>
      </c>
      <c r="O257" s="18" t="str">
        <f aca="false">IF(L257=0,"Excluded",IF(Summary!$C$4="By ledger",IF(G257="AR file","Population 1","Population 2"),IF(L257&gt;0,"Population 1","Population 2")))</f>
        <v>Excluded</v>
      </c>
      <c r="P257" s="18" t="str">
        <f aca="false">IF(O257="Excluded","Excluded – nil closing balance",IF(M257&gt;Summary!$C$5,"Above Materiality","Below Materiality"))</f>
        <v>Excluded – nil closing balance</v>
      </c>
      <c r="Q257" s="20" t="str">
        <f aca="false">IF(P257="Below Materiality",T257,"")</f>
        <v/>
      </c>
      <c r="R257" s="21" t="str">
        <f aca="false">IF(P257="Above Materiality",COUNTIFS($O$2:$O$1092,O257,$P$2:$P$1092,"Above Materiality",$M$2:$M$1092,"&gt;"&amp;M257)+COUNTIFS($O$2:$O$1092,O257,$P$2:$P$1092,"Above Materiality",$M$2:$M$1092,M257,$A$2:$A$1092,"&lt;"&amp;A257)+1,"")</f>
        <v/>
      </c>
      <c r="S257" s="21" t="str">
        <f aca="false">IF(P257&lt;&gt;"Below Materiality","",IF(Summary!$C$9="Random",COUNTIFS($O$2:$O$1092,O257,$Q$2:$Q$1092,"&gt;"&amp;Q257)+1,COUNTIFS($O$2:$O$1092,O257,$P$2:$P$1092,"Below Materiality",$M$2:$M$1092,"&gt;"&amp;M257)+COUNTIFS($O$2:$O$1092,O257,$P$2:$P$1092,"Below Materiality",$M$2:$M$1092,M257,$A$2:$A$1092,"&lt;"&amp;A257)+1))</f>
        <v/>
      </c>
      <c r="T257" s="22"/>
      <c r="U257" s="21" t="str">
        <f aca="false">IF(R257="","",O257&amp;"|A|"&amp;R257)</f>
        <v/>
      </c>
      <c r="V257" s="21" t="str">
        <f aca="false">IF(S257="","",O257&amp;"|R|"&amp;S257)</f>
        <v/>
      </c>
    </row>
    <row r="258" customFormat="false" ht="15" hidden="false" customHeight="false" outlineLevel="0" collapsed="false">
      <c r="A258" s="18" t="n">
        <v>257</v>
      </c>
      <c r="B258" s="18"/>
      <c r="C258" s="18"/>
      <c r="D258" s="18"/>
      <c r="E258" s="18" t="s">
        <v>578</v>
      </c>
      <c r="F258" s="18" t="s">
        <v>579</v>
      </c>
      <c r="G258" s="18" t="s">
        <v>71</v>
      </c>
      <c r="H258" s="18" t="n">
        <v>139</v>
      </c>
      <c r="I258" s="19" t="n">
        <v>0</v>
      </c>
      <c r="J258" s="19" t="n">
        <v>2397.75</v>
      </c>
      <c r="K258" s="19" t="n">
        <v>2397.75</v>
      </c>
      <c r="L258" s="19" t="n">
        <v>0</v>
      </c>
      <c r="M258" s="19" t="n">
        <f aca="false">ABS(L258)</f>
        <v>0</v>
      </c>
      <c r="N258" s="18" t="str">
        <f aca="false">IF(L258=0,"Nil balance",IF(G258="AR file",IF(L258&gt;0,"Accounts Receivable","Customer Advances"),IF(L258&lt;0,"Accounts Payable","Supplier Advances")))</f>
        <v>Nil balance</v>
      </c>
      <c r="O258" s="18" t="str">
        <f aca="false">IF(L258=0,"Excluded",IF(Summary!$C$4="By ledger",IF(G258="AR file","Population 1","Population 2"),IF(L258&gt;0,"Population 1","Population 2")))</f>
        <v>Excluded</v>
      </c>
      <c r="P258" s="18" t="str">
        <f aca="false">IF(O258="Excluded","Excluded – nil closing balance",IF(M258&gt;Summary!$C$5,"Above Materiality","Below Materiality"))</f>
        <v>Excluded – nil closing balance</v>
      </c>
      <c r="Q258" s="20" t="str">
        <f aca="false">IF(P258="Below Materiality",T258,"")</f>
        <v/>
      </c>
      <c r="R258" s="21" t="str">
        <f aca="false">IF(P258="Above Materiality",COUNTIFS($O$2:$O$1092,O258,$P$2:$P$1092,"Above Materiality",$M$2:$M$1092,"&gt;"&amp;M258)+COUNTIFS($O$2:$O$1092,O258,$P$2:$P$1092,"Above Materiality",$M$2:$M$1092,M258,$A$2:$A$1092,"&lt;"&amp;A258)+1,"")</f>
        <v/>
      </c>
      <c r="S258" s="21" t="str">
        <f aca="false">IF(P258&lt;&gt;"Below Materiality","",IF(Summary!$C$9="Random",COUNTIFS($O$2:$O$1092,O258,$Q$2:$Q$1092,"&gt;"&amp;Q258)+1,COUNTIFS($O$2:$O$1092,O258,$P$2:$P$1092,"Below Materiality",$M$2:$M$1092,"&gt;"&amp;M258)+COUNTIFS($O$2:$O$1092,O258,$P$2:$P$1092,"Below Materiality",$M$2:$M$1092,M258,$A$2:$A$1092,"&lt;"&amp;A258)+1))</f>
        <v/>
      </c>
      <c r="T258" s="22"/>
      <c r="U258" s="21" t="str">
        <f aca="false">IF(R258="","",O258&amp;"|A|"&amp;R258)</f>
        <v/>
      </c>
      <c r="V258" s="21" t="str">
        <f aca="false">IF(S258="","",O258&amp;"|R|"&amp;S258)</f>
        <v/>
      </c>
    </row>
    <row r="259" customFormat="false" ht="15" hidden="false" customHeight="false" outlineLevel="0" collapsed="false">
      <c r="A259" s="18" t="n">
        <v>258</v>
      </c>
      <c r="B259" s="18"/>
      <c r="C259" s="18"/>
      <c r="D259" s="18"/>
      <c r="E259" s="18" t="s">
        <v>580</v>
      </c>
      <c r="F259" s="18" t="s">
        <v>581</v>
      </c>
      <c r="G259" s="18" t="s">
        <v>71</v>
      </c>
      <c r="H259" s="18" t="n">
        <v>140</v>
      </c>
      <c r="I259" s="19" t="n">
        <v>0</v>
      </c>
      <c r="J259" s="19" t="n">
        <v>600</v>
      </c>
      <c r="K259" s="19" t="n">
        <v>600</v>
      </c>
      <c r="L259" s="19" t="n">
        <v>0</v>
      </c>
      <c r="M259" s="19" t="n">
        <f aca="false">ABS(L259)</f>
        <v>0</v>
      </c>
      <c r="N259" s="18" t="str">
        <f aca="false">IF(L259=0,"Nil balance",IF(G259="AR file",IF(L259&gt;0,"Accounts Receivable","Customer Advances"),IF(L259&lt;0,"Accounts Payable","Supplier Advances")))</f>
        <v>Nil balance</v>
      </c>
      <c r="O259" s="18" t="str">
        <f aca="false">IF(L259=0,"Excluded",IF(Summary!$C$4="By ledger",IF(G259="AR file","Population 1","Population 2"),IF(L259&gt;0,"Population 1","Population 2")))</f>
        <v>Excluded</v>
      </c>
      <c r="P259" s="18" t="str">
        <f aca="false">IF(O259="Excluded","Excluded – nil closing balance",IF(M259&gt;Summary!$C$5,"Above Materiality","Below Materiality"))</f>
        <v>Excluded – nil closing balance</v>
      </c>
      <c r="Q259" s="20" t="str">
        <f aca="false">IF(P259="Below Materiality",T259,"")</f>
        <v/>
      </c>
      <c r="R259" s="21" t="str">
        <f aca="false">IF(P259="Above Materiality",COUNTIFS($O$2:$O$1092,O259,$P$2:$P$1092,"Above Materiality",$M$2:$M$1092,"&gt;"&amp;M259)+COUNTIFS($O$2:$O$1092,O259,$P$2:$P$1092,"Above Materiality",$M$2:$M$1092,M259,$A$2:$A$1092,"&lt;"&amp;A259)+1,"")</f>
        <v/>
      </c>
      <c r="S259" s="21" t="str">
        <f aca="false">IF(P259&lt;&gt;"Below Materiality","",IF(Summary!$C$9="Random",COUNTIFS($O$2:$O$1092,O259,$Q$2:$Q$1092,"&gt;"&amp;Q259)+1,COUNTIFS($O$2:$O$1092,O259,$P$2:$P$1092,"Below Materiality",$M$2:$M$1092,"&gt;"&amp;M259)+COUNTIFS($O$2:$O$1092,O259,$P$2:$P$1092,"Below Materiality",$M$2:$M$1092,M259,$A$2:$A$1092,"&lt;"&amp;A259)+1))</f>
        <v/>
      </c>
      <c r="T259" s="22"/>
      <c r="U259" s="21" t="str">
        <f aca="false">IF(R259="","",O259&amp;"|A|"&amp;R259)</f>
        <v/>
      </c>
      <c r="V259" s="21" t="str">
        <f aca="false">IF(S259="","",O259&amp;"|R|"&amp;S259)</f>
        <v/>
      </c>
    </row>
    <row r="260" customFormat="false" ht="15" hidden="false" customHeight="false" outlineLevel="0" collapsed="false">
      <c r="A260" s="18" t="n">
        <v>259</v>
      </c>
      <c r="B260" s="18"/>
      <c r="C260" s="18"/>
      <c r="D260" s="18"/>
      <c r="E260" s="18" t="s">
        <v>582</v>
      </c>
      <c r="F260" s="18" t="s">
        <v>364</v>
      </c>
      <c r="G260" s="18" t="s">
        <v>71</v>
      </c>
      <c r="H260" s="18" t="n">
        <v>141</v>
      </c>
      <c r="I260" s="19" t="n">
        <v>0</v>
      </c>
      <c r="J260" s="19" t="n">
        <v>175</v>
      </c>
      <c r="K260" s="19" t="n">
        <v>175</v>
      </c>
      <c r="L260" s="19" t="n">
        <v>0</v>
      </c>
      <c r="M260" s="19" t="n">
        <f aca="false">ABS(L260)</f>
        <v>0</v>
      </c>
      <c r="N260" s="18" t="str">
        <f aca="false">IF(L260=0,"Nil balance",IF(G260="AR file",IF(L260&gt;0,"Accounts Receivable","Customer Advances"),IF(L260&lt;0,"Accounts Payable","Supplier Advances")))</f>
        <v>Nil balance</v>
      </c>
      <c r="O260" s="18" t="str">
        <f aca="false">IF(L260=0,"Excluded",IF(Summary!$C$4="By ledger",IF(G260="AR file","Population 1","Population 2"),IF(L260&gt;0,"Population 1","Population 2")))</f>
        <v>Excluded</v>
      </c>
      <c r="P260" s="18" t="str">
        <f aca="false">IF(O260="Excluded","Excluded – nil closing balance",IF(M260&gt;Summary!$C$5,"Above Materiality","Below Materiality"))</f>
        <v>Excluded – nil closing balance</v>
      </c>
      <c r="Q260" s="20" t="str">
        <f aca="false">IF(P260="Below Materiality",T260,"")</f>
        <v/>
      </c>
      <c r="R260" s="21" t="str">
        <f aca="false">IF(P260="Above Materiality",COUNTIFS($O$2:$O$1092,O260,$P$2:$P$1092,"Above Materiality",$M$2:$M$1092,"&gt;"&amp;M260)+COUNTIFS($O$2:$O$1092,O260,$P$2:$P$1092,"Above Materiality",$M$2:$M$1092,M260,$A$2:$A$1092,"&lt;"&amp;A260)+1,"")</f>
        <v/>
      </c>
      <c r="S260" s="21" t="str">
        <f aca="false">IF(P260&lt;&gt;"Below Materiality","",IF(Summary!$C$9="Random",COUNTIFS($O$2:$O$1092,O260,$Q$2:$Q$1092,"&gt;"&amp;Q260)+1,COUNTIFS($O$2:$O$1092,O260,$P$2:$P$1092,"Below Materiality",$M$2:$M$1092,"&gt;"&amp;M260)+COUNTIFS($O$2:$O$1092,O260,$P$2:$P$1092,"Below Materiality",$M$2:$M$1092,M260,$A$2:$A$1092,"&lt;"&amp;A260)+1))</f>
        <v/>
      </c>
      <c r="T260" s="22"/>
      <c r="U260" s="21" t="str">
        <f aca="false">IF(R260="","",O260&amp;"|A|"&amp;R260)</f>
        <v/>
      </c>
      <c r="V260" s="21" t="str">
        <f aca="false">IF(S260="","",O260&amp;"|R|"&amp;S260)</f>
        <v/>
      </c>
    </row>
    <row r="261" customFormat="false" ht="15" hidden="false" customHeight="false" outlineLevel="0" collapsed="false">
      <c r="A261" s="18" t="n">
        <v>260</v>
      </c>
      <c r="B261" s="18"/>
      <c r="C261" s="18"/>
      <c r="D261" s="18"/>
      <c r="E261" s="18" t="s">
        <v>583</v>
      </c>
      <c r="F261" s="18" t="s">
        <v>584</v>
      </c>
      <c r="G261" s="18" t="s">
        <v>71</v>
      </c>
      <c r="H261" s="18" t="n">
        <v>142</v>
      </c>
      <c r="I261" s="19" t="n">
        <v>0</v>
      </c>
      <c r="J261" s="19" t="n">
        <v>177</v>
      </c>
      <c r="K261" s="19" t="n">
        <v>177</v>
      </c>
      <c r="L261" s="19" t="n">
        <v>0</v>
      </c>
      <c r="M261" s="19" t="n">
        <f aca="false">ABS(L261)</f>
        <v>0</v>
      </c>
      <c r="N261" s="18" t="str">
        <f aca="false">IF(L261=0,"Nil balance",IF(G261="AR file",IF(L261&gt;0,"Accounts Receivable","Customer Advances"),IF(L261&lt;0,"Accounts Payable","Supplier Advances")))</f>
        <v>Nil balance</v>
      </c>
      <c r="O261" s="18" t="str">
        <f aca="false">IF(L261=0,"Excluded",IF(Summary!$C$4="By ledger",IF(G261="AR file","Population 1","Population 2"),IF(L261&gt;0,"Population 1","Population 2")))</f>
        <v>Excluded</v>
      </c>
      <c r="P261" s="18" t="str">
        <f aca="false">IF(O261="Excluded","Excluded – nil closing balance",IF(M261&gt;Summary!$C$5,"Above Materiality","Below Materiality"))</f>
        <v>Excluded – nil closing balance</v>
      </c>
      <c r="Q261" s="20" t="str">
        <f aca="false">IF(P261="Below Materiality",T261,"")</f>
        <v/>
      </c>
      <c r="R261" s="21" t="str">
        <f aca="false">IF(P261="Above Materiality",COUNTIFS($O$2:$O$1092,O261,$P$2:$P$1092,"Above Materiality",$M$2:$M$1092,"&gt;"&amp;M261)+COUNTIFS($O$2:$O$1092,O261,$P$2:$P$1092,"Above Materiality",$M$2:$M$1092,M261,$A$2:$A$1092,"&lt;"&amp;A261)+1,"")</f>
        <v/>
      </c>
      <c r="S261" s="21" t="str">
        <f aca="false">IF(P261&lt;&gt;"Below Materiality","",IF(Summary!$C$9="Random",COUNTIFS($O$2:$O$1092,O261,$Q$2:$Q$1092,"&gt;"&amp;Q261)+1,COUNTIFS($O$2:$O$1092,O261,$P$2:$P$1092,"Below Materiality",$M$2:$M$1092,"&gt;"&amp;M261)+COUNTIFS($O$2:$O$1092,O261,$P$2:$P$1092,"Below Materiality",$M$2:$M$1092,M261,$A$2:$A$1092,"&lt;"&amp;A261)+1))</f>
        <v/>
      </c>
      <c r="T261" s="22"/>
      <c r="U261" s="21" t="str">
        <f aca="false">IF(R261="","",O261&amp;"|A|"&amp;R261)</f>
        <v/>
      </c>
      <c r="V261" s="21" t="str">
        <f aca="false">IF(S261="","",O261&amp;"|R|"&amp;S261)</f>
        <v/>
      </c>
    </row>
    <row r="262" customFormat="false" ht="15" hidden="false" customHeight="false" outlineLevel="0" collapsed="false">
      <c r="A262" s="18" t="n">
        <v>261</v>
      </c>
      <c r="B262" s="18"/>
      <c r="C262" s="18"/>
      <c r="D262" s="18"/>
      <c r="E262" s="18" t="s">
        <v>585</v>
      </c>
      <c r="F262" s="18" t="s">
        <v>586</v>
      </c>
      <c r="G262" s="18" t="s">
        <v>71</v>
      </c>
      <c r="H262" s="18" t="n">
        <v>145</v>
      </c>
      <c r="I262" s="19" t="n">
        <v>0</v>
      </c>
      <c r="J262" s="19" t="n">
        <v>9968.66</v>
      </c>
      <c r="K262" s="19" t="n">
        <v>9968.66</v>
      </c>
      <c r="L262" s="19" t="n">
        <v>0</v>
      </c>
      <c r="M262" s="19" t="n">
        <f aca="false">ABS(L262)</f>
        <v>0</v>
      </c>
      <c r="N262" s="18" t="str">
        <f aca="false">IF(L262=0,"Nil balance",IF(G262="AR file",IF(L262&gt;0,"Accounts Receivable","Customer Advances"),IF(L262&lt;0,"Accounts Payable","Supplier Advances")))</f>
        <v>Nil balance</v>
      </c>
      <c r="O262" s="18" t="str">
        <f aca="false">IF(L262=0,"Excluded",IF(Summary!$C$4="By ledger",IF(G262="AR file","Population 1","Population 2"),IF(L262&gt;0,"Population 1","Population 2")))</f>
        <v>Excluded</v>
      </c>
      <c r="P262" s="18" t="str">
        <f aca="false">IF(O262="Excluded","Excluded – nil closing balance",IF(M262&gt;Summary!$C$5,"Above Materiality","Below Materiality"))</f>
        <v>Excluded – nil closing balance</v>
      </c>
      <c r="Q262" s="20" t="str">
        <f aca="false">IF(P262="Below Materiality",T262,"")</f>
        <v/>
      </c>
      <c r="R262" s="21" t="str">
        <f aca="false">IF(P262="Above Materiality",COUNTIFS($O$2:$O$1092,O262,$P$2:$P$1092,"Above Materiality",$M$2:$M$1092,"&gt;"&amp;M262)+COUNTIFS($O$2:$O$1092,O262,$P$2:$P$1092,"Above Materiality",$M$2:$M$1092,M262,$A$2:$A$1092,"&lt;"&amp;A262)+1,"")</f>
        <v/>
      </c>
      <c r="S262" s="21" t="str">
        <f aca="false">IF(P262&lt;&gt;"Below Materiality","",IF(Summary!$C$9="Random",COUNTIFS($O$2:$O$1092,O262,$Q$2:$Q$1092,"&gt;"&amp;Q262)+1,COUNTIFS($O$2:$O$1092,O262,$P$2:$P$1092,"Below Materiality",$M$2:$M$1092,"&gt;"&amp;M262)+COUNTIFS($O$2:$O$1092,O262,$P$2:$P$1092,"Below Materiality",$M$2:$M$1092,M262,$A$2:$A$1092,"&lt;"&amp;A262)+1))</f>
        <v/>
      </c>
      <c r="T262" s="22"/>
      <c r="U262" s="21" t="str">
        <f aca="false">IF(R262="","",O262&amp;"|A|"&amp;R262)</f>
        <v/>
      </c>
      <c r="V262" s="21" t="str">
        <f aca="false">IF(S262="","",O262&amp;"|R|"&amp;S262)</f>
        <v/>
      </c>
    </row>
    <row r="263" customFormat="false" ht="15" hidden="false" customHeight="false" outlineLevel="0" collapsed="false">
      <c r="A263" s="18" t="n">
        <v>262</v>
      </c>
      <c r="B263" s="18"/>
      <c r="C263" s="18"/>
      <c r="D263" s="18"/>
      <c r="E263" s="18" t="s">
        <v>587</v>
      </c>
      <c r="F263" s="18" t="s">
        <v>588</v>
      </c>
      <c r="G263" s="18" t="s">
        <v>71</v>
      </c>
      <c r="H263" s="18" t="n">
        <v>146</v>
      </c>
      <c r="I263" s="19" t="n">
        <v>0</v>
      </c>
      <c r="J263" s="19" t="n">
        <v>108.85</v>
      </c>
      <c r="K263" s="19" t="n">
        <v>108.85</v>
      </c>
      <c r="L263" s="19" t="n">
        <v>0</v>
      </c>
      <c r="M263" s="19" t="n">
        <f aca="false">ABS(L263)</f>
        <v>0</v>
      </c>
      <c r="N263" s="18" t="str">
        <f aca="false">IF(L263=0,"Nil balance",IF(G263="AR file",IF(L263&gt;0,"Accounts Receivable","Customer Advances"),IF(L263&lt;0,"Accounts Payable","Supplier Advances")))</f>
        <v>Nil balance</v>
      </c>
      <c r="O263" s="18" t="str">
        <f aca="false">IF(L263=0,"Excluded",IF(Summary!$C$4="By ledger",IF(G263="AR file","Population 1","Population 2"),IF(L263&gt;0,"Population 1","Population 2")))</f>
        <v>Excluded</v>
      </c>
      <c r="P263" s="18" t="str">
        <f aca="false">IF(O263="Excluded","Excluded – nil closing balance",IF(M263&gt;Summary!$C$5,"Above Materiality","Below Materiality"))</f>
        <v>Excluded – nil closing balance</v>
      </c>
      <c r="Q263" s="20" t="str">
        <f aca="false">IF(P263="Below Materiality",T263,"")</f>
        <v/>
      </c>
      <c r="R263" s="21" t="str">
        <f aca="false">IF(P263="Above Materiality",COUNTIFS($O$2:$O$1092,O263,$P$2:$P$1092,"Above Materiality",$M$2:$M$1092,"&gt;"&amp;M263)+COUNTIFS($O$2:$O$1092,O263,$P$2:$P$1092,"Above Materiality",$M$2:$M$1092,M263,$A$2:$A$1092,"&lt;"&amp;A263)+1,"")</f>
        <v/>
      </c>
      <c r="S263" s="21" t="str">
        <f aca="false">IF(P263&lt;&gt;"Below Materiality","",IF(Summary!$C$9="Random",COUNTIFS($O$2:$O$1092,O263,$Q$2:$Q$1092,"&gt;"&amp;Q263)+1,COUNTIFS($O$2:$O$1092,O263,$P$2:$P$1092,"Below Materiality",$M$2:$M$1092,"&gt;"&amp;M263)+COUNTIFS($O$2:$O$1092,O263,$P$2:$P$1092,"Below Materiality",$M$2:$M$1092,M263,$A$2:$A$1092,"&lt;"&amp;A263)+1))</f>
        <v/>
      </c>
      <c r="T263" s="22"/>
      <c r="U263" s="21" t="str">
        <f aca="false">IF(R263="","",O263&amp;"|A|"&amp;R263)</f>
        <v/>
      </c>
      <c r="V263" s="21" t="str">
        <f aca="false">IF(S263="","",O263&amp;"|R|"&amp;S263)</f>
        <v/>
      </c>
    </row>
    <row r="264" customFormat="false" ht="15" hidden="false" customHeight="false" outlineLevel="0" collapsed="false">
      <c r="A264" s="18" t="n">
        <v>263</v>
      </c>
      <c r="B264" s="18"/>
      <c r="C264" s="18"/>
      <c r="D264" s="18"/>
      <c r="E264" s="18" t="s">
        <v>589</v>
      </c>
      <c r="F264" s="18" t="s">
        <v>590</v>
      </c>
      <c r="G264" s="18" t="s">
        <v>71</v>
      </c>
      <c r="H264" s="18" t="n">
        <v>147</v>
      </c>
      <c r="I264" s="19" t="n">
        <v>-586.5</v>
      </c>
      <c r="J264" s="19" t="n">
        <v>104293.5</v>
      </c>
      <c r="K264" s="19" t="n">
        <v>103707</v>
      </c>
      <c r="L264" s="19" t="n">
        <v>0</v>
      </c>
      <c r="M264" s="19" t="n">
        <f aca="false">ABS(L264)</f>
        <v>0</v>
      </c>
      <c r="N264" s="18" t="str">
        <f aca="false">IF(L264=0,"Nil balance",IF(G264="AR file",IF(L264&gt;0,"Accounts Receivable","Customer Advances"),IF(L264&lt;0,"Accounts Payable","Supplier Advances")))</f>
        <v>Nil balance</v>
      </c>
      <c r="O264" s="18" t="str">
        <f aca="false">IF(L264=0,"Excluded",IF(Summary!$C$4="By ledger",IF(G264="AR file","Population 1","Population 2"),IF(L264&gt;0,"Population 1","Population 2")))</f>
        <v>Excluded</v>
      </c>
      <c r="P264" s="18" t="str">
        <f aca="false">IF(O264="Excluded","Excluded – nil closing balance",IF(M264&gt;Summary!$C$5,"Above Materiality","Below Materiality"))</f>
        <v>Excluded – nil closing balance</v>
      </c>
      <c r="Q264" s="20" t="str">
        <f aca="false">IF(P264="Below Materiality",T264,"")</f>
        <v/>
      </c>
      <c r="R264" s="21" t="str">
        <f aca="false">IF(P264="Above Materiality",COUNTIFS($O$2:$O$1092,O264,$P$2:$P$1092,"Above Materiality",$M$2:$M$1092,"&gt;"&amp;M264)+COUNTIFS($O$2:$O$1092,O264,$P$2:$P$1092,"Above Materiality",$M$2:$M$1092,M264,$A$2:$A$1092,"&lt;"&amp;A264)+1,"")</f>
        <v/>
      </c>
      <c r="S264" s="21" t="str">
        <f aca="false">IF(P264&lt;&gt;"Below Materiality","",IF(Summary!$C$9="Random",COUNTIFS($O$2:$O$1092,O264,$Q$2:$Q$1092,"&gt;"&amp;Q264)+1,COUNTIFS($O$2:$O$1092,O264,$P$2:$P$1092,"Below Materiality",$M$2:$M$1092,"&gt;"&amp;M264)+COUNTIFS($O$2:$O$1092,O264,$P$2:$P$1092,"Below Materiality",$M$2:$M$1092,M264,$A$2:$A$1092,"&lt;"&amp;A264)+1))</f>
        <v/>
      </c>
      <c r="T264" s="22"/>
      <c r="U264" s="21" t="str">
        <f aca="false">IF(R264="","",O264&amp;"|A|"&amp;R264)</f>
        <v/>
      </c>
      <c r="V264" s="21" t="str">
        <f aca="false">IF(S264="","",O264&amp;"|R|"&amp;S264)</f>
        <v/>
      </c>
    </row>
    <row r="265" customFormat="false" ht="15" hidden="false" customHeight="false" outlineLevel="0" collapsed="false">
      <c r="A265" s="18" t="n">
        <v>264</v>
      </c>
      <c r="B265" s="18"/>
      <c r="C265" s="18"/>
      <c r="D265" s="18"/>
      <c r="E265" s="18" t="s">
        <v>591</v>
      </c>
      <c r="F265" s="18" t="s">
        <v>592</v>
      </c>
      <c r="G265" s="18" t="s">
        <v>71</v>
      </c>
      <c r="H265" s="18" t="n">
        <v>148</v>
      </c>
      <c r="I265" s="19" t="n">
        <v>0</v>
      </c>
      <c r="J265" s="19" t="n">
        <v>79</v>
      </c>
      <c r="K265" s="19" t="n">
        <v>79</v>
      </c>
      <c r="L265" s="19" t="n">
        <v>0</v>
      </c>
      <c r="M265" s="19" t="n">
        <f aca="false">ABS(L265)</f>
        <v>0</v>
      </c>
      <c r="N265" s="18" t="str">
        <f aca="false">IF(L265=0,"Nil balance",IF(G265="AR file",IF(L265&gt;0,"Accounts Receivable","Customer Advances"),IF(L265&lt;0,"Accounts Payable","Supplier Advances")))</f>
        <v>Nil balance</v>
      </c>
      <c r="O265" s="18" t="str">
        <f aca="false">IF(L265=0,"Excluded",IF(Summary!$C$4="By ledger",IF(G265="AR file","Population 1","Population 2"),IF(L265&gt;0,"Population 1","Population 2")))</f>
        <v>Excluded</v>
      </c>
      <c r="P265" s="18" t="str">
        <f aca="false">IF(O265="Excluded","Excluded – nil closing balance",IF(M265&gt;Summary!$C$5,"Above Materiality","Below Materiality"))</f>
        <v>Excluded – nil closing balance</v>
      </c>
      <c r="Q265" s="20" t="str">
        <f aca="false">IF(P265="Below Materiality",T265,"")</f>
        <v/>
      </c>
      <c r="R265" s="21" t="str">
        <f aca="false">IF(P265="Above Materiality",COUNTIFS($O$2:$O$1092,O265,$P$2:$P$1092,"Above Materiality",$M$2:$M$1092,"&gt;"&amp;M265)+COUNTIFS($O$2:$O$1092,O265,$P$2:$P$1092,"Above Materiality",$M$2:$M$1092,M265,$A$2:$A$1092,"&lt;"&amp;A265)+1,"")</f>
        <v/>
      </c>
      <c r="S265" s="21" t="str">
        <f aca="false">IF(P265&lt;&gt;"Below Materiality","",IF(Summary!$C$9="Random",COUNTIFS($O$2:$O$1092,O265,$Q$2:$Q$1092,"&gt;"&amp;Q265)+1,COUNTIFS($O$2:$O$1092,O265,$P$2:$P$1092,"Below Materiality",$M$2:$M$1092,"&gt;"&amp;M265)+COUNTIFS($O$2:$O$1092,O265,$P$2:$P$1092,"Below Materiality",$M$2:$M$1092,M265,$A$2:$A$1092,"&lt;"&amp;A265)+1))</f>
        <v/>
      </c>
      <c r="T265" s="22"/>
      <c r="U265" s="21" t="str">
        <f aca="false">IF(R265="","",O265&amp;"|A|"&amp;R265)</f>
        <v/>
      </c>
      <c r="V265" s="21" t="str">
        <f aca="false">IF(S265="","",O265&amp;"|R|"&amp;S265)</f>
        <v/>
      </c>
    </row>
    <row r="266" customFormat="false" ht="15" hidden="false" customHeight="false" outlineLevel="0" collapsed="false">
      <c r="A266" s="18" t="n">
        <v>265</v>
      </c>
      <c r="B266" s="18"/>
      <c r="C266" s="18"/>
      <c r="D266" s="18"/>
      <c r="E266" s="18" t="s">
        <v>593</v>
      </c>
      <c r="F266" s="18" t="s">
        <v>594</v>
      </c>
      <c r="G266" s="18" t="s">
        <v>71</v>
      </c>
      <c r="H266" s="18" t="n">
        <v>149</v>
      </c>
      <c r="I266" s="19" t="n">
        <v>0</v>
      </c>
      <c r="J266" s="19" t="n">
        <v>4312.5</v>
      </c>
      <c r="K266" s="19" t="n">
        <v>4312.5</v>
      </c>
      <c r="L266" s="19" t="n">
        <v>0</v>
      </c>
      <c r="M266" s="19" t="n">
        <f aca="false">ABS(L266)</f>
        <v>0</v>
      </c>
      <c r="N266" s="18" t="str">
        <f aca="false">IF(L266=0,"Nil balance",IF(G266="AR file",IF(L266&gt;0,"Accounts Receivable","Customer Advances"),IF(L266&lt;0,"Accounts Payable","Supplier Advances")))</f>
        <v>Nil balance</v>
      </c>
      <c r="O266" s="18" t="str">
        <f aca="false">IF(L266=0,"Excluded",IF(Summary!$C$4="By ledger",IF(G266="AR file","Population 1","Population 2"),IF(L266&gt;0,"Population 1","Population 2")))</f>
        <v>Excluded</v>
      </c>
      <c r="P266" s="18" t="str">
        <f aca="false">IF(O266="Excluded","Excluded – nil closing balance",IF(M266&gt;Summary!$C$5,"Above Materiality","Below Materiality"))</f>
        <v>Excluded – nil closing balance</v>
      </c>
      <c r="Q266" s="20" t="str">
        <f aca="false">IF(P266="Below Materiality",T266,"")</f>
        <v/>
      </c>
      <c r="R266" s="21" t="str">
        <f aca="false">IF(P266="Above Materiality",COUNTIFS($O$2:$O$1092,O266,$P$2:$P$1092,"Above Materiality",$M$2:$M$1092,"&gt;"&amp;M266)+COUNTIFS($O$2:$O$1092,O266,$P$2:$P$1092,"Above Materiality",$M$2:$M$1092,M266,$A$2:$A$1092,"&lt;"&amp;A266)+1,"")</f>
        <v/>
      </c>
      <c r="S266" s="21" t="str">
        <f aca="false">IF(P266&lt;&gt;"Below Materiality","",IF(Summary!$C$9="Random",COUNTIFS($O$2:$O$1092,O266,$Q$2:$Q$1092,"&gt;"&amp;Q266)+1,COUNTIFS($O$2:$O$1092,O266,$P$2:$P$1092,"Below Materiality",$M$2:$M$1092,"&gt;"&amp;M266)+COUNTIFS($O$2:$O$1092,O266,$P$2:$P$1092,"Below Materiality",$M$2:$M$1092,M266,$A$2:$A$1092,"&lt;"&amp;A266)+1))</f>
        <v/>
      </c>
      <c r="T266" s="22"/>
      <c r="U266" s="21" t="str">
        <f aca="false">IF(R266="","",O266&amp;"|A|"&amp;R266)</f>
        <v/>
      </c>
      <c r="V266" s="21" t="str">
        <f aca="false">IF(S266="","",O266&amp;"|R|"&amp;S266)</f>
        <v/>
      </c>
    </row>
    <row r="267" customFormat="false" ht="15" hidden="false" customHeight="false" outlineLevel="0" collapsed="false">
      <c r="A267" s="18" t="n">
        <v>266</v>
      </c>
      <c r="B267" s="18"/>
      <c r="C267" s="18"/>
      <c r="D267" s="18"/>
      <c r="E267" s="18" t="s">
        <v>595</v>
      </c>
      <c r="F267" s="18" t="s">
        <v>596</v>
      </c>
      <c r="G267" s="18" t="s">
        <v>71</v>
      </c>
      <c r="H267" s="18" t="n">
        <v>150</v>
      </c>
      <c r="I267" s="19" t="n">
        <v>0</v>
      </c>
      <c r="J267" s="19" t="n">
        <v>12953.7</v>
      </c>
      <c r="K267" s="19" t="n">
        <v>12953.7</v>
      </c>
      <c r="L267" s="19" t="n">
        <v>0</v>
      </c>
      <c r="M267" s="19" t="n">
        <f aca="false">ABS(L267)</f>
        <v>0</v>
      </c>
      <c r="N267" s="18" t="str">
        <f aca="false">IF(L267=0,"Nil balance",IF(G267="AR file",IF(L267&gt;0,"Accounts Receivable","Customer Advances"),IF(L267&lt;0,"Accounts Payable","Supplier Advances")))</f>
        <v>Nil balance</v>
      </c>
      <c r="O267" s="18" t="str">
        <f aca="false">IF(L267=0,"Excluded",IF(Summary!$C$4="By ledger",IF(G267="AR file","Population 1","Population 2"),IF(L267&gt;0,"Population 1","Population 2")))</f>
        <v>Excluded</v>
      </c>
      <c r="P267" s="18" t="str">
        <f aca="false">IF(O267="Excluded","Excluded – nil closing balance",IF(M267&gt;Summary!$C$5,"Above Materiality","Below Materiality"))</f>
        <v>Excluded – nil closing balance</v>
      </c>
      <c r="Q267" s="20" t="str">
        <f aca="false">IF(P267="Below Materiality",T267,"")</f>
        <v/>
      </c>
      <c r="R267" s="21" t="str">
        <f aca="false">IF(P267="Above Materiality",COUNTIFS($O$2:$O$1092,O267,$P$2:$P$1092,"Above Materiality",$M$2:$M$1092,"&gt;"&amp;M267)+COUNTIFS($O$2:$O$1092,O267,$P$2:$P$1092,"Above Materiality",$M$2:$M$1092,M267,$A$2:$A$1092,"&lt;"&amp;A267)+1,"")</f>
        <v/>
      </c>
      <c r="S267" s="21" t="str">
        <f aca="false">IF(P267&lt;&gt;"Below Materiality","",IF(Summary!$C$9="Random",COUNTIFS($O$2:$O$1092,O267,$Q$2:$Q$1092,"&gt;"&amp;Q267)+1,COUNTIFS($O$2:$O$1092,O267,$P$2:$P$1092,"Below Materiality",$M$2:$M$1092,"&gt;"&amp;M267)+COUNTIFS($O$2:$O$1092,O267,$P$2:$P$1092,"Below Materiality",$M$2:$M$1092,M267,$A$2:$A$1092,"&lt;"&amp;A267)+1))</f>
        <v/>
      </c>
      <c r="T267" s="22"/>
      <c r="U267" s="21" t="str">
        <f aca="false">IF(R267="","",O267&amp;"|A|"&amp;R267)</f>
        <v/>
      </c>
      <c r="V267" s="21" t="str">
        <f aca="false">IF(S267="","",O267&amp;"|R|"&amp;S267)</f>
        <v/>
      </c>
    </row>
    <row r="268" customFormat="false" ht="15" hidden="false" customHeight="false" outlineLevel="0" collapsed="false">
      <c r="A268" s="18" t="n">
        <v>267</v>
      </c>
      <c r="B268" s="18"/>
      <c r="C268" s="18"/>
      <c r="D268" s="18"/>
      <c r="E268" s="18" t="s">
        <v>597</v>
      </c>
      <c r="F268" s="18" t="s">
        <v>598</v>
      </c>
      <c r="G268" s="18" t="s">
        <v>71</v>
      </c>
      <c r="H268" s="18" t="n">
        <v>151</v>
      </c>
      <c r="I268" s="19" t="n">
        <v>0</v>
      </c>
      <c r="J268" s="19" t="n">
        <v>84780</v>
      </c>
      <c r="K268" s="19" t="n">
        <v>84780</v>
      </c>
      <c r="L268" s="19" t="n">
        <v>0</v>
      </c>
      <c r="M268" s="19" t="n">
        <f aca="false">ABS(L268)</f>
        <v>0</v>
      </c>
      <c r="N268" s="18" t="str">
        <f aca="false">IF(L268=0,"Nil balance",IF(G268="AR file",IF(L268&gt;0,"Accounts Receivable","Customer Advances"),IF(L268&lt;0,"Accounts Payable","Supplier Advances")))</f>
        <v>Nil balance</v>
      </c>
      <c r="O268" s="18" t="str">
        <f aca="false">IF(L268=0,"Excluded",IF(Summary!$C$4="By ledger",IF(G268="AR file","Population 1","Population 2"),IF(L268&gt;0,"Population 1","Population 2")))</f>
        <v>Excluded</v>
      </c>
      <c r="P268" s="18" t="str">
        <f aca="false">IF(O268="Excluded","Excluded – nil closing balance",IF(M268&gt;Summary!$C$5,"Above Materiality","Below Materiality"))</f>
        <v>Excluded – nil closing balance</v>
      </c>
      <c r="Q268" s="20" t="str">
        <f aca="false">IF(P268="Below Materiality",T268,"")</f>
        <v/>
      </c>
      <c r="R268" s="21" t="str">
        <f aca="false">IF(P268="Above Materiality",COUNTIFS($O$2:$O$1092,O268,$P$2:$P$1092,"Above Materiality",$M$2:$M$1092,"&gt;"&amp;M268)+COUNTIFS($O$2:$O$1092,O268,$P$2:$P$1092,"Above Materiality",$M$2:$M$1092,M268,$A$2:$A$1092,"&lt;"&amp;A268)+1,"")</f>
        <v/>
      </c>
      <c r="S268" s="21" t="str">
        <f aca="false">IF(P268&lt;&gt;"Below Materiality","",IF(Summary!$C$9="Random",COUNTIFS($O$2:$O$1092,O268,$Q$2:$Q$1092,"&gt;"&amp;Q268)+1,COUNTIFS($O$2:$O$1092,O268,$P$2:$P$1092,"Below Materiality",$M$2:$M$1092,"&gt;"&amp;M268)+COUNTIFS($O$2:$O$1092,O268,$P$2:$P$1092,"Below Materiality",$M$2:$M$1092,M268,$A$2:$A$1092,"&lt;"&amp;A268)+1))</f>
        <v/>
      </c>
      <c r="T268" s="22"/>
      <c r="U268" s="21" t="str">
        <f aca="false">IF(R268="","",O268&amp;"|A|"&amp;R268)</f>
        <v/>
      </c>
      <c r="V268" s="21" t="str">
        <f aca="false">IF(S268="","",O268&amp;"|R|"&amp;S268)</f>
        <v/>
      </c>
    </row>
    <row r="269" customFormat="false" ht="15" hidden="false" customHeight="false" outlineLevel="0" collapsed="false">
      <c r="A269" s="18" t="n">
        <v>268</v>
      </c>
      <c r="B269" s="18"/>
      <c r="C269" s="18"/>
      <c r="D269" s="18"/>
      <c r="E269" s="18" t="s">
        <v>599</v>
      </c>
      <c r="F269" s="18" t="s">
        <v>600</v>
      </c>
      <c r="G269" s="18" t="s">
        <v>71</v>
      </c>
      <c r="H269" s="18" t="n">
        <v>152</v>
      </c>
      <c r="I269" s="19" t="n">
        <v>0</v>
      </c>
      <c r="J269" s="19" t="n">
        <v>80</v>
      </c>
      <c r="K269" s="19" t="n">
        <v>80</v>
      </c>
      <c r="L269" s="19" t="n">
        <v>0</v>
      </c>
      <c r="M269" s="19" t="n">
        <f aca="false">ABS(L269)</f>
        <v>0</v>
      </c>
      <c r="N269" s="18" t="str">
        <f aca="false">IF(L269=0,"Nil balance",IF(G269="AR file",IF(L269&gt;0,"Accounts Receivable","Customer Advances"),IF(L269&lt;0,"Accounts Payable","Supplier Advances")))</f>
        <v>Nil balance</v>
      </c>
      <c r="O269" s="18" t="str">
        <f aca="false">IF(L269=0,"Excluded",IF(Summary!$C$4="By ledger",IF(G269="AR file","Population 1","Population 2"),IF(L269&gt;0,"Population 1","Population 2")))</f>
        <v>Excluded</v>
      </c>
      <c r="P269" s="18" t="str">
        <f aca="false">IF(O269="Excluded","Excluded – nil closing balance",IF(M269&gt;Summary!$C$5,"Above Materiality","Below Materiality"))</f>
        <v>Excluded – nil closing balance</v>
      </c>
      <c r="Q269" s="20" t="str">
        <f aca="false">IF(P269="Below Materiality",T269,"")</f>
        <v/>
      </c>
      <c r="R269" s="21" t="str">
        <f aca="false">IF(P269="Above Materiality",COUNTIFS($O$2:$O$1092,O269,$P$2:$P$1092,"Above Materiality",$M$2:$M$1092,"&gt;"&amp;M269)+COUNTIFS($O$2:$O$1092,O269,$P$2:$P$1092,"Above Materiality",$M$2:$M$1092,M269,$A$2:$A$1092,"&lt;"&amp;A269)+1,"")</f>
        <v/>
      </c>
      <c r="S269" s="21" t="str">
        <f aca="false">IF(P269&lt;&gt;"Below Materiality","",IF(Summary!$C$9="Random",COUNTIFS($O$2:$O$1092,O269,$Q$2:$Q$1092,"&gt;"&amp;Q269)+1,COUNTIFS($O$2:$O$1092,O269,$P$2:$P$1092,"Below Materiality",$M$2:$M$1092,"&gt;"&amp;M269)+COUNTIFS($O$2:$O$1092,O269,$P$2:$P$1092,"Below Materiality",$M$2:$M$1092,M269,$A$2:$A$1092,"&lt;"&amp;A269)+1))</f>
        <v/>
      </c>
      <c r="T269" s="22"/>
      <c r="U269" s="21" t="str">
        <f aca="false">IF(R269="","",O269&amp;"|A|"&amp;R269)</f>
        <v/>
      </c>
      <c r="V269" s="21" t="str">
        <f aca="false">IF(S269="","",O269&amp;"|R|"&amp;S269)</f>
        <v/>
      </c>
    </row>
    <row r="270" customFormat="false" ht="15" hidden="false" customHeight="false" outlineLevel="0" collapsed="false">
      <c r="A270" s="18" t="n">
        <v>269</v>
      </c>
      <c r="B270" s="18"/>
      <c r="C270" s="18"/>
      <c r="D270" s="18"/>
      <c r="E270" s="18" t="s">
        <v>601</v>
      </c>
      <c r="F270" s="18" t="s">
        <v>602</v>
      </c>
      <c r="G270" s="18" t="s">
        <v>71</v>
      </c>
      <c r="H270" s="18" t="n">
        <v>153</v>
      </c>
      <c r="I270" s="19" t="n">
        <v>0</v>
      </c>
      <c r="J270" s="19" t="n">
        <v>54</v>
      </c>
      <c r="K270" s="19" t="n">
        <v>54</v>
      </c>
      <c r="L270" s="19" t="n">
        <v>0</v>
      </c>
      <c r="M270" s="19" t="n">
        <f aca="false">ABS(L270)</f>
        <v>0</v>
      </c>
      <c r="N270" s="18" t="str">
        <f aca="false">IF(L270=0,"Nil balance",IF(G270="AR file",IF(L270&gt;0,"Accounts Receivable","Customer Advances"),IF(L270&lt;0,"Accounts Payable","Supplier Advances")))</f>
        <v>Nil balance</v>
      </c>
      <c r="O270" s="18" t="str">
        <f aca="false">IF(L270=0,"Excluded",IF(Summary!$C$4="By ledger",IF(G270="AR file","Population 1","Population 2"),IF(L270&gt;0,"Population 1","Population 2")))</f>
        <v>Excluded</v>
      </c>
      <c r="P270" s="18" t="str">
        <f aca="false">IF(O270="Excluded","Excluded – nil closing balance",IF(M270&gt;Summary!$C$5,"Above Materiality","Below Materiality"))</f>
        <v>Excluded – nil closing balance</v>
      </c>
      <c r="Q270" s="20" t="str">
        <f aca="false">IF(P270="Below Materiality",T270,"")</f>
        <v/>
      </c>
      <c r="R270" s="21" t="str">
        <f aca="false">IF(P270="Above Materiality",COUNTIFS($O$2:$O$1092,O270,$P$2:$P$1092,"Above Materiality",$M$2:$M$1092,"&gt;"&amp;M270)+COUNTIFS($O$2:$O$1092,O270,$P$2:$P$1092,"Above Materiality",$M$2:$M$1092,M270,$A$2:$A$1092,"&lt;"&amp;A270)+1,"")</f>
        <v/>
      </c>
      <c r="S270" s="21" t="str">
        <f aca="false">IF(P270&lt;&gt;"Below Materiality","",IF(Summary!$C$9="Random",COUNTIFS($O$2:$O$1092,O270,$Q$2:$Q$1092,"&gt;"&amp;Q270)+1,COUNTIFS($O$2:$O$1092,O270,$P$2:$P$1092,"Below Materiality",$M$2:$M$1092,"&gt;"&amp;M270)+COUNTIFS($O$2:$O$1092,O270,$P$2:$P$1092,"Below Materiality",$M$2:$M$1092,M270,$A$2:$A$1092,"&lt;"&amp;A270)+1))</f>
        <v/>
      </c>
      <c r="T270" s="22"/>
      <c r="U270" s="21" t="str">
        <f aca="false">IF(R270="","",O270&amp;"|A|"&amp;R270)</f>
        <v/>
      </c>
      <c r="V270" s="21" t="str">
        <f aca="false">IF(S270="","",O270&amp;"|R|"&amp;S270)</f>
        <v/>
      </c>
    </row>
    <row r="271" customFormat="false" ht="15" hidden="false" customHeight="false" outlineLevel="0" collapsed="false">
      <c r="A271" s="18" t="n">
        <v>270</v>
      </c>
      <c r="B271" s="18"/>
      <c r="C271" s="18"/>
      <c r="D271" s="18"/>
      <c r="E271" s="18" t="s">
        <v>603</v>
      </c>
      <c r="F271" s="18" t="s">
        <v>604</v>
      </c>
      <c r="G271" s="18" t="s">
        <v>71</v>
      </c>
      <c r="H271" s="18" t="n">
        <v>154</v>
      </c>
      <c r="I271" s="19" t="n">
        <v>0</v>
      </c>
      <c r="J271" s="19" t="n">
        <v>5934</v>
      </c>
      <c r="K271" s="19" t="n">
        <v>5934</v>
      </c>
      <c r="L271" s="19" t="n">
        <v>0</v>
      </c>
      <c r="M271" s="19" t="n">
        <f aca="false">ABS(L271)</f>
        <v>0</v>
      </c>
      <c r="N271" s="18" t="str">
        <f aca="false">IF(L271=0,"Nil balance",IF(G271="AR file",IF(L271&gt;0,"Accounts Receivable","Customer Advances"),IF(L271&lt;0,"Accounts Payable","Supplier Advances")))</f>
        <v>Nil balance</v>
      </c>
      <c r="O271" s="18" t="str">
        <f aca="false">IF(L271=0,"Excluded",IF(Summary!$C$4="By ledger",IF(G271="AR file","Population 1","Population 2"),IF(L271&gt;0,"Population 1","Population 2")))</f>
        <v>Excluded</v>
      </c>
      <c r="P271" s="18" t="str">
        <f aca="false">IF(O271="Excluded","Excluded – nil closing balance",IF(M271&gt;Summary!$C$5,"Above Materiality","Below Materiality"))</f>
        <v>Excluded – nil closing balance</v>
      </c>
      <c r="Q271" s="20" t="str">
        <f aca="false">IF(P271="Below Materiality",T271,"")</f>
        <v/>
      </c>
      <c r="R271" s="21" t="str">
        <f aca="false">IF(P271="Above Materiality",COUNTIFS($O$2:$O$1092,O271,$P$2:$P$1092,"Above Materiality",$M$2:$M$1092,"&gt;"&amp;M271)+COUNTIFS($O$2:$O$1092,O271,$P$2:$P$1092,"Above Materiality",$M$2:$M$1092,M271,$A$2:$A$1092,"&lt;"&amp;A271)+1,"")</f>
        <v/>
      </c>
      <c r="S271" s="21" t="str">
        <f aca="false">IF(P271&lt;&gt;"Below Materiality","",IF(Summary!$C$9="Random",COUNTIFS($O$2:$O$1092,O271,$Q$2:$Q$1092,"&gt;"&amp;Q271)+1,COUNTIFS($O$2:$O$1092,O271,$P$2:$P$1092,"Below Materiality",$M$2:$M$1092,"&gt;"&amp;M271)+COUNTIFS($O$2:$O$1092,O271,$P$2:$P$1092,"Below Materiality",$M$2:$M$1092,M271,$A$2:$A$1092,"&lt;"&amp;A271)+1))</f>
        <v/>
      </c>
      <c r="T271" s="22"/>
      <c r="U271" s="21" t="str">
        <f aca="false">IF(R271="","",O271&amp;"|A|"&amp;R271)</f>
        <v/>
      </c>
      <c r="V271" s="21" t="str">
        <f aca="false">IF(S271="","",O271&amp;"|R|"&amp;S271)</f>
        <v/>
      </c>
    </row>
    <row r="272" customFormat="false" ht="15" hidden="false" customHeight="false" outlineLevel="0" collapsed="false">
      <c r="A272" s="18" t="n">
        <v>271</v>
      </c>
      <c r="B272" s="18"/>
      <c r="C272" s="18"/>
      <c r="D272" s="18"/>
      <c r="E272" s="18" t="s">
        <v>605</v>
      </c>
      <c r="F272" s="18" t="s">
        <v>606</v>
      </c>
      <c r="G272" s="18" t="s">
        <v>71</v>
      </c>
      <c r="H272" s="18" t="n">
        <v>155</v>
      </c>
      <c r="I272" s="19" t="n">
        <v>0</v>
      </c>
      <c r="J272" s="19" t="n">
        <v>89700</v>
      </c>
      <c r="K272" s="19" t="n">
        <v>89700</v>
      </c>
      <c r="L272" s="19" t="n">
        <v>0</v>
      </c>
      <c r="M272" s="19" t="n">
        <f aca="false">ABS(L272)</f>
        <v>0</v>
      </c>
      <c r="N272" s="18" t="str">
        <f aca="false">IF(L272=0,"Nil balance",IF(G272="AR file",IF(L272&gt;0,"Accounts Receivable","Customer Advances"),IF(L272&lt;0,"Accounts Payable","Supplier Advances")))</f>
        <v>Nil balance</v>
      </c>
      <c r="O272" s="18" t="str">
        <f aca="false">IF(L272=0,"Excluded",IF(Summary!$C$4="By ledger",IF(G272="AR file","Population 1","Population 2"),IF(L272&gt;0,"Population 1","Population 2")))</f>
        <v>Excluded</v>
      </c>
      <c r="P272" s="18" t="str">
        <f aca="false">IF(O272="Excluded","Excluded – nil closing balance",IF(M272&gt;Summary!$C$5,"Above Materiality","Below Materiality"))</f>
        <v>Excluded – nil closing balance</v>
      </c>
      <c r="Q272" s="20" t="str">
        <f aca="false">IF(P272="Below Materiality",T272,"")</f>
        <v/>
      </c>
      <c r="R272" s="21" t="str">
        <f aca="false">IF(P272="Above Materiality",COUNTIFS($O$2:$O$1092,O272,$P$2:$P$1092,"Above Materiality",$M$2:$M$1092,"&gt;"&amp;M272)+COUNTIFS($O$2:$O$1092,O272,$P$2:$P$1092,"Above Materiality",$M$2:$M$1092,M272,$A$2:$A$1092,"&lt;"&amp;A272)+1,"")</f>
        <v/>
      </c>
      <c r="S272" s="21" t="str">
        <f aca="false">IF(P272&lt;&gt;"Below Materiality","",IF(Summary!$C$9="Random",COUNTIFS($O$2:$O$1092,O272,$Q$2:$Q$1092,"&gt;"&amp;Q272)+1,COUNTIFS($O$2:$O$1092,O272,$P$2:$P$1092,"Below Materiality",$M$2:$M$1092,"&gt;"&amp;M272)+COUNTIFS($O$2:$O$1092,O272,$P$2:$P$1092,"Below Materiality",$M$2:$M$1092,M272,$A$2:$A$1092,"&lt;"&amp;A272)+1))</f>
        <v/>
      </c>
      <c r="T272" s="22"/>
      <c r="U272" s="21" t="str">
        <f aca="false">IF(R272="","",O272&amp;"|A|"&amp;R272)</f>
        <v/>
      </c>
      <c r="V272" s="21" t="str">
        <f aca="false">IF(S272="","",O272&amp;"|R|"&amp;S272)</f>
        <v/>
      </c>
    </row>
    <row r="273" customFormat="false" ht="15" hidden="false" customHeight="false" outlineLevel="0" collapsed="false">
      <c r="A273" s="18" t="n">
        <v>272</v>
      </c>
      <c r="B273" s="18"/>
      <c r="C273" s="18"/>
      <c r="D273" s="18"/>
      <c r="E273" s="18" t="s">
        <v>607</v>
      </c>
      <c r="F273" s="18" t="s">
        <v>340</v>
      </c>
      <c r="G273" s="18" t="s">
        <v>71</v>
      </c>
      <c r="H273" s="18" t="n">
        <v>156</v>
      </c>
      <c r="I273" s="19" t="n">
        <v>0</v>
      </c>
      <c r="J273" s="19" t="n">
        <v>690</v>
      </c>
      <c r="K273" s="19" t="n">
        <v>690</v>
      </c>
      <c r="L273" s="19" t="n">
        <v>0</v>
      </c>
      <c r="M273" s="19" t="n">
        <f aca="false">ABS(L273)</f>
        <v>0</v>
      </c>
      <c r="N273" s="18" t="str">
        <f aca="false">IF(L273=0,"Nil balance",IF(G273="AR file",IF(L273&gt;0,"Accounts Receivable","Customer Advances"),IF(L273&lt;0,"Accounts Payable","Supplier Advances")))</f>
        <v>Nil balance</v>
      </c>
      <c r="O273" s="18" t="str">
        <f aca="false">IF(L273=0,"Excluded",IF(Summary!$C$4="By ledger",IF(G273="AR file","Population 1","Population 2"),IF(L273&gt;0,"Population 1","Population 2")))</f>
        <v>Excluded</v>
      </c>
      <c r="P273" s="18" t="str">
        <f aca="false">IF(O273="Excluded","Excluded – nil closing balance",IF(M273&gt;Summary!$C$5,"Above Materiality","Below Materiality"))</f>
        <v>Excluded – nil closing balance</v>
      </c>
      <c r="Q273" s="20" t="str">
        <f aca="false">IF(P273="Below Materiality",T273,"")</f>
        <v/>
      </c>
      <c r="R273" s="21" t="str">
        <f aca="false">IF(P273="Above Materiality",COUNTIFS($O$2:$O$1092,O273,$P$2:$P$1092,"Above Materiality",$M$2:$M$1092,"&gt;"&amp;M273)+COUNTIFS($O$2:$O$1092,O273,$P$2:$P$1092,"Above Materiality",$M$2:$M$1092,M273,$A$2:$A$1092,"&lt;"&amp;A273)+1,"")</f>
        <v/>
      </c>
      <c r="S273" s="21" t="str">
        <f aca="false">IF(P273&lt;&gt;"Below Materiality","",IF(Summary!$C$9="Random",COUNTIFS($O$2:$O$1092,O273,$Q$2:$Q$1092,"&gt;"&amp;Q273)+1,COUNTIFS($O$2:$O$1092,O273,$P$2:$P$1092,"Below Materiality",$M$2:$M$1092,"&gt;"&amp;M273)+COUNTIFS($O$2:$O$1092,O273,$P$2:$P$1092,"Below Materiality",$M$2:$M$1092,M273,$A$2:$A$1092,"&lt;"&amp;A273)+1))</f>
        <v/>
      </c>
      <c r="T273" s="22"/>
      <c r="U273" s="21" t="str">
        <f aca="false">IF(R273="","",O273&amp;"|A|"&amp;R273)</f>
        <v/>
      </c>
      <c r="V273" s="21" t="str">
        <f aca="false">IF(S273="","",O273&amp;"|R|"&amp;S273)</f>
        <v/>
      </c>
    </row>
    <row r="274" customFormat="false" ht="15" hidden="false" customHeight="false" outlineLevel="0" collapsed="false">
      <c r="A274" s="18" t="n">
        <v>273</v>
      </c>
      <c r="B274" s="18"/>
      <c r="C274" s="18"/>
      <c r="D274" s="18"/>
      <c r="E274" s="18" t="s">
        <v>608</v>
      </c>
      <c r="F274" s="18" t="s">
        <v>609</v>
      </c>
      <c r="G274" s="18" t="s">
        <v>71</v>
      </c>
      <c r="H274" s="18" t="n">
        <v>158</v>
      </c>
      <c r="I274" s="19" t="n">
        <v>0</v>
      </c>
      <c r="J274" s="19" t="n">
        <v>430</v>
      </c>
      <c r="K274" s="19" t="n">
        <v>430</v>
      </c>
      <c r="L274" s="19" t="n">
        <v>0</v>
      </c>
      <c r="M274" s="19" t="n">
        <f aca="false">ABS(L274)</f>
        <v>0</v>
      </c>
      <c r="N274" s="18" t="str">
        <f aca="false">IF(L274=0,"Nil balance",IF(G274="AR file",IF(L274&gt;0,"Accounts Receivable","Customer Advances"),IF(L274&lt;0,"Accounts Payable","Supplier Advances")))</f>
        <v>Nil balance</v>
      </c>
      <c r="O274" s="18" t="str">
        <f aca="false">IF(L274=0,"Excluded",IF(Summary!$C$4="By ledger",IF(G274="AR file","Population 1","Population 2"),IF(L274&gt;0,"Population 1","Population 2")))</f>
        <v>Excluded</v>
      </c>
      <c r="P274" s="18" t="str">
        <f aca="false">IF(O274="Excluded","Excluded – nil closing balance",IF(M274&gt;Summary!$C$5,"Above Materiality","Below Materiality"))</f>
        <v>Excluded – nil closing balance</v>
      </c>
      <c r="Q274" s="20" t="str">
        <f aca="false">IF(P274="Below Materiality",T274,"")</f>
        <v/>
      </c>
      <c r="R274" s="21" t="str">
        <f aca="false">IF(P274="Above Materiality",COUNTIFS($O$2:$O$1092,O274,$P$2:$P$1092,"Above Materiality",$M$2:$M$1092,"&gt;"&amp;M274)+COUNTIFS($O$2:$O$1092,O274,$P$2:$P$1092,"Above Materiality",$M$2:$M$1092,M274,$A$2:$A$1092,"&lt;"&amp;A274)+1,"")</f>
        <v/>
      </c>
      <c r="S274" s="21" t="str">
        <f aca="false">IF(P274&lt;&gt;"Below Materiality","",IF(Summary!$C$9="Random",COUNTIFS($O$2:$O$1092,O274,$Q$2:$Q$1092,"&gt;"&amp;Q274)+1,COUNTIFS($O$2:$O$1092,O274,$P$2:$P$1092,"Below Materiality",$M$2:$M$1092,"&gt;"&amp;M274)+COUNTIFS($O$2:$O$1092,O274,$P$2:$P$1092,"Below Materiality",$M$2:$M$1092,M274,$A$2:$A$1092,"&lt;"&amp;A274)+1))</f>
        <v/>
      </c>
      <c r="T274" s="22"/>
      <c r="U274" s="21" t="str">
        <f aca="false">IF(R274="","",O274&amp;"|A|"&amp;R274)</f>
        <v/>
      </c>
      <c r="V274" s="21" t="str">
        <f aca="false">IF(S274="","",O274&amp;"|R|"&amp;S274)</f>
        <v/>
      </c>
    </row>
    <row r="275" customFormat="false" ht="15" hidden="false" customHeight="false" outlineLevel="0" collapsed="false">
      <c r="A275" s="18" t="n">
        <v>274</v>
      </c>
      <c r="B275" s="18"/>
      <c r="C275" s="18"/>
      <c r="D275" s="18"/>
      <c r="E275" s="18" t="s">
        <v>610</v>
      </c>
      <c r="F275" s="18" t="s">
        <v>611</v>
      </c>
      <c r="G275" s="18" t="s">
        <v>71</v>
      </c>
      <c r="H275" s="18" t="n">
        <v>159</v>
      </c>
      <c r="I275" s="19" t="n">
        <v>21.75</v>
      </c>
      <c r="J275" s="19" t="n">
        <v>577</v>
      </c>
      <c r="K275" s="19" t="n">
        <v>598.75</v>
      </c>
      <c r="L275" s="19" t="n">
        <v>0</v>
      </c>
      <c r="M275" s="19" t="n">
        <f aca="false">ABS(L275)</f>
        <v>0</v>
      </c>
      <c r="N275" s="18" t="str">
        <f aca="false">IF(L275=0,"Nil balance",IF(G275="AR file",IF(L275&gt;0,"Accounts Receivable","Customer Advances"),IF(L275&lt;0,"Accounts Payable","Supplier Advances")))</f>
        <v>Nil balance</v>
      </c>
      <c r="O275" s="18" t="str">
        <f aca="false">IF(L275=0,"Excluded",IF(Summary!$C$4="By ledger",IF(G275="AR file","Population 1","Population 2"),IF(L275&gt;0,"Population 1","Population 2")))</f>
        <v>Excluded</v>
      </c>
      <c r="P275" s="18" t="str">
        <f aca="false">IF(O275="Excluded","Excluded – nil closing balance",IF(M275&gt;Summary!$C$5,"Above Materiality","Below Materiality"))</f>
        <v>Excluded – nil closing balance</v>
      </c>
      <c r="Q275" s="20" t="str">
        <f aca="false">IF(P275="Below Materiality",T275,"")</f>
        <v/>
      </c>
      <c r="R275" s="21" t="str">
        <f aca="false">IF(P275="Above Materiality",COUNTIFS($O$2:$O$1092,O275,$P$2:$P$1092,"Above Materiality",$M$2:$M$1092,"&gt;"&amp;M275)+COUNTIFS($O$2:$O$1092,O275,$P$2:$P$1092,"Above Materiality",$M$2:$M$1092,M275,$A$2:$A$1092,"&lt;"&amp;A275)+1,"")</f>
        <v/>
      </c>
      <c r="S275" s="21" t="str">
        <f aca="false">IF(P275&lt;&gt;"Below Materiality","",IF(Summary!$C$9="Random",COUNTIFS($O$2:$O$1092,O275,$Q$2:$Q$1092,"&gt;"&amp;Q275)+1,COUNTIFS($O$2:$O$1092,O275,$P$2:$P$1092,"Below Materiality",$M$2:$M$1092,"&gt;"&amp;M275)+COUNTIFS($O$2:$O$1092,O275,$P$2:$P$1092,"Below Materiality",$M$2:$M$1092,M275,$A$2:$A$1092,"&lt;"&amp;A275)+1))</f>
        <v/>
      </c>
      <c r="T275" s="22"/>
      <c r="U275" s="21" t="str">
        <f aca="false">IF(R275="","",O275&amp;"|A|"&amp;R275)</f>
        <v/>
      </c>
      <c r="V275" s="21" t="str">
        <f aca="false">IF(S275="","",O275&amp;"|R|"&amp;S275)</f>
        <v/>
      </c>
    </row>
    <row r="276" customFormat="false" ht="15" hidden="false" customHeight="false" outlineLevel="0" collapsed="false">
      <c r="A276" s="18" t="n">
        <v>275</v>
      </c>
      <c r="B276" s="18"/>
      <c r="C276" s="18"/>
      <c r="D276" s="18"/>
      <c r="E276" s="18" t="s">
        <v>612</v>
      </c>
      <c r="F276" s="18" t="s">
        <v>613</v>
      </c>
      <c r="G276" s="18" t="s">
        <v>71</v>
      </c>
      <c r="H276" s="18" t="n">
        <v>160</v>
      </c>
      <c r="I276" s="19" t="n">
        <v>0</v>
      </c>
      <c r="J276" s="19" t="n">
        <v>21567.02</v>
      </c>
      <c r="K276" s="19" t="n">
        <v>21567.02</v>
      </c>
      <c r="L276" s="19" t="n">
        <v>0</v>
      </c>
      <c r="M276" s="19" t="n">
        <f aca="false">ABS(L276)</f>
        <v>0</v>
      </c>
      <c r="N276" s="18" t="str">
        <f aca="false">IF(L276=0,"Nil balance",IF(G276="AR file",IF(L276&gt;0,"Accounts Receivable","Customer Advances"),IF(L276&lt;0,"Accounts Payable","Supplier Advances")))</f>
        <v>Nil balance</v>
      </c>
      <c r="O276" s="18" t="str">
        <f aca="false">IF(L276=0,"Excluded",IF(Summary!$C$4="By ledger",IF(G276="AR file","Population 1","Population 2"),IF(L276&gt;0,"Population 1","Population 2")))</f>
        <v>Excluded</v>
      </c>
      <c r="P276" s="18" t="str">
        <f aca="false">IF(O276="Excluded","Excluded – nil closing balance",IF(M276&gt;Summary!$C$5,"Above Materiality","Below Materiality"))</f>
        <v>Excluded – nil closing balance</v>
      </c>
      <c r="Q276" s="20" t="str">
        <f aca="false">IF(P276="Below Materiality",T276,"")</f>
        <v/>
      </c>
      <c r="R276" s="21" t="str">
        <f aca="false">IF(P276="Above Materiality",COUNTIFS($O$2:$O$1092,O276,$P$2:$P$1092,"Above Materiality",$M$2:$M$1092,"&gt;"&amp;M276)+COUNTIFS($O$2:$O$1092,O276,$P$2:$P$1092,"Above Materiality",$M$2:$M$1092,M276,$A$2:$A$1092,"&lt;"&amp;A276)+1,"")</f>
        <v/>
      </c>
      <c r="S276" s="21" t="str">
        <f aca="false">IF(P276&lt;&gt;"Below Materiality","",IF(Summary!$C$9="Random",COUNTIFS($O$2:$O$1092,O276,$Q$2:$Q$1092,"&gt;"&amp;Q276)+1,COUNTIFS($O$2:$O$1092,O276,$P$2:$P$1092,"Below Materiality",$M$2:$M$1092,"&gt;"&amp;M276)+COUNTIFS($O$2:$O$1092,O276,$P$2:$P$1092,"Below Materiality",$M$2:$M$1092,M276,$A$2:$A$1092,"&lt;"&amp;A276)+1))</f>
        <v/>
      </c>
      <c r="T276" s="22"/>
      <c r="U276" s="21" t="str">
        <f aca="false">IF(R276="","",O276&amp;"|A|"&amp;R276)</f>
        <v/>
      </c>
      <c r="V276" s="21" t="str">
        <f aca="false">IF(S276="","",O276&amp;"|R|"&amp;S276)</f>
        <v/>
      </c>
    </row>
    <row r="277" customFormat="false" ht="15" hidden="false" customHeight="false" outlineLevel="0" collapsed="false">
      <c r="A277" s="18" t="n">
        <v>276</v>
      </c>
      <c r="B277" s="18"/>
      <c r="C277" s="18"/>
      <c r="D277" s="18"/>
      <c r="E277" s="18" t="s">
        <v>614</v>
      </c>
      <c r="F277" s="18" t="s">
        <v>615</v>
      </c>
      <c r="G277" s="18" t="s">
        <v>71</v>
      </c>
      <c r="H277" s="18" t="n">
        <v>162</v>
      </c>
      <c r="I277" s="19" t="n">
        <v>0</v>
      </c>
      <c r="J277" s="19" t="n">
        <v>226.5</v>
      </c>
      <c r="K277" s="19" t="n">
        <v>226.5</v>
      </c>
      <c r="L277" s="19" t="n">
        <v>0</v>
      </c>
      <c r="M277" s="19" t="n">
        <f aca="false">ABS(L277)</f>
        <v>0</v>
      </c>
      <c r="N277" s="18" t="str">
        <f aca="false">IF(L277=0,"Nil balance",IF(G277="AR file",IF(L277&gt;0,"Accounts Receivable","Customer Advances"),IF(L277&lt;0,"Accounts Payable","Supplier Advances")))</f>
        <v>Nil balance</v>
      </c>
      <c r="O277" s="18" t="str">
        <f aca="false">IF(L277=0,"Excluded",IF(Summary!$C$4="By ledger",IF(G277="AR file","Population 1","Population 2"),IF(L277&gt;0,"Population 1","Population 2")))</f>
        <v>Excluded</v>
      </c>
      <c r="P277" s="18" t="str">
        <f aca="false">IF(O277="Excluded","Excluded – nil closing balance",IF(M277&gt;Summary!$C$5,"Above Materiality","Below Materiality"))</f>
        <v>Excluded – nil closing balance</v>
      </c>
      <c r="Q277" s="20" t="str">
        <f aca="false">IF(P277="Below Materiality",T277,"")</f>
        <v/>
      </c>
      <c r="R277" s="21" t="str">
        <f aca="false">IF(P277="Above Materiality",COUNTIFS($O$2:$O$1092,O277,$P$2:$P$1092,"Above Materiality",$M$2:$M$1092,"&gt;"&amp;M277)+COUNTIFS($O$2:$O$1092,O277,$P$2:$P$1092,"Above Materiality",$M$2:$M$1092,M277,$A$2:$A$1092,"&lt;"&amp;A277)+1,"")</f>
        <v/>
      </c>
      <c r="S277" s="21" t="str">
        <f aca="false">IF(P277&lt;&gt;"Below Materiality","",IF(Summary!$C$9="Random",COUNTIFS($O$2:$O$1092,O277,$Q$2:$Q$1092,"&gt;"&amp;Q277)+1,COUNTIFS($O$2:$O$1092,O277,$P$2:$P$1092,"Below Materiality",$M$2:$M$1092,"&gt;"&amp;M277)+COUNTIFS($O$2:$O$1092,O277,$P$2:$P$1092,"Below Materiality",$M$2:$M$1092,M277,$A$2:$A$1092,"&lt;"&amp;A277)+1))</f>
        <v/>
      </c>
      <c r="T277" s="22"/>
      <c r="U277" s="21" t="str">
        <f aca="false">IF(R277="","",O277&amp;"|A|"&amp;R277)</f>
        <v/>
      </c>
      <c r="V277" s="21" t="str">
        <f aca="false">IF(S277="","",O277&amp;"|R|"&amp;S277)</f>
        <v/>
      </c>
    </row>
    <row r="278" customFormat="false" ht="15" hidden="false" customHeight="false" outlineLevel="0" collapsed="false">
      <c r="A278" s="18" t="n">
        <v>277</v>
      </c>
      <c r="B278" s="18"/>
      <c r="C278" s="18"/>
      <c r="D278" s="18"/>
      <c r="E278" s="18" t="s">
        <v>616</v>
      </c>
      <c r="F278" s="18" t="s">
        <v>617</v>
      </c>
      <c r="G278" s="18" t="s">
        <v>71</v>
      </c>
      <c r="H278" s="18" t="n">
        <v>163</v>
      </c>
      <c r="I278" s="19" t="n">
        <v>0</v>
      </c>
      <c r="J278" s="19" t="n">
        <v>4340</v>
      </c>
      <c r="K278" s="19" t="n">
        <v>4340</v>
      </c>
      <c r="L278" s="19" t="n">
        <v>0</v>
      </c>
      <c r="M278" s="19" t="n">
        <f aca="false">ABS(L278)</f>
        <v>0</v>
      </c>
      <c r="N278" s="18" t="str">
        <f aca="false">IF(L278=0,"Nil balance",IF(G278="AR file",IF(L278&gt;0,"Accounts Receivable","Customer Advances"),IF(L278&lt;0,"Accounts Payable","Supplier Advances")))</f>
        <v>Nil balance</v>
      </c>
      <c r="O278" s="18" t="str">
        <f aca="false">IF(L278=0,"Excluded",IF(Summary!$C$4="By ledger",IF(G278="AR file","Population 1","Population 2"),IF(L278&gt;0,"Population 1","Population 2")))</f>
        <v>Excluded</v>
      </c>
      <c r="P278" s="18" t="str">
        <f aca="false">IF(O278="Excluded","Excluded – nil closing balance",IF(M278&gt;Summary!$C$5,"Above Materiality","Below Materiality"))</f>
        <v>Excluded – nil closing balance</v>
      </c>
      <c r="Q278" s="20" t="str">
        <f aca="false">IF(P278="Below Materiality",T278,"")</f>
        <v/>
      </c>
      <c r="R278" s="21" t="str">
        <f aca="false">IF(P278="Above Materiality",COUNTIFS($O$2:$O$1092,O278,$P$2:$P$1092,"Above Materiality",$M$2:$M$1092,"&gt;"&amp;M278)+COUNTIFS($O$2:$O$1092,O278,$P$2:$P$1092,"Above Materiality",$M$2:$M$1092,M278,$A$2:$A$1092,"&lt;"&amp;A278)+1,"")</f>
        <v/>
      </c>
      <c r="S278" s="21" t="str">
        <f aca="false">IF(P278&lt;&gt;"Below Materiality","",IF(Summary!$C$9="Random",COUNTIFS($O$2:$O$1092,O278,$Q$2:$Q$1092,"&gt;"&amp;Q278)+1,COUNTIFS($O$2:$O$1092,O278,$P$2:$P$1092,"Below Materiality",$M$2:$M$1092,"&gt;"&amp;M278)+COUNTIFS($O$2:$O$1092,O278,$P$2:$P$1092,"Below Materiality",$M$2:$M$1092,M278,$A$2:$A$1092,"&lt;"&amp;A278)+1))</f>
        <v/>
      </c>
      <c r="T278" s="22"/>
      <c r="U278" s="21" t="str">
        <f aca="false">IF(R278="","",O278&amp;"|A|"&amp;R278)</f>
        <v/>
      </c>
      <c r="V278" s="21" t="str">
        <f aca="false">IF(S278="","",O278&amp;"|R|"&amp;S278)</f>
        <v/>
      </c>
    </row>
    <row r="279" customFormat="false" ht="15" hidden="false" customHeight="false" outlineLevel="0" collapsed="false">
      <c r="A279" s="18" t="n">
        <v>278</v>
      </c>
      <c r="B279" s="18"/>
      <c r="C279" s="18"/>
      <c r="D279" s="18"/>
      <c r="E279" s="18" t="s">
        <v>618</v>
      </c>
      <c r="F279" s="18" t="s">
        <v>447</v>
      </c>
      <c r="G279" s="18" t="s">
        <v>71</v>
      </c>
      <c r="H279" s="18" t="n">
        <v>164</v>
      </c>
      <c r="I279" s="19" t="n">
        <v>0</v>
      </c>
      <c r="J279" s="19" t="n">
        <v>3680</v>
      </c>
      <c r="K279" s="19" t="n">
        <v>3680</v>
      </c>
      <c r="L279" s="19" t="n">
        <v>0</v>
      </c>
      <c r="M279" s="19" t="n">
        <f aca="false">ABS(L279)</f>
        <v>0</v>
      </c>
      <c r="N279" s="18" t="str">
        <f aca="false">IF(L279=0,"Nil balance",IF(G279="AR file",IF(L279&gt;0,"Accounts Receivable","Customer Advances"),IF(L279&lt;0,"Accounts Payable","Supplier Advances")))</f>
        <v>Nil balance</v>
      </c>
      <c r="O279" s="18" t="str">
        <f aca="false">IF(L279=0,"Excluded",IF(Summary!$C$4="By ledger",IF(G279="AR file","Population 1","Population 2"),IF(L279&gt;0,"Population 1","Population 2")))</f>
        <v>Excluded</v>
      </c>
      <c r="P279" s="18" t="str">
        <f aca="false">IF(O279="Excluded","Excluded – nil closing balance",IF(M279&gt;Summary!$C$5,"Above Materiality","Below Materiality"))</f>
        <v>Excluded – nil closing balance</v>
      </c>
      <c r="Q279" s="20" t="str">
        <f aca="false">IF(P279="Below Materiality",T279,"")</f>
        <v/>
      </c>
      <c r="R279" s="21" t="str">
        <f aca="false">IF(P279="Above Materiality",COUNTIFS($O$2:$O$1092,O279,$P$2:$P$1092,"Above Materiality",$M$2:$M$1092,"&gt;"&amp;M279)+COUNTIFS($O$2:$O$1092,O279,$P$2:$P$1092,"Above Materiality",$M$2:$M$1092,M279,$A$2:$A$1092,"&lt;"&amp;A279)+1,"")</f>
        <v/>
      </c>
      <c r="S279" s="21" t="str">
        <f aca="false">IF(P279&lt;&gt;"Below Materiality","",IF(Summary!$C$9="Random",COUNTIFS($O$2:$O$1092,O279,$Q$2:$Q$1092,"&gt;"&amp;Q279)+1,COUNTIFS($O$2:$O$1092,O279,$P$2:$P$1092,"Below Materiality",$M$2:$M$1092,"&gt;"&amp;M279)+COUNTIFS($O$2:$O$1092,O279,$P$2:$P$1092,"Below Materiality",$M$2:$M$1092,M279,$A$2:$A$1092,"&lt;"&amp;A279)+1))</f>
        <v/>
      </c>
      <c r="T279" s="22"/>
      <c r="U279" s="21" t="str">
        <f aca="false">IF(R279="","",O279&amp;"|A|"&amp;R279)</f>
        <v/>
      </c>
      <c r="V279" s="21" t="str">
        <f aca="false">IF(S279="","",O279&amp;"|R|"&amp;S279)</f>
        <v/>
      </c>
    </row>
    <row r="280" customFormat="false" ht="15" hidden="false" customHeight="false" outlineLevel="0" collapsed="false">
      <c r="A280" s="18" t="n">
        <v>279</v>
      </c>
      <c r="B280" s="18"/>
      <c r="C280" s="18"/>
      <c r="D280" s="18"/>
      <c r="E280" s="18" t="s">
        <v>619</v>
      </c>
      <c r="F280" s="18" t="s">
        <v>620</v>
      </c>
      <c r="G280" s="18" t="s">
        <v>71</v>
      </c>
      <c r="H280" s="18" t="n">
        <v>165</v>
      </c>
      <c r="I280" s="19" t="n">
        <v>0</v>
      </c>
      <c r="J280" s="19" t="n">
        <v>27382.66</v>
      </c>
      <c r="K280" s="19" t="n">
        <v>27382.66</v>
      </c>
      <c r="L280" s="19" t="n">
        <v>0</v>
      </c>
      <c r="M280" s="19" t="n">
        <f aca="false">ABS(L280)</f>
        <v>0</v>
      </c>
      <c r="N280" s="18" t="str">
        <f aca="false">IF(L280=0,"Nil balance",IF(G280="AR file",IF(L280&gt;0,"Accounts Receivable","Customer Advances"),IF(L280&lt;0,"Accounts Payable","Supplier Advances")))</f>
        <v>Nil balance</v>
      </c>
      <c r="O280" s="18" t="str">
        <f aca="false">IF(L280=0,"Excluded",IF(Summary!$C$4="By ledger",IF(G280="AR file","Population 1","Population 2"),IF(L280&gt;0,"Population 1","Population 2")))</f>
        <v>Excluded</v>
      </c>
      <c r="P280" s="18" t="str">
        <f aca="false">IF(O280="Excluded","Excluded – nil closing balance",IF(M280&gt;Summary!$C$5,"Above Materiality","Below Materiality"))</f>
        <v>Excluded – nil closing balance</v>
      </c>
      <c r="Q280" s="20" t="str">
        <f aca="false">IF(P280="Below Materiality",T280,"")</f>
        <v/>
      </c>
      <c r="R280" s="21" t="str">
        <f aca="false">IF(P280="Above Materiality",COUNTIFS($O$2:$O$1092,O280,$P$2:$P$1092,"Above Materiality",$M$2:$M$1092,"&gt;"&amp;M280)+COUNTIFS($O$2:$O$1092,O280,$P$2:$P$1092,"Above Materiality",$M$2:$M$1092,M280,$A$2:$A$1092,"&lt;"&amp;A280)+1,"")</f>
        <v/>
      </c>
      <c r="S280" s="21" t="str">
        <f aca="false">IF(P280&lt;&gt;"Below Materiality","",IF(Summary!$C$9="Random",COUNTIFS($O$2:$O$1092,O280,$Q$2:$Q$1092,"&gt;"&amp;Q280)+1,COUNTIFS($O$2:$O$1092,O280,$P$2:$P$1092,"Below Materiality",$M$2:$M$1092,"&gt;"&amp;M280)+COUNTIFS($O$2:$O$1092,O280,$P$2:$P$1092,"Below Materiality",$M$2:$M$1092,M280,$A$2:$A$1092,"&lt;"&amp;A280)+1))</f>
        <v/>
      </c>
      <c r="T280" s="22"/>
      <c r="U280" s="21" t="str">
        <f aca="false">IF(R280="","",O280&amp;"|A|"&amp;R280)</f>
        <v/>
      </c>
      <c r="V280" s="21" t="str">
        <f aca="false">IF(S280="","",O280&amp;"|R|"&amp;S280)</f>
        <v/>
      </c>
    </row>
    <row r="281" customFormat="false" ht="15" hidden="false" customHeight="false" outlineLevel="0" collapsed="false">
      <c r="A281" s="18" t="n">
        <v>280</v>
      </c>
      <c r="B281" s="18"/>
      <c r="C281" s="18"/>
      <c r="D281" s="18"/>
      <c r="E281" s="18" t="s">
        <v>621</v>
      </c>
      <c r="F281" s="18" t="s">
        <v>622</v>
      </c>
      <c r="G281" s="18" t="s">
        <v>71</v>
      </c>
      <c r="H281" s="18" t="n">
        <v>166</v>
      </c>
      <c r="I281" s="19" t="n">
        <v>0</v>
      </c>
      <c r="J281" s="19" t="n">
        <v>97404.01</v>
      </c>
      <c r="K281" s="19" t="n">
        <v>97404.01</v>
      </c>
      <c r="L281" s="19" t="n">
        <v>0</v>
      </c>
      <c r="M281" s="19" t="n">
        <f aca="false">ABS(L281)</f>
        <v>0</v>
      </c>
      <c r="N281" s="18" t="str">
        <f aca="false">IF(L281=0,"Nil balance",IF(G281="AR file",IF(L281&gt;0,"Accounts Receivable","Customer Advances"),IF(L281&lt;0,"Accounts Payable","Supplier Advances")))</f>
        <v>Nil balance</v>
      </c>
      <c r="O281" s="18" t="str">
        <f aca="false">IF(L281=0,"Excluded",IF(Summary!$C$4="By ledger",IF(G281="AR file","Population 1","Population 2"),IF(L281&gt;0,"Population 1","Population 2")))</f>
        <v>Excluded</v>
      </c>
      <c r="P281" s="18" t="str">
        <f aca="false">IF(O281="Excluded","Excluded – nil closing balance",IF(M281&gt;Summary!$C$5,"Above Materiality","Below Materiality"))</f>
        <v>Excluded – nil closing balance</v>
      </c>
      <c r="Q281" s="20" t="str">
        <f aca="false">IF(P281="Below Materiality",T281,"")</f>
        <v/>
      </c>
      <c r="R281" s="21" t="str">
        <f aca="false">IF(P281="Above Materiality",COUNTIFS($O$2:$O$1092,O281,$P$2:$P$1092,"Above Materiality",$M$2:$M$1092,"&gt;"&amp;M281)+COUNTIFS($O$2:$O$1092,O281,$P$2:$P$1092,"Above Materiality",$M$2:$M$1092,M281,$A$2:$A$1092,"&lt;"&amp;A281)+1,"")</f>
        <v/>
      </c>
      <c r="S281" s="21" t="str">
        <f aca="false">IF(P281&lt;&gt;"Below Materiality","",IF(Summary!$C$9="Random",COUNTIFS($O$2:$O$1092,O281,$Q$2:$Q$1092,"&gt;"&amp;Q281)+1,COUNTIFS($O$2:$O$1092,O281,$P$2:$P$1092,"Below Materiality",$M$2:$M$1092,"&gt;"&amp;M281)+COUNTIFS($O$2:$O$1092,O281,$P$2:$P$1092,"Below Materiality",$M$2:$M$1092,M281,$A$2:$A$1092,"&lt;"&amp;A281)+1))</f>
        <v/>
      </c>
      <c r="T281" s="22"/>
      <c r="U281" s="21" t="str">
        <f aca="false">IF(R281="","",O281&amp;"|A|"&amp;R281)</f>
        <v/>
      </c>
      <c r="V281" s="21" t="str">
        <f aca="false">IF(S281="","",O281&amp;"|R|"&amp;S281)</f>
        <v/>
      </c>
    </row>
    <row r="282" customFormat="false" ht="15" hidden="false" customHeight="false" outlineLevel="0" collapsed="false">
      <c r="A282" s="18" t="n">
        <v>281</v>
      </c>
      <c r="B282" s="18"/>
      <c r="C282" s="18"/>
      <c r="D282" s="18"/>
      <c r="E282" s="18" t="s">
        <v>623</v>
      </c>
      <c r="F282" s="18" t="s">
        <v>624</v>
      </c>
      <c r="G282" s="18" t="s">
        <v>71</v>
      </c>
      <c r="H282" s="18" t="n">
        <v>167</v>
      </c>
      <c r="I282" s="19" t="n">
        <v>770.549999999999</v>
      </c>
      <c r="J282" s="19" t="n">
        <v>14879.4</v>
      </c>
      <c r="K282" s="19" t="n">
        <v>15649.95</v>
      </c>
      <c r="L282" s="19" t="n">
        <v>0</v>
      </c>
      <c r="M282" s="19" t="n">
        <f aca="false">ABS(L282)</f>
        <v>0</v>
      </c>
      <c r="N282" s="18" t="str">
        <f aca="false">IF(L282=0,"Nil balance",IF(G282="AR file",IF(L282&gt;0,"Accounts Receivable","Customer Advances"),IF(L282&lt;0,"Accounts Payable","Supplier Advances")))</f>
        <v>Nil balance</v>
      </c>
      <c r="O282" s="18" t="str">
        <f aca="false">IF(L282=0,"Excluded",IF(Summary!$C$4="By ledger",IF(G282="AR file","Population 1","Population 2"),IF(L282&gt;0,"Population 1","Population 2")))</f>
        <v>Excluded</v>
      </c>
      <c r="P282" s="18" t="str">
        <f aca="false">IF(O282="Excluded","Excluded – nil closing balance",IF(M282&gt;Summary!$C$5,"Above Materiality","Below Materiality"))</f>
        <v>Excluded – nil closing balance</v>
      </c>
      <c r="Q282" s="20" t="str">
        <f aca="false">IF(P282="Below Materiality",T282,"")</f>
        <v/>
      </c>
      <c r="R282" s="21" t="str">
        <f aca="false">IF(P282="Above Materiality",COUNTIFS($O$2:$O$1092,O282,$P$2:$P$1092,"Above Materiality",$M$2:$M$1092,"&gt;"&amp;M282)+COUNTIFS($O$2:$O$1092,O282,$P$2:$P$1092,"Above Materiality",$M$2:$M$1092,M282,$A$2:$A$1092,"&lt;"&amp;A282)+1,"")</f>
        <v/>
      </c>
      <c r="S282" s="21" t="str">
        <f aca="false">IF(P282&lt;&gt;"Below Materiality","",IF(Summary!$C$9="Random",COUNTIFS($O$2:$O$1092,O282,$Q$2:$Q$1092,"&gt;"&amp;Q282)+1,COUNTIFS($O$2:$O$1092,O282,$P$2:$P$1092,"Below Materiality",$M$2:$M$1092,"&gt;"&amp;M282)+COUNTIFS($O$2:$O$1092,O282,$P$2:$P$1092,"Below Materiality",$M$2:$M$1092,M282,$A$2:$A$1092,"&lt;"&amp;A282)+1))</f>
        <v/>
      </c>
      <c r="T282" s="22"/>
      <c r="U282" s="21" t="str">
        <f aca="false">IF(R282="","",O282&amp;"|A|"&amp;R282)</f>
        <v/>
      </c>
      <c r="V282" s="21" t="str">
        <f aca="false">IF(S282="","",O282&amp;"|R|"&amp;S282)</f>
        <v/>
      </c>
    </row>
    <row r="283" customFormat="false" ht="15" hidden="false" customHeight="false" outlineLevel="0" collapsed="false">
      <c r="A283" s="18" t="n">
        <v>282</v>
      </c>
      <c r="B283" s="18"/>
      <c r="C283" s="18"/>
      <c r="D283" s="18"/>
      <c r="E283" s="18" t="s">
        <v>625</v>
      </c>
      <c r="F283" s="18" t="s">
        <v>626</v>
      </c>
      <c r="G283" s="18" t="s">
        <v>71</v>
      </c>
      <c r="H283" s="18" t="n">
        <v>168</v>
      </c>
      <c r="I283" s="19" t="n">
        <v>0</v>
      </c>
      <c r="J283" s="19" t="n">
        <v>40.25</v>
      </c>
      <c r="K283" s="19" t="n">
        <v>40.25</v>
      </c>
      <c r="L283" s="19" t="n">
        <v>0</v>
      </c>
      <c r="M283" s="19" t="n">
        <f aca="false">ABS(L283)</f>
        <v>0</v>
      </c>
      <c r="N283" s="18" t="str">
        <f aca="false">IF(L283=0,"Nil balance",IF(G283="AR file",IF(L283&gt;0,"Accounts Receivable","Customer Advances"),IF(L283&lt;0,"Accounts Payable","Supplier Advances")))</f>
        <v>Nil balance</v>
      </c>
      <c r="O283" s="18" t="str">
        <f aca="false">IF(L283=0,"Excluded",IF(Summary!$C$4="By ledger",IF(G283="AR file","Population 1","Population 2"),IF(L283&gt;0,"Population 1","Population 2")))</f>
        <v>Excluded</v>
      </c>
      <c r="P283" s="18" t="str">
        <f aca="false">IF(O283="Excluded","Excluded – nil closing balance",IF(M283&gt;Summary!$C$5,"Above Materiality","Below Materiality"))</f>
        <v>Excluded – nil closing balance</v>
      </c>
      <c r="Q283" s="20" t="str">
        <f aca="false">IF(P283="Below Materiality",T283,"")</f>
        <v/>
      </c>
      <c r="R283" s="21" t="str">
        <f aca="false">IF(P283="Above Materiality",COUNTIFS($O$2:$O$1092,O283,$P$2:$P$1092,"Above Materiality",$M$2:$M$1092,"&gt;"&amp;M283)+COUNTIFS($O$2:$O$1092,O283,$P$2:$P$1092,"Above Materiality",$M$2:$M$1092,M283,$A$2:$A$1092,"&lt;"&amp;A283)+1,"")</f>
        <v/>
      </c>
      <c r="S283" s="21" t="str">
        <f aca="false">IF(P283&lt;&gt;"Below Materiality","",IF(Summary!$C$9="Random",COUNTIFS($O$2:$O$1092,O283,$Q$2:$Q$1092,"&gt;"&amp;Q283)+1,COUNTIFS($O$2:$O$1092,O283,$P$2:$P$1092,"Below Materiality",$M$2:$M$1092,"&gt;"&amp;M283)+COUNTIFS($O$2:$O$1092,O283,$P$2:$P$1092,"Below Materiality",$M$2:$M$1092,M283,$A$2:$A$1092,"&lt;"&amp;A283)+1))</f>
        <v/>
      </c>
      <c r="T283" s="22"/>
      <c r="U283" s="21" t="str">
        <f aca="false">IF(R283="","",O283&amp;"|A|"&amp;R283)</f>
        <v/>
      </c>
      <c r="V283" s="21" t="str">
        <f aca="false">IF(S283="","",O283&amp;"|R|"&amp;S283)</f>
        <v/>
      </c>
    </row>
    <row r="284" customFormat="false" ht="15" hidden="false" customHeight="false" outlineLevel="0" collapsed="false">
      <c r="A284" s="18" t="n">
        <v>283</v>
      </c>
      <c r="B284" s="18"/>
      <c r="C284" s="18"/>
      <c r="D284" s="18"/>
      <c r="E284" s="18" t="s">
        <v>627</v>
      </c>
      <c r="F284" s="18" t="s">
        <v>628</v>
      </c>
      <c r="G284" s="18" t="s">
        <v>71</v>
      </c>
      <c r="H284" s="18" t="n">
        <v>169</v>
      </c>
      <c r="I284" s="19" t="n">
        <v>-7497.75</v>
      </c>
      <c r="J284" s="19" t="n">
        <v>9550.35</v>
      </c>
      <c r="K284" s="19" t="n">
        <v>2052.6</v>
      </c>
      <c r="L284" s="19" t="n">
        <v>0</v>
      </c>
      <c r="M284" s="19" t="n">
        <f aca="false">ABS(L284)</f>
        <v>0</v>
      </c>
      <c r="N284" s="18" t="str">
        <f aca="false">IF(L284=0,"Nil balance",IF(G284="AR file",IF(L284&gt;0,"Accounts Receivable","Customer Advances"),IF(L284&lt;0,"Accounts Payable","Supplier Advances")))</f>
        <v>Nil balance</v>
      </c>
      <c r="O284" s="18" t="str">
        <f aca="false">IF(L284=0,"Excluded",IF(Summary!$C$4="By ledger",IF(G284="AR file","Population 1","Population 2"),IF(L284&gt;0,"Population 1","Population 2")))</f>
        <v>Excluded</v>
      </c>
      <c r="P284" s="18" t="str">
        <f aca="false">IF(O284="Excluded","Excluded – nil closing balance",IF(M284&gt;Summary!$C$5,"Above Materiality","Below Materiality"))</f>
        <v>Excluded – nil closing balance</v>
      </c>
      <c r="Q284" s="20" t="str">
        <f aca="false">IF(P284="Below Materiality",T284,"")</f>
        <v/>
      </c>
      <c r="R284" s="21" t="str">
        <f aca="false">IF(P284="Above Materiality",COUNTIFS($O$2:$O$1092,O284,$P$2:$P$1092,"Above Materiality",$M$2:$M$1092,"&gt;"&amp;M284)+COUNTIFS($O$2:$O$1092,O284,$P$2:$P$1092,"Above Materiality",$M$2:$M$1092,M284,$A$2:$A$1092,"&lt;"&amp;A284)+1,"")</f>
        <v/>
      </c>
      <c r="S284" s="21" t="str">
        <f aca="false">IF(P284&lt;&gt;"Below Materiality","",IF(Summary!$C$9="Random",COUNTIFS($O$2:$O$1092,O284,$Q$2:$Q$1092,"&gt;"&amp;Q284)+1,COUNTIFS($O$2:$O$1092,O284,$P$2:$P$1092,"Below Materiality",$M$2:$M$1092,"&gt;"&amp;M284)+COUNTIFS($O$2:$O$1092,O284,$P$2:$P$1092,"Below Materiality",$M$2:$M$1092,M284,$A$2:$A$1092,"&lt;"&amp;A284)+1))</f>
        <v/>
      </c>
      <c r="T284" s="22"/>
      <c r="U284" s="21" t="str">
        <f aca="false">IF(R284="","",O284&amp;"|A|"&amp;R284)</f>
        <v/>
      </c>
      <c r="V284" s="21" t="str">
        <f aca="false">IF(S284="","",O284&amp;"|R|"&amp;S284)</f>
        <v/>
      </c>
    </row>
    <row r="285" customFormat="false" ht="15" hidden="false" customHeight="false" outlineLevel="0" collapsed="false">
      <c r="A285" s="18" t="n">
        <v>284</v>
      </c>
      <c r="B285" s="18"/>
      <c r="C285" s="18"/>
      <c r="D285" s="18"/>
      <c r="E285" s="18" t="s">
        <v>629</v>
      </c>
      <c r="F285" s="18" t="s">
        <v>630</v>
      </c>
      <c r="G285" s="18" t="s">
        <v>71</v>
      </c>
      <c r="H285" s="18" t="n">
        <v>170</v>
      </c>
      <c r="I285" s="19" t="n">
        <v>0</v>
      </c>
      <c r="J285" s="19" t="n">
        <v>3134.8</v>
      </c>
      <c r="K285" s="19" t="n">
        <v>3134.8</v>
      </c>
      <c r="L285" s="19" t="n">
        <v>0</v>
      </c>
      <c r="M285" s="19" t="n">
        <f aca="false">ABS(L285)</f>
        <v>0</v>
      </c>
      <c r="N285" s="18" t="str">
        <f aca="false">IF(L285=0,"Nil balance",IF(G285="AR file",IF(L285&gt;0,"Accounts Receivable","Customer Advances"),IF(L285&lt;0,"Accounts Payable","Supplier Advances")))</f>
        <v>Nil balance</v>
      </c>
      <c r="O285" s="18" t="str">
        <f aca="false">IF(L285=0,"Excluded",IF(Summary!$C$4="By ledger",IF(G285="AR file","Population 1","Population 2"),IF(L285&gt;0,"Population 1","Population 2")))</f>
        <v>Excluded</v>
      </c>
      <c r="P285" s="18" t="str">
        <f aca="false">IF(O285="Excluded","Excluded – nil closing balance",IF(M285&gt;Summary!$C$5,"Above Materiality","Below Materiality"))</f>
        <v>Excluded – nil closing balance</v>
      </c>
      <c r="Q285" s="20" t="str">
        <f aca="false">IF(P285="Below Materiality",T285,"")</f>
        <v/>
      </c>
      <c r="R285" s="21" t="str">
        <f aca="false">IF(P285="Above Materiality",COUNTIFS($O$2:$O$1092,O285,$P$2:$P$1092,"Above Materiality",$M$2:$M$1092,"&gt;"&amp;M285)+COUNTIFS($O$2:$O$1092,O285,$P$2:$P$1092,"Above Materiality",$M$2:$M$1092,M285,$A$2:$A$1092,"&lt;"&amp;A285)+1,"")</f>
        <v/>
      </c>
      <c r="S285" s="21" t="str">
        <f aca="false">IF(P285&lt;&gt;"Below Materiality","",IF(Summary!$C$9="Random",COUNTIFS($O$2:$O$1092,O285,$Q$2:$Q$1092,"&gt;"&amp;Q285)+1,COUNTIFS($O$2:$O$1092,O285,$P$2:$P$1092,"Below Materiality",$M$2:$M$1092,"&gt;"&amp;M285)+COUNTIFS($O$2:$O$1092,O285,$P$2:$P$1092,"Below Materiality",$M$2:$M$1092,M285,$A$2:$A$1092,"&lt;"&amp;A285)+1))</f>
        <v/>
      </c>
      <c r="T285" s="22"/>
      <c r="U285" s="21" t="str">
        <f aca="false">IF(R285="","",O285&amp;"|A|"&amp;R285)</f>
        <v/>
      </c>
      <c r="V285" s="21" t="str">
        <f aca="false">IF(S285="","",O285&amp;"|R|"&amp;S285)</f>
        <v/>
      </c>
    </row>
    <row r="286" customFormat="false" ht="15" hidden="false" customHeight="false" outlineLevel="0" collapsed="false">
      <c r="A286" s="18" t="n">
        <v>285</v>
      </c>
      <c r="B286" s="18"/>
      <c r="C286" s="18"/>
      <c r="D286" s="18"/>
      <c r="E286" s="18" t="s">
        <v>631</v>
      </c>
      <c r="F286" s="18" t="s">
        <v>632</v>
      </c>
      <c r="G286" s="18" t="s">
        <v>71</v>
      </c>
      <c r="H286" s="18" t="n">
        <v>171</v>
      </c>
      <c r="I286" s="19" t="n">
        <v>0</v>
      </c>
      <c r="J286" s="19" t="n">
        <v>3577.7</v>
      </c>
      <c r="K286" s="19" t="n">
        <v>3577.7</v>
      </c>
      <c r="L286" s="19" t="n">
        <v>0</v>
      </c>
      <c r="M286" s="19" t="n">
        <f aca="false">ABS(L286)</f>
        <v>0</v>
      </c>
      <c r="N286" s="18" t="str">
        <f aca="false">IF(L286=0,"Nil balance",IF(G286="AR file",IF(L286&gt;0,"Accounts Receivable","Customer Advances"),IF(L286&lt;0,"Accounts Payable","Supplier Advances")))</f>
        <v>Nil balance</v>
      </c>
      <c r="O286" s="18" t="str">
        <f aca="false">IF(L286=0,"Excluded",IF(Summary!$C$4="By ledger",IF(G286="AR file","Population 1","Population 2"),IF(L286&gt;0,"Population 1","Population 2")))</f>
        <v>Excluded</v>
      </c>
      <c r="P286" s="18" t="str">
        <f aca="false">IF(O286="Excluded","Excluded – nil closing balance",IF(M286&gt;Summary!$C$5,"Above Materiality","Below Materiality"))</f>
        <v>Excluded – nil closing balance</v>
      </c>
      <c r="Q286" s="20" t="str">
        <f aca="false">IF(P286="Below Materiality",T286,"")</f>
        <v/>
      </c>
      <c r="R286" s="21" t="str">
        <f aca="false">IF(P286="Above Materiality",COUNTIFS($O$2:$O$1092,O286,$P$2:$P$1092,"Above Materiality",$M$2:$M$1092,"&gt;"&amp;M286)+COUNTIFS($O$2:$O$1092,O286,$P$2:$P$1092,"Above Materiality",$M$2:$M$1092,M286,$A$2:$A$1092,"&lt;"&amp;A286)+1,"")</f>
        <v/>
      </c>
      <c r="S286" s="21" t="str">
        <f aca="false">IF(P286&lt;&gt;"Below Materiality","",IF(Summary!$C$9="Random",COUNTIFS($O$2:$O$1092,O286,$Q$2:$Q$1092,"&gt;"&amp;Q286)+1,COUNTIFS($O$2:$O$1092,O286,$P$2:$P$1092,"Below Materiality",$M$2:$M$1092,"&gt;"&amp;M286)+COUNTIFS($O$2:$O$1092,O286,$P$2:$P$1092,"Below Materiality",$M$2:$M$1092,M286,$A$2:$A$1092,"&lt;"&amp;A286)+1))</f>
        <v/>
      </c>
      <c r="T286" s="22"/>
      <c r="U286" s="21" t="str">
        <f aca="false">IF(R286="","",O286&amp;"|A|"&amp;R286)</f>
        <v/>
      </c>
      <c r="V286" s="21" t="str">
        <f aca="false">IF(S286="","",O286&amp;"|R|"&amp;S286)</f>
        <v/>
      </c>
    </row>
    <row r="287" customFormat="false" ht="15" hidden="false" customHeight="false" outlineLevel="0" collapsed="false">
      <c r="A287" s="18" t="n">
        <v>286</v>
      </c>
      <c r="B287" s="18"/>
      <c r="C287" s="18"/>
      <c r="D287" s="18"/>
      <c r="E287" s="18" t="s">
        <v>633</v>
      </c>
      <c r="F287" s="18" t="s">
        <v>634</v>
      </c>
      <c r="G287" s="18" t="s">
        <v>71</v>
      </c>
      <c r="H287" s="18" t="n">
        <v>172</v>
      </c>
      <c r="I287" s="19" t="n">
        <v>0</v>
      </c>
      <c r="J287" s="19" t="n">
        <v>92</v>
      </c>
      <c r="K287" s="19" t="n">
        <v>92</v>
      </c>
      <c r="L287" s="19" t="n">
        <v>0</v>
      </c>
      <c r="M287" s="19" t="n">
        <f aca="false">ABS(L287)</f>
        <v>0</v>
      </c>
      <c r="N287" s="18" t="str">
        <f aca="false">IF(L287=0,"Nil balance",IF(G287="AR file",IF(L287&gt;0,"Accounts Receivable","Customer Advances"),IF(L287&lt;0,"Accounts Payable","Supplier Advances")))</f>
        <v>Nil balance</v>
      </c>
      <c r="O287" s="18" t="str">
        <f aca="false">IF(L287=0,"Excluded",IF(Summary!$C$4="By ledger",IF(G287="AR file","Population 1","Population 2"),IF(L287&gt;0,"Population 1","Population 2")))</f>
        <v>Excluded</v>
      </c>
      <c r="P287" s="18" t="str">
        <f aca="false">IF(O287="Excluded","Excluded – nil closing balance",IF(M287&gt;Summary!$C$5,"Above Materiality","Below Materiality"))</f>
        <v>Excluded – nil closing balance</v>
      </c>
      <c r="Q287" s="20" t="str">
        <f aca="false">IF(P287="Below Materiality",T287,"")</f>
        <v/>
      </c>
      <c r="R287" s="21" t="str">
        <f aca="false">IF(P287="Above Materiality",COUNTIFS($O$2:$O$1092,O287,$P$2:$P$1092,"Above Materiality",$M$2:$M$1092,"&gt;"&amp;M287)+COUNTIFS($O$2:$O$1092,O287,$P$2:$P$1092,"Above Materiality",$M$2:$M$1092,M287,$A$2:$A$1092,"&lt;"&amp;A287)+1,"")</f>
        <v/>
      </c>
      <c r="S287" s="21" t="str">
        <f aca="false">IF(P287&lt;&gt;"Below Materiality","",IF(Summary!$C$9="Random",COUNTIFS($O$2:$O$1092,O287,$Q$2:$Q$1092,"&gt;"&amp;Q287)+1,COUNTIFS($O$2:$O$1092,O287,$P$2:$P$1092,"Below Materiality",$M$2:$M$1092,"&gt;"&amp;M287)+COUNTIFS($O$2:$O$1092,O287,$P$2:$P$1092,"Below Materiality",$M$2:$M$1092,M287,$A$2:$A$1092,"&lt;"&amp;A287)+1))</f>
        <v/>
      </c>
      <c r="T287" s="22"/>
      <c r="U287" s="21" t="str">
        <f aca="false">IF(R287="","",O287&amp;"|A|"&amp;R287)</f>
        <v/>
      </c>
      <c r="V287" s="21" t="str">
        <f aca="false">IF(S287="","",O287&amp;"|R|"&amp;S287)</f>
        <v/>
      </c>
    </row>
    <row r="288" customFormat="false" ht="15" hidden="false" customHeight="false" outlineLevel="0" collapsed="false">
      <c r="A288" s="18" t="n">
        <v>287</v>
      </c>
      <c r="B288" s="18"/>
      <c r="C288" s="18"/>
      <c r="D288" s="18"/>
      <c r="E288" s="18" t="s">
        <v>635</v>
      </c>
      <c r="F288" s="18" t="s">
        <v>636</v>
      </c>
      <c r="G288" s="18" t="s">
        <v>71</v>
      </c>
      <c r="H288" s="18" t="n">
        <v>173</v>
      </c>
      <c r="I288" s="19" t="n">
        <v>0</v>
      </c>
      <c r="J288" s="19" t="n">
        <v>424</v>
      </c>
      <c r="K288" s="19" t="n">
        <v>424</v>
      </c>
      <c r="L288" s="19" t="n">
        <v>0</v>
      </c>
      <c r="M288" s="19" t="n">
        <f aca="false">ABS(L288)</f>
        <v>0</v>
      </c>
      <c r="N288" s="18" t="str">
        <f aca="false">IF(L288=0,"Nil balance",IF(G288="AR file",IF(L288&gt;0,"Accounts Receivable","Customer Advances"),IF(L288&lt;0,"Accounts Payable","Supplier Advances")))</f>
        <v>Nil balance</v>
      </c>
      <c r="O288" s="18" t="str">
        <f aca="false">IF(L288=0,"Excluded",IF(Summary!$C$4="By ledger",IF(G288="AR file","Population 1","Population 2"),IF(L288&gt;0,"Population 1","Population 2")))</f>
        <v>Excluded</v>
      </c>
      <c r="P288" s="18" t="str">
        <f aca="false">IF(O288="Excluded","Excluded – nil closing balance",IF(M288&gt;Summary!$C$5,"Above Materiality","Below Materiality"))</f>
        <v>Excluded – nil closing balance</v>
      </c>
      <c r="Q288" s="20" t="str">
        <f aca="false">IF(P288="Below Materiality",T288,"")</f>
        <v/>
      </c>
      <c r="R288" s="21" t="str">
        <f aca="false">IF(P288="Above Materiality",COUNTIFS($O$2:$O$1092,O288,$P$2:$P$1092,"Above Materiality",$M$2:$M$1092,"&gt;"&amp;M288)+COUNTIFS($O$2:$O$1092,O288,$P$2:$P$1092,"Above Materiality",$M$2:$M$1092,M288,$A$2:$A$1092,"&lt;"&amp;A288)+1,"")</f>
        <v/>
      </c>
      <c r="S288" s="21" t="str">
        <f aca="false">IF(P288&lt;&gt;"Below Materiality","",IF(Summary!$C$9="Random",COUNTIFS($O$2:$O$1092,O288,$Q$2:$Q$1092,"&gt;"&amp;Q288)+1,COUNTIFS($O$2:$O$1092,O288,$P$2:$P$1092,"Below Materiality",$M$2:$M$1092,"&gt;"&amp;M288)+COUNTIFS($O$2:$O$1092,O288,$P$2:$P$1092,"Below Materiality",$M$2:$M$1092,M288,$A$2:$A$1092,"&lt;"&amp;A288)+1))</f>
        <v/>
      </c>
      <c r="T288" s="22"/>
      <c r="U288" s="21" t="str">
        <f aca="false">IF(R288="","",O288&amp;"|A|"&amp;R288)</f>
        <v/>
      </c>
      <c r="V288" s="21" t="str">
        <f aca="false">IF(S288="","",O288&amp;"|R|"&amp;S288)</f>
        <v/>
      </c>
    </row>
    <row r="289" customFormat="false" ht="15" hidden="false" customHeight="false" outlineLevel="0" collapsed="false">
      <c r="A289" s="18" t="n">
        <v>288</v>
      </c>
      <c r="B289" s="18"/>
      <c r="C289" s="18"/>
      <c r="D289" s="18"/>
      <c r="E289" s="18" t="s">
        <v>637</v>
      </c>
      <c r="F289" s="18" t="s">
        <v>638</v>
      </c>
      <c r="G289" s="18" t="s">
        <v>71</v>
      </c>
      <c r="H289" s="18" t="n">
        <v>174</v>
      </c>
      <c r="I289" s="19" t="n">
        <v>0</v>
      </c>
      <c r="J289" s="19" t="n">
        <v>509.15</v>
      </c>
      <c r="K289" s="19" t="n">
        <v>509.15</v>
      </c>
      <c r="L289" s="19" t="n">
        <v>0</v>
      </c>
      <c r="M289" s="19" t="n">
        <f aca="false">ABS(L289)</f>
        <v>0</v>
      </c>
      <c r="N289" s="18" t="str">
        <f aca="false">IF(L289=0,"Nil balance",IF(G289="AR file",IF(L289&gt;0,"Accounts Receivable","Customer Advances"),IF(L289&lt;0,"Accounts Payable","Supplier Advances")))</f>
        <v>Nil balance</v>
      </c>
      <c r="O289" s="18" t="str">
        <f aca="false">IF(L289=0,"Excluded",IF(Summary!$C$4="By ledger",IF(G289="AR file","Population 1","Population 2"),IF(L289&gt;0,"Population 1","Population 2")))</f>
        <v>Excluded</v>
      </c>
      <c r="P289" s="18" t="str">
        <f aca="false">IF(O289="Excluded","Excluded – nil closing balance",IF(M289&gt;Summary!$C$5,"Above Materiality","Below Materiality"))</f>
        <v>Excluded – nil closing balance</v>
      </c>
      <c r="Q289" s="20" t="str">
        <f aca="false">IF(P289="Below Materiality",T289,"")</f>
        <v/>
      </c>
      <c r="R289" s="21" t="str">
        <f aca="false">IF(P289="Above Materiality",COUNTIFS($O$2:$O$1092,O289,$P$2:$P$1092,"Above Materiality",$M$2:$M$1092,"&gt;"&amp;M289)+COUNTIFS($O$2:$O$1092,O289,$P$2:$P$1092,"Above Materiality",$M$2:$M$1092,M289,$A$2:$A$1092,"&lt;"&amp;A289)+1,"")</f>
        <v/>
      </c>
      <c r="S289" s="21" t="str">
        <f aca="false">IF(P289&lt;&gt;"Below Materiality","",IF(Summary!$C$9="Random",COUNTIFS($O$2:$O$1092,O289,$Q$2:$Q$1092,"&gt;"&amp;Q289)+1,COUNTIFS($O$2:$O$1092,O289,$P$2:$P$1092,"Below Materiality",$M$2:$M$1092,"&gt;"&amp;M289)+COUNTIFS($O$2:$O$1092,O289,$P$2:$P$1092,"Below Materiality",$M$2:$M$1092,M289,$A$2:$A$1092,"&lt;"&amp;A289)+1))</f>
        <v/>
      </c>
      <c r="T289" s="22"/>
      <c r="U289" s="21" t="str">
        <f aca="false">IF(R289="","",O289&amp;"|A|"&amp;R289)</f>
        <v/>
      </c>
      <c r="V289" s="21" t="str">
        <f aca="false">IF(S289="","",O289&amp;"|R|"&amp;S289)</f>
        <v/>
      </c>
    </row>
    <row r="290" customFormat="false" ht="15" hidden="false" customHeight="false" outlineLevel="0" collapsed="false">
      <c r="A290" s="18" t="n">
        <v>289</v>
      </c>
      <c r="B290" s="18"/>
      <c r="C290" s="18"/>
      <c r="D290" s="18"/>
      <c r="E290" s="18" t="s">
        <v>639</v>
      </c>
      <c r="F290" s="18" t="s">
        <v>640</v>
      </c>
      <c r="G290" s="18" t="s">
        <v>71</v>
      </c>
      <c r="H290" s="18" t="n">
        <v>175</v>
      </c>
      <c r="I290" s="19" t="n">
        <v>0</v>
      </c>
      <c r="J290" s="19" t="n">
        <v>103.5</v>
      </c>
      <c r="K290" s="19" t="n">
        <v>103.5</v>
      </c>
      <c r="L290" s="19" t="n">
        <v>0</v>
      </c>
      <c r="M290" s="19" t="n">
        <f aca="false">ABS(L290)</f>
        <v>0</v>
      </c>
      <c r="N290" s="18" t="str">
        <f aca="false">IF(L290=0,"Nil balance",IF(G290="AR file",IF(L290&gt;0,"Accounts Receivable","Customer Advances"),IF(L290&lt;0,"Accounts Payable","Supplier Advances")))</f>
        <v>Nil balance</v>
      </c>
      <c r="O290" s="18" t="str">
        <f aca="false">IF(L290=0,"Excluded",IF(Summary!$C$4="By ledger",IF(G290="AR file","Population 1","Population 2"),IF(L290&gt;0,"Population 1","Population 2")))</f>
        <v>Excluded</v>
      </c>
      <c r="P290" s="18" t="str">
        <f aca="false">IF(O290="Excluded","Excluded – nil closing balance",IF(M290&gt;Summary!$C$5,"Above Materiality","Below Materiality"))</f>
        <v>Excluded – nil closing balance</v>
      </c>
      <c r="Q290" s="20" t="str">
        <f aca="false">IF(P290="Below Materiality",T290,"")</f>
        <v/>
      </c>
      <c r="R290" s="21" t="str">
        <f aca="false">IF(P290="Above Materiality",COUNTIFS($O$2:$O$1092,O290,$P$2:$P$1092,"Above Materiality",$M$2:$M$1092,"&gt;"&amp;M290)+COUNTIFS($O$2:$O$1092,O290,$P$2:$P$1092,"Above Materiality",$M$2:$M$1092,M290,$A$2:$A$1092,"&lt;"&amp;A290)+1,"")</f>
        <v/>
      </c>
      <c r="S290" s="21" t="str">
        <f aca="false">IF(P290&lt;&gt;"Below Materiality","",IF(Summary!$C$9="Random",COUNTIFS($O$2:$O$1092,O290,$Q$2:$Q$1092,"&gt;"&amp;Q290)+1,COUNTIFS($O$2:$O$1092,O290,$P$2:$P$1092,"Below Materiality",$M$2:$M$1092,"&gt;"&amp;M290)+COUNTIFS($O$2:$O$1092,O290,$P$2:$P$1092,"Below Materiality",$M$2:$M$1092,M290,$A$2:$A$1092,"&lt;"&amp;A290)+1))</f>
        <v/>
      </c>
      <c r="T290" s="22"/>
      <c r="U290" s="21" t="str">
        <f aca="false">IF(R290="","",O290&amp;"|A|"&amp;R290)</f>
        <v/>
      </c>
      <c r="V290" s="21" t="str">
        <f aca="false">IF(S290="","",O290&amp;"|R|"&amp;S290)</f>
        <v/>
      </c>
    </row>
    <row r="291" customFormat="false" ht="15" hidden="false" customHeight="false" outlineLevel="0" collapsed="false">
      <c r="A291" s="18" t="n">
        <v>290</v>
      </c>
      <c r="B291" s="18"/>
      <c r="C291" s="18"/>
      <c r="D291" s="18"/>
      <c r="E291" s="18" t="s">
        <v>641</v>
      </c>
      <c r="F291" s="18" t="s">
        <v>642</v>
      </c>
      <c r="G291" s="18" t="s">
        <v>71</v>
      </c>
      <c r="H291" s="18" t="n">
        <v>176</v>
      </c>
      <c r="I291" s="19" t="n">
        <v>0</v>
      </c>
      <c r="J291" s="19" t="n">
        <v>281.75</v>
      </c>
      <c r="K291" s="19" t="n">
        <v>281.75</v>
      </c>
      <c r="L291" s="19" t="n">
        <v>0</v>
      </c>
      <c r="M291" s="19" t="n">
        <f aca="false">ABS(L291)</f>
        <v>0</v>
      </c>
      <c r="N291" s="18" t="str">
        <f aca="false">IF(L291=0,"Nil balance",IF(G291="AR file",IF(L291&gt;0,"Accounts Receivable","Customer Advances"),IF(L291&lt;0,"Accounts Payable","Supplier Advances")))</f>
        <v>Nil balance</v>
      </c>
      <c r="O291" s="18" t="str">
        <f aca="false">IF(L291=0,"Excluded",IF(Summary!$C$4="By ledger",IF(G291="AR file","Population 1","Population 2"),IF(L291&gt;0,"Population 1","Population 2")))</f>
        <v>Excluded</v>
      </c>
      <c r="P291" s="18" t="str">
        <f aca="false">IF(O291="Excluded","Excluded – nil closing balance",IF(M291&gt;Summary!$C$5,"Above Materiality","Below Materiality"))</f>
        <v>Excluded – nil closing balance</v>
      </c>
      <c r="Q291" s="20" t="str">
        <f aca="false">IF(P291="Below Materiality",T291,"")</f>
        <v/>
      </c>
      <c r="R291" s="21" t="str">
        <f aca="false">IF(P291="Above Materiality",COUNTIFS($O$2:$O$1092,O291,$P$2:$P$1092,"Above Materiality",$M$2:$M$1092,"&gt;"&amp;M291)+COUNTIFS($O$2:$O$1092,O291,$P$2:$P$1092,"Above Materiality",$M$2:$M$1092,M291,$A$2:$A$1092,"&lt;"&amp;A291)+1,"")</f>
        <v/>
      </c>
      <c r="S291" s="21" t="str">
        <f aca="false">IF(P291&lt;&gt;"Below Materiality","",IF(Summary!$C$9="Random",COUNTIFS($O$2:$O$1092,O291,$Q$2:$Q$1092,"&gt;"&amp;Q291)+1,COUNTIFS($O$2:$O$1092,O291,$P$2:$P$1092,"Below Materiality",$M$2:$M$1092,"&gt;"&amp;M291)+COUNTIFS($O$2:$O$1092,O291,$P$2:$P$1092,"Below Materiality",$M$2:$M$1092,M291,$A$2:$A$1092,"&lt;"&amp;A291)+1))</f>
        <v/>
      </c>
      <c r="T291" s="22"/>
      <c r="U291" s="21" t="str">
        <f aca="false">IF(R291="","",O291&amp;"|A|"&amp;R291)</f>
        <v/>
      </c>
      <c r="V291" s="21" t="str">
        <f aca="false">IF(S291="","",O291&amp;"|R|"&amp;S291)</f>
        <v/>
      </c>
    </row>
    <row r="292" customFormat="false" ht="15" hidden="false" customHeight="false" outlineLevel="0" collapsed="false">
      <c r="A292" s="18" t="n">
        <v>291</v>
      </c>
      <c r="B292" s="18"/>
      <c r="C292" s="18"/>
      <c r="D292" s="18"/>
      <c r="E292" s="18" t="s">
        <v>643</v>
      </c>
      <c r="F292" s="18" t="s">
        <v>644</v>
      </c>
      <c r="G292" s="18" t="s">
        <v>71</v>
      </c>
      <c r="H292" s="18" t="n">
        <v>177</v>
      </c>
      <c r="I292" s="19" t="n">
        <v>0</v>
      </c>
      <c r="J292" s="19" t="n">
        <v>172</v>
      </c>
      <c r="K292" s="19" t="n">
        <v>172</v>
      </c>
      <c r="L292" s="19" t="n">
        <v>0</v>
      </c>
      <c r="M292" s="19" t="n">
        <f aca="false">ABS(L292)</f>
        <v>0</v>
      </c>
      <c r="N292" s="18" t="str">
        <f aca="false">IF(L292=0,"Nil balance",IF(G292="AR file",IF(L292&gt;0,"Accounts Receivable","Customer Advances"),IF(L292&lt;0,"Accounts Payable","Supplier Advances")))</f>
        <v>Nil balance</v>
      </c>
      <c r="O292" s="18" t="str">
        <f aca="false">IF(L292=0,"Excluded",IF(Summary!$C$4="By ledger",IF(G292="AR file","Population 1","Population 2"),IF(L292&gt;0,"Population 1","Population 2")))</f>
        <v>Excluded</v>
      </c>
      <c r="P292" s="18" t="str">
        <f aca="false">IF(O292="Excluded","Excluded – nil closing balance",IF(M292&gt;Summary!$C$5,"Above Materiality","Below Materiality"))</f>
        <v>Excluded – nil closing balance</v>
      </c>
      <c r="Q292" s="20" t="str">
        <f aca="false">IF(P292="Below Materiality",T292,"")</f>
        <v/>
      </c>
      <c r="R292" s="21" t="str">
        <f aca="false">IF(P292="Above Materiality",COUNTIFS($O$2:$O$1092,O292,$P$2:$P$1092,"Above Materiality",$M$2:$M$1092,"&gt;"&amp;M292)+COUNTIFS($O$2:$O$1092,O292,$P$2:$P$1092,"Above Materiality",$M$2:$M$1092,M292,$A$2:$A$1092,"&lt;"&amp;A292)+1,"")</f>
        <v/>
      </c>
      <c r="S292" s="21" t="str">
        <f aca="false">IF(P292&lt;&gt;"Below Materiality","",IF(Summary!$C$9="Random",COUNTIFS($O$2:$O$1092,O292,$Q$2:$Q$1092,"&gt;"&amp;Q292)+1,COUNTIFS($O$2:$O$1092,O292,$P$2:$P$1092,"Below Materiality",$M$2:$M$1092,"&gt;"&amp;M292)+COUNTIFS($O$2:$O$1092,O292,$P$2:$P$1092,"Below Materiality",$M$2:$M$1092,M292,$A$2:$A$1092,"&lt;"&amp;A292)+1))</f>
        <v/>
      </c>
      <c r="T292" s="22"/>
      <c r="U292" s="21" t="str">
        <f aca="false">IF(R292="","",O292&amp;"|A|"&amp;R292)</f>
        <v/>
      </c>
      <c r="V292" s="21" t="str">
        <f aca="false">IF(S292="","",O292&amp;"|R|"&amp;S292)</f>
        <v/>
      </c>
    </row>
    <row r="293" customFormat="false" ht="15" hidden="false" customHeight="false" outlineLevel="0" collapsed="false">
      <c r="A293" s="18" t="n">
        <v>292</v>
      </c>
      <c r="B293" s="18"/>
      <c r="C293" s="18"/>
      <c r="D293" s="18"/>
      <c r="E293" s="18" t="s">
        <v>645</v>
      </c>
      <c r="F293" s="18" t="s">
        <v>474</v>
      </c>
      <c r="G293" s="18" t="s">
        <v>71</v>
      </c>
      <c r="H293" s="18" t="n">
        <v>178</v>
      </c>
      <c r="I293" s="19" t="n">
        <v>0</v>
      </c>
      <c r="J293" s="19" t="n">
        <v>115</v>
      </c>
      <c r="K293" s="19" t="n">
        <v>115</v>
      </c>
      <c r="L293" s="19" t="n">
        <v>0</v>
      </c>
      <c r="M293" s="19" t="n">
        <f aca="false">ABS(L293)</f>
        <v>0</v>
      </c>
      <c r="N293" s="18" t="str">
        <f aca="false">IF(L293=0,"Nil balance",IF(G293="AR file",IF(L293&gt;0,"Accounts Receivable","Customer Advances"),IF(L293&lt;0,"Accounts Payable","Supplier Advances")))</f>
        <v>Nil balance</v>
      </c>
      <c r="O293" s="18" t="str">
        <f aca="false">IF(L293=0,"Excluded",IF(Summary!$C$4="By ledger",IF(G293="AR file","Population 1","Population 2"),IF(L293&gt;0,"Population 1","Population 2")))</f>
        <v>Excluded</v>
      </c>
      <c r="P293" s="18" t="str">
        <f aca="false">IF(O293="Excluded","Excluded – nil closing balance",IF(M293&gt;Summary!$C$5,"Above Materiality","Below Materiality"))</f>
        <v>Excluded – nil closing balance</v>
      </c>
      <c r="Q293" s="20" t="str">
        <f aca="false">IF(P293="Below Materiality",T293,"")</f>
        <v/>
      </c>
      <c r="R293" s="21" t="str">
        <f aca="false">IF(P293="Above Materiality",COUNTIFS($O$2:$O$1092,O293,$P$2:$P$1092,"Above Materiality",$M$2:$M$1092,"&gt;"&amp;M293)+COUNTIFS($O$2:$O$1092,O293,$P$2:$P$1092,"Above Materiality",$M$2:$M$1092,M293,$A$2:$A$1092,"&lt;"&amp;A293)+1,"")</f>
        <v/>
      </c>
      <c r="S293" s="21" t="str">
        <f aca="false">IF(P293&lt;&gt;"Below Materiality","",IF(Summary!$C$9="Random",COUNTIFS($O$2:$O$1092,O293,$Q$2:$Q$1092,"&gt;"&amp;Q293)+1,COUNTIFS($O$2:$O$1092,O293,$P$2:$P$1092,"Below Materiality",$M$2:$M$1092,"&gt;"&amp;M293)+COUNTIFS($O$2:$O$1092,O293,$P$2:$P$1092,"Below Materiality",$M$2:$M$1092,M293,$A$2:$A$1092,"&lt;"&amp;A293)+1))</f>
        <v/>
      </c>
      <c r="T293" s="22"/>
      <c r="U293" s="21" t="str">
        <f aca="false">IF(R293="","",O293&amp;"|A|"&amp;R293)</f>
        <v/>
      </c>
      <c r="V293" s="21" t="str">
        <f aca="false">IF(S293="","",O293&amp;"|R|"&amp;S293)</f>
        <v/>
      </c>
    </row>
    <row r="294" customFormat="false" ht="15" hidden="false" customHeight="false" outlineLevel="0" collapsed="false">
      <c r="A294" s="18" t="n">
        <v>293</v>
      </c>
      <c r="B294" s="18"/>
      <c r="C294" s="18"/>
      <c r="D294" s="18"/>
      <c r="E294" s="18" t="s">
        <v>646</v>
      </c>
      <c r="F294" s="18" t="s">
        <v>647</v>
      </c>
      <c r="G294" s="18" t="s">
        <v>71</v>
      </c>
      <c r="H294" s="18" t="n">
        <v>179</v>
      </c>
      <c r="I294" s="19" t="n">
        <v>0</v>
      </c>
      <c r="J294" s="19" t="n">
        <v>1851.8</v>
      </c>
      <c r="K294" s="19" t="n">
        <v>1851.8</v>
      </c>
      <c r="L294" s="19" t="n">
        <v>0</v>
      </c>
      <c r="M294" s="19" t="n">
        <f aca="false">ABS(L294)</f>
        <v>0</v>
      </c>
      <c r="N294" s="18" t="str">
        <f aca="false">IF(L294=0,"Nil balance",IF(G294="AR file",IF(L294&gt;0,"Accounts Receivable","Customer Advances"),IF(L294&lt;0,"Accounts Payable","Supplier Advances")))</f>
        <v>Nil balance</v>
      </c>
      <c r="O294" s="18" t="str">
        <f aca="false">IF(L294=0,"Excluded",IF(Summary!$C$4="By ledger",IF(G294="AR file","Population 1","Population 2"),IF(L294&gt;0,"Population 1","Population 2")))</f>
        <v>Excluded</v>
      </c>
      <c r="P294" s="18" t="str">
        <f aca="false">IF(O294="Excluded","Excluded – nil closing balance",IF(M294&gt;Summary!$C$5,"Above Materiality","Below Materiality"))</f>
        <v>Excluded – nil closing balance</v>
      </c>
      <c r="Q294" s="20" t="str">
        <f aca="false">IF(P294="Below Materiality",T294,"")</f>
        <v/>
      </c>
      <c r="R294" s="21" t="str">
        <f aca="false">IF(P294="Above Materiality",COUNTIFS($O$2:$O$1092,O294,$P$2:$P$1092,"Above Materiality",$M$2:$M$1092,"&gt;"&amp;M294)+COUNTIFS($O$2:$O$1092,O294,$P$2:$P$1092,"Above Materiality",$M$2:$M$1092,M294,$A$2:$A$1092,"&lt;"&amp;A294)+1,"")</f>
        <v/>
      </c>
      <c r="S294" s="21" t="str">
        <f aca="false">IF(P294&lt;&gt;"Below Materiality","",IF(Summary!$C$9="Random",COUNTIFS($O$2:$O$1092,O294,$Q$2:$Q$1092,"&gt;"&amp;Q294)+1,COUNTIFS($O$2:$O$1092,O294,$P$2:$P$1092,"Below Materiality",$M$2:$M$1092,"&gt;"&amp;M294)+COUNTIFS($O$2:$O$1092,O294,$P$2:$P$1092,"Below Materiality",$M$2:$M$1092,M294,$A$2:$A$1092,"&lt;"&amp;A294)+1))</f>
        <v/>
      </c>
      <c r="T294" s="22"/>
      <c r="U294" s="21" t="str">
        <f aca="false">IF(R294="","",O294&amp;"|A|"&amp;R294)</f>
        <v/>
      </c>
      <c r="V294" s="21" t="str">
        <f aca="false">IF(S294="","",O294&amp;"|R|"&amp;S294)</f>
        <v/>
      </c>
    </row>
    <row r="295" customFormat="false" ht="15" hidden="false" customHeight="false" outlineLevel="0" collapsed="false">
      <c r="A295" s="18" t="n">
        <v>294</v>
      </c>
      <c r="B295" s="18"/>
      <c r="C295" s="18"/>
      <c r="D295" s="18"/>
      <c r="E295" s="18" t="s">
        <v>648</v>
      </c>
      <c r="F295" s="18" t="s">
        <v>649</v>
      </c>
      <c r="G295" s="18" t="s">
        <v>71</v>
      </c>
      <c r="H295" s="18" t="n">
        <v>180</v>
      </c>
      <c r="I295" s="19" t="n">
        <v>0</v>
      </c>
      <c r="J295" s="19" t="n">
        <v>16606</v>
      </c>
      <c r="K295" s="19" t="n">
        <v>16606</v>
      </c>
      <c r="L295" s="19" t="n">
        <v>0</v>
      </c>
      <c r="M295" s="19" t="n">
        <f aca="false">ABS(L295)</f>
        <v>0</v>
      </c>
      <c r="N295" s="18" t="str">
        <f aca="false">IF(L295=0,"Nil balance",IF(G295="AR file",IF(L295&gt;0,"Accounts Receivable","Customer Advances"),IF(L295&lt;0,"Accounts Payable","Supplier Advances")))</f>
        <v>Nil balance</v>
      </c>
      <c r="O295" s="18" t="str">
        <f aca="false">IF(L295=0,"Excluded",IF(Summary!$C$4="By ledger",IF(G295="AR file","Population 1","Population 2"),IF(L295&gt;0,"Population 1","Population 2")))</f>
        <v>Excluded</v>
      </c>
      <c r="P295" s="18" t="str">
        <f aca="false">IF(O295="Excluded","Excluded – nil closing balance",IF(M295&gt;Summary!$C$5,"Above Materiality","Below Materiality"))</f>
        <v>Excluded – nil closing balance</v>
      </c>
      <c r="Q295" s="20" t="str">
        <f aca="false">IF(P295="Below Materiality",T295,"")</f>
        <v/>
      </c>
      <c r="R295" s="21" t="str">
        <f aca="false">IF(P295="Above Materiality",COUNTIFS($O$2:$O$1092,O295,$P$2:$P$1092,"Above Materiality",$M$2:$M$1092,"&gt;"&amp;M295)+COUNTIFS($O$2:$O$1092,O295,$P$2:$P$1092,"Above Materiality",$M$2:$M$1092,M295,$A$2:$A$1092,"&lt;"&amp;A295)+1,"")</f>
        <v/>
      </c>
      <c r="S295" s="21" t="str">
        <f aca="false">IF(P295&lt;&gt;"Below Materiality","",IF(Summary!$C$9="Random",COUNTIFS($O$2:$O$1092,O295,$Q$2:$Q$1092,"&gt;"&amp;Q295)+1,COUNTIFS($O$2:$O$1092,O295,$P$2:$P$1092,"Below Materiality",$M$2:$M$1092,"&gt;"&amp;M295)+COUNTIFS($O$2:$O$1092,O295,$P$2:$P$1092,"Below Materiality",$M$2:$M$1092,M295,$A$2:$A$1092,"&lt;"&amp;A295)+1))</f>
        <v/>
      </c>
      <c r="T295" s="22"/>
      <c r="U295" s="21" t="str">
        <f aca="false">IF(R295="","",O295&amp;"|A|"&amp;R295)</f>
        <v/>
      </c>
      <c r="V295" s="21" t="str">
        <f aca="false">IF(S295="","",O295&amp;"|R|"&amp;S295)</f>
        <v/>
      </c>
    </row>
    <row r="296" customFormat="false" ht="15" hidden="false" customHeight="false" outlineLevel="0" collapsed="false">
      <c r="A296" s="18" t="n">
        <v>295</v>
      </c>
      <c r="B296" s="18"/>
      <c r="C296" s="18"/>
      <c r="D296" s="18"/>
      <c r="E296" s="18" t="s">
        <v>650</v>
      </c>
      <c r="F296" s="18" t="s">
        <v>651</v>
      </c>
      <c r="G296" s="18" t="s">
        <v>74</v>
      </c>
      <c r="H296" s="18" t="n">
        <v>2</v>
      </c>
      <c r="I296" s="19" t="n">
        <v>5759.6</v>
      </c>
      <c r="J296" s="19" t="n">
        <v>0</v>
      </c>
      <c r="K296" s="19" t="n">
        <v>5759.6</v>
      </c>
      <c r="L296" s="19" t="n">
        <v>0</v>
      </c>
      <c r="M296" s="19" t="n">
        <f aca="false">ABS(L296)</f>
        <v>0</v>
      </c>
      <c r="N296" s="18" t="str">
        <f aca="false">IF(L296=0,"Nil balance",IF(G296="AR file",IF(L296&gt;0,"Accounts Receivable","Customer Advances"),IF(L296&lt;0,"Accounts Payable","Supplier Advances")))</f>
        <v>Nil balance</v>
      </c>
      <c r="O296" s="18" t="str">
        <f aca="false">IF(L296=0,"Excluded",IF(Summary!$C$4="By ledger",IF(G296="AR file","Population 1","Population 2"),IF(L296&gt;0,"Population 1","Population 2")))</f>
        <v>Excluded</v>
      </c>
      <c r="P296" s="18" t="str">
        <f aca="false">IF(O296="Excluded","Excluded – nil closing balance",IF(M296&gt;Summary!$C$5,"Above Materiality","Below Materiality"))</f>
        <v>Excluded – nil closing balance</v>
      </c>
      <c r="Q296" s="20" t="str">
        <f aca="false">IF(P296="Below Materiality",T296,"")</f>
        <v/>
      </c>
      <c r="R296" s="21" t="str">
        <f aca="false">IF(P296="Above Materiality",COUNTIFS($O$2:$O$1092,O296,$P$2:$P$1092,"Above Materiality",$M$2:$M$1092,"&gt;"&amp;M296)+COUNTIFS($O$2:$O$1092,O296,$P$2:$P$1092,"Above Materiality",$M$2:$M$1092,M296,$A$2:$A$1092,"&lt;"&amp;A296)+1,"")</f>
        <v/>
      </c>
      <c r="S296" s="21" t="str">
        <f aca="false">IF(P296&lt;&gt;"Below Materiality","",IF(Summary!$C$9="Random",COUNTIFS($O$2:$O$1092,O296,$Q$2:$Q$1092,"&gt;"&amp;Q296)+1,COUNTIFS($O$2:$O$1092,O296,$P$2:$P$1092,"Below Materiality",$M$2:$M$1092,"&gt;"&amp;M296)+COUNTIFS($O$2:$O$1092,O296,$P$2:$P$1092,"Below Materiality",$M$2:$M$1092,M296,$A$2:$A$1092,"&lt;"&amp;A296)+1))</f>
        <v/>
      </c>
      <c r="T296" s="22"/>
      <c r="U296" s="21" t="str">
        <f aca="false">IF(R296="","",O296&amp;"|A|"&amp;R296)</f>
        <v/>
      </c>
      <c r="V296" s="21" t="str">
        <f aca="false">IF(S296="","",O296&amp;"|R|"&amp;S296)</f>
        <v/>
      </c>
    </row>
    <row r="297" customFormat="false" ht="15" hidden="false" customHeight="false" outlineLevel="0" collapsed="false">
      <c r="A297" s="18" t="n">
        <v>296</v>
      </c>
      <c r="B297" s="18"/>
      <c r="C297" s="18"/>
      <c r="D297" s="18"/>
      <c r="E297" s="18" t="s">
        <v>652</v>
      </c>
      <c r="F297" s="18" t="s">
        <v>653</v>
      </c>
      <c r="G297" s="18" t="s">
        <v>74</v>
      </c>
      <c r="H297" s="18" t="n">
        <v>3</v>
      </c>
      <c r="I297" s="19" t="n">
        <v>0</v>
      </c>
      <c r="J297" s="19" t="n">
        <v>4652.9</v>
      </c>
      <c r="K297" s="19" t="n">
        <v>4652.9</v>
      </c>
      <c r="L297" s="19" t="n">
        <v>0</v>
      </c>
      <c r="M297" s="19" t="n">
        <f aca="false">ABS(L297)</f>
        <v>0</v>
      </c>
      <c r="N297" s="18" t="str">
        <f aca="false">IF(L297=0,"Nil balance",IF(G297="AR file",IF(L297&gt;0,"Accounts Receivable","Customer Advances"),IF(L297&lt;0,"Accounts Payable","Supplier Advances")))</f>
        <v>Nil balance</v>
      </c>
      <c r="O297" s="18" t="str">
        <f aca="false">IF(L297=0,"Excluded",IF(Summary!$C$4="By ledger",IF(G297="AR file","Population 1","Population 2"),IF(L297&gt;0,"Population 1","Population 2")))</f>
        <v>Excluded</v>
      </c>
      <c r="P297" s="18" t="str">
        <f aca="false">IF(O297="Excluded","Excluded – nil closing balance",IF(M297&gt;Summary!$C$5,"Above Materiality","Below Materiality"))</f>
        <v>Excluded – nil closing balance</v>
      </c>
      <c r="Q297" s="20" t="str">
        <f aca="false">IF(P297="Below Materiality",T297,"")</f>
        <v/>
      </c>
      <c r="R297" s="21" t="str">
        <f aca="false">IF(P297="Above Materiality",COUNTIFS($O$2:$O$1092,O297,$P$2:$P$1092,"Above Materiality",$M$2:$M$1092,"&gt;"&amp;M297)+COUNTIFS($O$2:$O$1092,O297,$P$2:$P$1092,"Above Materiality",$M$2:$M$1092,M297,$A$2:$A$1092,"&lt;"&amp;A297)+1,"")</f>
        <v/>
      </c>
      <c r="S297" s="21" t="str">
        <f aca="false">IF(P297&lt;&gt;"Below Materiality","",IF(Summary!$C$9="Random",COUNTIFS($O$2:$O$1092,O297,$Q$2:$Q$1092,"&gt;"&amp;Q297)+1,COUNTIFS($O$2:$O$1092,O297,$P$2:$P$1092,"Below Materiality",$M$2:$M$1092,"&gt;"&amp;M297)+COUNTIFS($O$2:$O$1092,O297,$P$2:$P$1092,"Below Materiality",$M$2:$M$1092,M297,$A$2:$A$1092,"&lt;"&amp;A297)+1))</f>
        <v/>
      </c>
      <c r="T297" s="22"/>
      <c r="U297" s="21" t="str">
        <f aca="false">IF(R297="","",O297&amp;"|A|"&amp;R297)</f>
        <v/>
      </c>
      <c r="V297" s="21" t="str">
        <f aca="false">IF(S297="","",O297&amp;"|R|"&amp;S297)</f>
        <v/>
      </c>
    </row>
    <row r="298" customFormat="false" ht="15" hidden="false" customHeight="false" outlineLevel="0" collapsed="false">
      <c r="A298" s="18" t="n">
        <v>297</v>
      </c>
      <c r="B298" s="18"/>
      <c r="C298" s="18"/>
      <c r="D298" s="18"/>
      <c r="E298" s="18" t="s">
        <v>654</v>
      </c>
      <c r="F298" s="18" t="s">
        <v>655</v>
      </c>
      <c r="G298" s="18" t="s">
        <v>74</v>
      </c>
      <c r="H298" s="18" t="n">
        <v>6</v>
      </c>
      <c r="I298" s="19" t="n">
        <v>0</v>
      </c>
      <c r="J298" s="19" t="n">
        <v>31133.28</v>
      </c>
      <c r="K298" s="19" t="n">
        <v>31133.28</v>
      </c>
      <c r="L298" s="19" t="n">
        <v>0</v>
      </c>
      <c r="M298" s="19" t="n">
        <f aca="false">ABS(L298)</f>
        <v>0</v>
      </c>
      <c r="N298" s="18" t="str">
        <f aca="false">IF(L298=0,"Nil balance",IF(G298="AR file",IF(L298&gt;0,"Accounts Receivable","Customer Advances"),IF(L298&lt;0,"Accounts Payable","Supplier Advances")))</f>
        <v>Nil balance</v>
      </c>
      <c r="O298" s="18" t="str">
        <f aca="false">IF(L298=0,"Excluded",IF(Summary!$C$4="By ledger",IF(G298="AR file","Population 1","Population 2"),IF(L298&gt;0,"Population 1","Population 2")))</f>
        <v>Excluded</v>
      </c>
      <c r="P298" s="18" t="str">
        <f aca="false">IF(O298="Excluded","Excluded – nil closing balance",IF(M298&gt;Summary!$C$5,"Above Materiality","Below Materiality"))</f>
        <v>Excluded – nil closing balance</v>
      </c>
      <c r="Q298" s="20" t="str">
        <f aca="false">IF(P298="Below Materiality",T298,"")</f>
        <v/>
      </c>
      <c r="R298" s="21" t="str">
        <f aca="false">IF(P298="Above Materiality",COUNTIFS($O$2:$O$1092,O298,$P$2:$P$1092,"Above Materiality",$M$2:$M$1092,"&gt;"&amp;M298)+COUNTIFS($O$2:$O$1092,O298,$P$2:$P$1092,"Above Materiality",$M$2:$M$1092,M298,$A$2:$A$1092,"&lt;"&amp;A298)+1,"")</f>
        <v/>
      </c>
      <c r="S298" s="21" t="str">
        <f aca="false">IF(P298&lt;&gt;"Below Materiality","",IF(Summary!$C$9="Random",COUNTIFS($O$2:$O$1092,O298,$Q$2:$Q$1092,"&gt;"&amp;Q298)+1,COUNTIFS($O$2:$O$1092,O298,$P$2:$P$1092,"Below Materiality",$M$2:$M$1092,"&gt;"&amp;M298)+COUNTIFS($O$2:$O$1092,O298,$P$2:$P$1092,"Below Materiality",$M$2:$M$1092,M298,$A$2:$A$1092,"&lt;"&amp;A298)+1))</f>
        <v/>
      </c>
      <c r="T298" s="22"/>
      <c r="U298" s="21" t="str">
        <f aca="false">IF(R298="","",O298&amp;"|A|"&amp;R298)</f>
        <v/>
      </c>
      <c r="V298" s="21" t="str">
        <f aca="false">IF(S298="","",O298&amp;"|R|"&amp;S298)</f>
        <v/>
      </c>
    </row>
    <row r="299" customFormat="false" ht="15" hidden="false" customHeight="false" outlineLevel="0" collapsed="false">
      <c r="A299" s="18" t="n">
        <v>298</v>
      </c>
      <c r="B299" s="18"/>
      <c r="C299" s="18"/>
      <c r="D299" s="18"/>
      <c r="E299" s="18" t="s">
        <v>656</v>
      </c>
      <c r="F299" s="18" t="s">
        <v>657</v>
      </c>
      <c r="G299" s="18" t="s">
        <v>74</v>
      </c>
      <c r="H299" s="18" t="n">
        <v>7</v>
      </c>
      <c r="I299" s="19" t="n">
        <v>0</v>
      </c>
      <c r="J299" s="19" t="n">
        <v>39807.35</v>
      </c>
      <c r="K299" s="19" t="n">
        <v>39807.35</v>
      </c>
      <c r="L299" s="19" t="n">
        <v>0</v>
      </c>
      <c r="M299" s="19" t="n">
        <f aca="false">ABS(L299)</f>
        <v>0</v>
      </c>
      <c r="N299" s="18" t="str">
        <f aca="false">IF(L299=0,"Nil balance",IF(G299="AR file",IF(L299&gt;0,"Accounts Receivable","Customer Advances"),IF(L299&lt;0,"Accounts Payable","Supplier Advances")))</f>
        <v>Nil balance</v>
      </c>
      <c r="O299" s="18" t="str">
        <f aca="false">IF(L299=0,"Excluded",IF(Summary!$C$4="By ledger",IF(G299="AR file","Population 1","Population 2"),IF(L299&gt;0,"Population 1","Population 2")))</f>
        <v>Excluded</v>
      </c>
      <c r="P299" s="18" t="str">
        <f aca="false">IF(O299="Excluded","Excluded – nil closing balance",IF(M299&gt;Summary!$C$5,"Above Materiality","Below Materiality"))</f>
        <v>Excluded – nil closing balance</v>
      </c>
      <c r="Q299" s="20" t="str">
        <f aca="false">IF(P299="Below Materiality",T299,"")</f>
        <v/>
      </c>
      <c r="R299" s="21" t="str">
        <f aca="false">IF(P299="Above Materiality",COUNTIFS($O$2:$O$1092,O299,$P$2:$P$1092,"Above Materiality",$M$2:$M$1092,"&gt;"&amp;M299)+COUNTIFS($O$2:$O$1092,O299,$P$2:$P$1092,"Above Materiality",$M$2:$M$1092,M299,$A$2:$A$1092,"&lt;"&amp;A299)+1,"")</f>
        <v/>
      </c>
      <c r="S299" s="21" t="str">
        <f aca="false">IF(P299&lt;&gt;"Below Materiality","",IF(Summary!$C$9="Random",COUNTIFS($O$2:$O$1092,O299,$Q$2:$Q$1092,"&gt;"&amp;Q299)+1,COUNTIFS($O$2:$O$1092,O299,$P$2:$P$1092,"Below Materiality",$M$2:$M$1092,"&gt;"&amp;M299)+COUNTIFS($O$2:$O$1092,O299,$P$2:$P$1092,"Below Materiality",$M$2:$M$1092,M299,$A$2:$A$1092,"&lt;"&amp;A299)+1))</f>
        <v/>
      </c>
      <c r="T299" s="22"/>
      <c r="U299" s="21" t="str">
        <f aca="false">IF(R299="","",O299&amp;"|A|"&amp;R299)</f>
        <v/>
      </c>
      <c r="V299" s="21" t="str">
        <f aca="false">IF(S299="","",O299&amp;"|R|"&amp;S299)</f>
        <v/>
      </c>
    </row>
    <row r="300" customFormat="false" ht="15" hidden="false" customHeight="false" outlineLevel="0" collapsed="false">
      <c r="A300" s="18" t="n">
        <v>299</v>
      </c>
      <c r="B300" s="18"/>
      <c r="C300" s="18"/>
      <c r="D300" s="18"/>
      <c r="E300" s="18" t="s">
        <v>658</v>
      </c>
      <c r="F300" s="18" t="s">
        <v>659</v>
      </c>
      <c r="G300" s="18" t="s">
        <v>74</v>
      </c>
      <c r="H300" s="18" t="n">
        <v>8</v>
      </c>
      <c r="I300" s="19" t="n">
        <v>0</v>
      </c>
      <c r="J300" s="19" t="n">
        <v>11575.75</v>
      </c>
      <c r="K300" s="19" t="n">
        <v>11575.75</v>
      </c>
      <c r="L300" s="19" t="n">
        <v>0</v>
      </c>
      <c r="M300" s="19" t="n">
        <f aca="false">ABS(L300)</f>
        <v>0</v>
      </c>
      <c r="N300" s="18" t="str">
        <f aca="false">IF(L300=0,"Nil balance",IF(G300="AR file",IF(L300&gt;0,"Accounts Receivable","Customer Advances"),IF(L300&lt;0,"Accounts Payable","Supplier Advances")))</f>
        <v>Nil balance</v>
      </c>
      <c r="O300" s="18" t="str">
        <f aca="false">IF(L300=0,"Excluded",IF(Summary!$C$4="By ledger",IF(G300="AR file","Population 1","Population 2"),IF(L300&gt;0,"Population 1","Population 2")))</f>
        <v>Excluded</v>
      </c>
      <c r="P300" s="18" t="str">
        <f aca="false">IF(O300="Excluded","Excluded – nil closing balance",IF(M300&gt;Summary!$C$5,"Above Materiality","Below Materiality"))</f>
        <v>Excluded – nil closing balance</v>
      </c>
      <c r="Q300" s="20" t="str">
        <f aca="false">IF(P300="Below Materiality",T300,"")</f>
        <v/>
      </c>
      <c r="R300" s="21" t="str">
        <f aca="false">IF(P300="Above Materiality",COUNTIFS($O$2:$O$1092,O300,$P$2:$P$1092,"Above Materiality",$M$2:$M$1092,"&gt;"&amp;M300)+COUNTIFS($O$2:$O$1092,O300,$P$2:$P$1092,"Above Materiality",$M$2:$M$1092,M300,$A$2:$A$1092,"&lt;"&amp;A300)+1,"")</f>
        <v/>
      </c>
      <c r="S300" s="21" t="str">
        <f aca="false">IF(P300&lt;&gt;"Below Materiality","",IF(Summary!$C$9="Random",COUNTIFS($O$2:$O$1092,O300,$Q$2:$Q$1092,"&gt;"&amp;Q300)+1,COUNTIFS($O$2:$O$1092,O300,$P$2:$P$1092,"Below Materiality",$M$2:$M$1092,"&gt;"&amp;M300)+COUNTIFS($O$2:$O$1092,O300,$P$2:$P$1092,"Below Materiality",$M$2:$M$1092,M300,$A$2:$A$1092,"&lt;"&amp;A300)+1))</f>
        <v/>
      </c>
      <c r="T300" s="22"/>
      <c r="U300" s="21" t="str">
        <f aca="false">IF(R300="","",O300&amp;"|A|"&amp;R300)</f>
        <v/>
      </c>
      <c r="V300" s="21" t="str">
        <f aca="false">IF(S300="","",O300&amp;"|R|"&amp;S300)</f>
        <v/>
      </c>
    </row>
    <row r="301" customFormat="false" ht="15" hidden="false" customHeight="false" outlineLevel="0" collapsed="false">
      <c r="A301" s="18" t="n">
        <v>300</v>
      </c>
      <c r="B301" s="18"/>
      <c r="C301" s="18"/>
      <c r="D301" s="18"/>
      <c r="E301" s="18" t="s">
        <v>660</v>
      </c>
      <c r="F301" s="18" t="s">
        <v>661</v>
      </c>
      <c r="G301" s="18" t="s">
        <v>74</v>
      </c>
      <c r="H301" s="18" t="n">
        <v>9</v>
      </c>
      <c r="I301" s="19" t="n">
        <v>878.2</v>
      </c>
      <c r="J301" s="19" t="n">
        <v>23972.33</v>
      </c>
      <c r="K301" s="19" t="n">
        <v>24850.53</v>
      </c>
      <c r="L301" s="19" t="n">
        <v>0</v>
      </c>
      <c r="M301" s="19" t="n">
        <f aca="false">ABS(L301)</f>
        <v>0</v>
      </c>
      <c r="N301" s="18" t="str">
        <f aca="false">IF(L301=0,"Nil balance",IF(G301="AR file",IF(L301&gt;0,"Accounts Receivable","Customer Advances"),IF(L301&lt;0,"Accounts Payable","Supplier Advances")))</f>
        <v>Nil balance</v>
      </c>
      <c r="O301" s="18" t="str">
        <f aca="false">IF(L301=0,"Excluded",IF(Summary!$C$4="By ledger",IF(G301="AR file","Population 1","Population 2"),IF(L301&gt;0,"Population 1","Population 2")))</f>
        <v>Excluded</v>
      </c>
      <c r="P301" s="18" t="str">
        <f aca="false">IF(O301="Excluded","Excluded – nil closing balance",IF(M301&gt;Summary!$C$5,"Above Materiality","Below Materiality"))</f>
        <v>Excluded – nil closing balance</v>
      </c>
      <c r="Q301" s="20" t="str">
        <f aca="false">IF(P301="Below Materiality",T301,"")</f>
        <v/>
      </c>
      <c r="R301" s="21" t="str">
        <f aca="false">IF(P301="Above Materiality",COUNTIFS($O$2:$O$1092,O301,$P$2:$P$1092,"Above Materiality",$M$2:$M$1092,"&gt;"&amp;M301)+COUNTIFS($O$2:$O$1092,O301,$P$2:$P$1092,"Above Materiality",$M$2:$M$1092,M301,$A$2:$A$1092,"&lt;"&amp;A301)+1,"")</f>
        <v/>
      </c>
      <c r="S301" s="21" t="str">
        <f aca="false">IF(P301&lt;&gt;"Below Materiality","",IF(Summary!$C$9="Random",COUNTIFS($O$2:$O$1092,O301,$Q$2:$Q$1092,"&gt;"&amp;Q301)+1,COUNTIFS($O$2:$O$1092,O301,$P$2:$P$1092,"Below Materiality",$M$2:$M$1092,"&gt;"&amp;M301)+COUNTIFS($O$2:$O$1092,O301,$P$2:$P$1092,"Below Materiality",$M$2:$M$1092,M301,$A$2:$A$1092,"&lt;"&amp;A301)+1))</f>
        <v/>
      </c>
      <c r="T301" s="22"/>
      <c r="U301" s="21" t="str">
        <f aca="false">IF(R301="","",O301&amp;"|A|"&amp;R301)</f>
        <v/>
      </c>
      <c r="V301" s="21" t="str">
        <f aca="false">IF(S301="","",O301&amp;"|R|"&amp;S301)</f>
        <v/>
      </c>
    </row>
    <row r="302" customFormat="false" ht="15" hidden="false" customHeight="false" outlineLevel="0" collapsed="false">
      <c r="A302" s="18" t="n">
        <v>301</v>
      </c>
      <c r="B302" s="18"/>
      <c r="C302" s="18"/>
      <c r="D302" s="18"/>
      <c r="E302" s="18" t="s">
        <v>662</v>
      </c>
      <c r="F302" s="18" t="s">
        <v>663</v>
      </c>
      <c r="G302" s="18" t="s">
        <v>74</v>
      </c>
      <c r="H302" s="18" t="n">
        <v>10</v>
      </c>
      <c r="I302" s="19" t="n">
        <v>0</v>
      </c>
      <c r="J302" s="19" t="n">
        <v>137476.75</v>
      </c>
      <c r="K302" s="19" t="n">
        <v>137476.75</v>
      </c>
      <c r="L302" s="19" t="n">
        <v>0</v>
      </c>
      <c r="M302" s="19" t="n">
        <f aca="false">ABS(L302)</f>
        <v>0</v>
      </c>
      <c r="N302" s="18" t="str">
        <f aca="false">IF(L302=0,"Nil balance",IF(G302="AR file",IF(L302&gt;0,"Accounts Receivable","Customer Advances"),IF(L302&lt;0,"Accounts Payable","Supplier Advances")))</f>
        <v>Nil balance</v>
      </c>
      <c r="O302" s="18" t="str">
        <f aca="false">IF(L302=0,"Excluded",IF(Summary!$C$4="By ledger",IF(G302="AR file","Population 1","Population 2"),IF(L302&gt;0,"Population 1","Population 2")))</f>
        <v>Excluded</v>
      </c>
      <c r="P302" s="18" t="str">
        <f aca="false">IF(O302="Excluded","Excluded – nil closing balance",IF(M302&gt;Summary!$C$5,"Above Materiality","Below Materiality"))</f>
        <v>Excluded – nil closing balance</v>
      </c>
      <c r="Q302" s="20" t="str">
        <f aca="false">IF(P302="Below Materiality",T302,"")</f>
        <v/>
      </c>
      <c r="R302" s="21" t="str">
        <f aca="false">IF(P302="Above Materiality",COUNTIFS($O$2:$O$1092,O302,$P$2:$P$1092,"Above Materiality",$M$2:$M$1092,"&gt;"&amp;M302)+COUNTIFS($O$2:$O$1092,O302,$P$2:$P$1092,"Above Materiality",$M$2:$M$1092,M302,$A$2:$A$1092,"&lt;"&amp;A302)+1,"")</f>
        <v/>
      </c>
      <c r="S302" s="21" t="str">
        <f aca="false">IF(P302&lt;&gt;"Below Materiality","",IF(Summary!$C$9="Random",COUNTIFS($O$2:$O$1092,O302,$Q$2:$Q$1092,"&gt;"&amp;Q302)+1,COUNTIFS($O$2:$O$1092,O302,$P$2:$P$1092,"Below Materiality",$M$2:$M$1092,"&gt;"&amp;M302)+COUNTIFS($O$2:$O$1092,O302,$P$2:$P$1092,"Below Materiality",$M$2:$M$1092,M302,$A$2:$A$1092,"&lt;"&amp;A302)+1))</f>
        <v/>
      </c>
      <c r="T302" s="22"/>
      <c r="U302" s="21" t="str">
        <f aca="false">IF(R302="","",O302&amp;"|A|"&amp;R302)</f>
        <v/>
      </c>
      <c r="V302" s="21" t="str">
        <f aca="false">IF(S302="","",O302&amp;"|R|"&amp;S302)</f>
        <v/>
      </c>
    </row>
    <row r="303" customFormat="false" ht="15" hidden="false" customHeight="false" outlineLevel="0" collapsed="false">
      <c r="A303" s="18" t="n">
        <v>302</v>
      </c>
      <c r="B303" s="18"/>
      <c r="C303" s="18"/>
      <c r="D303" s="18"/>
      <c r="E303" s="18" t="s">
        <v>664</v>
      </c>
      <c r="F303" s="18" t="s">
        <v>665</v>
      </c>
      <c r="G303" s="18" t="s">
        <v>74</v>
      </c>
      <c r="H303" s="18" t="n">
        <v>11</v>
      </c>
      <c r="I303" s="19" t="n">
        <v>-4000</v>
      </c>
      <c r="J303" s="19" t="n">
        <v>33966.09</v>
      </c>
      <c r="K303" s="19" t="n">
        <v>29966.09</v>
      </c>
      <c r="L303" s="19" t="n">
        <v>0</v>
      </c>
      <c r="M303" s="19" t="n">
        <f aca="false">ABS(L303)</f>
        <v>0</v>
      </c>
      <c r="N303" s="18" t="str">
        <f aca="false">IF(L303=0,"Nil balance",IF(G303="AR file",IF(L303&gt;0,"Accounts Receivable","Customer Advances"),IF(L303&lt;0,"Accounts Payable","Supplier Advances")))</f>
        <v>Nil balance</v>
      </c>
      <c r="O303" s="18" t="str">
        <f aca="false">IF(L303=0,"Excluded",IF(Summary!$C$4="By ledger",IF(G303="AR file","Population 1","Population 2"),IF(L303&gt;0,"Population 1","Population 2")))</f>
        <v>Excluded</v>
      </c>
      <c r="P303" s="18" t="str">
        <f aca="false">IF(O303="Excluded","Excluded – nil closing balance",IF(M303&gt;Summary!$C$5,"Above Materiality","Below Materiality"))</f>
        <v>Excluded – nil closing balance</v>
      </c>
      <c r="Q303" s="20" t="str">
        <f aca="false">IF(P303="Below Materiality",T303,"")</f>
        <v/>
      </c>
      <c r="R303" s="21" t="str">
        <f aca="false">IF(P303="Above Materiality",COUNTIFS($O$2:$O$1092,O303,$P$2:$P$1092,"Above Materiality",$M$2:$M$1092,"&gt;"&amp;M303)+COUNTIFS($O$2:$O$1092,O303,$P$2:$P$1092,"Above Materiality",$M$2:$M$1092,M303,$A$2:$A$1092,"&lt;"&amp;A303)+1,"")</f>
        <v/>
      </c>
      <c r="S303" s="21" t="str">
        <f aca="false">IF(P303&lt;&gt;"Below Materiality","",IF(Summary!$C$9="Random",COUNTIFS($O$2:$O$1092,O303,$Q$2:$Q$1092,"&gt;"&amp;Q303)+1,COUNTIFS($O$2:$O$1092,O303,$P$2:$P$1092,"Below Materiality",$M$2:$M$1092,"&gt;"&amp;M303)+COUNTIFS($O$2:$O$1092,O303,$P$2:$P$1092,"Below Materiality",$M$2:$M$1092,M303,$A$2:$A$1092,"&lt;"&amp;A303)+1))</f>
        <v/>
      </c>
      <c r="T303" s="22"/>
      <c r="U303" s="21" t="str">
        <f aca="false">IF(R303="","",O303&amp;"|A|"&amp;R303)</f>
        <v/>
      </c>
      <c r="V303" s="21" t="str">
        <f aca="false">IF(S303="","",O303&amp;"|R|"&amp;S303)</f>
        <v/>
      </c>
    </row>
    <row r="304" customFormat="false" ht="15" hidden="false" customHeight="false" outlineLevel="0" collapsed="false">
      <c r="A304" s="18" t="n">
        <v>303</v>
      </c>
      <c r="B304" s="18"/>
      <c r="C304" s="18"/>
      <c r="D304" s="18"/>
      <c r="E304" s="18" t="s">
        <v>666</v>
      </c>
      <c r="F304" s="18" t="s">
        <v>667</v>
      </c>
      <c r="G304" s="18" t="s">
        <v>74</v>
      </c>
      <c r="H304" s="18" t="n">
        <v>12</v>
      </c>
      <c r="I304" s="19" t="n">
        <v>0</v>
      </c>
      <c r="J304" s="19" t="n">
        <v>11639.15</v>
      </c>
      <c r="K304" s="19" t="n">
        <v>11639.15</v>
      </c>
      <c r="L304" s="19" t="n">
        <v>0</v>
      </c>
      <c r="M304" s="19" t="n">
        <f aca="false">ABS(L304)</f>
        <v>0</v>
      </c>
      <c r="N304" s="18" t="str">
        <f aca="false">IF(L304=0,"Nil balance",IF(G304="AR file",IF(L304&gt;0,"Accounts Receivable","Customer Advances"),IF(L304&lt;0,"Accounts Payable","Supplier Advances")))</f>
        <v>Nil balance</v>
      </c>
      <c r="O304" s="18" t="str">
        <f aca="false">IF(L304=0,"Excluded",IF(Summary!$C$4="By ledger",IF(G304="AR file","Population 1","Population 2"),IF(L304&gt;0,"Population 1","Population 2")))</f>
        <v>Excluded</v>
      </c>
      <c r="P304" s="18" t="str">
        <f aca="false">IF(O304="Excluded","Excluded – nil closing balance",IF(M304&gt;Summary!$C$5,"Above Materiality","Below Materiality"))</f>
        <v>Excluded – nil closing balance</v>
      </c>
      <c r="Q304" s="20" t="str">
        <f aca="false">IF(P304="Below Materiality",T304,"")</f>
        <v/>
      </c>
      <c r="R304" s="21" t="str">
        <f aca="false">IF(P304="Above Materiality",COUNTIFS($O$2:$O$1092,O304,$P$2:$P$1092,"Above Materiality",$M$2:$M$1092,"&gt;"&amp;M304)+COUNTIFS($O$2:$O$1092,O304,$P$2:$P$1092,"Above Materiality",$M$2:$M$1092,M304,$A$2:$A$1092,"&lt;"&amp;A304)+1,"")</f>
        <v/>
      </c>
      <c r="S304" s="21" t="str">
        <f aca="false">IF(P304&lt;&gt;"Below Materiality","",IF(Summary!$C$9="Random",COUNTIFS($O$2:$O$1092,O304,$Q$2:$Q$1092,"&gt;"&amp;Q304)+1,COUNTIFS($O$2:$O$1092,O304,$P$2:$P$1092,"Below Materiality",$M$2:$M$1092,"&gt;"&amp;M304)+COUNTIFS($O$2:$O$1092,O304,$P$2:$P$1092,"Below Materiality",$M$2:$M$1092,M304,$A$2:$A$1092,"&lt;"&amp;A304)+1))</f>
        <v/>
      </c>
      <c r="T304" s="22"/>
      <c r="U304" s="21" t="str">
        <f aca="false">IF(R304="","",O304&amp;"|A|"&amp;R304)</f>
        <v/>
      </c>
      <c r="V304" s="21" t="str">
        <f aca="false">IF(S304="","",O304&amp;"|R|"&amp;S304)</f>
        <v/>
      </c>
    </row>
    <row r="305" customFormat="false" ht="15" hidden="false" customHeight="false" outlineLevel="0" collapsed="false">
      <c r="A305" s="18" t="n">
        <v>304</v>
      </c>
      <c r="B305" s="18"/>
      <c r="C305" s="18"/>
      <c r="D305" s="18"/>
      <c r="E305" s="18" t="s">
        <v>668</v>
      </c>
      <c r="F305" s="18" t="s">
        <v>669</v>
      </c>
      <c r="G305" s="18" t="s">
        <v>74</v>
      </c>
      <c r="H305" s="18" t="n">
        <v>13</v>
      </c>
      <c r="I305" s="19" t="n">
        <v>-100</v>
      </c>
      <c r="J305" s="19" t="n">
        <v>1112</v>
      </c>
      <c r="K305" s="19" t="n">
        <v>1012</v>
      </c>
      <c r="L305" s="19" t="n">
        <v>0</v>
      </c>
      <c r="M305" s="19" t="n">
        <f aca="false">ABS(L305)</f>
        <v>0</v>
      </c>
      <c r="N305" s="18" t="str">
        <f aca="false">IF(L305=0,"Nil balance",IF(G305="AR file",IF(L305&gt;0,"Accounts Receivable","Customer Advances"),IF(L305&lt;0,"Accounts Payable","Supplier Advances")))</f>
        <v>Nil balance</v>
      </c>
      <c r="O305" s="18" t="str">
        <f aca="false">IF(L305=0,"Excluded",IF(Summary!$C$4="By ledger",IF(G305="AR file","Population 1","Population 2"),IF(L305&gt;0,"Population 1","Population 2")))</f>
        <v>Excluded</v>
      </c>
      <c r="P305" s="18" t="str">
        <f aca="false">IF(O305="Excluded","Excluded – nil closing balance",IF(M305&gt;Summary!$C$5,"Above Materiality","Below Materiality"))</f>
        <v>Excluded – nil closing balance</v>
      </c>
      <c r="Q305" s="20" t="str">
        <f aca="false">IF(P305="Below Materiality",T305,"")</f>
        <v/>
      </c>
      <c r="R305" s="21" t="str">
        <f aca="false">IF(P305="Above Materiality",COUNTIFS($O$2:$O$1092,O305,$P$2:$P$1092,"Above Materiality",$M$2:$M$1092,"&gt;"&amp;M305)+COUNTIFS($O$2:$O$1092,O305,$P$2:$P$1092,"Above Materiality",$M$2:$M$1092,M305,$A$2:$A$1092,"&lt;"&amp;A305)+1,"")</f>
        <v/>
      </c>
      <c r="S305" s="21" t="str">
        <f aca="false">IF(P305&lt;&gt;"Below Materiality","",IF(Summary!$C$9="Random",COUNTIFS($O$2:$O$1092,O305,$Q$2:$Q$1092,"&gt;"&amp;Q305)+1,COUNTIFS($O$2:$O$1092,O305,$P$2:$P$1092,"Below Materiality",$M$2:$M$1092,"&gt;"&amp;M305)+COUNTIFS($O$2:$O$1092,O305,$P$2:$P$1092,"Below Materiality",$M$2:$M$1092,M305,$A$2:$A$1092,"&lt;"&amp;A305)+1))</f>
        <v/>
      </c>
      <c r="T305" s="22"/>
      <c r="U305" s="21" t="str">
        <f aca="false">IF(R305="","",O305&amp;"|A|"&amp;R305)</f>
        <v/>
      </c>
      <c r="V305" s="21" t="str">
        <f aca="false">IF(S305="","",O305&amp;"|R|"&amp;S305)</f>
        <v/>
      </c>
    </row>
    <row r="306" customFormat="false" ht="15" hidden="false" customHeight="false" outlineLevel="0" collapsed="false">
      <c r="A306" s="18" t="n">
        <v>305</v>
      </c>
      <c r="B306" s="18"/>
      <c r="C306" s="18"/>
      <c r="D306" s="18"/>
      <c r="E306" s="18" t="s">
        <v>670</v>
      </c>
      <c r="F306" s="18" t="s">
        <v>671</v>
      </c>
      <c r="G306" s="18" t="s">
        <v>74</v>
      </c>
      <c r="H306" s="18" t="n">
        <v>14</v>
      </c>
      <c r="I306" s="19" t="n">
        <v>1610</v>
      </c>
      <c r="J306" s="19" t="n">
        <v>20569.48</v>
      </c>
      <c r="K306" s="19" t="n">
        <v>22179.48</v>
      </c>
      <c r="L306" s="19" t="n">
        <v>0</v>
      </c>
      <c r="M306" s="19" t="n">
        <f aca="false">ABS(L306)</f>
        <v>0</v>
      </c>
      <c r="N306" s="18" t="str">
        <f aca="false">IF(L306=0,"Nil balance",IF(G306="AR file",IF(L306&gt;0,"Accounts Receivable","Customer Advances"),IF(L306&lt;0,"Accounts Payable","Supplier Advances")))</f>
        <v>Nil balance</v>
      </c>
      <c r="O306" s="18" t="str">
        <f aca="false">IF(L306=0,"Excluded",IF(Summary!$C$4="By ledger",IF(G306="AR file","Population 1","Population 2"),IF(L306&gt;0,"Population 1","Population 2")))</f>
        <v>Excluded</v>
      </c>
      <c r="P306" s="18" t="str">
        <f aca="false">IF(O306="Excluded","Excluded – nil closing balance",IF(M306&gt;Summary!$C$5,"Above Materiality","Below Materiality"))</f>
        <v>Excluded – nil closing balance</v>
      </c>
      <c r="Q306" s="20" t="str">
        <f aca="false">IF(P306="Below Materiality",T306,"")</f>
        <v/>
      </c>
      <c r="R306" s="21" t="str">
        <f aca="false">IF(P306="Above Materiality",COUNTIFS($O$2:$O$1092,O306,$P$2:$P$1092,"Above Materiality",$M$2:$M$1092,"&gt;"&amp;M306)+COUNTIFS($O$2:$O$1092,O306,$P$2:$P$1092,"Above Materiality",$M$2:$M$1092,M306,$A$2:$A$1092,"&lt;"&amp;A306)+1,"")</f>
        <v/>
      </c>
      <c r="S306" s="21" t="str">
        <f aca="false">IF(P306&lt;&gt;"Below Materiality","",IF(Summary!$C$9="Random",COUNTIFS($O$2:$O$1092,O306,$Q$2:$Q$1092,"&gt;"&amp;Q306)+1,COUNTIFS($O$2:$O$1092,O306,$P$2:$P$1092,"Below Materiality",$M$2:$M$1092,"&gt;"&amp;M306)+COUNTIFS($O$2:$O$1092,O306,$P$2:$P$1092,"Below Materiality",$M$2:$M$1092,M306,$A$2:$A$1092,"&lt;"&amp;A306)+1))</f>
        <v/>
      </c>
      <c r="T306" s="22"/>
      <c r="U306" s="21" t="str">
        <f aca="false">IF(R306="","",O306&amp;"|A|"&amp;R306)</f>
        <v/>
      </c>
      <c r="V306" s="21" t="str">
        <f aca="false">IF(S306="","",O306&amp;"|R|"&amp;S306)</f>
        <v/>
      </c>
    </row>
    <row r="307" customFormat="false" ht="15" hidden="false" customHeight="false" outlineLevel="0" collapsed="false">
      <c r="A307" s="18" t="n">
        <v>306</v>
      </c>
      <c r="B307" s="18"/>
      <c r="C307" s="18"/>
      <c r="D307" s="18"/>
      <c r="E307" s="18" t="s">
        <v>672</v>
      </c>
      <c r="F307" s="18" t="s">
        <v>673</v>
      </c>
      <c r="G307" s="18" t="s">
        <v>74</v>
      </c>
      <c r="H307" s="18" t="n">
        <v>17</v>
      </c>
      <c r="I307" s="19" t="n">
        <v>5164.25</v>
      </c>
      <c r="J307" s="19" t="n">
        <v>0</v>
      </c>
      <c r="K307" s="19" t="n">
        <v>5164.25</v>
      </c>
      <c r="L307" s="19" t="n">
        <v>0</v>
      </c>
      <c r="M307" s="19" t="n">
        <f aca="false">ABS(L307)</f>
        <v>0</v>
      </c>
      <c r="N307" s="18" t="str">
        <f aca="false">IF(L307=0,"Nil balance",IF(G307="AR file",IF(L307&gt;0,"Accounts Receivable","Customer Advances"),IF(L307&lt;0,"Accounts Payable","Supplier Advances")))</f>
        <v>Nil balance</v>
      </c>
      <c r="O307" s="18" t="str">
        <f aca="false">IF(L307=0,"Excluded",IF(Summary!$C$4="By ledger",IF(G307="AR file","Population 1","Population 2"),IF(L307&gt;0,"Population 1","Population 2")))</f>
        <v>Excluded</v>
      </c>
      <c r="P307" s="18" t="str">
        <f aca="false">IF(O307="Excluded","Excluded – nil closing balance",IF(M307&gt;Summary!$C$5,"Above Materiality","Below Materiality"))</f>
        <v>Excluded – nil closing balance</v>
      </c>
      <c r="Q307" s="20" t="str">
        <f aca="false">IF(P307="Below Materiality",T307,"")</f>
        <v/>
      </c>
      <c r="R307" s="21" t="str">
        <f aca="false">IF(P307="Above Materiality",COUNTIFS($O$2:$O$1092,O307,$P$2:$P$1092,"Above Materiality",$M$2:$M$1092,"&gt;"&amp;M307)+COUNTIFS($O$2:$O$1092,O307,$P$2:$P$1092,"Above Materiality",$M$2:$M$1092,M307,$A$2:$A$1092,"&lt;"&amp;A307)+1,"")</f>
        <v/>
      </c>
      <c r="S307" s="21" t="str">
        <f aca="false">IF(P307&lt;&gt;"Below Materiality","",IF(Summary!$C$9="Random",COUNTIFS($O$2:$O$1092,O307,$Q$2:$Q$1092,"&gt;"&amp;Q307)+1,COUNTIFS($O$2:$O$1092,O307,$P$2:$P$1092,"Below Materiality",$M$2:$M$1092,"&gt;"&amp;M307)+COUNTIFS($O$2:$O$1092,O307,$P$2:$P$1092,"Below Materiality",$M$2:$M$1092,M307,$A$2:$A$1092,"&lt;"&amp;A307)+1))</f>
        <v/>
      </c>
      <c r="T307" s="22"/>
      <c r="U307" s="21" t="str">
        <f aca="false">IF(R307="","",O307&amp;"|A|"&amp;R307)</f>
        <v/>
      </c>
      <c r="V307" s="21" t="str">
        <f aca="false">IF(S307="","",O307&amp;"|R|"&amp;S307)</f>
        <v/>
      </c>
    </row>
    <row r="308" customFormat="false" ht="15" hidden="false" customHeight="false" outlineLevel="0" collapsed="false">
      <c r="A308" s="18" t="n">
        <v>307</v>
      </c>
      <c r="B308" s="18"/>
      <c r="C308" s="18"/>
      <c r="D308" s="18"/>
      <c r="E308" s="18" t="s">
        <v>674</v>
      </c>
      <c r="F308" s="18" t="s">
        <v>675</v>
      </c>
      <c r="G308" s="18" t="s">
        <v>74</v>
      </c>
      <c r="H308" s="18" t="n">
        <v>19</v>
      </c>
      <c r="I308" s="19" t="n">
        <v>7266.86</v>
      </c>
      <c r="J308" s="19" t="n">
        <v>0</v>
      </c>
      <c r="K308" s="19" t="n">
        <v>7266.86</v>
      </c>
      <c r="L308" s="19" t="n">
        <v>0</v>
      </c>
      <c r="M308" s="19" t="n">
        <f aca="false">ABS(L308)</f>
        <v>0</v>
      </c>
      <c r="N308" s="18" t="str">
        <f aca="false">IF(L308=0,"Nil balance",IF(G308="AR file",IF(L308&gt;0,"Accounts Receivable","Customer Advances"),IF(L308&lt;0,"Accounts Payable","Supplier Advances")))</f>
        <v>Nil balance</v>
      </c>
      <c r="O308" s="18" t="str">
        <f aca="false">IF(L308=0,"Excluded",IF(Summary!$C$4="By ledger",IF(G308="AR file","Population 1","Population 2"),IF(L308&gt;0,"Population 1","Population 2")))</f>
        <v>Excluded</v>
      </c>
      <c r="P308" s="18" t="str">
        <f aca="false">IF(O308="Excluded","Excluded – nil closing balance",IF(M308&gt;Summary!$C$5,"Above Materiality","Below Materiality"))</f>
        <v>Excluded – nil closing balance</v>
      </c>
      <c r="Q308" s="20" t="str">
        <f aca="false">IF(P308="Below Materiality",T308,"")</f>
        <v/>
      </c>
      <c r="R308" s="21" t="str">
        <f aca="false">IF(P308="Above Materiality",COUNTIFS($O$2:$O$1092,O308,$P$2:$P$1092,"Above Materiality",$M$2:$M$1092,"&gt;"&amp;M308)+COUNTIFS($O$2:$O$1092,O308,$P$2:$P$1092,"Above Materiality",$M$2:$M$1092,M308,$A$2:$A$1092,"&lt;"&amp;A308)+1,"")</f>
        <v/>
      </c>
      <c r="S308" s="21" t="str">
        <f aca="false">IF(P308&lt;&gt;"Below Materiality","",IF(Summary!$C$9="Random",COUNTIFS($O$2:$O$1092,O308,$Q$2:$Q$1092,"&gt;"&amp;Q308)+1,COUNTIFS($O$2:$O$1092,O308,$P$2:$P$1092,"Below Materiality",$M$2:$M$1092,"&gt;"&amp;M308)+COUNTIFS($O$2:$O$1092,O308,$P$2:$P$1092,"Below Materiality",$M$2:$M$1092,M308,$A$2:$A$1092,"&lt;"&amp;A308)+1))</f>
        <v/>
      </c>
      <c r="T308" s="22"/>
      <c r="U308" s="21" t="str">
        <f aca="false">IF(R308="","",O308&amp;"|A|"&amp;R308)</f>
        <v/>
      </c>
      <c r="V308" s="21" t="str">
        <f aca="false">IF(S308="","",O308&amp;"|R|"&amp;S308)</f>
        <v/>
      </c>
    </row>
    <row r="309" customFormat="false" ht="15" hidden="false" customHeight="false" outlineLevel="0" collapsed="false">
      <c r="A309" s="18" t="n">
        <v>308</v>
      </c>
      <c r="B309" s="18"/>
      <c r="C309" s="18"/>
      <c r="D309" s="18"/>
      <c r="E309" s="18" t="s">
        <v>676</v>
      </c>
      <c r="F309" s="18" t="s">
        <v>677</v>
      </c>
      <c r="G309" s="18" t="s">
        <v>74</v>
      </c>
      <c r="H309" s="18" t="n">
        <v>20</v>
      </c>
      <c r="I309" s="19" t="n">
        <v>0</v>
      </c>
      <c r="J309" s="19" t="n">
        <v>3036</v>
      </c>
      <c r="K309" s="19" t="n">
        <v>3036</v>
      </c>
      <c r="L309" s="19" t="n">
        <v>0</v>
      </c>
      <c r="M309" s="19" t="n">
        <f aca="false">ABS(L309)</f>
        <v>0</v>
      </c>
      <c r="N309" s="18" t="str">
        <f aca="false">IF(L309=0,"Nil balance",IF(G309="AR file",IF(L309&gt;0,"Accounts Receivable","Customer Advances"),IF(L309&lt;0,"Accounts Payable","Supplier Advances")))</f>
        <v>Nil balance</v>
      </c>
      <c r="O309" s="18" t="str">
        <f aca="false">IF(L309=0,"Excluded",IF(Summary!$C$4="By ledger",IF(G309="AR file","Population 1","Population 2"),IF(L309&gt;0,"Population 1","Population 2")))</f>
        <v>Excluded</v>
      </c>
      <c r="P309" s="18" t="str">
        <f aca="false">IF(O309="Excluded","Excluded – nil closing balance",IF(M309&gt;Summary!$C$5,"Above Materiality","Below Materiality"))</f>
        <v>Excluded – nil closing balance</v>
      </c>
      <c r="Q309" s="20" t="str">
        <f aca="false">IF(P309="Below Materiality",T309,"")</f>
        <v/>
      </c>
      <c r="R309" s="21" t="str">
        <f aca="false">IF(P309="Above Materiality",COUNTIFS($O$2:$O$1092,O309,$P$2:$P$1092,"Above Materiality",$M$2:$M$1092,"&gt;"&amp;M309)+COUNTIFS($O$2:$O$1092,O309,$P$2:$P$1092,"Above Materiality",$M$2:$M$1092,M309,$A$2:$A$1092,"&lt;"&amp;A309)+1,"")</f>
        <v/>
      </c>
      <c r="S309" s="21" t="str">
        <f aca="false">IF(P309&lt;&gt;"Below Materiality","",IF(Summary!$C$9="Random",COUNTIFS($O$2:$O$1092,O309,$Q$2:$Q$1092,"&gt;"&amp;Q309)+1,COUNTIFS($O$2:$O$1092,O309,$P$2:$P$1092,"Below Materiality",$M$2:$M$1092,"&gt;"&amp;M309)+COUNTIFS($O$2:$O$1092,O309,$P$2:$P$1092,"Below Materiality",$M$2:$M$1092,M309,$A$2:$A$1092,"&lt;"&amp;A309)+1))</f>
        <v/>
      </c>
      <c r="T309" s="22"/>
      <c r="U309" s="21" t="str">
        <f aca="false">IF(R309="","",O309&amp;"|A|"&amp;R309)</f>
        <v/>
      </c>
      <c r="V309" s="21" t="str">
        <f aca="false">IF(S309="","",O309&amp;"|R|"&amp;S309)</f>
        <v/>
      </c>
    </row>
    <row r="310" customFormat="false" ht="15" hidden="false" customHeight="false" outlineLevel="0" collapsed="false">
      <c r="A310" s="18" t="n">
        <v>309</v>
      </c>
      <c r="B310" s="18"/>
      <c r="C310" s="18"/>
      <c r="D310" s="18"/>
      <c r="E310" s="18" t="s">
        <v>678</v>
      </c>
      <c r="F310" s="18" t="s">
        <v>679</v>
      </c>
      <c r="G310" s="18" t="s">
        <v>74</v>
      </c>
      <c r="H310" s="18" t="n">
        <v>21</v>
      </c>
      <c r="I310" s="19" t="n">
        <v>-17000</v>
      </c>
      <c r="J310" s="19" t="n">
        <v>17000</v>
      </c>
      <c r="K310" s="19" t="n">
        <v>0</v>
      </c>
      <c r="L310" s="19" t="n">
        <v>0</v>
      </c>
      <c r="M310" s="19" t="n">
        <f aca="false">ABS(L310)</f>
        <v>0</v>
      </c>
      <c r="N310" s="18" t="str">
        <f aca="false">IF(L310=0,"Nil balance",IF(G310="AR file",IF(L310&gt;0,"Accounts Receivable","Customer Advances"),IF(L310&lt;0,"Accounts Payable","Supplier Advances")))</f>
        <v>Nil balance</v>
      </c>
      <c r="O310" s="18" t="str">
        <f aca="false">IF(L310=0,"Excluded",IF(Summary!$C$4="By ledger",IF(G310="AR file","Population 1","Population 2"),IF(L310&gt;0,"Population 1","Population 2")))</f>
        <v>Excluded</v>
      </c>
      <c r="P310" s="18" t="str">
        <f aca="false">IF(O310="Excluded","Excluded – nil closing balance",IF(M310&gt;Summary!$C$5,"Above Materiality","Below Materiality"))</f>
        <v>Excluded – nil closing balance</v>
      </c>
      <c r="Q310" s="20" t="str">
        <f aca="false">IF(P310="Below Materiality",T310,"")</f>
        <v/>
      </c>
      <c r="R310" s="21" t="str">
        <f aca="false">IF(P310="Above Materiality",COUNTIFS($O$2:$O$1092,O310,$P$2:$P$1092,"Above Materiality",$M$2:$M$1092,"&gt;"&amp;M310)+COUNTIFS($O$2:$O$1092,O310,$P$2:$P$1092,"Above Materiality",$M$2:$M$1092,M310,$A$2:$A$1092,"&lt;"&amp;A310)+1,"")</f>
        <v/>
      </c>
      <c r="S310" s="21" t="str">
        <f aca="false">IF(P310&lt;&gt;"Below Materiality","",IF(Summary!$C$9="Random",COUNTIFS($O$2:$O$1092,O310,$Q$2:$Q$1092,"&gt;"&amp;Q310)+1,COUNTIFS($O$2:$O$1092,O310,$P$2:$P$1092,"Below Materiality",$M$2:$M$1092,"&gt;"&amp;M310)+COUNTIFS($O$2:$O$1092,O310,$P$2:$P$1092,"Below Materiality",$M$2:$M$1092,M310,$A$2:$A$1092,"&lt;"&amp;A310)+1))</f>
        <v/>
      </c>
      <c r="T310" s="22"/>
      <c r="U310" s="21" t="str">
        <f aca="false">IF(R310="","",O310&amp;"|A|"&amp;R310)</f>
        <v/>
      </c>
      <c r="V310" s="21" t="str">
        <f aca="false">IF(S310="","",O310&amp;"|R|"&amp;S310)</f>
        <v/>
      </c>
    </row>
    <row r="311" customFormat="false" ht="15" hidden="false" customHeight="false" outlineLevel="0" collapsed="false">
      <c r="A311" s="18" t="n">
        <v>310</v>
      </c>
      <c r="B311" s="18"/>
      <c r="C311" s="18"/>
      <c r="D311" s="18"/>
      <c r="E311" s="18" t="s">
        <v>680</v>
      </c>
      <c r="F311" s="18" t="s">
        <v>681</v>
      </c>
      <c r="G311" s="18" t="s">
        <v>74</v>
      </c>
      <c r="H311" s="18" t="n">
        <v>23</v>
      </c>
      <c r="I311" s="19" t="n">
        <v>0</v>
      </c>
      <c r="J311" s="19" t="n">
        <v>13124.5</v>
      </c>
      <c r="K311" s="19" t="n">
        <v>13124.5</v>
      </c>
      <c r="L311" s="19" t="n">
        <v>0</v>
      </c>
      <c r="M311" s="19" t="n">
        <f aca="false">ABS(L311)</f>
        <v>0</v>
      </c>
      <c r="N311" s="18" t="str">
        <f aca="false">IF(L311=0,"Nil balance",IF(G311="AR file",IF(L311&gt;0,"Accounts Receivable","Customer Advances"),IF(L311&lt;0,"Accounts Payable","Supplier Advances")))</f>
        <v>Nil balance</v>
      </c>
      <c r="O311" s="18" t="str">
        <f aca="false">IF(L311=0,"Excluded",IF(Summary!$C$4="By ledger",IF(G311="AR file","Population 1","Population 2"),IF(L311&gt;0,"Population 1","Population 2")))</f>
        <v>Excluded</v>
      </c>
      <c r="P311" s="18" t="str">
        <f aca="false">IF(O311="Excluded","Excluded – nil closing balance",IF(M311&gt;Summary!$C$5,"Above Materiality","Below Materiality"))</f>
        <v>Excluded – nil closing balance</v>
      </c>
      <c r="Q311" s="20" t="str">
        <f aca="false">IF(P311="Below Materiality",T311,"")</f>
        <v/>
      </c>
      <c r="R311" s="21" t="str">
        <f aca="false">IF(P311="Above Materiality",COUNTIFS($O$2:$O$1092,O311,$P$2:$P$1092,"Above Materiality",$M$2:$M$1092,"&gt;"&amp;M311)+COUNTIFS($O$2:$O$1092,O311,$P$2:$P$1092,"Above Materiality",$M$2:$M$1092,M311,$A$2:$A$1092,"&lt;"&amp;A311)+1,"")</f>
        <v/>
      </c>
      <c r="S311" s="21" t="str">
        <f aca="false">IF(P311&lt;&gt;"Below Materiality","",IF(Summary!$C$9="Random",COUNTIFS($O$2:$O$1092,O311,$Q$2:$Q$1092,"&gt;"&amp;Q311)+1,COUNTIFS($O$2:$O$1092,O311,$P$2:$P$1092,"Below Materiality",$M$2:$M$1092,"&gt;"&amp;M311)+COUNTIFS($O$2:$O$1092,O311,$P$2:$P$1092,"Below Materiality",$M$2:$M$1092,M311,$A$2:$A$1092,"&lt;"&amp;A311)+1))</f>
        <v/>
      </c>
      <c r="T311" s="22"/>
      <c r="U311" s="21" t="str">
        <f aca="false">IF(R311="","",O311&amp;"|A|"&amp;R311)</f>
        <v/>
      </c>
      <c r="V311" s="21" t="str">
        <f aca="false">IF(S311="","",O311&amp;"|R|"&amp;S311)</f>
        <v/>
      </c>
    </row>
    <row r="312" customFormat="false" ht="15" hidden="false" customHeight="false" outlineLevel="0" collapsed="false">
      <c r="A312" s="18" t="n">
        <v>311</v>
      </c>
      <c r="B312" s="18"/>
      <c r="C312" s="18"/>
      <c r="D312" s="18"/>
      <c r="E312" s="18" t="s">
        <v>682</v>
      </c>
      <c r="F312" s="18" t="s">
        <v>683</v>
      </c>
      <c r="G312" s="18" t="s">
        <v>74</v>
      </c>
      <c r="H312" s="18" t="n">
        <v>24</v>
      </c>
      <c r="I312" s="19" t="n">
        <v>4674.2</v>
      </c>
      <c r="J312" s="19" t="n">
        <v>0</v>
      </c>
      <c r="K312" s="19" t="n">
        <v>4674.2</v>
      </c>
      <c r="L312" s="19" t="n">
        <v>0</v>
      </c>
      <c r="M312" s="19" t="n">
        <f aca="false">ABS(L312)</f>
        <v>0</v>
      </c>
      <c r="N312" s="18" t="str">
        <f aca="false">IF(L312=0,"Nil balance",IF(G312="AR file",IF(L312&gt;0,"Accounts Receivable","Customer Advances"),IF(L312&lt;0,"Accounts Payable","Supplier Advances")))</f>
        <v>Nil balance</v>
      </c>
      <c r="O312" s="18" t="str">
        <f aca="false">IF(L312=0,"Excluded",IF(Summary!$C$4="By ledger",IF(G312="AR file","Population 1","Population 2"),IF(L312&gt;0,"Population 1","Population 2")))</f>
        <v>Excluded</v>
      </c>
      <c r="P312" s="18" t="str">
        <f aca="false">IF(O312="Excluded","Excluded – nil closing balance",IF(M312&gt;Summary!$C$5,"Above Materiality","Below Materiality"))</f>
        <v>Excluded – nil closing balance</v>
      </c>
      <c r="Q312" s="20" t="str">
        <f aca="false">IF(P312="Below Materiality",T312,"")</f>
        <v/>
      </c>
      <c r="R312" s="21" t="str">
        <f aca="false">IF(P312="Above Materiality",COUNTIFS($O$2:$O$1092,O312,$P$2:$P$1092,"Above Materiality",$M$2:$M$1092,"&gt;"&amp;M312)+COUNTIFS($O$2:$O$1092,O312,$P$2:$P$1092,"Above Materiality",$M$2:$M$1092,M312,$A$2:$A$1092,"&lt;"&amp;A312)+1,"")</f>
        <v/>
      </c>
      <c r="S312" s="21" t="str">
        <f aca="false">IF(P312&lt;&gt;"Below Materiality","",IF(Summary!$C$9="Random",COUNTIFS($O$2:$O$1092,O312,$Q$2:$Q$1092,"&gt;"&amp;Q312)+1,COUNTIFS($O$2:$O$1092,O312,$P$2:$P$1092,"Below Materiality",$M$2:$M$1092,"&gt;"&amp;M312)+COUNTIFS($O$2:$O$1092,O312,$P$2:$P$1092,"Below Materiality",$M$2:$M$1092,M312,$A$2:$A$1092,"&lt;"&amp;A312)+1))</f>
        <v/>
      </c>
      <c r="T312" s="22"/>
      <c r="U312" s="21" t="str">
        <f aca="false">IF(R312="","",O312&amp;"|A|"&amp;R312)</f>
        <v/>
      </c>
      <c r="V312" s="21" t="str">
        <f aca="false">IF(S312="","",O312&amp;"|R|"&amp;S312)</f>
        <v/>
      </c>
    </row>
    <row r="313" customFormat="false" ht="15" hidden="false" customHeight="false" outlineLevel="0" collapsed="false">
      <c r="A313" s="18" t="n">
        <v>312</v>
      </c>
      <c r="B313" s="18"/>
      <c r="C313" s="18"/>
      <c r="D313" s="18"/>
      <c r="E313" s="18" t="s">
        <v>684</v>
      </c>
      <c r="F313" s="18" t="s">
        <v>685</v>
      </c>
      <c r="G313" s="18" t="s">
        <v>74</v>
      </c>
      <c r="H313" s="18" t="n">
        <v>25</v>
      </c>
      <c r="I313" s="19" t="n">
        <v>0</v>
      </c>
      <c r="J313" s="19" t="n">
        <v>15</v>
      </c>
      <c r="K313" s="19" t="n">
        <v>15</v>
      </c>
      <c r="L313" s="19" t="n">
        <v>0</v>
      </c>
      <c r="M313" s="19" t="n">
        <f aca="false">ABS(L313)</f>
        <v>0</v>
      </c>
      <c r="N313" s="18" t="str">
        <f aca="false">IF(L313=0,"Nil balance",IF(G313="AR file",IF(L313&gt;0,"Accounts Receivable","Customer Advances"),IF(L313&lt;0,"Accounts Payable","Supplier Advances")))</f>
        <v>Nil balance</v>
      </c>
      <c r="O313" s="18" t="str">
        <f aca="false">IF(L313=0,"Excluded",IF(Summary!$C$4="By ledger",IF(G313="AR file","Population 1","Population 2"),IF(L313&gt;0,"Population 1","Population 2")))</f>
        <v>Excluded</v>
      </c>
      <c r="P313" s="18" t="str">
        <f aca="false">IF(O313="Excluded","Excluded – nil closing balance",IF(M313&gt;Summary!$C$5,"Above Materiality","Below Materiality"))</f>
        <v>Excluded – nil closing balance</v>
      </c>
      <c r="Q313" s="20" t="str">
        <f aca="false">IF(P313="Below Materiality",T313,"")</f>
        <v/>
      </c>
      <c r="R313" s="21" t="str">
        <f aca="false">IF(P313="Above Materiality",COUNTIFS($O$2:$O$1092,O313,$P$2:$P$1092,"Above Materiality",$M$2:$M$1092,"&gt;"&amp;M313)+COUNTIFS($O$2:$O$1092,O313,$P$2:$P$1092,"Above Materiality",$M$2:$M$1092,M313,$A$2:$A$1092,"&lt;"&amp;A313)+1,"")</f>
        <v/>
      </c>
      <c r="S313" s="21" t="str">
        <f aca="false">IF(P313&lt;&gt;"Below Materiality","",IF(Summary!$C$9="Random",COUNTIFS($O$2:$O$1092,O313,$Q$2:$Q$1092,"&gt;"&amp;Q313)+1,COUNTIFS($O$2:$O$1092,O313,$P$2:$P$1092,"Below Materiality",$M$2:$M$1092,"&gt;"&amp;M313)+COUNTIFS($O$2:$O$1092,O313,$P$2:$P$1092,"Below Materiality",$M$2:$M$1092,M313,$A$2:$A$1092,"&lt;"&amp;A313)+1))</f>
        <v/>
      </c>
      <c r="T313" s="22"/>
      <c r="U313" s="21" t="str">
        <f aca="false">IF(R313="","",O313&amp;"|A|"&amp;R313)</f>
        <v/>
      </c>
      <c r="V313" s="21" t="str">
        <f aca="false">IF(S313="","",O313&amp;"|R|"&amp;S313)</f>
        <v/>
      </c>
    </row>
    <row r="314" customFormat="false" ht="15" hidden="false" customHeight="false" outlineLevel="0" collapsed="false">
      <c r="A314" s="18" t="n">
        <v>313</v>
      </c>
      <c r="B314" s="18"/>
      <c r="C314" s="18"/>
      <c r="D314" s="18"/>
      <c r="E314" s="18" t="s">
        <v>686</v>
      </c>
      <c r="F314" s="18" t="s">
        <v>687</v>
      </c>
      <c r="G314" s="18" t="s">
        <v>74</v>
      </c>
      <c r="H314" s="18" t="n">
        <v>27</v>
      </c>
      <c r="I314" s="19" t="n">
        <v>1903.56</v>
      </c>
      <c r="J314" s="19" t="n">
        <v>0</v>
      </c>
      <c r="K314" s="19" t="n">
        <v>1903.56</v>
      </c>
      <c r="L314" s="19" t="n">
        <v>0</v>
      </c>
      <c r="M314" s="19" t="n">
        <f aca="false">ABS(L314)</f>
        <v>0</v>
      </c>
      <c r="N314" s="18" t="str">
        <f aca="false">IF(L314=0,"Nil balance",IF(G314="AR file",IF(L314&gt;0,"Accounts Receivable","Customer Advances"),IF(L314&lt;0,"Accounts Payable","Supplier Advances")))</f>
        <v>Nil balance</v>
      </c>
      <c r="O314" s="18" t="str">
        <f aca="false">IF(L314=0,"Excluded",IF(Summary!$C$4="By ledger",IF(G314="AR file","Population 1","Population 2"),IF(L314&gt;0,"Population 1","Population 2")))</f>
        <v>Excluded</v>
      </c>
      <c r="P314" s="18" t="str">
        <f aca="false">IF(O314="Excluded","Excluded – nil closing balance",IF(M314&gt;Summary!$C$5,"Above Materiality","Below Materiality"))</f>
        <v>Excluded – nil closing balance</v>
      </c>
      <c r="Q314" s="20" t="str">
        <f aca="false">IF(P314="Below Materiality",T314,"")</f>
        <v/>
      </c>
      <c r="R314" s="21" t="str">
        <f aca="false">IF(P314="Above Materiality",COUNTIFS($O$2:$O$1092,O314,$P$2:$P$1092,"Above Materiality",$M$2:$M$1092,"&gt;"&amp;M314)+COUNTIFS($O$2:$O$1092,O314,$P$2:$P$1092,"Above Materiality",$M$2:$M$1092,M314,$A$2:$A$1092,"&lt;"&amp;A314)+1,"")</f>
        <v/>
      </c>
      <c r="S314" s="21" t="str">
        <f aca="false">IF(P314&lt;&gt;"Below Materiality","",IF(Summary!$C$9="Random",COUNTIFS($O$2:$O$1092,O314,$Q$2:$Q$1092,"&gt;"&amp;Q314)+1,COUNTIFS($O$2:$O$1092,O314,$P$2:$P$1092,"Below Materiality",$M$2:$M$1092,"&gt;"&amp;M314)+COUNTIFS($O$2:$O$1092,O314,$P$2:$P$1092,"Below Materiality",$M$2:$M$1092,M314,$A$2:$A$1092,"&lt;"&amp;A314)+1))</f>
        <v/>
      </c>
      <c r="T314" s="22"/>
      <c r="U314" s="21" t="str">
        <f aca="false">IF(R314="","",O314&amp;"|A|"&amp;R314)</f>
        <v/>
      </c>
      <c r="V314" s="21" t="str">
        <f aca="false">IF(S314="","",O314&amp;"|R|"&amp;S314)</f>
        <v/>
      </c>
    </row>
    <row r="315" customFormat="false" ht="15" hidden="false" customHeight="false" outlineLevel="0" collapsed="false">
      <c r="A315" s="18" t="n">
        <v>314</v>
      </c>
      <c r="B315" s="18"/>
      <c r="C315" s="18"/>
      <c r="D315" s="18"/>
      <c r="E315" s="18" t="s">
        <v>688</v>
      </c>
      <c r="F315" s="18" t="s">
        <v>689</v>
      </c>
      <c r="G315" s="18" t="s">
        <v>74</v>
      </c>
      <c r="H315" s="18" t="n">
        <v>28</v>
      </c>
      <c r="I315" s="19" t="n">
        <v>0</v>
      </c>
      <c r="J315" s="19" t="n">
        <v>13353.25</v>
      </c>
      <c r="K315" s="19" t="n">
        <v>13353.25</v>
      </c>
      <c r="L315" s="19" t="n">
        <v>0</v>
      </c>
      <c r="M315" s="19" t="n">
        <f aca="false">ABS(L315)</f>
        <v>0</v>
      </c>
      <c r="N315" s="18" t="str">
        <f aca="false">IF(L315=0,"Nil balance",IF(G315="AR file",IF(L315&gt;0,"Accounts Receivable","Customer Advances"),IF(L315&lt;0,"Accounts Payable","Supplier Advances")))</f>
        <v>Nil balance</v>
      </c>
      <c r="O315" s="18" t="str">
        <f aca="false">IF(L315=0,"Excluded",IF(Summary!$C$4="By ledger",IF(G315="AR file","Population 1","Population 2"),IF(L315&gt;0,"Population 1","Population 2")))</f>
        <v>Excluded</v>
      </c>
      <c r="P315" s="18" t="str">
        <f aca="false">IF(O315="Excluded","Excluded – nil closing balance",IF(M315&gt;Summary!$C$5,"Above Materiality","Below Materiality"))</f>
        <v>Excluded – nil closing balance</v>
      </c>
      <c r="Q315" s="20" t="str">
        <f aca="false">IF(P315="Below Materiality",T315,"")</f>
        <v/>
      </c>
      <c r="R315" s="21" t="str">
        <f aca="false">IF(P315="Above Materiality",COUNTIFS($O$2:$O$1092,O315,$P$2:$P$1092,"Above Materiality",$M$2:$M$1092,"&gt;"&amp;M315)+COUNTIFS($O$2:$O$1092,O315,$P$2:$P$1092,"Above Materiality",$M$2:$M$1092,M315,$A$2:$A$1092,"&lt;"&amp;A315)+1,"")</f>
        <v/>
      </c>
      <c r="S315" s="21" t="str">
        <f aca="false">IF(P315&lt;&gt;"Below Materiality","",IF(Summary!$C$9="Random",COUNTIFS($O$2:$O$1092,O315,$Q$2:$Q$1092,"&gt;"&amp;Q315)+1,COUNTIFS($O$2:$O$1092,O315,$P$2:$P$1092,"Below Materiality",$M$2:$M$1092,"&gt;"&amp;M315)+COUNTIFS($O$2:$O$1092,O315,$P$2:$P$1092,"Below Materiality",$M$2:$M$1092,M315,$A$2:$A$1092,"&lt;"&amp;A315)+1))</f>
        <v/>
      </c>
      <c r="T315" s="22"/>
      <c r="U315" s="21" t="str">
        <f aca="false">IF(R315="","",O315&amp;"|A|"&amp;R315)</f>
        <v/>
      </c>
      <c r="V315" s="21" t="str">
        <f aca="false">IF(S315="","",O315&amp;"|R|"&amp;S315)</f>
        <v/>
      </c>
    </row>
    <row r="316" customFormat="false" ht="15" hidden="false" customHeight="false" outlineLevel="0" collapsed="false">
      <c r="A316" s="18" t="n">
        <v>315</v>
      </c>
      <c r="B316" s="18"/>
      <c r="C316" s="18"/>
      <c r="D316" s="18"/>
      <c r="E316" s="18" t="s">
        <v>690</v>
      </c>
      <c r="F316" s="18" t="s">
        <v>691</v>
      </c>
      <c r="G316" s="18" t="s">
        <v>74</v>
      </c>
      <c r="H316" s="18" t="n">
        <v>33</v>
      </c>
      <c r="I316" s="19" t="n">
        <v>0</v>
      </c>
      <c r="J316" s="19" t="n">
        <v>12708</v>
      </c>
      <c r="K316" s="19" t="n">
        <v>12708</v>
      </c>
      <c r="L316" s="19" t="n">
        <v>0</v>
      </c>
      <c r="M316" s="19" t="n">
        <f aca="false">ABS(L316)</f>
        <v>0</v>
      </c>
      <c r="N316" s="18" t="str">
        <f aca="false">IF(L316=0,"Nil balance",IF(G316="AR file",IF(L316&gt;0,"Accounts Receivable","Customer Advances"),IF(L316&lt;0,"Accounts Payable","Supplier Advances")))</f>
        <v>Nil balance</v>
      </c>
      <c r="O316" s="18" t="str">
        <f aca="false">IF(L316=0,"Excluded",IF(Summary!$C$4="By ledger",IF(G316="AR file","Population 1","Population 2"),IF(L316&gt;0,"Population 1","Population 2")))</f>
        <v>Excluded</v>
      </c>
      <c r="P316" s="18" t="str">
        <f aca="false">IF(O316="Excluded","Excluded – nil closing balance",IF(M316&gt;Summary!$C$5,"Above Materiality","Below Materiality"))</f>
        <v>Excluded – nil closing balance</v>
      </c>
      <c r="Q316" s="20" t="str">
        <f aca="false">IF(P316="Below Materiality",T316,"")</f>
        <v/>
      </c>
      <c r="R316" s="21" t="str">
        <f aca="false">IF(P316="Above Materiality",COUNTIFS($O$2:$O$1092,O316,$P$2:$P$1092,"Above Materiality",$M$2:$M$1092,"&gt;"&amp;M316)+COUNTIFS($O$2:$O$1092,O316,$P$2:$P$1092,"Above Materiality",$M$2:$M$1092,M316,$A$2:$A$1092,"&lt;"&amp;A316)+1,"")</f>
        <v/>
      </c>
      <c r="S316" s="21" t="str">
        <f aca="false">IF(P316&lt;&gt;"Below Materiality","",IF(Summary!$C$9="Random",COUNTIFS($O$2:$O$1092,O316,$Q$2:$Q$1092,"&gt;"&amp;Q316)+1,COUNTIFS($O$2:$O$1092,O316,$P$2:$P$1092,"Below Materiality",$M$2:$M$1092,"&gt;"&amp;M316)+COUNTIFS($O$2:$O$1092,O316,$P$2:$P$1092,"Below Materiality",$M$2:$M$1092,M316,$A$2:$A$1092,"&lt;"&amp;A316)+1))</f>
        <v/>
      </c>
      <c r="T316" s="22"/>
      <c r="U316" s="21" t="str">
        <f aca="false">IF(R316="","",O316&amp;"|A|"&amp;R316)</f>
        <v/>
      </c>
      <c r="V316" s="21" t="str">
        <f aca="false">IF(S316="","",O316&amp;"|R|"&amp;S316)</f>
        <v/>
      </c>
    </row>
    <row r="317" customFormat="false" ht="15" hidden="false" customHeight="false" outlineLevel="0" collapsed="false">
      <c r="A317" s="18" t="n">
        <v>316</v>
      </c>
      <c r="B317" s="18"/>
      <c r="C317" s="18"/>
      <c r="D317" s="18"/>
      <c r="E317" s="18" t="s">
        <v>692</v>
      </c>
      <c r="F317" s="18" t="s">
        <v>693</v>
      </c>
      <c r="G317" s="18" t="s">
        <v>74</v>
      </c>
      <c r="H317" s="18" t="n">
        <v>36</v>
      </c>
      <c r="I317" s="19" t="n">
        <v>0</v>
      </c>
      <c r="J317" s="19" t="n">
        <v>57099.85</v>
      </c>
      <c r="K317" s="19" t="n">
        <v>57099.85</v>
      </c>
      <c r="L317" s="19" t="n">
        <v>0</v>
      </c>
      <c r="M317" s="19" t="n">
        <f aca="false">ABS(L317)</f>
        <v>0</v>
      </c>
      <c r="N317" s="18" t="str">
        <f aca="false">IF(L317=0,"Nil balance",IF(G317="AR file",IF(L317&gt;0,"Accounts Receivable","Customer Advances"),IF(L317&lt;0,"Accounts Payable","Supplier Advances")))</f>
        <v>Nil balance</v>
      </c>
      <c r="O317" s="18" t="str">
        <f aca="false">IF(L317=0,"Excluded",IF(Summary!$C$4="By ledger",IF(G317="AR file","Population 1","Population 2"),IF(L317&gt;0,"Population 1","Population 2")))</f>
        <v>Excluded</v>
      </c>
      <c r="P317" s="18" t="str">
        <f aca="false">IF(O317="Excluded","Excluded – nil closing balance",IF(M317&gt;Summary!$C$5,"Above Materiality","Below Materiality"))</f>
        <v>Excluded – nil closing balance</v>
      </c>
      <c r="Q317" s="20" t="str">
        <f aca="false">IF(P317="Below Materiality",T317,"")</f>
        <v/>
      </c>
      <c r="R317" s="21" t="str">
        <f aca="false">IF(P317="Above Materiality",COUNTIFS($O$2:$O$1092,O317,$P$2:$P$1092,"Above Materiality",$M$2:$M$1092,"&gt;"&amp;M317)+COUNTIFS($O$2:$O$1092,O317,$P$2:$P$1092,"Above Materiality",$M$2:$M$1092,M317,$A$2:$A$1092,"&lt;"&amp;A317)+1,"")</f>
        <v/>
      </c>
      <c r="S317" s="21" t="str">
        <f aca="false">IF(P317&lt;&gt;"Below Materiality","",IF(Summary!$C$9="Random",COUNTIFS($O$2:$O$1092,O317,$Q$2:$Q$1092,"&gt;"&amp;Q317)+1,COUNTIFS($O$2:$O$1092,O317,$P$2:$P$1092,"Below Materiality",$M$2:$M$1092,"&gt;"&amp;M317)+COUNTIFS($O$2:$O$1092,O317,$P$2:$P$1092,"Below Materiality",$M$2:$M$1092,M317,$A$2:$A$1092,"&lt;"&amp;A317)+1))</f>
        <v/>
      </c>
      <c r="T317" s="22"/>
      <c r="U317" s="21" t="str">
        <f aca="false">IF(R317="","",O317&amp;"|A|"&amp;R317)</f>
        <v/>
      </c>
      <c r="V317" s="21" t="str">
        <f aca="false">IF(S317="","",O317&amp;"|R|"&amp;S317)</f>
        <v/>
      </c>
    </row>
    <row r="318" customFormat="false" ht="15" hidden="false" customHeight="false" outlineLevel="0" collapsed="false">
      <c r="A318" s="18" t="n">
        <v>317</v>
      </c>
      <c r="B318" s="18"/>
      <c r="C318" s="18"/>
      <c r="D318" s="18"/>
      <c r="E318" s="18" t="s">
        <v>694</v>
      </c>
      <c r="F318" s="18" t="s">
        <v>695</v>
      </c>
      <c r="G318" s="18" t="s">
        <v>74</v>
      </c>
      <c r="H318" s="18" t="n">
        <v>37</v>
      </c>
      <c r="I318" s="19" t="n">
        <v>0</v>
      </c>
      <c r="J318" s="19" t="n">
        <v>1236.31</v>
      </c>
      <c r="K318" s="19" t="n">
        <v>1236.31</v>
      </c>
      <c r="L318" s="19" t="n">
        <v>0</v>
      </c>
      <c r="M318" s="19" t="n">
        <f aca="false">ABS(L318)</f>
        <v>0</v>
      </c>
      <c r="N318" s="18" t="str">
        <f aca="false">IF(L318=0,"Nil balance",IF(G318="AR file",IF(L318&gt;0,"Accounts Receivable","Customer Advances"),IF(L318&lt;0,"Accounts Payable","Supplier Advances")))</f>
        <v>Nil balance</v>
      </c>
      <c r="O318" s="18" t="str">
        <f aca="false">IF(L318=0,"Excluded",IF(Summary!$C$4="By ledger",IF(G318="AR file","Population 1","Population 2"),IF(L318&gt;0,"Population 1","Population 2")))</f>
        <v>Excluded</v>
      </c>
      <c r="P318" s="18" t="str">
        <f aca="false">IF(O318="Excluded","Excluded – nil closing balance",IF(M318&gt;Summary!$C$5,"Above Materiality","Below Materiality"))</f>
        <v>Excluded – nil closing balance</v>
      </c>
      <c r="Q318" s="20" t="str">
        <f aca="false">IF(P318="Below Materiality",T318,"")</f>
        <v/>
      </c>
      <c r="R318" s="21" t="str">
        <f aca="false">IF(P318="Above Materiality",COUNTIFS($O$2:$O$1092,O318,$P$2:$P$1092,"Above Materiality",$M$2:$M$1092,"&gt;"&amp;M318)+COUNTIFS($O$2:$O$1092,O318,$P$2:$P$1092,"Above Materiality",$M$2:$M$1092,M318,$A$2:$A$1092,"&lt;"&amp;A318)+1,"")</f>
        <v/>
      </c>
      <c r="S318" s="21" t="str">
        <f aca="false">IF(P318&lt;&gt;"Below Materiality","",IF(Summary!$C$9="Random",COUNTIFS($O$2:$O$1092,O318,$Q$2:$Q$1092,"&gt;"&amp;Q318)+1,COUNTIFS($O$2:$O$1092,O318,$P$2:$P$1092,"Below Materiality",$M$2:$M$1092,"&gt;"&amp;M318)+COUNTIFS($O$2:$O$1092,O318,$P$2:$P$1092,"Below Materiality",$M$2:$M$1092,M318,$A$2:$A$1092,"&lt;"&amp;A318)+1))</f>
        <v/>
      </c>
      <c r="T318" s="22"/>
      <c r="U318" s="21" t="str">
        <f aca="false">IF(R318="","",O318&amp;"|A|"&amp;R318)</f>
        <v/>
      </c>
      <c r="V318" s="21" t="str">
        <f aca="false">IF(S318="","",O318&amp;"|R|"&amp;S318)</f>
        <v/>
      </c>
    </row>
    <row r="319" customFormat="false" ht="15" hidden="false" customHeight="false" outlineLevel="0" collapsed="false">
      <c r="A319" s="18" t="n">
        <v>318</v>
      </c>
      <c r="B319" s="18"/>
      <c r="C319" s="18"/>
      <c r="D319" s="18"/>
      <c r="E319" s="18" t="s">
        <v>696</v>
      </c>
      <c r="F319" s="18" t="s">
        <v>697</v>
      </c>
      <c r="G319" s="18" t="s">
        <v>74</v>
      </c>
      <c r="H319" s="18" t="n">
        <v>39</v>
      </c>
      <c r="I319" s="19" t="n">
        <v>-1575</v>
      </c>
      <c r="J319" s="19" t="n">
        <v>1575</v>
      </c>
      <c r="K319" s="19" t="n">
        <v>0</v>
      </c>
      <c r="L319" s="19" t="n">
        <v>0</v>
      </c>
      <c r="M319" s="19" t="n">
        <f aca="false">ABS(L319)</f>
        <v>0</v>
      </c>
      <c r="N319" s="18" t="str">
        <f aca="false">IF(L319=0,"Nil balance",IF(G319="AR file",IF(L319&gt;0,"Accounts Receivable","Customer Advances"),IF(L319&lt;0,"Accounts Payable","Supplier Advances")))</f>
        <v>Nil balance</v>
      </c>
      <c r="O319" s="18" t="str">
        <f aca="false">IF(L319=0,"Excluded",IF(Summary!$C$4="By ledger",IF(G319="AR file","Population 1","Population 2"),IF(L319&gt;0,"Population 1","Population 2")))</f>
        <v>Excluded</v>
      </c>
      <c r="P319" s="18" t="str">
        <f aca="false">IF(O319="Excluded","Excluded – nil closing balance",IF(M319&gt;Summary!$C$5,"Above Materiality","Below Materiality"))</f>
        <v>Excluded – nil closing balance</v>
      </c>
      <c r="Q319" s="20" t="str">
        <f aca="false">IF(P319="Below Materiality",T319,"")</f>
        <v/>
      </c>
      <c r="R319" s="21" t="str">
        <f aca="false">IF(P319="Above Materiality",COUNTIFS($O$2:$O$1092,O319,$P$2:$P$1092,"Above Materiality",$M$2:$M$1092,"&gt;"&amp;M319)+COUNTIFS($O$2:$O$1092,O319,$P$2:$P$1092,"Above Materiality",$M$2:$M$1092,M319,$A$2:$A$1092,"&lt;"&amp;A319)+1,"")</f>
        <v/>
      </c>
      <c r="S319" s="21" t="str">
        <f aca="false">IF(P319&lt;&gt;"Below Materiality","",IF(Summary!$C$9="Random",COUNTIFS($O$2:$O$1092,O319,$Q$2:$Q$1092,"&gt;"&amp;Q319)+1,COUNTIFS($O$2:$O$1092,O319,$P$2:$P$1092,"Below Materiality",$M$2:$M$1092,"&gt;"&amp;M319)+COUNTIFS($O$2:$O$1092,O319,$P$2:$P$1092,"Below Materiality",$M$2:$M$1092,M319,$A$2:$A$1092,"&lt;"&amp;A319)+1))</f>
        <v/>
      </c>
      <c r="T319" s="22"/>
      <c r="U319" s="21" t="str">
        <f aca="false">IF(R319="","",O319&amp;"|A|"&amp;R319)</f>
        <v/>
      </c>
      <c r="V319" s="21" t="str">
        <f aca="false">IF(S319="","",O319&amp;"|R|"&amp;S319)</f>
        <v/>
      </c>
    </row>
    <row r="320" customFormat="false" ht="15" hidden="false" customHeight="false" outlineLevel="0" collapsed="false">
      <c r="A320" s="18" t="n">
        <v>319</v>
      </c>
      <c r="B320" s="18"/>
      <c r="C320" s="18"/>
      <c r="D320" s="18"/>
      <c r="E320" s="18" t="s">
        <v>698</v>
      </c>
      <c r="F320" s="18" t="s">
        <v>699</v>
      </c>
      <c r="G320" s="18" t="s">
        <v>74</v>
      </c>
      <c r="H320" s="18" t="n">
        <v>40</v>
      </c>
      <c r="I320" s="19" t="n">
        <v>0</v>
      </c>
      <c r="J320" s="19" t="n">
        <v>35568.35</v>
      </c>
      <c r="K320" s="19" t="n">
        <v>35568.35</v>
      </c>
      <c r="L320" s="19" t="n">
        <v>0</v>
      </c>
      <c r="M320" s="19" t="n">
        <f aca="false">ABS(L320)</f>
        <v>0</v>
      </c>
      <c r="N320" s="18" t="str">
        <f aca="false">IF(L320=0,"Nil balance",IF(G320="AR file",IF(L320&gt;0,"Accounts Receivable","Customer Advances"),IF(L320&lt;0,"Accounts Payable","Supplier Advances")))</f>
        <v>Nil balance</v>
      </c>
      <c r="O320" s="18" t="str">
        <f aca="false">IF(L320=0,"Excluded",IF(Summary!$C$4="By ledger",IF(G320="AR file","Population 1","Population 2"),IF(L320&gt;0,"Population 1","Population 2")))</f>
        <v>Excluded</v>
      </c>
      <c r="P320" s="18" t="str">
        <f aca="false">IF(O320="Excluded","Excluded – nil closing balance",IF(M320&gt;Summary!$C$5,"Above Materiality","Below Materiality"))</f>
        <v>Excluded – nil closing balance</v>
      </c>
      <c r="Q320" s="20" t="str">
        <f aca="false">IF(P320="Below Materiality",T320,"")</f>
        <v/>
      </c>
      <c r="R320" s="21" t="str">
        <f aca="false">IF(P320="Above Materiality",COUNTIFS($O$2:$O$1092,O320,$P$2:$P$1092,"Above Materiality",$M$2:$M$1092,"&gt;"&amp;M320)+COUNTIFS($O$2:$O$1092,O320,$P$2:$P$1092,"Above Materiality",$M$2:$M$1092,M320,$A$2:$A$1092,"&lt;"&amp;A320)+1,"")</f>
        <v/>
      </c>
      <c r="S320" s="21" t="str">
        <f aca="false">IF(P320&lt;&gt;"Below Materiality","",IF(Summary!$C$9="Random",COUNTIFS($O$2:$O$1092,O320,$Q$2:$Q$1092,"&gt;"&amp;Q320)+1,COUNTIFS($O$2:$O$1092,O320,$P$2:$P$1092,"Below Materiality",$M$2:$M$1092,"&gt;"&amp;M320)+COUNTIFS($O$2:$O$1092,O320,$P$2:$P$1092,"Below Materiality",$M$2:$M$1092,M320,$A$2:$A$1092,"&lt;"&amp;A320)+1))</f>
        <v/>
      </c>
      <c r="T320" s="22"/>
      <c r="U320" s="21" t="str">
        <f aca="false">IF(R320="","",O320&amp;"|A|"&amp;R320)</f>
        <v/>
      </c>
      <c r="V320" s="21" t="str">
        <f aca="false">IF(S320="","",O320&amp;"|R|"&amp;S320)</f>
        <v/>
      </c>
    </row>
    <row r="321" customFormat="false" ht="15" hidden="false" customHeight="false" outlineLevel="0" collapsed="false">
      <c r="A321" s="18" t="n">
        <v>320</v>
      </c>
      <c r="B321" s="18"/>
      <c r="C321" s="18"/>
      <c r="D321" s="18"/>
      <c r="E321" s="18" t="s">
        <v>700</v>
      </c>
      <c r="F321" s="18" t="s">
        <v>701</v>
      </c>
      <c r="G321" s="18" t="s">
        <v>74</v>
      </c>
      <c r="H321" s="18" t="n">
        <v>41</v>
      </c>
      <c r="I321" s="19" t="n">
        <v>0</v>
      </c>
      <c r="J321" s="19" t="n">
        <v>1753.75</v>
      </c>
      <c r="K321" s="19" t="n">
        <v>1753.75</v>
      </c>
      <c r="L321" s="19" t="n">
        <v>0</v>
      </c>
      <c r="M321" s="19" t="n">
        <f aca="false">ABS(L321)</f>
        <v>0</v>
      </c>
      <c r="N321" s="18" t="str">
        <f aca="false">IF(L321=0,"Nil balance",IF(G321="AR file",IF(L321&gt;0,"Accounts Receivable","Customer Advances"),IF(L321&lt;0,"Accounts Payable","Supplier Advances")))</f>
        <v>Nil balance</v>
      </c>
      <c r="O321" s="18" t="str">
        <f aca="false">IF(L321=0,"Excluded",IF(Summary!$C$4="By ledger",IF(G321="AR file","Population 1","Population 2"),IF(L321&gt;0,"Population 1","Population 2")))</f>
        <v>Excluded</v>
      </c>
      <c r="P321" s="18" t="str">
        <f aca="false">IF(O321="Excluded","Excluded – nil closing balance",IF(M321&gt;Summary!$C$5,"Above Materiality","Below Materiality"))</f>
        <v>Excluded – nil closing balance</v>
      </c>
      <c r="Q321" s="20" t="str">
        <f aca="false">IF(P321="Below Materiality",T321,"")</f>
        <v/>
      </c>
      <c r="R321" s="21" t="str">
        <f aca="false">IF(P321="Above Materiality",COUNTIFS($O$2:$O$1092,O321,$P$2:$P$1092,"Above Materiality",$M$2:$M$1092,"&gt;"&amp;M321)+COUNTIFS($O$2:$O$1092,O321,$P$2:$P$1092,"Above Materiality",$M$2:$M$1092,M321,$A$2:$A$1092,"&lt;"&amp;A321)+1,"")</f>
        <v/>
      </c>
      <c r="S321" s="21" t="str">
        <f aca="false">IF(P321&lt;&gt;"Below Materiality","",IF(Summary!$C$9="Random",COUNTIFS($O$2:$O$1092,O321,$Q$2:$Q$1092,"&gt;"&amp;Q321)+1,COUNTIFS($O$2:$O$1092,O321,$P$2:$P$1092,"Below Materiality",$M$2:$M$1092,"&gt;"&amp;M321)+COUNTIFS($O$2:$O$1092,O321,$P$2:$P$1092,"Below Materiality",$M$2:$M$1092,M321,$A$2:$A$1092,"&lt;"&amp;A321)+1))</f>
        <v/>
      </c>
      <c r="T321" s="22"/>
      <c r="U321" s="21" t="str">
        <f aca="false">IF(R321="","",O321&amp;"|A|"&amp;R321)</f>
        <v/>
      </c>
      <c r="V321" s="21" t="str">
        <f aca="false">IF(S321="","",O321&amp;"|R|"&amp;S321)</f>
        <v/>
      </c>
    </row>
    <row r="322" customFormat="false" ht="15" hidden="false" customHeight="false" outlineLevel="0" collapsed="false">
      <c r="A322" s="18" t="n">
        <v>321</v>
      </c>
      <c r="B322" s="18"/>
      <c r="C322" s="18"/>
      <c r="D322" s="18"/>
      <c r="E322" s="18" t="s">
        <v>702</v>
      </c>
      <c r="F322" s="18" t="s">
        <v>703</v>
      </c>
      <c r="G322" s="18" t="s">
        <v>74</v>
      </c>
      <c r="H322" s="18" t="n">
        <v>45</v>
      </c>
      <c r="I322" s="19" t="n">
        <v>0</v>
      </c>
      <c r="J322" s="19" t="n">
        <v>2206.85</v>
      </c>
      <c r="K322" s="19" t="n">
        <v>2206.85</v>
      </c>
      <c r="L322" s="19" t="n">
        <v>0</v>
      </c>
      <c r="M322" s="19" t="n">
        <f aca="false">ABS(L322)</f>
        <v>0</v>
      </c>
      <c r="N322" s="18" t="str">
        <f aca="false">IF(L322=0,"Nil balance",IF(G322="AR file",IF(L322&gt;0,"Accounts Receivable","Customer Advances"),IF(L322&lt;0,"Accounts Payable","Supplier Advances")))</f>
        <v>Nil balance</v>
      </c>
      <c r="O322" s="18" t="str">
        <f aca="false">IF(L322=0,"Excluded",IF(Summary!$C$4="By ledger",IF(G322="AR file","Population 1","Population 2"),IF(L322&gt;0,"Population 1","Population 2")))</f>
        <v>Excluded</v>
      </c>
      <c r="P322" s="18" t="str">
        <f aca="false">IF(O322="Excluded","Excluded – nil closing balance",IF(M322&gt;Summary!$C$5,"Above Materiality","Below Materiality"))</f>
        <v>Excluded – nil closing balance</v>
      </c>
      <c r="Q322" s="20" t="str">
        <f aca="false">IF(P322="Below Materiality",T322,"")</f>
        <v/>
      </c>
      <c r="R322" s="21" t="str">
        <f aca="false">IF(P322="Above Materiality",COUNTIFS($O$2:$O$1092,O322,$P$2:$P$1092,"Above Materiality",$M$2:$M$1092,"&gt;"&amp;M322)+COUNTIFS($O$2:$O$1092,O322,$P$2:$P$1092,"Above Materiality",$M$2:$M$1092,M322,$A$2:$A$1092,"&lt;"&amp;A322)+1,"")</f>
        <v/>
      </c>
      <c r="S322" s="21" t="str">
        <f aca="false">IF(P322&lt;&gt;"Below Materiality","",IF(Summary!$C$9="Random",COUNTIFS($O$2:$O$1092,O322,$Q$2:$Q$1092,"&gt;"&amp;Q322)+1,COUNTIFS($O$2:$O$1092,O322,$P$2:$P$1092,"Below Materiality",$M$2:$M$1092,"&gt;"&amp;M322)+COUNTIFS($O$2:$O$1092,O322,$P$2:$P$1092,"Below Materiality",$M$2:$M$1092,M322,$A$2:$A$1092,"&lt;"&amp;A322)+1))</f>
        <v/>
      </c>
      <c r="T322" s="22"/>
      <c r="U322" s="21" t="str">
        <f aca="false">IF(R322="","",O322&amp;"|A|"&amp;R322)</f>
        <v/>
      </c>
      <c r="V322" s="21" t="str">
        <f aca="false">IF(S322="","",O322&amp;"|R|"&amp;S322)</f>
        <v/>
      </c>
    </row>
    <row r="323" customFormat="false" ht="15" hidden="false" customHeight="false" outlineLevel="0" collapsed="false">
      <c r="A323" s="18" t="n">
        <v>322</v>
      </c>
      <c r="B323" s="18"/>
      <c r="C323" s="18"/>
      <c r="D323" s="18"/>
      <c r="E323" s="18" t="s">
        <v>704</v>
      </c>
      <c r="F323" s="18" t="s">
        <v>705</v>
      </c>
      <c r="G323" s="18" t="s">
        <v>74</v>
      </c>
      <c r="H323" s="18" t="n">
        <v>46</v>
      </c>
      <c r="I323" s="19" t="n">
        <v>0</v>
      </c>
      <c r="J323" s="19" t="n">
        <v>6899.24</v>
      </c>
      <c r="K323" s="19" t="n">
        <v>6899.24</v>
      </c>
      <c r="L323" s="19" t="n">
        <v>0</v>
      </c>
      <c r="M323" s="19" t="n">
        <f aca="false">ABS(L323)</f>
        <v>0</v>
      </c>
      <c r="N323" s="18" t="str">
        <f aca="false">IF(L323=0,"Nil balance",IF(G323="AR file",IF(L323&gt;0,"Accounts Receivable","Customer Advances"),IF(L323&lt;0,"Accounts Payable","Supplier Advances")))</f>
        <v>Nil balance</v>
      </c>
      <c r="O323" s="18" t="str">
        <f aca="false">IF(L323=0,"Excluded",IF(Summary!$C$4="By ledger",IF(G323="AR file","Population 1","Population 2"),IF(L323&gt;0,"Population 1","Population 2")))</f>
        <v>Excluded</v>
      </c>
      <c r="P323" s="18" t="str">
        <f aca="false">IF(O323="Excluded","Excluded – nil closing balance",IF(M323&gt;Summary!$C$5,"Above Materiality","Below Materiality"))</f>
        <v>Excluded – nil closing balance</v>
      </c>
      <c r="Q323" s="20" t="str">
        <f aca="false">IF(P323="Below Materiality",T323,"")</f>
        <v/>
      </c>
      <c r="R323" s="21" t="str">
        <f aca="false">IF(P323="Above Materiality",COUNTIFS($O$2:$O$1092,O323,$P$2:$P$1092,"Above Materiality",$M$2:$M$1092,"&gt;"&amp;M323)+COUNTIFS($O$2:$O$1092,O323,$P$2:$P$1092,"Above Materiality",$M$2:$M$1092,M323,$A$2:$A$1092,"&lt;"&amp;A323)+1,"")</f>
        <v/>
      </c>
      <c r="S323" s="21" t="str">
        <f aca="false">IF(P323&lt;&gt;"Below Materiality","",IF(Summary!$C$9="Random",COUNTIFS($O$2:$O$1092,O323,$Q$2:$Q$1092,"&gt;"&amp;Q323)+1,COUNTIFS($O$2:$O$1092,O323,$P$2:$P$1092,"Below Materiality",$M$2:$M$1092,"&gt;"&amp;M323)+COUNTIFS($O$2:$O$1092,O323,$P$2:$P$1092,"Below Materiality",$M$2:$M$1092,M323,$A$2:$A$1092,"&lt;"&amp;A323)+1))</f>
        <v/>
      </c>
      <c r="T323" s="22"/>
      <c r="U323" s="21" t="str">
        <f aca="false">IF(R323="","",O323&amp;"|A|"&amp;R323)</f>
        <v/>
      </c>
      <c r="V323" s="21" t="str">
        <f aca="false">IF(S323="","",O323&amp;"|R|"&amp;S323)</f>
        <v/>
      </c>
    </row>
    <row r="324" customFormat="false" ht="15" hidden="false" customHeight="false" outlineLevel="0" collapsed="false">
      <c r="A324" s="18" t="n">
        <v>323</v>
      </c>
      <c r="B324" s="18"/>
      <c r="C324" s="18"/>
      <c r="D324" s="18"/>
      <c r="E324" s="18" t="s">
        <v>706</v>
      </c>
      <c r="F324" s="18" t="s">
        <v>707</v>
      </c>
      <c r="G324" s="18" t="s">
        <v>74</v>
      </c>
      <c r="H324" s="18" t="n">
        <v>47</v>
      </c>
      <c r="I324" s="19" t="n">
        <v>276</v>
      </c>
      <c r="J324" s="19" t="n">
        <v>0</v>
      </c>
      <c r="K324" s="19" t="n">
        <v>276</v>
      </c>
      <c r="L324" s="19" t="n">
        <v>0</v>
      </c>
      <c r="M324" s="19" t="n">
        <f aca="false">ABS(L324)</f>
        <v>0</v>
      </c>
      <c r="N324" s="18" t="str">
        <f aca="false">IF(L324=0,"Nil balance",IF(G324="AR file",IF(L324&gt;0,"Accounts Receivable","Customer Advances"),IF(L324&lt;0,"Accounts Payable","Supplier Advances")))</f>
        <v>Nil balance</v>
      </c>
      <c r="O324" s="18" t="str">
        <f aca="false">IF(L324=0,"Excluded",IF(Summary!$C$4="By ledger",IF(G324="AR file","Population 1","Population 2"),IF(L324&gt;0,"Population 1","Population 2")))</f>
        <v>Excluded</v>
      </c>
      <c r="P324" s="18" t="str">
        <f aca="false">IF(O324="Excluded","Excluded – nil closing balance",IF(M324&gt;Summary!$C$5,"Above Materiality","Below Materiality"))</f>
        <v>Excluded – nil closing balance</v>
      </c>
      <c r="Q324" s="20" t="str">
        <f aca="false">IF(P324="Below Materiality",T324,"")</f>
        <v/>
      </c>
      <c r="R324" s="21" t="str">
        <f aca="false">IF(P324="Above Materiality",COUNTIFS($O$2:$O$1092,O324,$P$2:$P$1092,"Above Materiality",$M$2:$M$1092,"&gt;"&amp;M324)+COUNTIFS($O$2:$O$1092,O324,$P$2:$P$1092,"Above Materiality",$M$2:$M$1092,M324,$A$2:$A$1092,"&lt;"&amp;A324)+1,"")</f>
        <v/>
      </c>
      <c r="S324" s="21" t="str">
        <f aca="false">IF(P324&lt;&gt;"Below Materiality","",IF(Summary!$C$9="Random",COUNTIFS($O$2:$O$1092,O324,$Q$2:$Q$1092,"&gt;"&amp;Q324)+1,COUNTIFS($O$2:$O$1092,O324,$P$2:$P$1092,"Below Materiality",$M$2:$M$1092,"&gt;"&amp;M324)+COUNTIFS($O$2:$O$1092,O324,$P$2:$P$1092,"Below Materiality",$M$2:$M$1092,M324,$A$2:$A$1092,"&lt;"&amp;A324)+1))</f>
        <v/>
      </c>
      <c r="T324" s="22"/>
      <c r="U324" s="21" t="str">
        <f aca="false">IF(R324="","",O324&amp;"|A|"&amp;R324)</f>
        <v/>
      </c>
      <c r="V324" s="21" t="str">
        <f aca="false">IF(S324="","",O324&amp;"|R|"&amp;S324)</f>
        <v/>
      </c>
    </row>
    <row r="325" customFormat="false" ht="15" hidden="false" customHeight="false" outlineLevel="0" collapsed="false">
      <c r="A325" s="18" t="n">
        <v>324</v>
      </c>
      <c r="B325" s="18"/>
      <c r="C325" s="18"/>
      <c r="D325" s="18"/>
      <c r="E325" s="18" t="s">
        <v>708</v>
      </c>
      <c r="F325" s="18" t="s">
        <v>709</v>
      </c>
      <c r="G325" s="18" t="s">
        <v>74</v>
      </c>
      <c r="H325" s="18" t="n">
        <v>48</v>
      </c>
      <c r="I325" s="19" t="n">
        <v>0</v>
      </c>
      <c r="J325" s="19" t="n">
        <v>33</v>
      </c>
      <c r="K325" s="19" t="n">
        <v>33</v>
      </c>
      <c r="L325" s="19" t="n">
        <v>0</v>
      </c>
      <c r="M325" s="19" t="n">
        <f aca="false">ABS(L325)</f>
        <v>0</v>
      </c>
      <c r="N325" s="18" t="str">
        <f aca="false">IF(L325=0,"Nil balance",IF(G325="AR file",IF(L325&gt;0,"Accounts Receivable","Customer Advances"),IF(L325&lt;0,"Accounts Payable","Supplier Advances")))</f>
        <v>Nil balance</v>
      </c>
      <c r="O325" s="18" t="str">
        <f aca="false">IF(L325=0,"Excluded",IF(Summary!$C$4="By ledger",IF(G325="AR file","Population 1","Population 2"),IF(L325&gt;0,"Population 1","Population 2")))</f>
        <v>Excluded</v>
      </c>
      <c r="P325" s="18" t="str">
        <f aca="false">IF(O325="Excluded","Excluded – nil closing balance",IF(M325&gt;Summary!$C$5,"Above Materiality","Below Materiality"))</f>
        <v>Excluded – nil closing balance</v>
      </c>
      <c r="Q325" s="20" t="str">
        <f aca="false">IF(P325="Below Materiality",T325,"")</f>
        <v/>
      </c>
      <c r="R325" s="21" t="str">
        <f aca="false">IF(P325="Above Materiality",COUNTIFS($O$2:$O$1092,O325,$P$2:$P$1092,"Above Materiality",$M$2:$M$1092,"&gt;"&amp;M325)+COUNTIFS($O$2:$O$1092,O325,$P$2:$P$1092,"Above Materiality",$M$2:$M$1092,M325,$A$2:$A$1092,"&lt;"&amp;A325)+1,"")</f>
        <v/>
      </c>
      <c r="S325" s="21" t="str">
        <f aca="false">IF(P325&lt;&gt;"Below Materiality","",IF(Summary!$C$9="Random",COUNTIFS($O$2:$O$1092,O325,$Q$2:$Q$1092,"&gt;"&amp;Q325)+1,COUNTIFS($O$2:$O$1092,O325,$P$2:$P$1092,"Below Materiality",$M$2:$M$1092,"&gt;"&amp;M325)+COUNTIFS($O$2:$O$1092,O325,$P$2:$P$1092,"Below Materiality",$M$2:$M$1092,M325,$A$2:$A$1092,"&lt;"&amp;A325)+1))</f>
        <v/>
      </c>
      <c r="T325" s="22"/>
      <c r="U325" s="21" t="str">
        <f aca="false">IF(R325="","",O325&amp;"|A|"&amp;R325)</f>
        <v/>
      </c>
      <c r="V325" s="21" t="str">
        <f aca="false">IF(S325="","",O325&amp;"|R|"&amp;S325)</f>
        <v/>
      </c>
    </row>
    <row r="326" customFormat="false" ht="15" hidden="false" customHeight="false" outlineLevel="0" collapsed="false">
      <c r="A326" s="18" t="n">
        <v>325</v>
      </c>
      <c r="B326" s="18"/>
      <c r="C326" s="18"/>
      <c r="D326" s="18"/>
      <c r="E326" s="18" t="s">
        <v>710</v>
      </c>
      <c r="F326" s="18" t="s">
        <v>711</v>
      </c>
      <c r="G326" s="18" t="s">
        <v>74</v>
      </c>
      <c r="H326" s="18" t="n">
        <v>49</v>
      </c>
      <c r="I326" s="19" t="n">
        <v>-10000</v>
      </c>
      <c r="J326" s="19" t="n">
        <v>56099.75</v>
      </c>
      <c r="K326" s="19" t="n">
        <v>46099.75</v>
      </c>
      <c r="L326" s="19" t="n">
        <v>0</v>
      </c>
      <c r="M326" s="19" t="n">
        <f aca="false">ABS(L326)</f>
        <v>0</v>
      </c>
      <c r="N326" s="18" t="str">
        <f aca="false">IF(L326=0,"Nil balance",IF(G326="AR file",IF(L326&gt;0,"Accounts Receivable","Customer Advances"),IF(L326&lt;0,"Accounts Payable","Supplier Advances")))</f>
        <v>Nil balance</v>
      </c>
      <c r="O326" s="18" t="str">
        <f aca="false">IF(L326=0,"Excluded",IF(Summary!$C$4="By ledger",IF(G326="AR file","Population 1","Population 2"),IF(L326&gt;0,"Population 1","Population 2")))</f>
        <v>Excluded</v>
      </c>
      <c r="P326" s="18" t="str">
        <f aca="false">IF(O326="Excluded","Excluded – nil closing balance",IF(M326&gt;Summary!$C$5,"Above Materiality","Below Materiality"))</f>
        <v>Excluded – nil closing balance</v>
      </c>
      <c r="Q326" s="20" t="str">
        <f aca="false">IF(P326="Below Materiality",T326,"")</f>
        <v/>
      </c>
      <c r="R326" s="21" t="str">
        <f aca="false">IF(P326="Above Materiality",COUNTIFS($O$2:$O$1092,O326,$P$2:$P$1092,"Above Materiality",$M$2:$M$1092,"&gt;"&amp;M326)+COUNTIFS($O$2:$O$1092,O326,$P$2:$P$1092,"Above Materiality",$M$2:$M$1092,M326,$A$2:$A$1092,"&lt;"&amp;A326)+1,"")</f>
        <v/>
      </c>
      <c r="S326" s="21" t="str">
        <f aca="false">IF(P326&lt;&gt;"Below Materiality","",IF(Summary!$C$9="Random",COUNTIFS($O$2:$O$1092,O326,$Q$2:$Q$1092,"&gt;"&amp;Q326)+1,COUNTIFS($O$2:$O$1092,O326,$P$2:$P$1092,"Below Materiality",$M$2:$M$1092,"&gt;"&amp;M326)+COUNTIFS($O$2:$O$1092,O326,$P$2:$P$1092,"Below Materiality",$M$2:$M$1092,M326,$A$2:$A$1092,"&lt;"&amp;A326)+1))</f>
        <v/>
      </c>
      <c r="T326" s="22"/>
      <c r="U326" s="21" t="str">
        <f aca="false">IF(R326="","",O326&amp;"|A|"&amp;R326)</f>
        <v/>
      </c>
      <c r="V326" s="21" t="str">
        <f aca="false">IF(S326="","",O326&amp;"|R|"&amp;S326)</f>
        <v/>
      </c>
    </row>
    <row r="327" customFormat="false" ht="15" hidden="false" customHeight="false" outlineLevel="0" collapsed="false">
      <c r="A327" s="18" t="n">
        <v>326</v>
      </c>
      <c r="B327" s="18"/>
      <c r="C327" s="18"/>
      <c r="D327" s="18"/>
      <c r="E327" s="18" t="s">
        <v>712</v>
      </c>
      <c r="F327" s="18" t="s">
        <v>713</v>
      </c>
      <c r="G327" s="18" t="s">
        <v>74</v>
      </c>
      <c r="H327" s="18" t="n">
        <v>50</v>
      </c>
      <c r="I327" s="19" t="n">
        <v>4081.52</v>
      </c>
      <c r="J327" s="19" t="n">
        <v>3908.15</v>
      </c>
      <c r="K327" s="19" t="n">
        <v>7989.67</v>
      </c>
      <c r="L327" s="19" t="n">
        <v>0</v>
      </c>
      <c r="M327" s="19" t="n">
        <f aca="false">ABS(L327)</f>
        <v>0</v>
      </c>
      <c r="N327" s="18" t="str">
        <f aca="false">IF(L327=0,"Nil balance",IF(G327="AR file",IF(L327&gt;0,"Accounts Receivable","Customer Advances"),IF(L327&lt;0,"Accounts Payable","Supplier Advances")))</f>
        <v>Nil balance</v>
      </c>
      <c r="O327" s="18" t="str">
        <f aca="false">IF(L327=0,"Excluded",IF(Summary!$C$4="By ledger",IF(G327="AR file","Population 1","Population 2"),IF(L327&gt;0,"Population 1","Population 2")))</f>
        <v>Excluded</v>
      </c>
      <c r="P327" s="18" t="str">
        <f aca="false">IF(O327="Excluded","Excluded – nil closing balance",IF(M327&gt;Summary!$C$5,"Above Materiality","Below Materiality"))</f>
        <v>Excluded – nil closing balance</v>
      </c>
      <c r="Q327" s="20" t="str">
        <f aca="false">IF(P327="Below Materiality",T327,"")</f>
        <v/>
      </c>
      <c r="R327" s="21" t="str">
        <f aca="false">IF(P327="Above Materiality",COUNTIFS($O$2:$O$1092,O327,$P$2:$P$1092,"Above Materiality",$M$2:$M$1092,"&gt;"&amp;M327)+COUNTIFS($O$2:$O$1092,O327,$P$2:$P$1092,"Above Materiality",$M$2:$M$1092,M327,$A$2:$A$1092,"&lt;"&amp;A327)+1,"")</f>
        <v/>
      </c>
      <c r="S327" s="21" t="str">
        <f aca="false">IF(P327&lt;&gt;"Below Materiality","",IF(Summary!$C$9="Random",COUNTIFS($O$2:$O$1092,O327,$Q$2:$Q$1092,"&gt;"&amp;Q327)+1,COUNTIFS($O$2:$O$1092,O327,$P$2:$P$1092,"Below Materiality",$M$2:$M$1092,"&gt;"&amp;M327)+COUNTIFS($O$2:$O$1092,O327,$P$2:$P$1092,"Below Materiality",$M$2:$M$1092,M327,$A$2:$A$1092,"&lt;"&amp;A327)+1))</f>
        <v/>
      </c>
      <c r="T327" s="22"/>
      <c r="U327" s="21" t="str">
        <f aca="false">IF(R327="","",O327&amp;"|A|"&amp;R327)</f>
        <v/>
      </c>
      <c r="V327" s="21" t="str">
        <f aca="false">IF(S327="","",O327&amp;"|R|"&amp;S327)</f>
        <v/>
      </c>
    </row>
    <row r="328" customFormat="false" ht="15" hidden="false" customHeight="false" outlineLevel="0" collapsed="false">
      <c r="A328" s="18" t="n">
        <v>327</v>
      </c>
      <c r="B328" s="18"/>
      <c r="C328" s="18"/>
      <c r="D328" s="18"/>
      <c r="E328" s="18" t="s">
        <v>714</v>
      </c>
      <c r="F328" s="18" t="s">
        <v>715</v>
      </c>
      <c r="G328" s="18" t="s">
        <v>74</v>
      </c>
      <c r="H328" s="18" t="n">
        <v>52</v>
      </c>
      <c r="I328" s="19" t="n">
        <v>0</v>
      </c>
      <c r="J328" s="19" t="n">
        <v>7751.5</v>
      </c>
      <c r="K328" s="19" t="n">
        <v>7751.5</v>
      </c>
      <c r="L328" s="19" t="n">
        <v>0</v>
      </c>
      <c r="M328" s="19" t="n">
        <f aca="false">ABS(L328)</f>
        <v>0</v>
      </c>
      <c r="N328" s="18" t="str">
        <f aca="false">IF(L328=0,"Nil balance",IF(G328="AR file",IF(L328&gt;0,"Accounts Receivable","Customer Advances"),IF(L328&lt;0,"Accounts Payable","Supplier Advances")))</f>
        <v>Nil balance</v>
      </c>
      <c r="O328" s="18" t="str">
        <f aca="false">IF(L328=0,"Excluded",IF(Summary!$C$4="By ledger",IF(G328="AR file","Population 1","Population 2"),IF(L328&gt;0,"Population 1","Population 2")))</f>
        <v>Excluded</v>
      </c>
      <c r="P328" s="18" t="str">
        <f aca="false">IF(O328="Excluded","Excluded – nil closing balance",IF(M328&gt;Summary!$C$5,"Above Materiality","Below Materiality"))</f>
        <v>Excluded – nil closing balance</v>
      </c>
      <c r="Q328" s="20" t="str">
        <f aca="false">IF(P328="Below Materiality",T328,"")</f>
        <v/>
      </c>
      <c r="R328" s="21" t="str">
        <f aca="false">IF(P328="Above Materiality",COUNTIFS($O$2:$O$1092,O328,$P$2:$P$1092,"Above Materiality",$M$2:$M$1092,"&gt;"&amp;M328)+COUNTIFS($O$2:$O$1092,O328,$P$2:$P$1092,"Above Materiality",$M$2:$M$1092,M328,$A$2:$A$1092,"&lt;"&amp;A328)+1,"")</f>
        <v/>
      </c>
      <c r="S328" s="21" t="str">
        <f aca="false">IF(P328&lt;&gt;"Below Materiality","",IF(Summary!$C$9="Random",COUNTIFS($O$2:$O$1092,O328,$Q$2:$Q$1092,"&gt;"&amp;Q328)+1,COUNTIFS($O$2:$O$1092,O328,$P$2:$P$1092,"Below Materiality",$M$2:$M$1092,"&gt;"&amp;M328)+COUNTIFS($O$2:$O$1092,O328,$P$2:$P$1092,"Below Materiality",$M$2:$M$1092,M328,$A$2:$A$1092,"&lt;"&amp;A328)+1))</f>
        <v/>
      </c>
      <c r="T328" s="22"/>
      <c r="U328" s="21" t="str">
        <f aca="false">IF(R328="","",O328&amp;"|A|"&amp;R328)</f>
        <v/>
      </c>
      <c r="V328" s="21" t="str">
        <f aca="false">IF(S328="","",O328&amp;"|R|"&amp;S328)</f>
        <v/>
      </c>
    </row>
    <row r="329" customFormat="false" ht="15" hidden="false" customHeight="false" outlineLevel="0" collapsed="false">
      <c r="A329" s="18" t="n">
        <v>328</v>
      </c>
      <c r="B329" s="18"/>
      <c r="C329" s="18"/>
      <c r="D329" s="18"/>
      <c r="E329" s="18" t="s">
        <v>716</v>
      </c>
      <c r="F329" s="18" t="s">
        <v>717</v>
      </c>
      <c r="G329" s="18" t="s">
        <v>74</v>
      </c>
      <c r="H329" s="18" t="n">
        <v>53</v>
      </c>
      <c r="I329" s="19" t="n">
        <v>0</v>
      </c>
      <c r="J329" s="19" t="n">
        <v>36131.7</v>
      </c>
      <c r="K329" s="19" t="n">
        <v>36131.7</v>
      </c>
      <c r="L329" s="19" t="n">
        <v>0</v>
      </c>
      <c r="M329" s="19" t="n">
        <f aca="false">ABS(L329)</f>
        <v>0</v>
      </c>
      <c r="N329" s="18" t="str">
        <f aca="false">IF(L329=0,"Nil balance",IF(G329="AR file",IF(L329&gt;0,"Accounts Receivable","Customer Advances"),IF(L329&lt;0,"Accounts Payable","Supplier Advances")))</f>
        <v>Nil balance</v>
      </c>
      <c r="O329" s="18" t="str">
        <f aca="false">IF(L329=0,"Excluded",IF(Summary!$C$4="By ledger",IF(G329="AR file","Population 1","Population 2"),IF(L329&gt;0,"Population 1","Population 2")))</f>
        <v>Excluded</v>
      </c>
      <c r="P329" s="18" t="str">
        <f aca="false">IF(O329="Excluded","Excluded – nil closing balance",IF(M329&gt;Summary!$C$5,"Above Materiality","Below Materiality"))</f>
        <v>Excluded – nil closing balance</v>
      </c>
      <c r="Q329" s="20" t="str">
        <f aca="false">IF(P329="Below Materiality",T329,"")</f>
        <v/>
      </c>
      <c r="R329" s="21" t="str">
        <f aca="false">IF(P329="Above Materiality",COUNTIFS($O$2:$O$1092,O329,$P$2:$P$1092,"Above Materiality",$M$2:$M$1092,"&gt;"&amp;M329)+COUNTIFS($O$2:$O$1092,O329,$P$2:$P$1092,"Above Materiality",$M$2:$M$1092,M329,$A$2:$A$1092,"&lt;"&amp;A329)+1,"")</f>
        <v/>
      </c>
      <c r="S329" s="21" t="str">
        <f aca="false">IF(P329&lt;&gt;"Below Materiality","",IF(Summary!$C$9="Random",COUNTIFS($O$2:$O$1092,O329,$Q$2:$Q$1092,"&gt;"&amp;Q329)+1,COUNTIFS($O$2:$O$1092,O329,$P$2:$P$1092,"Below Materiality",$M$2:$M$1092,"&gt;"&amp;M329)+COUNTIFS($O$2:$O$1092,O329,$P$2:$P$1092,"Below Materiality",$M$2:$M$1092,M329,$A$2:$A$1092,"&lt;"&amp;A329)+1))</f>
        <v/>
      </c>
      <c r="T329" s="22"/>
      <c r="U329" s="21" t="str">
        <f aca="false">IF(R329="","",O329&amp;"|A|"&amp;R329)</f>
        <v/>
      </c>
      <c r="V329" s="21" t="str">
        <f aca="false">IF(S329="","",O329&amp;"|R|"&amp;S329)</f>
        <v/>
      </c>
    </row>
    <row r="330" customFormat="false" ht="15" hidden="false" customHeight="false" outlineLevel="0" collapsed="false">
      <c r="A330" s="18" t="n">
        <v>329</v>
      </c>
      <c r="B330" s="18"/>
      <c r="C330" s="18"/>
      <c r="D330" s="18"/>
      <c r="E330" s="18" t="s">
        <v>718</v>
      </c>
      <c r="F330" s="18" t="s">
        <v>466</v>
      </c>
      <c r="G330" s="18" t="s">
        <v>74</v>
      </c>
      <c r="H330" s="18" t="n">
        <v>54</v>
      </c>
      <c r="I330" s="19" t="n">
        <v>0</v>
      </c>
      <c r="J330" s="19" t="n">
        <v>4830</v>
      </c>
      <c r="K330" s="19" t="n">
        <v>4830</v>
      </c>
      <c r="L330" s="19" t="n">
        <v>0</v>
      </c>
      <c r="M330" s="19" t="n">
        <f aca="false">ABS(L330)</f>
        <v>0</v>
      </c>
      <c r="N330" s="18" t="str">
        <f aca="false">IF(L330=0,"Nil balance",IF(G330="AR file",IF(L330&gt;0,"Accounts Receivable","Customer Advances"),IF(L330&lt;0,"Accounts Payable","Supplier Advances")))</f>
        <v>Nil balance</v>
      </c>
      <c r="O330" s="18" t="str">
        <f aca="false">IF(L330=0,"Excluded",IF(Summary!$C$4="By ledger",IF(G330="AR file","Population 1","Population 2"),IF(L330&gt;0,"Population 1","Population 2")))</f>
        <v>Excluded</v>
      </c>
      <c r="P330" s="18" t="str">
        <f aca="false">IF(O330="Excluded","Excluded – nil closing balance",IF(M330&gt;Summary!$C$5,"Above Materiality","Below Materiality"))</f>
        <v>Excluded – nil closing balance</v>
      </c>
      <c r="Q330" s="20" t="str">
        <f aca="false">IF(P330="Below Materiality",T330,"")</f>
        <v/>
      </c>
      <c r="R330" s="21" t="str">
        <f aca="false">IF(P330="Above Materiality",COUNTIFS($O$2:$O$1092,O330,$P$2:$P$1092,"Above Materiality",$M$2:$M$1092,"&gt;"&amp;M330)+COUNTIFS($O$2:$O$1092,O330,$P$2:$P$1092,"Above Materiality",$M$2:$M$1092,M330,$A$2:$A$1092,"&lt;"&amp;A330)+1,"")</f>
        <v/>
      </c>
      <c r="S330" s="21" t="str">
        <f aca="false">IF(P330&lt;&gt;"Below Materiality","",IF(Summary!$C$9="Random",COUNTIFS($O$2:$O$1092,O330,$Q$2:$Q$1092,"&gt;"&amp;Q330)+1,COUNTIFS($O$2:$O$1092,O330,$P$2:$P$1092,"Below Materiality",$M$2:$M$1092,"&gt;"&amp;M330)+COUNTIFS($O$2:$O$1092,O330,$P$2:$P$1092,"Below Materiality",$M$2:$M$1092,M330,$A$2:$A$1092,"&lt;"&amp;A330)+1))</f>
        <v/>
      </c>
      <c r="T330" s="22"/>
      <c r="U330" s="21" t="str">
        <f aca="false">IF(R330="","",O330&amp;"|A|"&amp;R330)</f>
        <v/>
      </c>
      <c r="V330" s="21" t="str">
        <f aca="false">IF(S330="","",O330&amp;"|R|"&amp;S330)</f>
        <v/>
      </c>
    </row>
    <row r="331" customFormat="false" ht="15" hidden="false" customHeight="false" outlineLevel="0" collapsed="false">
      <c r="A331" s="18" t="n">
        <v>330</v>
      </c>
      <c r="B331" s="18"/>
      <c r="C331" s="18"/>
      <c r="D331" s="18"/>
      <c r="E331" s="18" t="s">
        <v>719</v>
      </c>
      <c r="F331" s="18" t="s">
        <v>720</v>
      </c>
      <c r="G331" s="18" t="s">
        <v>74</v>
      </c>
      <c r="H331" s="18" t="n">
        <v>55</v>
      </c>
      <c r="I331" s="19" t="n">
        <v>2632.85</v>
      </c>
      <c r="J331" s="19" t="n">
        <v>0</v>
      </c>
      <c r="K331" s="19" t="n">
        <v>2632.85</v>
      </c>
      <c r="L331" s="19" t="n">
        <v>0</v>
      </c>
      <c r="M331" s="19" t="n">
        <f aca="false">ABS(L331)</f>
        <v>0</v>
      </c>
      <c r="N331" s="18" t="str">
        <f aca="false">IF(L331=0,"Nil balance",IF(G331="AR file",IF(L331&gt;0,"Accounts Receivable","Customer Advances"),IF(L331&lt;0,"Accounts Payable","Supplier Advances")))</f>
        <v>Nil balance</v>
      </c>
      <c r="O331" s="18" t="str">
        <f aca="false">IF(L331=0,"Excluded",IF(Summary!$C$4="By ledger",IF(G331="AR file","Population 1","Population 2"),IF(L331&gt;0,"Population 1","Population 2")))</f>
        <v>Excluded</v>
      </c>
      <c r="P331" s="18" t="str">
        <f aca="false">IF(O331="Excluded","Excluded – nil closing balance",IF(M331&gt;Summary!$C$5,"Above Materiality","Below Materiality"))</f>
        <v>Excluded – nil closing balance</v>
      </c>
      <c r="Q331" s="20" t="str">
        <f aca="false">IF(P331="Below Materiality",T331,"")</f>
        <v/>
      </c>
      <c r="R331" s="21" t="str">
        <f aca="false">IF(P331="Above Materiality",COUNTIFS($O$2:$O$1092,O331,$P$2:$P$1092,"Above Materiality",$M$2:$M$1092,"&gt;"&amp;M331)+COUNTIFS($O$2:$O$1092,O331,$P$2:$P$1092,"Above Materiality",$M$2:$M$1092,M331,$A$2:$A$1092,"&lt;"&amp;A331)+1,"")</f>
        <v/>
      </c>
      <c r="S331" s="21" t="str">
        <f aca="false">IF(P331&lt;&gt;"Below Materiality","",IF(Summary!$C$9="Random",COUNTIFS($O$2:$O$1092,O331,$Q$2:$Q$1092,"&gt;"&amp;Q331)+1,COUNTIFS($O$2:$O$1092,O331,$P$2:$P$1092,"Below Materiality",$M$2:$M$1092,"&gt;"&amp;M331)+COUNTIFS($O$2:$O$1092,O331,$P$2:$P$1092,"Below Materiality",$M$2:$M$1092,M331,$A$2:$A$1092,"&lt;"&amp;A331)+1))</f>
        <v/>
      </c>
      <c r="T331" s="22"/>
      <c r="U331" s="21" t="str">
        <f aca="false">IF(R331="","",O331&amp;"|A|"&amp;R331)</f>
        <v/>
      </c>
      <c r="V331" s="21" t="str">
        <f aca="false">IF(S331="","",O331&amp;"|R|"&amp;S331)</f>
        <v/>
      </c>
    </row>
    <row r="332" customFormat="false" ht="15" hidden="false" customHeight="false" outlineLevel="0" collapsed="false">
      <c r="A332" s="18" t="n">
        <v>331</v>
      </c>
      <c r="B332" s="18"/>
      <c r="C332" s="18"/>
      <c r="D332" s="18"/>
      <c r="E332" s="18" t="s">
        <v>721</v>
      </c>
      <c r="F332" s="18" t="s">
        <v>722</v>
      </c>
      <c r="G332" s="18" t="s">
        <v>74</v>
      </c>
      <c r="H332" s="18" t="n">
        <v>56</v>
      </c>
      <c r="I332" s="19" t="n">
        <v>0</v>
      </c>
      <c r="J332" s="19" t="n">
        <v>21332.05</v>
      </c>
      <c r="K332" s="19" t="n">
        <v>21332.05</v>
      </c>
      <c r="L332" s="19" t="n">
        <v>0</v>
      </c>
      <c r="M332" s="19" t="n">
        <f aca="false">ABS(L332)</f>
        <v>0</v>
      </c>
      <c r="N332" s="18" t="str">
        <f aca="false">IF(L332=0,"Nil balance",IF(G332="AR file",IF(L332&gt;0,"Accounts Receivable","Customer Advances"),IF(L332&lt;0,"Accounts Payable","Supplier Advances")))</f>
        <v>Nil balance</v>
      </c>
      <c r="O332" s="18" t="str">
        <f aca="false">IF(L332=0,"Excluded",IF(Summary!$C$4="By ledger",IF(G332="AR file","Population 1","Population 2"),IF(L332&gt;0,"Population 1","Population 2")))</f>
        <v>Excluded</v>
      </c>
      <c r="P332" s="18" t="str">
        <f aca="false">IF(O332="Excluded","Excluded – nil closing balance",IF(M332&gt;Summary!$C$5,"Above Materiality","Below Materiality"))</f>
        <v>Excluded – nil closing balance</v>
      </c>
      <c r="Q332" s="20" t="str">
        <f aca="false">IF(P332="Below Materiality",T332,"")</f>
        <v/>
      </c>
      <c r="R332" s="21" t="str">
        <f aca="false">IF(P332="Above Materiality",COUNTIFS($O$2:$O$1092,O332,$P$2:$P$1092,"Above Materiality",$M$2:$M$1092,"&gt;"&amp;M332)+COUNTIFS($O$2:$O$1092,O332,$P$2:$P$1092,"Above Materiality",$M$2:$M$1092,M332,$A$2:$A$1092,"&lt;"&amp;A332)+1,"")</f>
        <v/>
      </c>
      <c r="S332" s="21" t="str">
        <f aca="false">IF(P332&lt;&gt;"Below Materiality","",IF(Summary!$C$9="Random",COUNTIFS($O$2:$O$1092,O332,$Q$2:$Q$1092,"&gt;"&amp;Q332)+1,COUNTIFS($O$2:$O$1092,O332,$P$2:$P$1092,"Below Materiality",$M$2:$M$1092,"&gt;"&amp;M332)+COUNTIFS($O$2:$O$1092,O332,$P$2:$P$1092,"Below Materiality",$M$2:$M$1092,M332,$A$2:$A$1092,"&lt;"&amp;A332)+1))</f>
        <v/>
      </c>
      <c r="T332" s="22"/>
      <c r="U332" s="21" t="str">
        <f aca="false">IF(R332="","",O332&amp;"|A|"&amp;R332)</f>
        <v/>
      </c>
      <c r="V332" s="21" t="str">
        <f aca="false">IF(S332="","",O332&amp;"|R|"&amp;S332)</f>
        <v/>
      </c>
    </row>
    <row r="333" customFormat="false" ht="15" hidden="false" customHeight="false" outlineLevel="0" collapsed="false">
      <c r="A333" s="18" t="n">
        <v>332</v>
      </c>
      <c r="B333" s="18"/>
      <c r="C333" s="18"/>
      <c r="D333" s="18"/>
      <c r="E333" s="18" t="s">
        <v>723</v>
      </c>
      <c r="F333" s="18" t="s">
        <v>724</v>
      </c>
      <c r="G333" s="18" t="s">
        <v>74</v>
      </c>
      <c r="H333" s="18" t="n">
        <v>57</v>
      </c>
      <c r="I333" s="19" t="n">
        <v>250</v>
      </c>
      <c r="J333" s="19" t="n">
        <v>0</v>
      </c>
      <c r="K333" s="19" t="n">
        <v>250</v>
      </c>
      <c r="L333" s="19" t="n">
        <v>0</v>
      </c>
      <c r="M333" s="19" t="n">
        <f aca="false">ABS(L333)</f>
        <v>0</v>
      </c>
      <c r="N333" s="18" t="str">
        <f aca="false">IF(L333=0,"Nil balance",IF(G333="AR file",IF(L333&gt;0,"Accounts Receivable","Customer Advances"),IF(L333&lt;0,"Accounts Payable","Supplier Advances")))</f>
        <v>Nil balance</v>
      </c>
      <c r="O333" s="18" t="str">
        <f aca="false">IF(L333=0,"Excluded",IF(Summary!$C$4="By ledger",IF(G333="AR file","Population 1","Population 2"),IF(L333&gt;0,"Population 1","Population 2")))</f>
        <v>Excluded</v>
      </c>
      <c r="P333" s="18" t="str">
        <f aca="false">IF(O333="Excluded","Excluded – nil closing balance",IF(M333&gt;Summary!$C$5,"Above Materiality","Below Materiality"))</f>
        <v>Excluded – nil closing balance</v>
      </c>
      <c r="Q333" s="20" t="str">
        <f aca="false">IF(P333="Below Materiality",T333,"")</f>
        <v/>
      </c>
      <c r="R333" s="21" t="str">
        <f aca="false">IF(P333="Above Materiality",COUNTIFS($O$2:$O$1092,O333,$P$2:$P$1092,"Above Materiality",$M$2:$M$1092,"&gt;"&amp;M333)+COUNTIFS($O$2:$O$1092,O333,$P$2:$P$1092,"Above Materiality",$M$2:$M$1092,M333,$A$2:$A$1092,"&lt;"&amp;A333)+1,"")</f>
        <v/>
      </c>
      <c r="S333" s="21" t="str">
        <f aca="false">IF(P333&lt;&gt;"Below Materiality","",IF(Summary!$C$9="Random",COUNTIFS($O$2:$O$1092,O333,$Q$2:$Q$1092,"&gt;"&amp;Q333)+1,COUNTIFS($O$2:$O$1092,O333,$P$2:$P$1092,"Below Materiality",$M$2:$M$1092,"&gt;"&amp;M333)+COUNTIFS($O$2:$O$1092,O333,$P$2:$P$1092,"Below Materiality",$M$2:$M$1092,M333,$A$2:$A$1092,"&lt;"&amp;A333)+1))</f>
        <v/>
      </c>
      <c r="T333" s="22"/>
      <c r="U333" s="21" t="str">
        <f aca="false">IF(R333="","",O333&amp;"|A|"&amp;R333)</f>
        <v/>
      </c>
      <c r="V333" s="21" t="str">
        <f aca="false">IF(S333="","",O333&amp;"|R|"&amp;S333)</f>
        <v/>
      </c>
    </row>
    <row r="334" customFormat="false" ht="15" hidden="false" customHeight="false" outlineLevel="0" collapsed="false">
      <c r="A334" s="18" t="n">
        <v>333</v>
      </c>
      <c r="B334" s="18"/>
      <c r="C334" s="18"/>
      <c r="D334" s="18"/>
      <c r="E334" s="18" t="s">
        <v>725</v>
      </c>
      <c r="F334" s="18" t="s">
        <v>726</v>
      </c>
      <c r="G334" s="18" t="s">
        <v>74</v>
      </c>
      <c r="H334" s="18" t="n">
        <v>58</v>
      </c>
      <c r="I334" s="19" t="n">
        <v>-50</v>
      </c>
      <c r="J334" s="19" t="n">
        <v>16332.85</v>
      </c>
      <c r="K334" s="19" t="n">
        <v>16282.85</v>
      </c>
      <c r="L334" s="19" t="n">
        <v>0</v>
      </c>
      <c r="M334" s="19" t="n">
        <f aca="false">ABS(L334)</f>
        <v>0</v>
      </c>
      <c r="N334" s="18" t="str">
        <f aca="false">IF(L334=0,"Nil balance",IF(G334="AR file",IF(L334&gt;0,"Accounts Receivable","Customer Advances"),IF(L334&lt;0,"Accounts Payable","Supplier Advances")))</f>
        <v>Nil balance</v>
      </c>
      <c r="O334" s="18" t="str">
        <f aca="false">IF(L334=0,"Excluded",IF(Summary!$C$4="By ledger",IF(G334="AR file","Population 1","Population 2"),IF(L334&gt;0,"Population 1","Population 2")))</f>
        <v>Excluded</v>
      </c>
      <c r="P334" s="18" t="str">
        <f aca="false">IF(O334="Excluded","Excluded – nil closing balance",IF(M334&gt;Summary!$C$5,"Above Materiality","Below Materiality"))</f>
        <v>Excluded – nil closing balance</v>
      </c>
      <c r="Q334" s="20" t="str">
        <f aca="false">IF(P334="Below Materiality",T334,"")</f>
        <v/>
      </c>
      <c r="R334" s="21" t="str">
        <f aca="false">IF(P334="Above Materiality",COUNTIFS($O$2:$O$1092,O334,$P$2:$P$1092,"Above Materiality",$M$2:$M$1092,"&gt;"&amp;M334)+COUNTIFS($O$2:$O$1092,O334,$P$2:$P$1092,"Above Materiality",$M$2:$M$1092,M334,$A$2:$A$1092,"&lt;"&amp;A334)+1,"")</f>
        <v/>
      </c>
      <c r="S334" s="21" t="str">
        <f aca="false">IF(P334&lt;&gt;"Below Materiality","",IF(Summary!$C$9="Random",COUNTIFS($O$2:$O$1092,O334,$Q$2:$Q$1092,"&gt;"&amp;Q334)+1,COUNTIFS($O$2:$O$1092,O334,$P$2:$P$1092,"Below Materiality",$M$2:$M$1092,"&gt;"&amp;M334)+COUNTIFS($O$2:$O$1092,O334,$P$2:$P$1092,"Below Materiality",$M$2:$M$1092,M334,$A$2:$A$1092,"&lt;"&amp;A334)+1))</f>
        <v/>
      </c>
      <c r="T334" s="22"/>
      <c r="U334" s="21" t="str">
        <f aca="false">IF(R334="","",O334&amp;"|A|"&amp;R334)</f>
        <v/>
      </c>
      <c r="V334" s="21" t="str">
        <f aca="false">IF(S334="","",O334&amp;"|R|"&amp;S334)</f>
        <v/>
      </c>
    </row>
    <row r="335" customFormat="false" ht="15" hidden="false" customHeight="false" outlineLevel="0" collapsed="false">
      <c r="A335" s="18" t="n">
        <v>334</v>
      </c>
      <c r="B335" s="18"/>
      <c r="C335" s="18"/>
      <c r="D335" s="18"/>
      <c r="E335" s="18" t="s">
        <v>727</v>
      </c>
      <c r="F335" s="18" t="s">
        <v>728</v>
      </c>
      <c r="G335" s="18" t="s">
        <v>74</v>
      </c>
      <c r="H335" s="18" t="n">
        <v>59</v>
      </c>
      <c r="I335" s="19" t="n">
        <v>0</v>
      </c>
      <c r="J335" s="19" t="n">
        <v>317.5</v>
      </c>
      <c r="K335" s="19" t="n">
        <v>317.5</v>
      </c>
      <c r="L335" s="19" t="n">
        <v>0</v>
      </c>
      <c r="M335" s="19" t="n">
        <f aca="false">ABS(L335)</f>
        <v>0</v>
      </c>
      <c r="N335" s="18" t="str">
        <f aca="false">IF(L335=0,"Nil balance",IF(G335="AR file",IF(L335&gt;0,"Accounts Receivable","Customer Advances"),IF(L335&lt;0,"Accounts Payable","Supplier Advances")))</f>
        <v>Nil balance</v>
      </c>
      <c r="O335" s="18" t="str">
        <f aca="false">IF(L335=0,"Excluded",IF(Summary!$C$4="By ledger",IF(G335="AR file","Population 1","Population 2"),IF(L335&gt;0,"Population 1","Population 2")))</f>
        <v>Excluded</v>
      </c>
      <c r="P335" s="18" t="str">
        <f aca="false">IF(O335="Excluded","Excluded – nil closing balance",IF(M335&gt;Summary!$C$5,"Above Materiality","Below Materiality"))</f>
        <v>Excluded – nil closing balance</v>
      </c>
      <c r="Q335" s="20" t="str">
        <f aca="false">IF(P335="Below Materiality",T335,"")</f>
        <v/>
      </c>
      <c r="R335" s="21" t="str">
        <f aca="false">IF(P335="Above Materiality",COUNTIFS($O$2:$O$1092,O335,$P$2:$P$1092,"Above Materiality",$M$2:$M$1092,"&gt;"&amp;M335)+COUNTIFS($O$2:$O$1092,O335,$P$2:$P$1092,"Above Materiality",$M$2:$M$1092,M335,$A$2:$A$1092,"&lt;"&amp;A335)+1,"")</f>
        <v/>
      </c>
      <c r="S335" s="21" t="str">
        <f aca="false">IF(P335&lt;&gt;"Below Materiality","",IF(Summary!$C$9="Random",COUNTIFS($O$2:$O$1092,O335,$Q$2:$Q$1092,"&gt;"&amp;Q335)+1,COUNTIFS($O$2:$O$1092,O335,$P$2:$P$1092,"Below Materiality",$M$2:$M$1092,"&gt;"&amp;M335)+COUNTIFS($O$2:$O$1092,O335,$P$2:$P$1092,"Below Materiality",$M$2:$M$1092,M335,$A$2:$A$1092,"&lt;"&amp;A335)+1))</f>
        <v/>
      </c>
      <c r="T335" s="22"/>
      <c r="U335" s="21" t="str">
        <f aca="false">IF(R335="","",O335&amp;"|A|"&amp;R335)</f>
        <v/>
      </c>
      <c r="V335" s="21" t="str">
        <f aca="false">IF(S335="","",O335&amp;"|R|"&amp;S335)</f>
        <v/>
      </c>
    </row>
    <row r="336" customFormat="false" ht="15" hidden="false" customHeight="false" outlineLevel="0" collapsed="false">
      <c r="A336" s="18" t="n">
        <v>335</v>
      </c>
      <c r="B336" s="18"/>
      <c r="C336" s="18"/>
      <c r="D336" s="18"/>
      <c r="E336" s="18" t="s">
        <v>729</v>
      </c>
      <c r="F336" s="18" t="s">
        <v>730</v>
      </c>
      <c r="G336" s="18" t="s">
        <v>74</v>
      </c>
      <c r="H336" s="18" t="n">
        <v>60</v>
      </c>
      <c r="I336" s="19" t="n">
        <v>-8911.10999999999</v>
      </c>
      <c r="J336" s="19" t="n">
        <v>27801.21</v>
      </c>
      <c r="K336" s="19" t="n">
        <v>18890.1</v>
      </c>
      <c r="L336" s="19" t="n">
        <v>0</v>
      </c>
      <c r="M336" s="19" t="n">
        <f aca="false">ABS(L336)</f>
        <v>0</v>
      </c>
      <c r="N336" s="18" t="str">
        <f aca="false">IF(L336=0,"Nil balance",IF(G336="AR file",IF(L336&gt;0,"Accounts Receivable","Customer Advances"),IF(L336&lt;0,"Accounts Payable","Supplier Advances")))</f>
        <v>Nil balance</v>
      </c>
      <c r="O336" s="18" t="str">
        <f aca="false">IF(L336=0,"Excluded",IF(Summary!$C$4="By ledger",IF(G336="AR file","Population 1","Population 2"),IF(L336&gt;0,"Population 1","Population 2")))</f>
        <v>Excluded</v>
      </c>
      <c r="P336" s="18" t="str">
        <f aca="false">IF(O336="Excluded","Excluded – nil closing balance",IF(M336&gt;Summary!$C$5,"Above Materiality","Below Materiality"))</f>
        <v>Excluded – nil closing balance</v>
      </c>
      <c r="Q336" s="20" t="str">
        <f aca="false">IF(P336="Below Materiality",T336,"")</f>
        <v/>
      </c>
      <c r="R336" s="21" t="str">
        <f aca="false">IF(P336="Above Materiality",COUNTIFS($O$2:$O$1092,O336,$P$2:$P$1092,"Above Materiality",$M$2:$M$1092,"&gt;"&amp;M336)+COUNTIFS($O$2:$O$1092,O336,$P$2:$P$1092,"Above Materiality",$M$2:$M$1092,M336,$A$2:$A$1092,"&lt;"&amp;A336)+1,"")</f>
        <v/>
      </c>
      <c r="S336" s="21" t="str">
        <f aca="false">IF(P336&lt;&gt;"Below Materiality","",IF(Summary!$C$9="Random",COUNTIFS($O$2:$O$1092,O336,$Q$2:$Q$1092,"&gt;"&amp;Q336)+1,COUNTIFS($O$2:$O$1092,O336,$P$2:$P$1092,"Below Materiality",$M$2:$M$1092,"&gt;"&amp;M336)+COUNTIFS($O$2:$O$1092,O336,$P$2:$P$1092,"Below Materiality",$M$2:$M$1092,M336,$A$2:$A$1092,"&lt;"&amp;A336)+1))</f>
        <v/>
      </c>
      <c r="T336" s="22"/>
      <c r="U336" s="21" t="str">
        <f aca="false">IF(R336="","",O336&amp;"|A|"&amp;R336)</f>
        <v/>
      </c>
      <c r="V336" s="21" t="str">
        <f aca="false">IF(S336="","",O336&amp;"|R|"&amp;S336)</f>
        <v/>
      </c>
    </row>
    <row r="337" customFormat="false" ht="15" hidden="false" customHeight="false" outlineLevel="0" collapsed="false">
      <c r="A337" s="18" t="n">
        <v>336</v>
      </c>
      <c r="B337" s="18"/>
      <c r="C337" s="18"/>
      <c r="D337" s="18"/>
      <c r="E337" s="18" t="s">
        <v>731</v>
      </c>
      <c r="F337" s="18" t="s">
        <v>732</v>
      </c>
      <c r="G337" s="18" t="s">
        <v>74</v>
      </c>
      <c r="H337" s="18" t="n">
        <v>61</v>
      </c>
      <c r="I337" s="19" t="n">
        <v>1295.3</v>
      </c>
      <c r="J337" s="19" t="n">
        <v>12023.83</v>
      </c>
      <c r="K337" s="19" t="n">
        <v>13319.13</v>
      </c>
      <c r="L337" s="19" t="n">
        <v>0</v>
      </c>
      <c r="M337" s="19" t="n">
        <f aca="false">ABS(L337)</f>
        <v>0</v>
      </c>
      <c r="N337" s="18" t="str">
        <f aca="false">IF(L337=0,"Nil balance",IF(G337="AR file",IF(L337&gt;0,"Accounts Receivable","Customer Advances"),IF(L337&lt;0,"Accounts Payable","Supplier Advances")))</f>
        <v>Nil balance</v>
      </c>
      <c r="O337" s="18" t="str">
        <f aca="false">IF(L337=0,"Excluded",IF(Summary!$C$4="By ledger",IF(G337="AR file","Population 1","Population 2"),IF(L337&gt;0,"Population 1","Population 2")))</f>
        <v>Excluded</v>
      </c>
      <c r="P337" s="18" t="str">
        <f aca="false">IF(O337="Excluded","Excluded – nil closing balance",IF(M337&gt;Summary!$C$5,"Above Materiality","Below Materiality"))</f>
        <v>Excluded – nil closing balance</v>
      </c>
      <c r="Q337" s="20" t="str">
        <f aca="false">IF(P337="Below Materiality",T337,"")</f>
        <v/>
      </c>
      <c r="R337" s="21" t="str">
        <f aca="false">IF(P337="Above Materiality",COUNTIFS($O$2:$O$1092,O337,$P$2:$P$1092,"Above Materiality",$M$2:$M$1092,"&gt;"&amp;M337)+COUNTIFS($O$2:$O$1092,O337,$P$2:$P$1092,"Above Materiality",$M$2:$M$1092,M337,$A$2:$A$1092,"&lt;"&amp;A337)+1,"")</f>
        <v/>
      </c>
      <c r="S337" s="21" t="str">
        <f aca="false">IF(P337&lt;&gt;"Below Materiality","",IF(Summary!$C$9="Random",COUNTIFS($O$2:$O$1092,O337,$Q$2:$Q$1092,"&gt;"&amp;Q337)+1,COUNTIFS($O$2:$O$1092,O337,$P$2:$P$1092,"Below Materiality",$M$2:$M$1092,"&gt;"&amp;M337)+COUNTIFS($O$2:$O$1092,O337,$P$2:$P$1092,"Below Materiality",$M$2:$M$1092,M337,$A$2:$A$1092,"&lt;"&amp;A337)+1))</f>
        <v/>
      </c>
      <c r="T337" s="22"/>
      <c r="U337" s="21" t="str">
        <f aca="false">IF(R337="","",O337&amp;"|A|"&amp;R337)</f>
        <v/>
      </c>
      <c r="V337" s="21" t="str">
        <f aca="false">IF(S337="","",O337&amp;"|R|"&amp;S337)</f>
        <v/>
      </c>
    </row>
    <row r="338" customFormat="false" ht="15" hidden="false" customHeight="false" outlineLevel="0" collapsed="false">
      <c r="A338" s="18" t="n">
        <v>337</v>
      </c>
      <c r="B338" s="18"/>
      <c r="C338" s="18"/>
      <c r="D338" s="18"/>
      <c r="E338" s="18" t="s">
        <v>733</v>
      </c>
      <c r="F338" s="18" t="s">
        <v>734</v>
      </c>
      <c r="G338" s="18" t="s">
        <v>74</v>
      </c>
      <c r="H338" s="18" t="n">
        <v>62</v>
      </c>
      <c r="I338" s="19" t="n">
        <v>0</v>
      </c>
      <c r="J338" s="19" t="n">
        <v>7935</v>
      </c>
      <c r="K338" s="19" t="n">
        <v>7935</v>
      </c>
      <c r="L338" s="19" t="n">
        <v>0</v>
      </c>
      <c r="M338" s="19" t="n">
        <f aca="false">ABS(L338)</f>
        <v>0</v>
      </c>
      <c r="N338" s="18" t="str">
        <f aca="false">IF(L338=0,"Nil balance",IF(G338="AR file",IF(L338&gt;0,"Accounts Receivable","Customer Advances"),IF(L338&lt;0,"Accounts Payable","Supplier Advances")))</f>
        <v>Nil balance</v>
      </c>
      <c r="O338" s="18" t="str">
        <f aca="false">IF(L338=0,"Excluded",IF(Summary!$C$4="By ledger",IF(G338="AR file","Population 1","Population 2"),IF(L338&gt;0,"Population 1","Population 2")))</f>
        <v>Excluded</v>
      </c>
      <c r="P338" s="18" t="str">
        <f aca="false">IF(O338="Excluded","Excluded – nil closing balance",IF(M338&gt;Summary!$C$5,"Above Materiality","Below Materiality"))</f>
        <v>Excluded – nil closing balance</v>
      </c>
      <c r="Q338" s="20" t="str">
        <f aca="false">IF(P338="Below Materiality",T338,"")</f>
        <v/>
      </c>
      <c r="R338" s="21" t="str">
        <f aca="false">IF(P338="Above Materiality",COUNTIFS($O$2:$O$1092,O338,$P$2:$P$1092,"Above Materiality",$M$2:$M$1092,"&gt;"&amp;M338)+COUNTIFS($O$2:$O$1092,O338,$P$2:$P$1092,"Above Materiality",$M$2:$M$1092,M338,$A$2:$A$1092,"&lt;"&amp;A338)+1,"")</f>
        <v/>
      </c>
      <c r="S338" s="21" t="str">
        <f aca="false">IF(P338&lt;&gt;"Below Materiality","",IF(Summary!$C$9="Random",COUNTIFS($O$2:$O$1092,O338,$Q$2:$Q$1092,"&gt;"&amp;Q338)+1,COUNTIFS($O$2:$O$1092,O338,$P$2:$P$1092,"Below Materiality",$M$2:$M$1092,"&gt;"&amp;M338)+COUNTIFS($O$2:$O$1092,O338,$P$2:$P$1092,"Below Materiality",$M$2:$M$1092,M338,$A$2:$A$1092,"&lt;"&amp;A338)+1))</f>
        <v/>
      </c>
      <c r="T338" s="22"/>
      <c r="U338" s="21" t="str">
        <f aca="false">IF(R338="","",O338&amp;"|A|"&amp;R338)</f>
        <v/>
      </c>
      <c r="V338" s="21" t="str">
        <f aca="false">IF(S338="","",O338&amp;"|R|"&amp;S338)</f>
        <v/>
      </c>
    </row>
    <row r="339" customFormat="false" ht="15" hidden="false" customHeight="false" outlineLevel="0" collapsed="false">
      <c r="A339" s="18" t="n">
        <v>338</v>
      </c>
      <c r="B339" s="18"/>
      <c r="C339" s="18"/>
      <c r="D339" s="18"/>
      <c r="E339" s="18" t="s">
        <v>735</v>
      </c>
      <c r="F339" s="18" t="s">
        <v>736</v>
      </c>
      <c r="G339" s="18" t="s">
        <v>74</v>
      </c>
      <c r="H339" s="18" t="n">
        <v>63</v>
      </c>
      <c r="I339" s="19" t="n">
        <v>-3951.25</v>
      </c>
      <c r="J339" s="19" t="n">
        <v>5077.25</v>
      </c>
      <c r="K339" s="19" t="n">
        <v>1126</v>
      </c>
      <c r="L339" s="19" t="n">
        <v>0</v>
      </c>
      <c r="M339" s="19" t="n">
        <f aca="false">ABS(L339)</f>
        <v>0</v>
      </c>
      <c r="N339" s="18" t="str">
        <f aca="false">IF(L339=0,"Nil balance",IF(G339="AR file",IF(L339&gt;0,"Accounts Receivable","Customer Advances"),IF(L339&lt;0,"Accounts Payable","Supplier Advances")))</f>
        <v>Nil balance</v>
      </c>
      <c r="O339" s="18" t="str">
        <f aca="false">IF(L339=0,"Excluded",IF(Summary!$C$4="By ledger",IF(G339="AR file","Population 1","Population 2"),IF(L339&gt;0,"Population 1","Population 2")))</f>
        <v>Excluded</v>
      </c>
      <c r="P339" s="18" t="str">
        <f aca="false">IF(O339="Excluded","Excluded – nil closing balance",IF(M339&gt;Summary!$C$5,"Above Materiality","Below Materiality"))</f>
        <v>Excluded – nil closing balance</v>
      </c>
      <c r="Q339" s="20" t="str">
        <f aca="false">IF(P339="Below Materiality",T339,"")</f>
        <v/>
      </c>
      <c r="R339" s="21" t="str">
        <f aca="false">IF(P339="Above Materiality",COUNTIFS($O$2:$O$1092,O339,$P$2:$P$1092,"Above Materiality",$M$2:$M$1092,"&gt;"&amp;M339)+COUNTIFS($O$2:$O$1092,O339,$P$2:$P$1092,"Above Materiality",$M$2:$M$1092,M339,$A$2:$A$1092,"&lt;"&amp;A339)+1,"")</f>
        <v/>
      </c>
      <c r="S339" s="21" t="str">
        <f aca="false">IF(P339&lt;&gt;"Below Materiality","",IF(Summary!$C$9="Random",COUNTIFS($O$2:$O$1092,O339,$Q$2:$Q$1092,"&gt;"&amp;Q339)+1,COUNTIFS($O$2:$O$1092,O339,$P$2:$P$1092,"Below Materiality",$M$2:$M$1092,"&gt;"&amp;M339)+COUNTIFS($O$2:$O$1092,O339,$P$2:$P$1092,"Below Materiality",$M$2:$M$1092,M339,$A$2:$A$1092,"&lt;"&amp;A339)+1))</f>
        <v/>
      </c>
      <c r="T339" s="22"/>
      <c r="U339" s="21" t="str">
        <f aca="false">IF(R339="","",O339&amp;"|A|"&amp;R339)</f>
        <v/>
      </c>
      <c r="V339" s="21" t="str">
        <f aca="false">IF(S339="","",O339&amp;"|R|"&amp;S339)</f>
        <v/>
      </c>
    </row>
    <row r="340" customFormat="false" ht="15" hidden="false" customHeight="false" outlineLevel="0" collapsed="false">
      <c r="A340" s="18" t="n">
        <v>339</v>
      </c>
      <c r="B340" s="18"/>
      <c r="C340" s="18"/>
      <c r="D340" s="18"/>
      <c r="E340" s="18" t="s">
        <v>737</v>
      </c>
      <c r="F340" s="18" t="s">
        <v>738</v>
      </c>
      <c r="G340" s="18" t="s">
        <v>74</v>
      </c>
      <c r="H340" s="18" t="n">
        <v>64</v>
      </c>
      <c r="I340" s="19" t="n">
        <v>0</v>
      </c>
      <c r="J340" s="19" t="n">
        <v>1752.6</v>
      </c>
      <c r="K340" s="19" t="n">
        <v>1752.6</v>
      </c>
      <c r="L340" s="19" t="n">
        <v>0</v>
      </c>
      <c r="M340" s="19" t="n">
        <f aca="false">ABS(L340)</f>
        <v>0</v>
      </c>
      <c r="N340" s="18" t="str">
        <f aca="false">IF(L340=0,"Nil balance",IF(G340="AR file",IF(L340&gt;0,"Accounts Receivable","Customer Advances"),IF(L340&lt;0,"Accounts Payable","Supplier Advances")))</f>
        <v>Nil balance</v>
      </c>
      <c r="O340" s="18" t="str">
        <f aca="false">IF(L340=0,"Excluded",IF(Summary!$C$4="By ledger",IF(G340="AR file","Population 1","Population 2"),IF(L340&gt;0,"Population 1","Population 2")))</f>
        <v>Excluded</v>
      </c>
      <c r="P340" s="18" t="str">
        <f aca="false">IF(O340="Excluded","Excluded – nil closing balance",IF(M340&gt;Summary!$C$5,"Above Materiality","Below Materiality"))</f>
        <v>Excluded – nil closing balance</v>
      </c>
      <c r="Q340" s="20" t="str">
        <f aca="false">IF(P340="Below Materiality",T340,"")</f>
        <v/>
      </c>
      <c r="R340" s="21" t="str">
        <f aca="false">IF(P340="Above Materiality",COUNTIFS($O$2:$O$1092,O340,$P$2:$P$1092,"Above Materiality",$M$2:$M$1092,"&gt;"&amp;M340)+COUNTIFS($O$2:$O$1092,O340,$P$2:$P$1092,"Above Materiality",$M$2:$M$1092,M340,$A$2:$A$1092,"&lt;"&amp;A340)+1,"")</f>
        <v/>
      </c>
      <c r="S340" s="21" t="str">
        <f aca="false">IF(P340&lt;&gt;"Below Materiality","",IF(Summary!$C$9="Random",COUNTIFS($O$2:$O$1092,O340,$Q$2:$Q$1092,"&gt;"&amp;Q340)+1,COUNTIFS($O$2:$O$1092,O340,$P$2:$P$1092,"Below Materiality",$M$2:$M$1092,"&gt;"&amp;M340)+COUNTIFS($O$2:$O$1092,O340,$P$2:$P$1092,"Below Materiality",$M$2:$M$1092,M340,$A$2:$A$1092,"&lt;"&amp;A340)+1))</f>
        <v/>
      </c>
      <c r="T340" s="22"/>
      <c r="U340" s="21" t="str">
        <f aca="false">IF(R340="","",O340&amp;"|A|"&amp;R340)</f>
        <v/>
      </c>
      <c r="V340" s="21" t="str">
        <f aca="false">IF(S340="","",O340&amp;"|R|"&amp;S340)</f>
        <v/>
      </c>
    </row>
    <row r="341" customFormat="false" ht="15" hidden="false" customHeight="false" outlineLevel="0" collapsed="false">
      <c r="A341" s="18" t="n">
        <v>340</v>
      </c>
      <c r="B341" s="18"/>
      <c r="C341" s="18"/>
      <c r="D341" s="18"/>
      <c r="E341" s="18" t="s">
        <v>739</v>
      </c>
      <c r="F341" s="18" t="s">
        <v>740</v>
      </c>
      <c r="G341" s="18" t="s">
        <v>74</v>
      </c>
      <c r="H341" s="18" t="n">
        <v>65</v>
      </c>
      <c r="I341" s="19" t="n">
        <v>-1145</v>
      </c>
      <c r="J341" s="19" t="n">
        <v>1145</v>
      </c>
      <c r="K341" s="19" t="n">
        <v>0</v>
      </c>
      <c r="L341" s="19" t="n">
        <v>0</v>
      </c>
      <c r="M341" s="19" t="n">
        <f aca="false">ABS(L341)</f>
        <v>0</v>
      </c>
      <c r="N341" s="18" t="str">
        <f aca="false">IF(L341=0,"Nil balance",IF(G341="AR file",IF(L341&gt;0,"Accounts Receivable","Customer Advances"),IF(L341&lt;0,"Accounts Payable","Supplier Advances")))</f>
        <v>Nil balance</v>
      </c>
      <c r="O341" s="18" t="str">
        <f aca="false">IF(L341=0,"Excluded",IF(Summary!$C$4="By ledger",IF(G341="AR file","Population 1","Population 2"),IF(L341&gt;0,"Population 1","Population 2")))</f>
        <v>Excluded</v>
      </c>
      <c r="P341" s="18" t="str">
        <f aca="false">IF(O341="Excluded","Excluded – nil closing balance",IF(M341&gt;Summary!$C$5,"Above Materiality","Below Materiality"))</f>
        <v>Excluded – nil closing balance</v>
      </c>
      <c r="Q341" s="20" t="str">
        <f aca="false">IF(P341="Below Materiality",T341,"")</f>
        <v/>
      </c>
      <c r="R341" s="21" t="str">
        <f aca="false">IF(P341="Above Materiality",COUNTIFS($O$2:$O$1092,O341,$P$2:$P$1092,"Above Materiality",$M$2:$M$1092,"&gt;"&amp;M341)+COUNTIFS($O$2:$O$1092,O341,$P$2:$P$1092,"Above Materiality",$M$2:$M$1092,M341,$A$2:$A$1092,"&lt;"&amp;A341)+1,"")</f>
        <v/>
      </c>
      <c r="S341" s="21" t="str">
        <f aca="false">IF(P341&lt;&gt;"Below Materiality","",IF(Summary!$C$9="Random",COUNTIFS($O$2:$O$1092,O341,$Q$2:$Q$1092,"&gt;"&amp;Q341)+1,COUNTIFS($O$2:$O$1092,O341,$P$2:$P$1092,"Below Materiality",$M$2:$M$1092,"&gt;"&amp;M341)+COUNTIFS($O$2:$O$1092,O341,$P$2:$P$1092,"Below Materiality",$M$2:$M$1092,M341,$A$2:$A$1092,"&lt;"&amp;A341)+1))</f>
        <v/>
      </c>
      <c r="T341" s="22"/>
      <c r="U341" s="21" t="str">
        <f aca="false">IF(R341="","",O341&amp;"|A|"&amp;R341)</f>
        <v/>
      </c>
      <c r="V341" s="21" t="str">
        <f aca="false">IF(S341="","",O341&amp;"|R|"&amp;S341)</f>
        <v/>
      </c>
    </row>
    <row r="342" customFormat="false" ht="15" hidden="false" customHeight="false" outlineLevel="0" collapsed="false">
      <c r="A342" s="18" t="n">
        <v>341</v>
      </c>
      <c r="B342" s="18"/>
      <c r="C342" s="18"/>
      <c r="D342" s="18"/>
      <c r="E342" s="18" t="s">
        <v>741</v>
      </c>
      <c r="F342" s="18" t="s">
        <v>742</v>
      </c>
      <c r="G342" s="18" t="s">
        <v>74</v>
      </c>
      <c r="H342" s="18" t="n">
        <v>66</v>
      </c>
      <c r="I342" s="19" t="n">
        <v>0</v>
      </c>
      <c r="J342" s="19" t="n">
        <v>1739.95</v>
      </c>
      <c r="K342" s="19" t="n">
        <v>1739.95</v>
      </c>
      <c r="L342" s="19" t="n">
        <v>0</v>
      </c>
      <c r="M342" s="19" t="n">
        <f aca="false">ABS(L342)</f>
        <v>0</v>
      </c>
      <c r="N342" s="18" t="str">
        <f aca="false">IF(L342=0,"Nil balance",IF(G342="AR file",IF(L342&gt;0,"Accounts Receivable","Customer Advances"),IF(L342&lt;0,"Accounts Payable","Supplier Advances")))</f>
        <v>Nil balance</v>
      </c>
      <c r="O342" s="18" t="str">
        <f aca="false">IF(L342=0,"Excluded",IF(Summary!$C$4="By ledger",IF(G342="AR file","Population 1","Population 2"),IF(L342&gt;0,"Population 1","Population 2")))</f>
        <v>Excluded</v>
      </c>
      <c r="P342" s="18" t="str">
        <f aca="false">IF(O342="Excluded","Excluded – nil closing balance",IF(M342&gt;Summary!$C$5,"Above Materiality","Below Materiality"))</f>
        <v>Excluded – nil closing balance</v>
      </c>
      <c r="Q342" s="20" t="str">
        <f aca="false">IF(P342="Below Materiality",T342,"")</f>
        <v/>
      </c>
      <c r="R342" s="21" t="str">
        <f aca="false">IF(P342="Above Materiality",COUNTIFS($O$2:$O$1092,O342,$P$2:$P$1092,"Above Materiality",$M$2:$M$1092,"&gt;"&amp;M342)+COUNTIFS($O$2:$O$1092,O342,$P$2:$P$1092,"Above Materiality",$M$2:$M$1092,M342,$A$2:$A$1092,"&lt;"&amp;A342)+1,"")</f>
        <v/>
      </c>
      <c r="S342" s="21" t="str">
        <f aca="false">IF(P342&lt;&gt;"Below Materiality","",IF(Summary!$C$9="Random",COUNTIFS($O$2:$O$1092,O342,$Q$2:$Q$1092,"&gt;"&amp;Q342)+1,COUNTIFS($O$2:$O$1092,O342,$P$2:$P$1092,"Below Materiality",$M$2:$M$1092,"&gt;"&amp;M342)+COUNTIFS($O$2:$O$1092,O342,$P$2:$P$1092,"Below Materiality",$M$2:$M$1092,M342,$A$2:$A$1092,"&lt;"&amp;A342)+1))</f>
        <v/>
      </c>
      <c r="T342" s="22"/>
      <c r="U342" s="21" t="str">
        <f aca="false">IF(R342="","",O342&amp;"|A|"&amp;R342)</f>
        <v/>
      </c>
      <c r="V342" s="21" t="str">
        <f aca="false">IF(S342="","",O342&amp;"|R|"&amp;S342)</f>
        <v/>
      </c>
    </row>
    <row r="343" customFormat="false" ht="15" hidden="false" customHeight="false" outlineLevel="0" collapsed="false">
      <c r="A343" s="18" t="n">
        <v>342</v>
      </c>
      <c r="B343" s="18"/>
      <c r="C343" s="18"/>
      <c r="D343" s="18"/>
      <c r="E343" s="18" t="s">
        <v>743</v>
      </c>
      <c r="F343" s="18" t="s">
        <v>744</v>
      </c>
      <c r="G343" s="18" t="s">
        <v>74</v>
      </c>
      <c r="H343" s="18" t="n">
        <v>68</v>
      </c>
      <c r="I343" s="19" t="n">
        <v>747.5</v>
      </c>
      <c r="J343" s="19" t="n">
        <v>195.5</v>
      </c>
      <c r="K343" s="19" t="n">
        <v>943</v>
      </c>
      <c r="L343" s="19" t="n">
        <v>0</v>
      </c>
      <c r="M343" s="19" t="n">
        <f aca="false">ABS(L343)</f>
        <v>0</v>
      </c>
      <c r="N343" s="18" t="str">
        <f aca="false">IF(L343=0,"Nil balance",IF(G343="AR file",IF(L343&gt;0,"Accounts Receivable","Customer Advances"),IF(L343&lt;0,"Accounts Payable","Supplier Advances")))</f>
        <v>Nil balance</v>
      </c>
      <c r="O343" s="18" t="str">
        <f aca="false">IF(L343=0,"Excluded",IF(Summary!$C$4="By ledger",IF(G343="AR file","Population 1","Population 2"),IF(L343&gt;0,"Population 1","Population 2")))</f>
        <v>Excluded</v>
      </c>
      <c r="P343" s="18" t="str">
        <f aca="false">IF(O343="Excluded","Excluded – nil closing balance",IF(M343&gt;Summary!$C$5,"Above Materiality","Below Materiality"))</f>
        <v>Excluded – nil closing balance</v>
      </c>
      <c r="Q343" s="20" t="str">
        <f aca="false">IF(P343="Below Materiality",T343,"")</f>
        <v/>
      </c>
      <c r="R343" s="21" t="str">
        <f aca="false">IF(P343="Above Materiality",COUNTIFS($O$2:$O$1092,O343,$P$2:$P$1092,"Above Materiality",$M$2:$M$1092,"&gt;"&amp;M343)+COUNTIFS($O$2:$O$1092,O343,$P$2:$P$1092,"Above Materiality",$M$2:$M$1092,M343,$A$2:$A$1092,"&lt;"&amp;A343)+1,"")</f>
        <v/>
      </c>
      <c r="S343" s="21" t="str">
        <f aca="false">IF(P343&lt;&gt;"Below Materiality","",IF(Summary!$C$9="Random",COUNTIFS($O$2:$O$1092,O343,$Q$2:$Q$1092,"&gt;"&amp;Q343)+1,COUNTIFS($O$2:$O$1092,O343,$P$2:$P$1092,"Below Materiality",$M$2:$M$1092,"&gt;"&amp;M343)+COUNTIFS($O$2:$O$1092,O343,$P$2:$P$1092,"Below Materiality",$M$2:$M$1092,M343,$A$2:$A$1092,"&lt;"&amp;A343)+1))</f>
        <v/>
      </c>
      <c r="T343" s="22"/>
      <c r="U343" s="21" t="str">
        <f aca="false">IF(R343="","",O343&amp;"|A|"&amp;R343)</f>
        <v/>
      </c>
      <c r="V343" s="21" t="str">
        <f aca="false">IF(S343="","",O343&amp;"|R|"&amp;S343)</f>
        <v/>
      </c>
    </row>
    <row r="344" customFormat="false" ht="15" hidden="false" customHeight="false" outlineLevel="0" collapsed="false">
      <c r="A344" s="18" t="n">
        <v>343</v>
      </c>
      <c r="B344" s="18"/>
      <c r="C344" s="18"/>
      <c r="D344" s="18"/>
      <c r="E344" s="18" t="s">
        <v>745</v>
      </c>
      <c r="F344" s="18" t="s">
        <v>746</v>
      </c>
      <c r="G344" s="18" t="s">
        <v>74</v>
      </c>
      <c r="H344" s="18" t="n">
        <v>69</v>
      </c>
      <c r="I344" s="19" t="n">
        <v>120.899999999998</v>
      </c>
      <c r="J344" s="19" t="n">
        <v>5025.5</v>
      </c>
      <c r="K344" s="19" t="n">
        <v>5146.4</v>
      </c>
      <c r="L344" s="19" t="n">
        <v>0</v>
      </c>
      <c r="M344" s="19" t="n">
        <f aca="false">ABS(L344)</f>
        <v>0</v>
      </c>
      <c r="N344" s="18" t="str">
        <f aca="false">IF(L344=0,"Nil balance",IF(G344="AR file",IF(L344&gt;0,"Accounts Receivable","Customer Advances"),IF(L344&lt;0,"Accounts Payable","Supplier Advances")))</f>
        <v>Nil balance</v>
      </c>
      <c r="O344" s="18" t="str">
        <f aca="false">IF(L344=0,"Excluded",IF(Summary!$C$4="By ledger",IF(G344="AR file","Population 1","Population 2"),IF(L344&gt;0,"Population 1","Population 2")))</f>
        <v>Excluded</v>
      </c>
      <c r="P344" s="18" t="str">
        <f aca="false">IF(O344="Excluded","Excluded – nil closing balance",IF(M344&gt;Summary!$C$5,"Above Materiality","Below Materiality"))</f>
        <v>Excluded – nil closing balance</v>
      </c>
      <c r="Q344" s="20" t="str">
        <f aca="false">IF(P344="Below Materiality",T344,"")</f>
        <v/>
      </c>
      <c r="R344" s="21" t="str">
        <f aca="false">IF(P344="Above Materiality",COUNTIFS($O$2:$O$1092,O344,$P$2:$P$1092,"Above Materiality",$M$2:$M$1092,"&gt;"&amp;M344)+COUNTIFS($O$2:$O$1092,O344,$P$2:$P$1092,"Above Materiality",$M$2:$M$1092,M344,$A$2:$A$1092,"&lt;"&amp;A344)+1,"")</f>
        <v/>
      </c>
      <c r="S344" s="21" t="str">
        <f aca="false">IF(P344&lt;&gt;"Below Materiality","",IF(Summary!$C$9="Random",COUNTIFS($O$2:$O$1092,O344,$Q$2:$Q$1092,"&gt;"&amp;Q344)+1,COUNTIFS($O$2:$O$1092,O344,$P$2:$P$1092,"Below Materiality",$M$2:$M$1092,"&gt;"&amp;M344)+COUNTIFS($O$2:$O$1092,O344,$P$2:$P$1092,"Below Materiality",$M$2:$M$1092,M344,$A$2:$A$1092,"&lt;"&amp;A344)+1))</f>
        <v/>
      </c>
      <c r="T344" s="22"/>
      <c r="U344" s="21" t="str">
        <f aca="false">IF(R344="","",O344&amp;"|A|"&amp;R344)</f>
        <v/>
      </c>
      <c r="V344" s="21" t="str">
        <f aca="false">IF(S344="","",O344&amp;"|R|"&amp;S344)</f>
        <v/>
      </c>
    </row>
    <row r="345" customFormat="false" ht="15" hidden="false" customHeight="false" outlineLevel="0" collapsed="false">
      <c r="A345" s="18" t="n">
        <v>344</v>
      </c>
      <c r="B345" s="18"/>
      <c r="C345" s="18"/>
      <c r="D345" s="18"/>
      <c r="E345" s="18" t="s">
        <v>747</v>
      </c>
      <c r="F345" s="18" t="s">
        <v>748</v>
      </c>
      <c r="G345" s="18" t="s">
        <v>74</v>
      </c>
      <c r="H345" s="18" t="n">
        <v>70</v>
      </c>
      <c r="I345" s="19" t="n">
        <v>373.8</v>
      </c>
      <c r="J345" s="19" t="n">
        <v>184</v>
      </c>
      <c r="K345" s="19" t="n">
        <v>557.8</v>
      </c>
      <c r="L345" s="19" t="n">
        <v>0</v>
      </c>
      <c r="M345" s="19" t="n">
        <f aca="false">ABS(L345)</f>
        <v>0</v>
      </c>
      <c r="N345" s="18" t="str">
        <f aca="false">IF(L345=0,"Nil balance",IF(G345="AR file",IF(L345&gt;0,"Accounts Receivable","Customer Advances"),IF(L345&lt;0,"Accounts Payable","Supplier Advances")))</f>
        <v>Nil balance</v>
      </c>
      <c r="O345" s="18" t="str">
        <f aca="false">IF(L345=0,"Excluded",IF(Summary!$C$4="By ledger",IF(G345="AR file","Population 1","Population 2"),IF(L345&gt;0,"Population 1","Population 2")))</f>
        <v>Excluded</v>
      </c>
      <c r="P345" s="18" t="str">
        <f aca="false">IF(O345="Excluded","Excluded – nil closing balance",IF(M345&gt;Summary!$C$5,"Above Materiality","Below Materiality"))</f>
        <v>Excluded – nil closing balance</v>
      </c>
      <c r="Q345" s="20" t="str">
        <f aca="false">IF(P345="Below Materiality",T345,"")</f>
        <v/>
      </c>
      <c r="R345" s="21" t="str">
        <f aca="false">IF(P345="Above Materiality",COUNTIFS($O$2:$O$1092,O345,$P$2:$P$1092,"Above Materiality",$M$2:$M$1092,"&gt;"&amp;M345)+COUNTIFS($O$2:$O$1092,O345,$P$2:$P$1092,"Above Materiality",$M$2:$M$1092,M345,$A$2:$A$1092,"&lt;"&amp;A345)+1,"")</f>
        <v/>
      </c>
      <c r="S345" s="21" t="str">
        <f aca="false">IF(P345&lt;&gt;"Below Materiality","",IF(Summary!$C$9="Random",COUNTIFS($O$2:$O$1092,O345,$Q$2:$Q$1092,"&gt;"&amp;Q345)+1,COUNTIFS($O$2:$O$1092,O345,$P$2:$P$1092,"Below Materiality",$M$2:$M$1092,"&gt;"&amp;M345)+COUNTIFS($O$2:$O$1092,O345,$P$2:$P$1092,"Below Materiality",$M$2:$M$1092,M345,$A$2:$A$1092,"&lt;"&amp;A345)+1))</f>
        <v/>
      </c>
      <c r="T345" s="22"/>
      <c r="U345" s="21" t="str">
        <f aca="false">IF(R345="","",O345&amp;"|A|"&amp;R345)</f>
        <v/>
      </c>
      <c r="V345" s="21" t="str">
        <f aca="false">IF(S345="","",O345&amp;"|R|"&amp;S345)</f>
        <v/>
      </c>
    </row>
    <row r="346" customFormat="false" ht="15" hidden="false" customHeight="false" outlineLevel="0" collapsed="false">
      <c r="A346" s="18" t="n">
        <v>345</v>
      </c>
      <c r="B346" s="18"/>
      <c r="C346" s="18"/>
      <c r="D346" s="18"/>
      <c r="E346" s="18" t="s">
        <v>749</v>
      </c>
      <c r="F346" s="18" t="s">
        <v>750</v>
      </c>
      <c r="G346" s="18" t="s">
        <v>74</v>
      </c>
      <c r="H346" s="18" t="n">
        <v>71</v>
      </c>
      <c r="I346" s="19" t="n">
        <v>0</v>
      </c>
      <c r="J346" s="19" t="n">
        <v>455.4</v>
      </c>
      <c r="K346" s="19" t="n">
        <v>455.4</v>
      </c>
      <c r="L346" s="19" t="n">
        <v>0</v>
      </c>
      <c r="M346" s="19" t="n">
        <f aca="false">ABS(L346)</f>
        <v>0</v>
      </c>
      <c r="N346" s="18" t="str">
        <f aca="false">IF(L346=0,"Nil balance",IF(G346="AR file",IF(L346&gt;0,"Accounts Receivable","Customer Advances"),IF(L346&lt;0,"Accounts Payable","Supplier Advances")))</f>
        <v>Nil balance</v>
      </c>
      <c r="O346" s="18" t="str">
        <f aca="false">IF(L346=0,"Excluded",IF(Summary!$C$4="By ledger",IF(G346="AR file","Population 1","Population 2"),IF(L346&gt;0,"Population 1","Population 2")))</f>
        <v>Excluded</v>
      </c>
      <c r="P346" s="18" t="str">
        <f aca="false">IF(O346="Excluded","Excluded – nil closing balance",IF(M346&gt;Summary!$C$5,"Above Materiality","Below Materiality"))</f>
        <v>Excluded – nil closing balance</v>
      </c>
      <c r="Q346" s="20" t="str">
        <f aca="false">IF(P346="Below Materiality",T346,"")</f>
        <v/>
      </c>
      <c r="R346" s="21" t="str">
        <f aca="false">IF(P346="Above Materiality",COUNTIFS($O$2:$O$1092,O346,$P$2:$P$1092,"Above Materiality",$M$2:$M$1092,"&gt;"&amp;M346)+COUNTIFS($O$2:$O$1092,O346,$P$2:$P$1092,"Above Materiality",$M$2:$M$1092,M346,$A$2:$A$1092,"&lt;"&amp;A346)+1,"")</f>
        <v/>
      </c>
      <c r="S346" s="21" t="str">
        <f aca="false">IF(P346&lt;&gt;"Below Materiality","",IF(Summary!$C$9="Random",COUNTIFS($O$2:$O$1092,O346,$Q$2:$Q$1092,"&gt;"&amp;Q346)+1,COUNTIFS($O$2:$O$1092,O346,$P$2:$P$1092,"Below Materiality",$M$2:$M$1092,"&gt;"&amp;M346)+COUNTIFS($O$2:$O$1092,O346,$P$2:$P$1092,"Below Materiality",$M$2:$M$1092,M346,$A$2:$A$1092,"&lt;"&amp;A346)+1))</f>
        <v/>
      </c>
      <c r="T346" s="22"/>
      <c r="U346" s="21" t="str">
        <f aca="false">IF(R346="","",O346&amp;"|A|"&amp;R346)</f>
        <v/>
      </c>
      <c r="V346" s="21" t="str">
        <f aca="false">IF(S346="","",O346&amp;"|R|"&amp;S346)</f>
        <v/>
      </c>
    </row>
    <row r="347" customFormat="false" ht="15" hidden="false" customHeight="false" outlineLevel="0" collapsed="false">
      <c r="A347" s="18" t="n">
        <v>346</v>
      </c>
      <c r="B347" s="18"/>
      <c r="C347" s="18"/>
      <c r="D347" s="18"/>
      <c r="E347" s="18" t="s">
        <v>751</v>
      </c>
      <c r="F347" s="18" t="s">
        <v>752</v>
      </c>
      <c r="G347" s="18" t="s">
        <v>74</v>
      </c>
      <c r="H347" s="18" t="n">
        <v>72</v>
      </c>
      <c r="I347" s="19" t="n">
        <v>-250</v>
      </c>
      <c r="J347" s="19" t="n">
        <v>250</v>
      </c>
      <c r="K347" s="19" t="n">
        <v>0</v>
      </c>
      <c r="L347" s="19" t="n">
        <v>0</v>
      </c>
      <c r="M347" s="19" t="n">
        <f aca="false">ABS(L347)</f>
        <v>0</v>
      </c>
      <c r="N347" s="18" t="str">
        <f aca="false">IF(L347=0,"Nil balance",IF(G347="AR file",IF(L347&gt;0,"Accounts Receivable","Customer Advances"),IF(L347&lt;0,"Accounts Payable","Supplier Advances")))</f>
        <v>Nil balance</v>
      </c>
      <c r="O347" s="18" t="str">
        <f aca="false">IF(L347=0,"Excluded",IF(Summary!$C$4="By ledger",IF(G347="AR file","Population 1","Population 2"),IF(L347&gt;0,"Population 1","Population 2")))</f>
        <v>Excluded</v>
      </c>
      <c r="P347" s="18" t="str">
        <f aca="false">IF(O347="Excluded","Excluded – nil closing balance",IF(M347&gt;Summary!$C$5,"Above Materiality","Below Materiality"))</f>
        <v>Excluded – nil closing balance</v>
      </c>
      <c r="Q347" s="20" t="str">
        <f aca="false">IF(P347="Below Materiality",T347,"")</f>
        <v/>
      </c>
      <c r="R347" s="21" t="str">
        <f aca="false">IF(P347="Above Materiality",COUNTIFS($O$2:$O$1092,O347,$P$2:$P$1092,"Above Materiality",$M$2:$M$1092,"&gt;"&amp;M347)+COUNTIFS($O$2:$O$1092,O347,$P$2:$P$1092,"Above Materiality",$M$2:$M$1092,M347,$A$2:$A$1092,"&lt;"&amp;A347)+1,"")</f>
        <v/>
      </c>
      <c r="S347" s="21" t="str">
        <f aca="false">IF(P347&lt;&gt;"Below Materiality","",IF(Summary!$C$9="Random",COUNTIFS($O$2:$O$1092,O347,$Q$2:$Q$1092,"&gt;"&amp;Q347)+1,COUNTIFS($O$2:$O$1092,O347,$P$2:$P$1092,"Below Materiality",$M$2:$M$1092,"&gt;"&amp;M347)+COUNTIFS($O$2:$O$1092,O347,$P$2:$P$1092,"Below Materiality",$M$2:$M$1092,M347,$A$2:$A$1092,"&lt;"&amp;A347)+1))</f>
        <v/>
      </c>
      <c r="T347" s="22"/>
      <c r="U347" s="21" t="str">
        <f aca="false">IF(R347="","",O347&amp;"|A|"&amp;R347)</f>
        <v/>
      </c>
      <c r="V347" s="21" t="str">
        <f aca="false">IF(S347="","",O347&amp;"|R|"&amp;S347)</f>
        <v/>
      </c>
    </row>
    <row r="348" customFormat="false" ht="15" hidden="false" customHeight="false" outlineLevel="0" collapsed="false">
      <c r="A348" s="18" t="n">
        <v>347</v>
      </c>
      <c r="B348" s="18"/>
      <c r="C348" s="18"/>
      <c r="D348" s="18"/>
      <c r="E348" s="18" t="s">
        <v>753</v>
      </c>
      <c r="F348" s="18" t="s">
        <v>754</v>
      </c>
      <c r="G348" s="18" t="s">
        <v>74</v>
      </c>
      <c r="H348" s="18" t="n">
        <v>74</v>
      </c>
      <c r="I348" s="19" t="n">
        <v>0</v>
      </c>
      <c r="J348" s="19" t="n">
        <v>16895.08</v>
      </c>
      <c r="K348" s="19" t="n">
        <v>16895.08</v>
      </c>
      <c r="L348" s="19" t="n">
        <v>0</v>
      </c>
      <c r="M348" s="19" t="n">
        <f aca="false">ABS(L348)</f>
        <v>0</v>
      </c>
      <c r="N348" s="18" t="str">
        <f aca="false">IF(L348=0,"Nil balance",IF(G348="AR file",IF(L348&gt;0,"Accounts Receivable","Customer Advances"),IF(L348&lt;0,"Accounts Payable","Supplier Advances")))</f>
        <v>Nil balance</v>
      </c>
      <c r="O348" s="18" t="str">
        <f aca="false">IF(L348=0,"Excluded",IF(Summary!$C$4="By ledger",IF(G348="AR file","Population 1","Population 2"),IF(L348&gt;0,"Population 1","Population 2")))</f>
        <v>Excluded</v>
      </c>
      <c r="P348" s="18" t="str">
        <f aca="false">IF(O348="Excluded","Excluded – nil closing balance",IF(M348&gt;Summary!$C$5,"Above Materiality","Below Materiality"))</f>
        <v>Excluded – nil closing balance</v>
      </c>
      <c r="Q348" s="20" t="str">
        <f aca="false">IF(P348="Below Materiality",T348,"")</f>
        <v/>
      </c>
      <c r="R348" s="21" t="str">
        <f aca="false">IF(P348="Above Materiality",COUNTIFS($O$2:$O$1092,O348,$P$2:$P$1092,"Above Materiality",$M$2:$M$1092,"&gt;"&amp;M348)+COUNTIFS($O$2:$O$1092,O348,$P$2:$P$1092,"Above Materiality",$M$2:$M$1092,M348,$A$2:$A$1092,"&lt;"&amp;A348)+1,"")</f>
        <v/>
      </c>
      <c r="S348" s="21" t="str">
        <f aca="false">IF(P348&lt;&gt;"Below Materiality","",IF(Summary!$C$9="Random",COUNTIFS($O$2:$O$1092,O348,$Q$2:$Q$1092,"&gt;"&amp;Q348)+1,COUNTIFS($O$2:$O$1092,O348,$P$2:$P$1092,"Below Materiality",$M$2:$M$1092,"&gt;"&amp;M348)+COUNTIFS($O$2:$O$1092,O348,$P$2:$P$1092,"Below Materiality",$M$2:$M$1092,M348,$A$2:$A$1092,"&lt;"&amp;A348)+1))</f>
        <v/>
      </c>
      <c r="T348" s="22"/>
      <c r="U348" s="21" t="str">
        <f aca="false">IF(R348="","",O348&amp;"|A|"&amp;R348)</f>
        <v/>
      </c>
      <c r="V348" s="21" t="str">
        <f aca="false">IF(S348="","",O348&amp;"|R|"&amp;S348)</f>
        <v/>
      </c>
    </row>
    <row r="349" customFormat="false" ht="15" hidden="false" customHeight="false" outlineLevel="0" collapsed="false">
      <c r="A349" s="18" t="n">
        <v>348</v>
      </c>
      <c r="B349" s="18"/>
      <c r="C349" s="18"/>
      <c r="D349" s="18"/>
      <c r="E349" s="18" t="s">
        <v>755</v>
      </c>
      <c r="F349" s="18" t="s">
        <v>756</v>
      </c>
      <c r="G349" s="18" t="s">
        <v>74</v>
      </c>
      <c r="H349" s="18" t="n">
        <v>75</v>
      </c>
      <c r="I349" s="19" t="n">
        <v>0.5</v>
      </c>
      <c r="J349" s="19" t="n">
        <v>4554</v>
      </c>
      <c r="K349" s="19" t="n">
        <v>4554.5</v>
      </c>
      <c r="L349" s="19" t="n">
        <v>0</v>
      </c>
      <c r="M349" s="19" t="n">
        <f aca="false">ABS(L349)</f>
        <v>0</v>
      </c>
      <c r="N349" s="18" t="str">
        <f aca="false">IF(L349=0,"Nil balance",IF(G349="AR file",IF(L349&gt;0,"Accounts Receivable","Customer Advances"),IF(L349&lt;0,"Accounts Payable","Supplier Advances")))</f>
        <v>Nil balance</v>
      </c>
      <c r="O349" s="18" t="str">
        <f aca="false">IF(L349=0,"Excluded",IF(Summary!$C$4="By ledger",IF(G349="AR file","Population 1","Population 2"),IF(L349&gt;0,"Population 1","Population 2")))</f>
        <v>Excluded</v>
      </c>
      <c r="P349" s="18" t="str">
        <f aca="false">IF(O349="Excluded","Excluded – nil closing balance",IF(M349&gt;Summary!$C$5,"Above Materiality","Below Materiality"))</f>
        <v>Excluded – nil closing balance</v>
      </c>
      <c r="Q349" s="20" t="str">
        <f aca="false">IF(P349="Below Materiality",T349,"")</f>
        <v/>
      </c>
      <c r="R349" s="21" t="str">
        <f aca="false">IF(P349="Above Materiality",COUNTIFS($O$2:$O$1092,O349,$P$2:$P$1092,"Above Materiality",$M$2:$M$1092,"&gt;"&amp;M349)+COUNTIFS($O$2:$O$1092,O349,$P$2:$P$1092,"Above Materiality",$M$2:$M$1092,M349,$A$2:$A$1092,"&lt;"&amp;A349)+1,"")</f>
        <v/>
      </c>
      <c r="S349" s="21" t="str">
        <f aca="false">IF(P349&lt;&gt;"Below Materiality","",IF(Summary!$C$9="Random",COUNTIFS($O$2:$O$1092,O349,$Q$2:$Q$1092,"&gt;"&amp;Q349)+1,COUNTIFS($O$2:$O$1092,O349,$P$2:$P$1092,"Below Materiality",$M$2:$M$1092,"&gt;"&amp;M349)+COUNTIFS($O$2:$O$1092,O349,$P$2:$P$1092,"Below Materiality",$M$2:$M$1092,M349,$A$2:$A$1092,"&lt;"&amp;A349)+1))</f>
        <v/>
      </c>
      <c r="T349" s="22"/>
      <c r="U349" s="21" t="str">
        <f aca="false">IF(R349="","",O349&amp;"|A|"&amp;R349)</f>
        <v/>
      </c>
      <c r="V349" s="21" t="str">
        <f aca="false">IF(S349="","",O349&amp;"|R|"&amp;S349)</f>
        <v/>
      </c>
    </row>
    <row r="350" customFormat="false" ht="15" hidden="false" customHeight="false" outlineLevel="0" collapsed="false">
      <c r="A350" s="18" t="n">
        <v>349</v>
      </c>
      <c r="B350" s="18"/>
      <c r="C350" s="18"/>
      <c r="D350" s="18"/>
      <c r="E350" s="18" t="s">
        <v>757</v>
      </c>
      <c r="F350" s="18" t="s">
        <v>758</v>
      </c>
      <c r="G350" s="18" t="s">
        <v>74</v>
      </c>
      <c r="H350" s="18" t="n">
        <v>76</v>
      </c>
      <c r="I350" s="19" t="n">
        <v>868.450000000001</v>
      </c>
      <c r="J350" s="19" t="n">
        <v>0</v>
      </c>
      <c r="K350" s="19" t="n">
        <v>868.45</v>
      </c>
      <c r="L350" s="19" t="n">
        <v>0</v>
      </c>
      <c r="M350" s="19" t="n">
        <f aca="false">ABS(L350)</f>
        <v>0</v>
      </c>
      <c r="N350" s="18" t="str">
        <f aca="false">IF(L350=0,"Nil balance",IF(G350="AR file",IF(L350&gt;0,"Accounts Receivable","Customer Advances"),IF(L350&lt;0,"Accounts Payable","Supplier Advances")))</f>
        <v>Nil balance</v>
      </c>
      <c r="O350" s="18" t="str">
        <f aca="false">IF(L350=0,"Excluded",IF(Summary!$C$4="By ledger",IF(G350="AR file","Population 1","Population 2"),IF(L350&gt;0,"Population 1","Population 2")))</f>
        <v>Excluded</v>
      </c>
      <c r="P350" s="18" t="str">
        <f aca="false">IF(O350="Excluded","Excluded – nil closing balance",IF(M350&gt;Summary!$C$5,"Above Materiality","Below Materiality"))</f>
        <v>Excluded – nil closing balance</v>
      </c>
      <c r="Q350" s="20" t="str">
        <f aca="false">IF(P350="Below Materiality",T350,"")</f>
        <v/>
      </c>
      <c r="R350" s="21" t="str">
        <f aca="false">IF(P350="Above Materiality",COUNTIFS($O$2:$O$1092,O350,$P$2:$P$1092,"Above Materiality",$M$2:$M$1092,"&gt;"&amp;M350)+COUNTIFS($O$2:$O$1092,O350,$P$2:$P$1092,"Above Materiality",$M$2:$M$1092,M350,$A$2:$A$1092,"&lt;"&amp;A350)+1,"")</f>
        <v/>
      </c>
      <c r="S350" s="21" t="str">
        <f aca="false">IF(P350&lt;&gt;"Below Materiality","",IF(Summary!$C$9="Random",COUNTIFS($O$2:$O$1092,O350,$Q$2:$Q$1092,"&gt;"&amp;Q350)+1,COUNTIFS($O$2:$O$1092,O350,$P$2:$P$1092,"Below Materiality",$M$2:$M$1092,"&gt;"&amp;M350)+COUNTIFS($O$2:$O$1092,O350,$P$2:$P$1092,"Below Materiality",$M$2:$M$1092,M350,$A$2:$A$1092,"&lt;"&amp;A350)+1))</f>
        <v/>
      </c>
      <c r="T350" s="22"/>
      <c r="U350" s="21" t="str">
        <f aca="false">IF(R350="","",O350&amp;"|A|"&amp;R350)</f>
        <v/>
      </c>
      <c r="V350" s="21" t="str">
        <f aca="false">IF(S350="","",O350&amp;"|R|"&amp;S350)</f>
        <v/>
      </c>
    </row>
    <row r="351" customFormat="false" ht="15" hidden="false" customHeight="false" outlineLevel="0" collapsed="false">
      <c r="A351" s="18" t="n">
        <v>350</v>
      </c>
      <c r="B351" s="18"/>
      <c r="C351" s="18"/>
      <c r="D351" s="18"/>
      <c r="E351" s="18" t="s">
        <v>759</v>
      </c>
      <c r="F351" s="18" t="s">
        <v>760</v>
      </c>
      <c r="G351" s="18" t="s">
        <v>74</v>
      </c>
      <c r="H351" s="18" t="n">
        <v>77</v>
      </c>
      <c r="I351" s="19" t="n">
        <v>-115</v>
      </c>
      <c r="J351" s="19" t="n">
        <v>9755.7</v>
      </c>
      <c r="K351" s="19" t="n">
        <v>9640.7</v>
      </c>
      <c r="L351" s="19" t="n">
        <v>0</v>
      </c>
      <c r="M351" s="19" t="n">
        <f aca="false">ABS(L351)</f>
        <v>0</v>
      </c>
      <c r="N351" s="18" t="str">
        <f aca="false">IF(L351=0,"Nil balance",IF(G351="AR file",IF(L351&gt;0,"Accounts Receivable","Customer Advances"),IF(L351&lt;0,"Accounts Payable","Supplier Advances")))</f>
        <v>Nil balance</v>
      </c>
      <c r="O351" s="18" t="str">
        <f aca="false">IF(L351=0,"Excluded",IF(Summary!$C$4="By ledger",IF(G351="AR file","Population 1","Population 2"),IF(L351&gt;0,"Population 1","Population 2")))</f>
        <v>Excluded</v>
      </c>
      <c r="P351" s="18" t="str">
        <f aca="false">IF(O351="Excluded","Excluded – nil closing balance",IF(M351&gt;Summary!$C$5,"Above Materiality","Below Materiality"))</f>
        <v>Excluded – nil closing balance</v>
      </c>
      <c r="Q351" s="20" t="str">
        <f aca="false">IF(P351="Below Materiality",T351,"")</f>
        <v/>
      </c>
      <c r="R351" s="21" t="str">
        <f aca="false">IF(P351="Above Materiality",COUNTIFS($O$2:$O$1092,O351,$P$2:$P$1092,"Above Materiality",$M$2:$M$1092,"&gt;"&amp;M351)+COUNTIFS($O$2:$O$1092,O351,$P$2:$P$1092,"Above Materiality",$M$2:$M$1092,M351,$A$2:$A$1092,"&lt;"&amp;A351)+1,"")</f>
        <v/>
      </c>
      <c r="S351" s="21" t="str">
        <f aca="false">IF(P351&lt;&gt;"Below Materiality","",IF(Summary!$C$9="Random",COUNTIFS($O$2:$O$1092,O351,$Q$2:$Q$1092,"&gt;"&amp;Q351)+1,COUNTIFS($O$2:$O$1092,O351,$P$2:$P$1092,"Below Materiality",$M$2:$M$1092,"&gt;"&amp;M351)+COUNTIFS($O$2:$O$1092,O351,$P$2:$P$1092,"Below Materiality",$M$2:$M$1092,M351,$A$2:$A$1092,"&lt;"&amp;A351)+1))</f>
        <v/>
      </c>
      <c r="T351" s="22"/>
      <c r="U351" s="21" t="str">
        <f aca="false">IF(R351="","",O351&amp;"|A|"&amp;R351)</f>
        <v/>
      </c>
      <c r="V351" s="21" t="str">
        <f aca="false">IF(S351="","",O351&amp;"|R|"&amp;S351)</f>
        <v/>
      </c>
    </row>
    <row r="352" customFormat="false" ht="15" hidden="false" customHeight="false" outlineLevel="0" collapsed="false">
      <c r="A352" s="18" t="n">
        <v>351</v>
      </c>
      <c r="B352" s="18"/>
      <c r="C352" s="18"/>
      <c r="D352" s="18"/>
      <c r="E352" s="18" t="s">
        <v>761</v>
      </c>
      <c r="F352" s="18" t="s">
        <v>762</v>
      </c>
      <c r="G352" s="18" t="s">
        <v>74</v>
      </c>
      <c r="H352" s="18" t="n">
        <v>78</v>
      </c>
      <c r="I352" s="19" t="n">
        <v>105</v>
      </c>
      <c r="J352" s="19" t="n">
        <v>0</v>
      </c>
      <c r="K352" s="19" t="n">
        <v>105</v>
      </c>
      <c r="L352" s="19" t="n">
        <v>0</v>
      </c>
      <c r="M352" s="19" t="n">
        <f aca="false">ABS(L352)</f>
        <v>0</v>
      </c>
      <c r="N352" s="18" t="str">
        <f aca="false">IF(L352=0,"Nil balance",IF(G352="AR file",IF(L352&gt;0,"Accounts Receivable","Customer Advances"),IF(L352&lt;0,"Accounts Payable","Supplier Advances")))</f>
        <v>Nil balance</v>
      </c>
      <c r="O352" s="18" t="str">
        <f aca="false">IF(L352=0,"Excluded",IF(Summary!$C$4="By ledger",IF(G352="AR file","Population 1","Population 2"),IF(L352&gt;0,"Population 1","Population 2")))</f>
        <v>Excluded</v>
      </c>
      <c r="P352" s="18" t="str">
        <f aca="false">IF(O352="Excluded","Excluded – nil closing balance",IF(M352&gt;Summary!$C$5,"Above Materiality","Below Materiality"))</f>
        <v>Excluded – nil closing balance</v>
      </c>
      <c r="Q352" s="20" t="str">
        <f aca="false">IF(P352="Below Materiality",T352,"")</f>
        <v/>
      </c>
      <c r="R352" s="21" t="str">
        <f aca="false">IF(P352="Above Materiality",COUNTIFS($O$2:$O$1092,O352,$P$2:$P$1092,"Above Materiality",$M$2:$M$1092,"&gt;"&amp;M352)+COUNTIFS($O$2:$O$1092,O352,$P$2:$P$1092,"Above Materiality",$M$2:$M$1092,M352,$A$2:$A$1092,"&lt;"&amp;A352)+1,"")</f>
        <v/>
      </c>
      <c r="S352" s="21" t="str">
        <f aca="false">IF(P352&lt;&gt;"Below Materiality","",IF(Summary!$C$9="Random",COUNTIFS($O$2:$O$1092,O352,$Q$2:$Q$1092,"&gt;"&amp;Q352)+1,COUNTIFS($O$2:$O$1092,O352,$P$2:$P$1092,"Below Materiality",$M$2:$M$1092,"&gt;"&amp;M352)+COUNTIFS($O$2:$O$1092,O352,$P$2:$P$1092,"Below Materiality",$M$2:$M$1092,M352,$A$2:$A$1092,"&lt;"&amp;A352)+1))</f>
        <v/>
      </c>
      <c r="T352" s="22"/>
      <c r="U352" s="21" t="str">
        <f aca="false">IF(R352="","",O352&amp;"|A|"&amp;R352)</f>
        <v/>
      </c>
      <c r="V352" s="21" t="str">
        <f aca="false">IF(S352="","",O352&amp;"|R|"&amp;S352)</f>
        <v/>
      </c>
    </row>
    <row r="353" customFormat="false" ht="15" hidden="false" customHeight="false" outlineLevel="0" collapsed="false">
      <c r="A353" s="18" t="n">
        <v>352</v>
      </c>
      <c r="B353" s="18"/>
      <c r="C353" s="18"/>
      <c r="D353" s="18"/>
      <c r="E353" s="18" t="s">
        <v>763</v>
      </c>
      <c r="F353" s="18" t="s">
        <v>764</v>
      </c>
      <c r="G353" s="18" t="s">
        <v>74</v>
      </c>
      <c r="H353" s="18" t="n">
        <v>79</v>
      </c>
      <c r="I353" s="19" t="n">
        <v>0</v>
      </c>
      <c r="J353" s="19" t="n">
        <v>920</v>
      </c>
      <c r="K353" s="19" t="n">
        <v>920</v>
      </c>
      <c r="L353" s="19" t="n">
        <v>0</v>
      </c>
      <c r="M353" s="19" t="n">
        <f aca="false">ABS(L353)</f>
        <v>0</v>
      </c>
      <c r="N353" s="18" t="str">
        <f aca="false">IF(L353=0,"Nil balance",IF(G353="AR file",IF(L353&gt;0,"Accounts Receivable","Customer Advances"),IF(L353&lt;0,"Accounts Payable","Supplier Advances")))</f>
        <v>Nil balance</v>
      </c>
      <c r="O353" s="18" t="str">
        <f aca="false">IF(L353=0,"Excluded",IF(Summary!$C$4="By ledger",IF(G353="AR file","Population 1","Population 2"),IF(L353&gt;0,"Population 1","Population 2")))</f>
        <v>Excluded</v>
      </c>
      <c r="P353" s="18" t="str">
        <f aca="false">IF(O353="Excluded","Excluded – nil closing balance",IF(M353&gt;Summary!$C$5,"Above Materiality","Below Materiality"))</f>
        <v>Excluded – nil closing balance</v>
      </c>
      <c r="Q353" s="20" t="str">
        <f aca="false">IF(P353="Below Materiality",T353,"")</f>
        <v/>
      </c>
      <c r="R353" s="21" t="str">
        <f aca="false">IF(P353="Above Materiality",COUNTIFS($O$2:$O$1092,O353,$P$2:$P$1092,"Above Materiality",$M$2:$M$1092,"&gt;"&amp;M353)+COUNTIFS($O$2:$O$1092,O353,$P$2:$P$1092,"Above Materiality",$M$2:$M$1092,M353,$A$2:$A$1092,"&lt;"&amp;A353)+1,"")</f>
        <v/>
      </c>
      <c r="S353" s="21" t="str">
        <f aca="false">IF(P353&lt;&gt;"Below Materiality","",IF(Summary!$C$9="Random",COUNTIFS($O$2:$O$1092,O353,$Q$2:$Q$1092,"&gt;"&amp;Q353)+1,COUNTIFS($O$2:$O$1092,O353,$P$2:$P$1092,"Below Materiality",$M$2:$M$1092,"&gt;"&amp;M353)+COUNTIFS($O$2:$O$1092,O353,$P$2:$P$1092,"Below Materiality",$M$2:$M$1092,M353,$A$2:$A$1092,"&lt;"&amp;A353)+1))</f>
        <v/>
      </c>
      <c r="T353" s="22"/>
      <c r="U353" s="21" t="str">
        <f aca="false">IF(R353="","",O353&amp;"|A|"&amp;R353)</f>
        <v/>
      </c>
      <c r="V353" s="21" t="str">
        <f aca="false">IF(S353="","",O353&amp;"|R|"&amp;S353)</f>
        <v/>
      </c>
    </row>
    <row r="354" customFormat="false" ht="15" hidden="false" customHeight="false" outlineLevel="0" collapsed="false">
      <c r="A354" s="18" t="n">
        <v>353</v>
      </c>
      <c r="B354" s="18"/>
      <c r="C354" s="18"/>
      <c r="D354" s="18"/>
      <c r="E354" s="18" t="s">
        <v>765</v>
      </c>
      <c r="F354" s="18" t="s">
        <v>766</v>
      </c>
      <c r="G354" s="18" t="s">
        <v>74</v>
      </c>
      <c r="H354" s="18" t="n">
        <v>83</v>
      </c>
      <c r="I354" s="19" t="n">
        <v>0</v>
      </c>
      <c r="J354" s="19" t="n">
        <v>3614.08</v>
      </c>
      <c r="K354" s="19" t="n">
        <v>3614.08</v>
      </c>
      <c r="L354" s="19" t="n">
        <v>0</v>
      </c>
      <c r="M354" s="19" t="n">
        <f aca="false">ABS(L354)</f>
        <v>0</v>
      </c>
      <c r="N354" s="18" t="str">
        <f aca="false">IF(L354=0,"Nil balance",IF(G354="AR file",IF(L354&gt;0,"Accounts Receivable","Customer Advances"),IF(L354&lt;0,"Accounts Payable","Supplier Advances")))</f>
        <v>Nil balance</v>
      </c>
      <c r="O354" s="18" t="str">
        <f aca="false">IF(L354=0,"Excluded",IF(Summary!$C$4="By ledger",IF(G354="AR file","Population 1","Population 2"),IF(L354&gt;0,"Population 1","Population 2")))</f>
        <v>Excluded</v>
      </c>
      <c r="P354" s="18" t="str">
        <f aca="false">IF(O354="Excluded","Excluded – nil closing balance",IF(M354&gt;Summary!$C$5,"Above Materiality","Below Materiality"))</f>
        <v>Excluded – nil closing balance</v>
      </c>
      <c r="Q354" s="20" t="str">
        <f aca="false">IF(P354="Below Materiality",T354,"")</f>
        <v/>
      </c>
      <c r="R354" s="21" t="str">
        <f aca="false">IF(P354="Above Materiality",COUNTIFS($O$2:$O$1092,O354,$P$2:$P$1092,"Above Materiality",$M$2:$M$1092,"&gt;"&amp;M354)+COUNTIFS($O$2:$O$1092,O354,$P$2:$P$1092,"Above Materiality",$M$2:$M$1092,M354,$A$2:$A$1092,"&lt;"&amp;A354)+1,"")</f>
        <v/>
      </c>
      <c r="S354" s="21" t="str">
        <f aca="false">IF(P354&lt;&gt;"Below Materiality","",IF(Summary!$C$9="Random",COUNTIFS($O$2:$O$1092,O354,$Q$2:$Q$1092,"&gt;"&amp;Q354)+1,COUNTIFS($O$2:$O$1092,O354,$P$2:$P$1092,"Below Materiality",$M$2:$M$1092,"&gt;"&amp;M354)+COUNTIFS($O$2:$O$1092,O354,$P$2:$P$1092,"Below Materiality",$M$2:$M$1092,M354,$A$2:$A$1092,"&lt;"&amp;A354)+1))</f>
        <v/>
      </c>
      <c r="T354" s="22"/>
      <c r="U354" s="21" t="str">
        <f aca="false">IF(R354="","",O354&amp;"|A|"&amp;R354)</f>
        <v/>
      </c>
      <c r="V354" s="21" t="str">
        <f aca="false">IF(S354="","",O354&amp;"|R|"&amp;S354)</f>
        <v/>
      </c>
    </row>
    <row r="355" customFormat="false" ht="15" hidden="false" customHeight="false" outlineLevel="0" collapsed="false">
      <c r="A355" s="18" t="n">
        <v>354</v>
      </c>
      <c r="B355" s="18"/>
      <c r="C355" s="18"/>
      <c r="D355" s="18"/>
      <c r="E355" s="18" t="s">
        <v>767</v>
      </c>
      <c r="F355" s="18" t="s">
        <v>768</v>
      </c>
      <c r="G355" s="18" t="s">
        <v>74</v>
      </c>
      <c r="H355" s="18" t="n">
        <v>85</v>
      </c>
      <c r="I355" s="19" t="n">
        <v>-1000</v>
      </c>
      <c r="J355" s="19" t="n">
        <v>1000</v>
      </c>
      <c r="K355" s="19" t="n">
        <v>0</v>
      </c>
      <c r="L355" s="19" t="n">
        <v>0</v>
      </c>
      <c r="M355" s="19" t="n">
        <f aca="false">ABS(L355)</f>
        <v>0</v>
      </c>
      <c r="N355" s="18" t="str">
        <f aca="false">IF(L355=0,"Nil balance",IF(G355="AR file",IF(L355&gt;0,"Accounts Receivable","Customer Advances"),IF(L355&lt;0,"Accounts Payable","Supplier Advances")))</f>
        <v>Nil balance</v>
      </c>
      <c r="O355" s="18" t="str">
        <f aca="false">IF(L355=0,"Excluded",IF(Summary!$C$4="By ledger",IF(G355="AR file","Population 1","Population 2"),IF(L355&gt;0,"Population 1","Population 2")))</f>
        <v>Excluded</v>
      </c>
      <c r="P355" s="18" t="str">
        <f aca="false">IF(O355="Excluded","Excluded – nil closing balance",IF(M355&gt;Summary!$C$5,"Above Materiality","Below Materiality"))</f>
        <v>Excluded – nil closing balance</v>
      </c>
      <c r="Q355" s="20" t="str">
        <f aca="false">IF(P355="Below Materiality",T355,"")</f>
        <v/>
      </c>
      <c r="R355" s="21" t="str">
        <f aca="false">IF(P355="Above Materiality",COUNTIFS($O$2:$O$1092,O355,$P$2:$P$1092,"Above Materiality",$M$2:$M$1092,"&gt;"&amp;M355)+COUNTIFS($O$2:$O$1092,O355,$P$2:$P$1092,"Above Materiality",$M$2:$M$1092,M355,$A$2:$A$1092,"&lt;"&amp;A355)+1,"")</f>
        <v/>
      </c>
      <c r="S355" s="21" t="str">
        <f aca="false">IF(P355&lt;&gt;"Below Materiality","",IF(Summary!$C$9="Random",COUNTIFS($O$2:$O$1092,O355,$Q$2:$Q$1092,"&gt;"&amp;Q355)+1,COUNTIFS($O$2:$O$1092,O355,$P$2:$P$1092,"Below Materiality",$M$2:$M$1092,"&gt;"&amp;M355)+COUNTIFS($O$2:$O$1092,O355,$P$2:$P$1092,"Below Materiality",$M$2:$M$1092,M355,$A$2:$A$1092,"&lt;"&amp;A355)+1))</f>
        <v/>
      </c>
      <c r="T355" s="22"/>
      <c r="U355" s="21" t="str">
        <f aca="false">IF(R355="","",O355&amp;"|A|"&amp;R355)</f>
        <v/>
      </c>
      <c r="V355" s="21" t="str">
        <f aca="false">IF(S355="","",O355&amp;"|R|"&amp;S355)</f>
        <v/>
      </c>
    </row>
    <row r="356" customFormat="false" ht="15" hidden="false" customHeight="false" outlineLevel="0" collapsed="false">
      <c r="A356" s="18" t="n">
        <v>355</v>
      </c>
      <c r="B356" s="18"/>
      <c r="C356" s="18"/>
      <c r="D356" s="18"/>
      <c r="E356" s="18" t="s">
        <v>769</v>
      </c>
      <c r="F356" s="18" t="s">
        <v>770</v>
      </c>
      <c r="G356" s="18" t="s">
        <v>74</v>
      </c>
      <c r="H356" s="18" t="n">
        <v>86</v>
      </c>
      <c r="I356" s="19" t="n">
        <v>-91</v>
      </c>
      <c r="J356" s="19" t="n">
        <v>91</v>
      </c>
      <c r="K356" s="19" t="n">
        <v>0</v>
      </c>
      <c r="L356" s="19" t="n">
        <v>0</v>
      </c>
      <c r="M356" s="19" t="n">
        <f aca="false">ABS(L356)</f>
        <v>0</v>
      </c>
      <c r="N356" s="18" t="str">
        <f aca="false">IF(L356=0,"Nil balance",IF(G356="AR file",IF(L356&gt;0,"Accounts Receivable","Customer Advances"),IF(L356&lt;0,"Accounts Payable","Supplier Advances")))</f>
        <v>Nil balance</v>
      </c>
      <c r="O356" s="18" t="str">
        <f aca="false">IF(L356=0,"Excluded",IF(Summary!$C$4="By ledger",IF(G356="AR file","Population 1","Population 2"),IF(L356&gt;0,"Population 1","Population 2")))</f>
        <v>Excluded</v>
      </c>
      <c r="P356" s="18" t="str">
        <f aca="false">IF(O356="Excluded","Excluded – nil closing balance",IF(M356&gt;Summary!$C$5,"Above Materiality","Below Materiality"))</f>
        <v>Excluded – nil closing balance</v>
      </c>
      <c r="Q356" s="20" t="str">
        <f aca="false">IF(P356="Below Materiality",T356,"")</f>
        <v/>
      </c>
      <c r="R356" s="21" t="str">
        <f aca="false">IF(P356="Above Materiality",COUNTIFS($O$2:$O$1092,O356,$P$2:$P$1092,"Above Materiality",$M$2:$M$1092,"&gt;"&amp;M356)+COUNTIFS($O$2:$O$1092,O356,$P$2:$P$1092,"Above Materiality",$M$2:$M$1092,M356,$A$2:$A$1092,"&lt;"&amp;A356)+1,"")</f>
        <v/>
      </c>
      <c r="S356" s="21" t="str">
        <f aca="false">IF(P356&lt;&gt;"Below Materiality","",IF(Summary!$C$9="Random",COUNTIFS($O$2:$O$1092,O356,$Q$2:$Q$1092,"&gt;"&amp;Q356)+1,COUNTIFS($O$2:$O$1092,O356,$P$2:$P$1092,"Below Materiality",$M$2:$M$1092,"&gt;"&amp;M356)+COUNTIFS($O$2:$O$1092,O356,$P$2:$P$1092,"Below Materiality",$M$2:$M$1092,M356,$A$2:$A$1092,"&lt;"&amp;A356)+1))</f>
        <v/>
      </c>
      <c r="T356" s="22"/>
      <c r="U356" s="21" t="str">
        <f aca="false">IF(R356="","",O356&amp;"|A|"&amp;R356)</f>
        <v/>
      </c>
      <c r="V356" s="21" t="str">
        <f aca="false">IF(S356="","",O356&amp;"|R|"&amp;S356)</f>
        <v/>
      </c>
    </row>
    <row r="357" customFormat="false" ht="15" hidden="false" customHeight="false" outlineLevel="0" collapsed="false">
      <c r="A357" s="18" t="n">
        <v>356</v>
      </c>
      <c r="B357" s="18"/>
      <c r="C357" s="18"/>
      <c r="D357" s="18"/>
      <c r="E357" s="18" t="s">
        <v>771</v>
      </c>
      <c r="F357" s="18" t="s">
        <v>772</v>
      </c>
      <c r="G357" s="18" t="s">
        <v>74</v>
      </c>
      <c r="H357" s="18" t="n">
        <v>88</v>
      </c>
      <c r="I357" s="19" t="n">
        <v>0</v>
      </c>
      <c r="J357" s="19" t="n">
        <v>9533</v>
      </c>
      <c r="K357" s="19" t="n">
        <v>9533</v>
      </c>
      <c r="L357" s="19" t="n">
        <v>0</v>
      </c>
      <c r="M357" s="19" t="n">
        <f aca="false">ABS(L357)</f>
        <v>0</v>
      </c>
      <c r="N357" s="18" t="str">
        <f aca="false">IF(L357=0,"Nil balance",IF(G357="AR file",IF(L357&gt;0,"Accounts Receivable","Customer Advances"),IF(L357&lt;0,"Accounts Payable","Supplier Advances")))</f>
        <v>Nil balance</v>
      </c>
      <c r="O357" s="18" t="str">
        <f aca="false">IF(L357=0,"Excluded",IF(Summary!$C$4="By ledger",IF(G357="AR file","Population 1","Population 2"),IF(L357&gt;0,"Population 1","Population 2")))</f>
        <v>Excluded</v>
      </c>
      <c r="P357" s="18" t="str">
        <f aca="false">IF(O357="Excluded","Excluded – nil closing balance",IF(M357&gt;Summary!$C$5,"Above Materiality","Below Materiality"))</f>
        <v>Excluded – nil closing balance</v>
      </c>
      <c r="Q357" s="20" t="str">
        <f aca="false">IF(P357="Below Materiality",T357,"")</f>
        <v/>
      </c>
      <c r="R357" s="21" t="str">
        <f aca="false">IF(P357="Above Materiality",COUNTIFS($O$2:$O$1092,O357,$P$2:$P$1092,"Above Materiality",$M$2:$M$1092,"&gt;"&amp;M357)+COUNTIFS($O$2:$O$1092,O357,$P$2:$P$1092,"Above Materiality",$M$2:$M$1092,M357,$A$2:$A$1092,"&lt;"&amp;A357)+1,"")</f>
        <v/>
      </c>
      <c r="S357" s="21" t="str">
        <f aca="false">IF(P357&lt;&gt;"Below Materiality","",IF(Summary!$C$9="Random",COUNTIFS($O$2:$O$1092,O357,$Q$2:$Q$1092,"&gt;"&amp;Q357)+1,COUNTIFS($O$2:$O$1092,O357,$P$2:$P$1092,"Below Materiality",$M$2:$M$1092,"&gt;"&amp;M357)+COUNTIFS($O$2:$O$1092,O357,$P$2:$P$1092,"Below Materiality",$M$2:$M$1092,M357,$A$2:$A$1092,"&lt;"&amp;A357)+1))</f>
        <v/>
      </c>
      <c r="T357" s="22"/>
      <c r="U357" s="21" t="str">
        <f aca="false">IF(R357="","",O357&amp;"|A|"&amp;R357)</f>
        <v/>
      </c>
      <c r="V357" s="21" t="str">
        <f aca="false">IF(S357="","",O357&amp;"|R|"&amp;S357)</f>
        <v/>
      </c>
    </row>
    <row r="358" customFormat="false" ht="15" hidden="false" customHeight="false" outlineLevel="0" collapsed="false">
      <c r="A358" s="18" t="n">
        <v>357</v>
      </c>
      <c r="B358" s="18"/>
      <c r="C358" s="18"/>
      <c r="D358" s="18"/>
      <c r="E358" s="18" t="s">
        <v>773</v>
      </c>
      <c r="F358" s="18" t="s">
        <v>474</v>
      </c>
      <c r="G358" s="18" t="s">
        <v>74</v>
      </c>
      <c r="H358" s="18" t="n">
        <v>89</v>
      </c>
      <c r="I358" s="19" t="n">
        <v>0</v>
      </c>
      <c r="J358" s="19" t="n">
        <v>115</v>
      </c>
      <c r="K358" s="19" t="n">
        <v>115</v>
      </c>
      <c r="L358" s="19" t="n">
        <v>0</v>
      </c>
      <c r="M358" s="19" t="n">
        <f aca="false">ABS(L358)</f>
        <v>0</v>
      </c>
      <c r="N358" s="18" t="str">
        <f aca="false">IF(L358=0,"Nil balance",IF(G358="AR file",IF(L358&gt;0,"Accounts Receivable","Customer Advances"),IF(L358&lt;0,"Accounts Payable","Supplier Advances")))</f>
        <v>Nil balance</v>
      </c>
      <c r="O358" s="18" t="str">
        <f aca="false">IF(L358=0,"Excluded",IF(Summary!$C$4="By ledger",IF(G358="AR file","Population 1","Population 2"),IF(L358&gt;0,"Population 1","Population 2")))</f>
        <v>Excluded</v>
      </c>
      <c r="P358" s="18" t="str">
        <f aca="false">IF(O358="Excluded","Excluded – nil closing balance",IF(M358&gt;Summary!$C$5,"Above Materiality","Below Materiality"))</f>
        <v>Excluded – nil closing balance</v>
      </c>
      <c r="Q358" s="20" t="str">
        <f aca="false">IF(P358="Below Materiality",T358,"")</f>
        <v/>
      </c>
      <c r="R358" s="21" t="str">
        <f aca="false">IF(P358="Above Materiality",COUNTIFS($O$2:$O$1092,O358,$P$2:$P$1092,"Above Materiality",$M$2:$M$1092,"&gt;"&amp;M358)+COUNTIFS($O$2:$O$1092,O358,$P$2:$P$1092,"Above Materiality",$M$2:$M$1092,M358,$A$2:$A$1092,"&lt;"&amp;A358)+1,"")</f>
        <v/>
      </c>
      <c r="S358" s="21" t="str">
        <f aca="false">IF(P358&lt;&gt;"Below Materiality","",IF(Summary!$C$9="Random",COUNTIFS($O$2:$O$1092,O358,$Q$2:$Q$1092,"&gt;"&amp;Q358)+1,COUNTIFS($O$2:$O$1092,O358,$P$2:$P$1092,"Below Materiality",$M$2:$M$1092,"&gt;"&amp;M358)+COUNTIFS($O$2:$O$1092,O358,$P$2:$P$1092,"Below Materiality",$M$2:$M$1092,M358,$A$2:$A$1092,"&lt;"&amp;A358)+1))</f>
        <v/>
      </c>
      <c r="T358" s="22"/>
      <c r="U358" s="21" t="str">
        <f aca="false">IF(R358="","",O358&amp;"|A|"&amp;R358)</f>
        <v/>
      </c>
      <c r="V358" s="21" t="str">
        <f aca="false">IF(S358="","",O358&amp;"|R|"&amp;S358)</f>
        <v/>
      </c>
    </row>
    <row r="359" customFormat="false" ht="15" hidden="false" customHeight="false" outlineLevel="0" collapsed="false">
      <c r="A359" s="18" t="n">
        <v>358</v>
      </c>
      <c r="B359" s="18"/>
      <c r="C359" s="18"/>
      <c r="D359" s="18"/>
      <c r="E359" s="18" t="s">
        <v>774</v>
      </c>
      <c r="F359" s="18" t="s">
        <v>775</v>
      </c>
      <c r="G359" s="18" t="s">
        <v>74</v>
      </c>
      <c r="H359" s="18" t="n">
        <v>90</v>
      </c>
      <c r="I359" s="19" t="n">
        <v>-445</v>
      </c>
      <c r="J359" s="19" t="n">
        <v>445</v>
      </c>
      <c r="K359" s="19" t="n">
        <v>0</v>
      </c>
      <c r="L359" s="19" t="n">
        <v>0</v>
      </c>
      <c r="M359" s="19" t="n">
        <f aca="false">ABS(L359)</f>
        <v>0</v>
      </c>
      <c r="N359" s="18" t="str">
        <f aca="false">IF(L359=0,"Nil balance",IF(G359="AR file",IF(L359&gt;0,"Accounts Receivable","Customer Advances"),IF(L359&lt;0,"Accounts Payable","Supplier Advances")))</f>
        <v>Nil balance</v>
      </c>
      <c r="O359" s="18" t="str">
        <f aca="false">IF(L359=0,"Excluded",IF(Summary!$C$4="By ledger",IF(G359="AR file","Population 1","Population 2"),IF(L359&gt;0,"Population 1","Population 2")))</f>
        <v>Excluded</v>
      </c>
      <c r="P359" s="18" t="str">
        <f aca="false">IF(O359="Excluded","Excluded – nil closing balance",IF(M359&gt;Summary!$C$5,"Above Materiality","Below Materiality"))</f>
        <v>Excluded – nil closing balance</v>
      </c>
      <c r="Q359" s="20" t="str">
        <f aca="false">IF(P359="Below Materiality",T359,"")</f>
        <v/>
      </c>
      <c r="R359" s="21" t="str">
        <f aca="false">IF(P359="Above Materiality",COUNTIFS($O$2:$O$1092,O359,$P$2:$P$1092,"Above Materiality",$M$2:$M$1092,"&gt;"&amp;M359)+COUNTIFS($O$2:$O$1092,O359,$P$2:$P$1092,"Above Materiality",$M$2:$M$1092,M359,$A$2:$A$1092,"&lt;"&amp;A359)+1,"")</f>
        <v/>
      </c>
      <c r="S359" s="21" t="str">
        <f aca="false">IF(P359&lt;&gt;"Below Materiality","",IF(Summary!$C$9="Random",COUNTIFS($O$2:$O$1092,O359,$Q$2:$Q$1092,"&gt;"&amp;Q359)+1,COUNTIFS($O$2:$O$1092,O359,$P$2:$P$1092,"Below Materiality",$M$2:$M$1092,"&gt;"&amp;M359)+COUNTIFS($O$2:$O$1092,O359,$P$2:$P$1092,"Below Materiality",$M$2:$M$1092,M359,$A$2:$A$1092,"&lt;"&amp;A359)+1))</f>
        <v/>
      </c>
      <c r="T359" s="22"/>
      <c r="U359" s="21" t="str">
        <f aca="false">IF(R359="","",O359&amp;"|A|"&amp;R359)</f>
        <v/>
      </c>
      <c r="V359" s="21" t="str">
        <f aca="false">IF(S359="","",O359&amp;"|R|"&amp;S359)</f>
        <v/>
      </c>
    </row>
    <row r="360" customFormat="false" ht="15" hidden="false" customHeight="false" outlineLevel="0" collapsed="false">
      <c r="A360" s="18" t="n">
        <v>359</v>
      </c>
      <c r="B360" s="18"/>
      <c r="C360" s="18"/>
      <c r="D360" s="18"/>
      <c r="E360" s="18" t="s">
        <v>776</v>
      </c>
      <c r="F360" s="18" t="s">
        <v>777</v>
      </c>
      <c r="G360" s="18" t="s">
        <v>74</v>
      </c>
      <c r="H360" s="18" t="n">
        <v>91</v>
      </c>
      <c r="I360" s="19" t="n">
        <v>0</v>
      </c>
      <c r="J360" s="19" t="n">
        <v>1708.25</v>
      </c>
      <c r="K360" s="19" t="n">
        <v>1708.25</v>
      </c>
      <c r="L360" s="19" t="n">
        <v>0</v>
      </c>
      <c r="M360" s="19" t="n">
        <f aca="false">ABS(L360)</f>
        <v>0</v>
      </c>
      <c r="N360" s="18" t="str">
        <f aca="false">IF(L360=0,"Nil balance",IF(G360="AR file",IF(L360&gt;0,"Accounts Receivable","Customer Advances"),IF(L360&lt;0,"Accounts Payable","Supplier Advances")))</f>
        <v>Nil balance</v>
      </c>
      <c r="O360" s="18" t="str">
        <f aca="false">IF(L360=0,"Excluded",IF(Summary!$C$4="By ledger",IF(G360="AR file","Population 1","Population 2"),IF(L360&gt;0,"Population 1","Population 2")))</f>
        <v>Excluded</v>
      </c>
      <c r="P360" s="18" t="str">
        <f aca="false">IF(O360="Excluded","Excluded – nil closing balance",IF(M360&gt;Summary!$C$5,"Above Materiality","Below Materiality"))</f>
        <v>Excluded – nil closing balance</v>
      </c>
      <c r="Q360" s="20" t="str">
        <f aca="false">IF(P360="Below Materiality",T360,"")</f>
        <v/>
      </c>
      <c r="R360" s="21" t="str">
        <f aca="false">IF(P360="Above Materiality",COUNTIFS($O$2:$O$1092,O360,$P$2:$P$1092,"Above Materiality",$M$2:$M$1092,"&gt;"&amp;M360)+COUNTIFS($O$2:$O$1092,O360,$P$2:$P$1092,"Above Materiality",$M$2:$M$1092,M360,$A$2:$A$1092,"&lt;"&amp;A360)+1,"")</f>
        <v/>
      </c>
      <c r="S360" s="21" t="str">
        <f aca="false">IF(P360&lt;&gt;"Below Materiality","",IF(Summary!$C$9="Random",COUNTIFS($O$2:$O$1092,O360,$Q$2:$Q$1092,"&gt;"&amp;Q360)+1,COUNTIFS($O$2:$O$1092,O360,$P$2:$P$1092,"Below Materiality",$M$2:$M$1092,"&gt;"&amp;M360)+COUNTIFS($O$2:$O$1092,O360,$P$2:$P$1092,"Below Materiality",$M$2:$M$1092,M360,$A$2:$A$1092,"&lt;"&amp;A360)+1))</f>
        <v/>
      </c>
      <c r="T360" s="22"/>
      <c r="U360" s="21" t="str">
        <f aca="false">IF(R360="","",O360&amp;"|A|"&amp;R360)</f>
        <v/>
      </c>
      <c r="V360" s="21" t="str">
        <f aca="false">IF(S360="","",O360&amp;"|R|"&amp;S360)</f>
        <v/>
      </c>
    </row>
    <row r="361" customFormat="false" ht="15" hidden="false" customHeight="false" outlineLevel="0" collapsed="false">
      <c r="A361" s="18" t="n">
        <v>360</v>
      </c>
      <c r="B361" s="18"/>
      <c r="C361" s="18"/>
      <c r="D361" s="18"/>
      <c r="E361" s="18" t="s">
        <v>778</v>
      </c>
      <c r="F361" s="18" t="s">
        <v>779</v>
      </c>
      <c r="G361" s="18" t="s">
        <v>74</v>
      </c>
      <c r="H361" s="18" t="n">
        <v>93</v>
      </c>
      <c r="I361" s="19" t="n">
        <v>0</v>
      </c>
      <c r="J361" s="19" t="n">
        <v>4255</v>
      </c>
      <c r="K361" s="19" t="n">
        <v>4255</v>
      </c>
      <c r="L361" s="19" t="n">
        <v>0</v>
      </c>
      <c r="M361" s="19" t="n">
        <f aca="false">ABS(L361)</f>
        <v>0</v>
      </c>
      <c r="N361" s="18" t="str">
        <f aca="false">IF(L361=0,"Nil balance",IF(G361="AR file",IF(L361&gt;0,"Accounts Receivable","Customer Advances"),IF(L361&lt;0,"Accounts Payable","Supplier Advances")))</f>
        <v>Nil balance</v>
      </c>
      <c r="O361" s="18" t="str">
        <f aca="false">IF(L361=0,"Excluded",IF(Summary!$C$4="By ledger",IF(G361="AR file","Population 1","Population 2"),IF(L361&gt;0,"Population 1","Population 2")))</f>
        <v>Excluded</v>
      </c>
      <c r="P361" s="18" t="str">
        <f aca="false">IF(O361="Excluded","Excluded – nil closing balance",IF(M361&gt;Summary!$C$5,"Above Materiality","Below Materiality"))</f>
        <v>Excluded – nil closing balance</v>
      </c>
      <c r="Q361" s="20" t="str">
        <f aca="false">IF(P361="Below Materiality",T361,"")</f>
        <v/>
      </c>
      <c r="R361" s="21" t="str">
        <f aca="false">IF(P361="Above Materiality",COUNTIFS($O$2:$O$1092,O361,$P$2:$P$1092,"Above Materiality",$M$2:$M$1092,"&gt;"&amp;M361)+COUNTIFS($O$2:$O$1092,O361,$P$2:$P$1092,"Above Materiality",$M$2:$M$1092,M361,$A$2:$A$1092,"&lt;"&amp;A361)+1,"")</f>
        <v/>
      </c>
      <c r="S361" s="21" t="str">
        <f aca="false">IF(P361&lt;&gt;"Below Materiality","",IF(Summary!$C$9="Random",COUNTIFS($O$2:$O$1092,O361,$Q$2:$Q$1092,"&gt;"&amp;Q361)+1,COUNTIFS($O$2:$O$1092,O361,$P$2:$P$1092,"Below Materiality",$M$2:$M$1092,"&gt;"&amp;M361)+COUNTIFS($O$2:$O$1092,O361,$P$2:$P$1092,"Below Materiality",$M$2:$M$1092,M361,$A$2:$A$1092,"&lt;"&amp;A361)+1))</f>
        <v/>
      </c>
      <c r="T361" s="22"/>
      <c r="U361" s="21" t="str">
        <f aca="false">IF(R361="","",O361&amp;"|A|"&amp;R361)</f>
        <v/>
      </c>
      <c r="V361" s="21" t="str">
        <f aca="false">IF(S361="","",O361&amp;"|R|"&amp;S361)</f>
        <v/>
      </c>
    </row>
    <row r="362" customFormat="false" ht="15" hidden="false" customHeight="false" outlineLevel="0" collapsed="false">
      <c r="A362" s="18" t="n">
        <v>361</v>
      </c>
      <c r="B362" s="18"/>
      <c r="C362" s="18"/>
      <c r="D362" s="18"/>
      <c r="E362" s="18" t="s">
        <v>780</v>
      </c>
      <c r="F362" s="18" t="s">
        <v>781</v>
      </c>
      <c r="G362" s="18" t="s">
        <v>74</v>
      </c>
      <c r="H362" s="18" t="n">
        <v>96</v>
      </c>
      <c r="I362" s="19" t="n">
        <v>0</v>
      </c>
      <c r="J362" s="19" t="n">
        <v>91</v>
      </c>
      <c r="K362" s="19" t="n">
        <v>91</v>
      </c>
      <c r="L362" s="19" t="n">
        <v>0</v>
      </c>
      <c r="M362" s="19" t="n">
        <f aca="false">ABS(L362)</f>
        <v>0</v>
      </c>
      <c r="N362" s="18" t="str">
        <f aca="false">IF(L362=0,"Nil balance",IF(G362="AR file",IF(L362&gt;0,"Accounts Receivable","Customer Advances"),IF(L362&lt;0,"Accounts Payable","Supplier Advances")))</f>
        <v>Nil balance</v>
      </c>
      <c r="O362" s="18" t="str">
        <f aca="false">IF(L362=0,"Excluded",IF(Summary!$C$4="By ledger",IF(G362="AR file","Population 1","Population 2"),IF(L362&gt;0,"Population 1","Population 2")))</f>
        <v>Excluded</v>
      </c>
      <c r="P362" s="18" t="str">
        <f aca="false">IF(O362="Excluded","Excluded – nil closing balance",IF(M362&gt;Summary!$C$5,"Above Materiality","Below Materiality"))</f>
        <v>Excluded – nil closing balance</v>
      </c>
      <c r="Q362" s="20" t="str">
        <f aca="false">IF(P362="Below Materiality",T362,"")</f>
        <v/>
      </c>
      <c r="R362" s="21" t="str">
        <f aca="false">IF(P362="Above Materiality",COUNTIFS($O$2:$O$1092,O362,$P$2:$P$1092,"Above Materiality",$M$2:$M$1092,"&gt;"&amp;M362)+COUNTIFS($O$2:$O$1092,O362,$P$2:$P$1092,"Above Materiality",$M$2:$M$1092,M362,$A$2:$A$1092,"&lt;"&amp;A362)+1,"")</f>
        <v/>
      </c>
      <c r="S362" s="21" t="str">
        <f aca="false">IF(P362&lt;&gt;"Below Materiality","",IF(Summary!$C$9="Random",COUNTIFS($O$2:$O$1092,O362,$Q$2:$Q$1092,"&gt;"&amp;Q362)+1,COUNTIFS($O$2:$O$1092,O362,$P$2:$P$1092,"Below Materiality",$M$2:$M$1092,"&gt;"&amp;M362)+COUNTIFS($O$2:$O$1092,O362,$P$2:$P$1092,"Below Materiality",$M$2:$M$1092,M362,$A$2:$A$1092,"&lt;"&amp;A362)+1))</f>
        <v/>
      </c>
      <c r="T362" s="22"/>
      <c r="U362" s="21" t="str">
        <f aca="false">IF(R362="","",O362&amp;"|A|"&amp;R362)</f>
        <v/>
      </c>
      <c r="V362" s="21" t="str">
        <f aca="false">IF(S362="","",O362&amp;"|R|"&amp;S362)</f>
        <v/>
      </c>
    </row>
    <row r="363" customFormat="false" ht="15" hidden="false" customHeight="false" outlineLevel="0" collapsed="false">
      <c r="A363" s="18" t="n">
        <v>362</v>
      </c>
      <c r="B363" s="18"/>
      <c r="C363" s="18"/>
      <c r="D363" s="18"/>
      <c r="E363" s="18" t="s">
        <v>782</v>
      </c>
      <c r="F363" s="18" t="s">
        <v>783</v>
      </c>
      <c r="G363" s="18" t="s">
        <v>74</v>
      </c>
      <c r="H363" s="18" t="n">
        <v>97</v>
      </c>
      <c r="I363" s="19" t="n">
        <v>1550</v>
      </c>
      <c r="J363" s="19" t="n">
        <v>0</v>
      </c>
      <c r="K363" s="19" t="n">
        <v>1550</v>
      </c>
      <c r="L363" s="19" t="n">
        <v>0</v>
      </c>
      <c r="M363" s="19" t="n">
        <f aca="false">ABS(L363)</f>
        <v>0</v>
      </c>
      <c r="N363" s="18" t="str">
        <f aca="false">IF(L363=0,"Nil balance",IF(G363="AR file",IF(L363&gt;0,"Accounts Receivable","Customer Advances"),IF(L363&lt;0,"Accounts Payable","Supplier Advances")))</f>
        <v>Nil balance</v>
      </c>
      <c r="O363" s="18" t="str">
        <f aca="false">IF(L363=0,"Excluded",IF(Summary!$C$4="By ledger",IF(G363="AR file","Population 1","Population 2"),IF(L363&gt;0,"Population 1","Population 2")))</f>
        <v>Excluded</v>
      </c>
      <c r="P363" s="18" t="str">
        <f aca="false">IF(O363="Excluded","Excluded – nil closing balance",IF(M363&gt;Summary!$C$5,"Above Materiality","Below Materiality"))</f>
        <v>Excluded – nil closing balance</v>
      </c>
      <c r="Q363" s="20" t="str">
        <f aca="false">IF(P363="Below Materiality",T363,"")</f>
        <v/>
      </c>
      <c r="R363" s="21" t="str">
        <f aca="false">IF(P363="Above Materiality",COUNTIFS($O$2:$O$1092,O363,$P$2:$P$1092,"Above Materiality",$M$2:$M$1092,"&gt;"&amp;M363)+COUNTIFS($O$2:$O$1092,O363,$P$2:$P$1092,"Above Materiality",$M$2:$M$1092,M363,$A$2:$A$1092,"&lt;"&amp;A363)+1,"")</f>
        <v/>
      </c>
      <c r="S363" s="21" t="str">
        <f aca="false">IF(P363&lt;&gt;"Below Materiality","",IF(Summary!$C$9="Random",COUNTIFS($O$2:$O$1092,O363,$Q$2:$Q$1092,"&gt;"&amp;Q363)+1,COUNTIFS($O$2:$O$1092,O363,$P$2:$P$1092,"Below Materiality",$M$2:$M$1092,"&gt;"&amp;M363)+COUNTIFS($O$2:$O$1092,O363,$P$2:$P$1092,"Below Materiality",$M$2:$M$1092,M363,$A$2:$A$1092,"&lt;"&amp;A363)+1))</f>
        <v/>
      </c>
      <c r="T363" s="22"/>
      <c r="U363" s="21" t="str">
        <f aca="false">IF(R363="","",O363&amp;"|A|"&amp;R363)</f>
        <v/>
      </c>
      <c r="V363" s="21" t="str">
        <f aca="false">IF(S363="","",O363&amp;"|R|"&amp;S363)</f>
        <v/>
      </c>
    </row>
    <row r="364" customFormat="false" ht="15" hidden="false" customHeight="false" outlineLevel="0" collapsed="false">
      <c r="A364" s="18" t="n">
        <v>363</v>
      </c>
      <c r="B364" s="18"/>
      <c r="C364" s="18"/>
      <c r="D364" s="18"/>
      <c r="E364" s="18" t="s">
        <v>784</v>
      </c>
      <c r="F364" s="18" t="s">
        <v>785</v>
      </c>
      <c r="G364" s="18" t="s">
        <v>74</v>
      </c>
      <c r="H364" s="18" t="n">
        <v>99</v>
      </c>
      <c r="I364" s="19" t="n">
        <v>0</v>
      </c>
      <c r="J364" s="19" t="n">
        <v>20735.75</v>
      </c>
      <c r="K364" s="19" t="n">
        <v>20735.75</v>
      </c>
      <c r="L364" s="19" t="n">
        <v>0</v>
      </c>
      <c r="M364" s="19" t="n">
        <f aca="false">ABS(L364)</f>
        <v>0</v>
      </c>
      <c r="N364" s="18" t="str">
        <f aca="false">IF(L364=0,"Nil balance",IF(G364="AR file",IF(L364&gt;0,"Accounts Receivable","Customer Advances"),IF(L364&lt;0,"Accounts Payable","Supplier Advances")))</f>
        <v>Nil balance</v>
      </c>
      <c r="O364" s="18" t="str">
        <f aca="false">IF(L364=0,"Excluded",IF(Summary!$C$4="By ledger",IF(G364="AR file","Population 1","Population 2"),IF(L364&gt;0,"Population 1","Population 2")))</f>
        <v>Excluded</v>
      </c>
      <c r="P364" s="18" t="str">
        <f aca="false">IF(O364="Excluded","Excluded – nil closing balance",IF(M364&gt;Summary!$C$5,"Above Materiality","Below Materiality"))</f>
        <v>Excluded – nil closing balance</v>
      </c>
      <c r="Q364" s="20" t="str">
        <f aca="false">IF(P364="Below Materiality",T364,"")</f>
        <v/>
      </c>
      <c r="R364" s="21" t="str">
        <f aca="false">IF(P364="Above Materiality",COUNTIFS($O$2:$O$1092,O364,$P$2:$P$1092,"Above Materiality",$M$2:$M$1092,"&gt;"&amp;M364)+COUNTIFS($O$2:$O$1092,O364,$P$2:$P$1092,"Above Materiality",$M$2:$M$1092,M364,$A$2:$A$1092,"&lt;"&amp;A364)+1,"")</f>
        <v/>
      </c>
      <c r="S364" s="21" t="str">
        <f aca="false">IF(P364&lt;&gt;"Below Materiality","",IF(Summary!$C$9="Random",COUNTIFS($O$2:$O$1092,O364,$Q$2:$Q$1092,"&gt;"&amp;Q364)+1,COUNTIFS($O$2:$O$1092,O364,$P$2:$P$1092,"Below Materiality",$M$2:$M$1092,"&gt;"&amp;M364)+COUNTIFS($O$2:$O$1092,O364,$P$2:$P$1092,"Below Materiality",$M$2:$M$1092,M364,$A$2:$A$1092,"&lt;"&amp;A364)+1))</f>
        <v/>
      </c>
      <c r="T364" s="22"/>
      <c r="U364" s="21" t="str">
        <f aca="false">IF(R364="","",O364&amp;"|A|"&amp;R364)</f>
        <v/>
      </c>
      <c r="V364" s="21" t="str">
        <f aca="false">IF(S364="","",O364&amp;"|R|"&amp;S364)</f>
        <v/>
      </c>
    </row>
    <row r="365" customFormat="false" ht="15" hidden="false" customHeight="false" outlineLevel="0" collapsed="false">
      <c r="A365" s="18" t="n">
        <v>364</v>
      </c>
      <c r="B365" s="18"/>
      <c r="C365" s="18"/>
      <c r="D365" s="18"/>
      <c r="E365" s="18" t="s">
        <v>786</v>
      </c>
      <c r="F365" s="18" t="s">
        <v>787</v>
      </c>
      <c r="G365" s="18" t="s">
        <v>74</v>
      </c>
      <c r="H365" s="18" t="n">
        <v>100</v>
      </c>
      <c r="I365" s="19" t="n">
        <v>0</v>
      </c>
      <c r="J365" s="19" t="n">
        <v>8883.75</v>
      </c>
      <c r="K365" s="19" t="n">
        <v>8883.75</v>
      </c>
      <c r="L365" s="19" t="n">
        <v>0</v>
      </c>
      <c r="M365" s="19" t="n">
        <f aca="false">ABS(L365)</f>
        <v>0</v>
      </c>
      <c r="N365" s="18" t="str">
        <f aca="false">IF(L365=0,"Nil balance",IF(G365="AR file",IF(L365&gt;0,"Accounts Receivable","Customer Advances"),IF(L365&lt;0,"Accounts Payable","Supplier Advances")))</f>
        <v>Nil balance</v>
      </c>
      <c r="O365" s="18" t="str">
        <f aca="false">IF(L365=0,"Excluded",IF(Summary!$C$4="By ledger",IF(G365="AR file","Population 1","Population 2"),IF(L365&gt;0,"Population 1","Population 2")))</f>
        <v>Excluded</v>
      </c>
      <c r="P365" s="18" t="str">
        <f aca="false">IF(O365="Excluded","Excluded – nil closing balance",IF(M365&gt;Summary!$C$5,"Above Materiality","Below Materiality"))</f>
        <v>Excluded – nil closing balance</v>
      </c>
      <c r="Q365" s="20" t="str">
        <f aca="false">IF(P365="Below Materiality",T365,"")</f>
        <v/>
      </c>
      <c r="R365" s="21" t="str">
        <f aca="false">IF(P365="Above Materiality",COUNTIFS($O$2:$O$1092,O365,$P$2:$P$1092,"Above Materiality",$M$2:$M$1092,"&gt;"&amp;M365)+COUNTIFS($O$2:$O$1092,O365,$P$2:$P$1092,"Above Materiality",$M$2:$M$1092,M365,$A$2:$A$1092,"&lt;"&amp;A365)+1,"")</f>
        <v/>
      </c>
      <c r="S365" s="21" t="str">
        <f aca="false">IF(P365&lt;&gt;"Below Materiality","",IF(Summary!$C$9="Random",COUNTIFS($O$2:$O$1092,O365,$Q$2:$Q$1092,"&gt;"&amp;Q365)+1,COUNTIFS($O$2:$O$1092,O365,$P$2:$P$1092,"Below Materiality",$M$2:$M$1092,"&gt;"&amp;M365)+COUNTIFS($O$2:$O$1092,O365,$P$2:$P$1092,"Below Materiality",$M$2:$M$1092,M365,$A$2:$A$1092,"&lt;"&amp;A365)+1))</f>
        <v/>
      </c>
      <c r="T365" s="22"/>
      <c r="U365" s="21" t="str">
        <f aca="false">IF(R365="","",O365&amp;"|A|"&amp;R365)</f>
        <v/>
      </c>
      <c r="V365" s="21" t="str">
        <f aca="false">IF(S365="","",O365&amp;"|R|"&amp;S365)</f>
        <v/>
      </c>
    </row>
    <row r="366" customFormat="false" ht="15" hidden="false" customHeight="false" outlineLevel="0" collapsed="false">
      <c r="A366" s="18" t="n">
        <v>365</v>
      </c>
      <c r="B366" s="18"/>
      <c r="C366" s="18"/>
      <c r="D366" s="18"/>
      <c r="E366" s="18" t="s">
        <v>788</v>
      </c>
      <c r="F366" s="18" t="s">
        <v>789</v>
      </c>
      <c r="G366" s="18" t="s">
        <v>74</v>
      </c>
      <c r="H366" s="18" t="n">
        <v>101</v>
      </c>
      <c r="I366" s="19" t="n">
        <v>1610</v>
      </c>
      <c r="J366" s="19" t="n">
        <v>4915.68</v>
      </c>
      <c r="K366" s="19" t="n">
        <v>6525.68</v>
      </c>
      <c r="L366" s="19" t="n">
        <v>0</v>
      </c>
      <c r="M366" s="19" t="n">
        <f aca="false">ABS(L366)</f>
        <v>0</v>
      </c>
      <c r="N366" s="18" t="str">
        <f aca="false">IF(L366=0,"Nil balance",IF(G366="AR file",IF(L366&gt;0,"Accounts Receivable","Customer Advances"),IF(L366&lt;0,"Accounts Payable","Supplier Advances")))</f>
        <v>Nil balance</v>
      </c>
      <c r="O366" s="18" t="str">
        <f aca="false">IF(L366=0,"Excluded",IF(Summary!$C$4="By ledger",IF(G366="AR file","Population 1","Population 2"),IF(L366&gt;0,"Population 1","Population 2")))</f>
        <v>Excluded</v>
      </c>
      <c r="P366" s="18" t="str">
        <f aca="false">IF(O366="Excluded","Excluded – nil closing balance",IF(M366&gt;Summary!$C$5,"Above Materiality","Below Materiality"))</f>
        <v>Excluded – nil closing balance</v>
      </c>
      <c r="Q366" s="20" t="str">
        <f aca="false">IF(P366="Below Materiality",T366,"")</f>
        <v/>
      </c>
      <c r="R366" s="21" t="str">
        <f aca="false">IF(P366="Above Materiality",COUNTIFS($O$2:$O$1092,O366,$P$2:$P$1092,"Above Materiality",$M$2:$M$1092,"&gt;"&amp;M366)+COUNTIFS($O$2:$O$1092,O366,$P$2:$P$1092,"Above Materiality",$M$2:$M$1092,M366,$A$2:$A$1092,"&lt;"&amp;A366)+1,"")</f>
        <v/>
      </c>
      <c r="S366" s="21" t="str">
        <f aca="false">IF(P366&lt;&gt;"Below Materiality","",IF(Summary!$C$9="Random",COUNTIFS($O$2:$O$1092,O366,$Q$2:$Q$1092,"&gt;"&amp;Q366)+1,COUNTIFS($O$2:$O$1092,O366,$P$2:$P$1092,"Below Materiality",$M$2:$M$1092,"&gt;"&amp;M366)+COUNTIFS($O$2:$O$1092,O366,$P$2:$P$1092,"Below Materiality",$M$2:$M$1092,M366,$A$2:$A$1092,"&lt;"&amp;A366)+1))</f>
        <v/>
      </c>
      <c r="T366" s="22"/>
      <c r="U366" s="21" t="str">
        <f aca="false">IF(R366="","",O366&amp;"|A|"&amp;R366)</f>
        <v/>
      </c>
      <c r="V366" s="21" t="str">
        <f aca="false">IF(S366="","",O366&amp;"|R|"&amp;S366)</f>
        <v/>
      </c>
    </row>
    <row r="367" customFormat="false" ht="15" hidden="false" customHeight="false" outlineLevel="0" collapsed="false">
      <c r="A367" s="18" t="n">
        <v>366</v>
      </c>
      <c r="B367" s="18"/>
      <c r="C367" s="18"/>
      <c r="D367" s="18"/>
      <c r="E367" s="18" t="s">
        <v>790</v>
      </c>
      <c r="F367" s="18" t="s">
        <v>791</v>
      </c>
      <c r="G367" s="18" t="s">
        <v>74</v>
      </c>
      <c r="H367" s="18" t="n">
        <v>103</v>
      </c>
      <c r="I367" s="19" t="n">
        <v>690</v>
      </c>
      <c r="J367" s="19" t="n">
        <v>14160.8</v>
      </c>
      <c r="K367" s="19" t="n">
        <v>14850.8</v>
      </c>
      <c r="L367" s="19" t="n">
        <v>0</v>
      </c>
      <c r="M367" s="19" t="n">
        <f aca="false">ABS(L367)</f>
        <v>0</v>
      </c>
      <c r="N367" s="18" t="str">
        <f aca="false">IF(L367=0,"Nil balance",IF(G367="AR file",IF(L367&gt;0,"Accounts Receivable","Customer Advances"),IF(L367&lt;0,"Accounts Payable","Supplier Advances")))</f>
        <v>Nil balance</v>
      </c>
      <c r="O367" s="18" t="str">
        <f aca="false">IF(L367=0,"Excluded",IF(Summary!$C$4="By ledger",IF(G367="AR file","Population 1","Population 2"),IF(L367&gt;0,"Population 1","Population 2")))</f>
        <v>Excluded</v>
      </c>
      <c r="P367" s="18" t="str">
        <f aca="false">IF(O367="Excluded","Excluded – nil closing balance",IF(M367&gt;Summary!$C$5,"Above Materiality","Below Materiality"))</f>
        <v>Excluded – nil closing balance</v>
      </c>
      <c r="Q367" s="20" t="str">
        <f aca="false">IF(P367="Below Materiality",T367,"")</f>
        <v/>
      </c>
      <c r="R367" s="21" t="str">
        <f aca="false">IF(P367="Above Materiality",COUNTIFS($O$2:$O$1092,O367,$P$2:$P$1092,"Above Materiality",$M$2:$M$1092,"&gt;"&amp;M367)+COUNTIFS($O$2:$O$1092,O367,$P$2:$P$1092,"Above Materiality",$M$2:$M$1092,M367,$A$2:$A$1092,"&lt;"&amp;A367)+1,"")</f>
        <v/>
      </c>
      <c r="S367" s="21" t="str">
        <f aca="false">IF(P367&lt;&gt;"Below Materiality","",IF(Summary!$C$9="Random",COUNTIFS($O$2:$O$1092,O367,$Q$2:$Q$1092,"&gt;"&amp;Q367)+1,COUNTIFS($O$2:$O$1092,O367,$P$2:$P$1092,"Below Materiality",$M$2:$M$1092,"&gt;"&amp;M367)+COUNTIFS($O$2:$O$1092,O367,$P$2:$P$1092,"Below Materiality",$M$2:$M$1092,M367,$A$2:$A$1092,"&lt;"&amp;A367)+1))</f>
        <v/>
      </c>
      <c r="T367" s="22"/>
      <c r="U367" s="21" t="str">
        <f aca="false">IF(R367="","",O367&amp;"|A|"&amp;R367)</f>
        <v/>
      </c>
      <c r="V367" s="21" t="str">
        <f aca="false">IF(S367="","",O367&amp;"|R|"&amp;S367)</f>
        <v/>
      </c>
    </row>
    <row r="368" customFormat="false" ht="15" hidden="false" customHeight="false" outlineLevel="0" collapsed="false">
      <c r="A368" s="18" t="n">
        <v>367</v>
      </c>
      <c r="B368" s="18"/>
      <c r="C368" s="18"/>
      <c r="D368" s="18"/>
      <c r="E368" s="18" t="s">
        <v>792</v>
      </c>
      <c r="F368" s="18" t="s">
        <v>793</v>
      </c>
      <c r="G368" s="18" t="s">
        <v>74</v>
      </c>
      <c r="H368" s="18" t="n">
        <v>104</v>
      </c>
      <c r="I368" s="19" t="n">
        <v>-2</v>
      </c>
      <c r="J368" s="19" t="n">
        <v>2</v>
      </c>
      <c r="K368" s="19" t="n">
        <v>0</v>
      </c>
      <c r="L368" s="19" t="n">
        <v>0</v>
      </c>
      <c r="M368" s="19" t="n">
        <f aca="false">ABS(L368)</f>
        <v>0</v>
      </c>
      <c r="N368" s="18" t="str">
        <f aca="false">IF(L368=0,"Nil balance",IF(G368="AR file",IF(L368&gt;0,"Accounts Receivable","Customer Advances"),IF(L368&lt;0,"Accounts Payable","Supplier Advances")))</f>
        <v>Nil balance</v>
      </c>
      <c r="O368" s="18" t="str">
        <f aca="false">IF(L368=0,"Excluded",IF(Summary!$C$4="By ledger",IF(G368="AR file","Population 1","Population 2"),IF(L368&gt;0,"Population 1","Population 2")))</f>
        <v>Excluded</v>
      </c>
      <c r="P368" s="18" t="str">
        <f aca="false">IF(O368="Excluded","Excluded – nil closing balance",IF(M368&gt;Summary!$C$5,"Above Materiality","Below Materiality"))</f>
        <v>Excluded – nil closing balance</v>
      </c>
      <c r="Q368" s="20" t="str">
        <f aca="false">IF(P368="Below Materiality",T368,"")</f>
        <v/>
      </c>
      <c r="R368" s="21" t="str">
        <f aca="false">IF(P368="Above Materiality",COUNTIFS($O$2:$O$1092,O368,$P$2:$P$1092,"Above Materiality",$M$2:$M$1092,"&gt;"&amp;M368)+COUNTIFS($O$2:$O$1092,O368,$P$2:$P$1092,"Above Materiality",$M$2:$M$1092,M368,$A$2:$A$1092,"&lt;"&amp;A368)+1,"")</f>
        <v/>
      </c>
      <c r="S368" s="21" t="str">
        <f aca="false">IF(P368&lt;&gt;"Below Materiality","",IF(Summary!$C$9="Random",COUNTIFS($O$2:$O$1092,O368,$Q$2:$Q$1092,"&gt;"&amp;Q368)+1,COUNTIFS($O$2:$O$1092,O368,$P$2:$P$1092,"Below Materiality",$M$2:$M$1092,"&gt;"&amp;M368)+COUNTIFS($O$2:$O$1092,O368,$P$2:$P$1092,"Below Materiality",$M$2:$M$1092,M368,$A$2:$A$1092,"&lt;"&amp;A368)+1))</f>
        <v/>
      </c>
      <c r="T368" s="22"/>
      <c r="U368" s="21" t="str">
        <f aca="false">IF(R368="","",O368&amp;"|A|"&amp;R368)</f>
        <v/>
      </c>
      <c r="V368" s="21" t="str">
        <f aca="false">IF(S368="","",O368&amp;"|R|"&amp;S368)</f>
        <v/>
      </c>
    </row>
    <row r="369" customFormat="false" ht="15" hidden="false" customHeight="false" outlineLevel="0" collapsed="false">
      <c r="A369" s="18" t="n">
        <v>368</v>
      </c>
      <c r="B369" s="18"/>
      <c r="C369" s="18"/>
      <c r="D369" s="18"/>
      <c r="E369" s="18" t="s">
        <v>794</v>
      </c>
      <c r="F369" s="18" t="s">
        <v>795</v>
      </c>
      <c r="G369" s="18" t="s">
        <v>74</v>
      </c>
      <c r="H369" s="18" t="n">
        <v>107</v>
      </c>
      <c r="I369" s="19" t="n">
        <v>-100</v>
      </c>
      <c r="J369" s="19" t="n">
        <v>100</v>
      </c>
      <c r="K369" s="19" t="n">
        <v>0</v>
      </c>
      <c r="L369" s="19" t="n">
        <v>0</v>
      </c>
      <c r="M369" s="19" t="n">
        <f aca="false">ABS(L369)</f>
        <v>0</v>
      </c>
      <c r="N369" s="18" t="str">
        <f aca="false">IF(L369=0,"Nil balance",IF(G369="AR file",IF(L369&gt;0,"Accounts Receivable","Customer Advances"),IF(L369&lt;0,"Accounts Payable","Supplier Advances")))</f>
        <v>Nil balance</v>
      </c>
      <c r="O369" s="18" t="str">
        <f aca="false">IF(L369=0,"Excluded",IF(Summary!$C$4="By ledger",IF(G369="AR file","Population 1","Population 2"),IF(L369&gt;0,"Population 1","Population 2")))</f>
        <v>Excluded</v>
      </c>
      <c r="P369" s="18" t="str">
        <f aca="false">IF(O369="Excluded","Excluded – nil closing balance",IF(M369&gt;Summary!$C$5,"Above Materiality","Below Materiality"))</f>
        <v>Excluded – nil closing balance</v>
      </c>
      <c r="Q369" s="20" t="str">
        <f aca="false">IF(P369="Below Materiality",T369,"")</f>
        <v/>
      </c>
      <c r="R369" s="21" t="str">
        <f aca="false">IF(P369="Above Materiality",COUNTIFS($O$2:$O$1092,O369,$P$2:$P$1092,"Above Materiality",$M$2:$M$1092,"&gt;"&amp;M369)+COUNTIFS($O$2:$O$1092,O369,$P$2:$P$1092,"Above Materiality",$M$2:$M$1092,M369,$A$2:$A$1092,"&lt;"&amp;A369)+1,"")</f>
        <v/>
      </c>
      <c r="S369" s="21" t="str">
        <f aca="false">IF(P369&lt;&gt;"Below Materiality","",IF(Summary!$C$9="Random",COUNTIFS($O$2:$O$1092,O369,$Q$2:$Q$1092,"&gt;"&amp;Q369)+1,COUNTIFS($O$2:$O$1092,O369,$P$2:$P$1092,"Below Materiality",$M$2:$M$1092,"&gt;"&amp;M369)+COUNTIFS($O$2:$O$1092,O369,$P$2:$P$1092,"Below Materiality",$M$2:$M$1092,M369,$A$2:$A$1092,"&lt;"&amp;A369)+1))</f>
        <v/>
      </c>
      <c r="T369" s="22"/>
      <c r="U369" s="21" t="str">
        <f aca="false">IF(R369="","",O369&amp;"|A|"&amp;R369)</f>
        <v/>
      </c>
      <c r="V369" s="21" t="str">
        <f aca="false">IF(S369="","",O369&amp;"|R|"&amp;S369)</f>
        <v/>
      </c>
    </row>
    <row r="370" customFormat="false" ht="15" hidden="false" customHeight="false" outlineLevel="0" collapsed="false">
      <c r="A370" s="18" t="n">
        <v>369</v>
      </c>
      <c r="B370" s="18"/>
      <c r="C370" s="18"/>
      <c r="D370" s="18"/>
      <c r="E370" s="18" t="s">
        <v>796</v>
      </c>
      <c r="F370" s="18" t="s">
        <v>797</v>
      </c>
      <c r="G370" s="18" t="s">
        <v>74</v>
      </c>
      <c r="H370" s="18" t="n">
        <v>108</v>
      </c>
      <c r="I370" s="19" t="n">
        <v>0</v>
      </c>
      <c r="J370" s="19" t="n">
        <v>502.5</v>
      </c>
      <c r="K370" s="19" t="n">
        <v>502.5</v>
      </c>
      <c r="L370" s="19" t="n">
        <v>0</v>
      </c>
      <c r="M370" s="19" t="n">
        <f aca="false">ABS(L370)</f>
        <v>0</v>
      </c>
      <c r="N370" s="18" t="str">
        <f aca="false">IF(L370=0,"Nil balance",IF(G370="AR file",IF(L370&gt;0,"Accounts Receivable","Customer Advances"),IF(L370&lt;0,"Accounts Payable","Supplier Advances")))</f>
        <v>Nil balance</v>
      </c>
      <c r="O370" s="18" t="str">
        <f aca="false">IF(L370=0,"Excluded",IF(Summary!$C$4="By ledger",IF(G370="AR file","Population 1","Population 2"),IF(L370&gt;0,"Population 1","Population 2")))</f>
        <v>Excluded</v>
      </c>
      <c r="P370" s="18" t="str">
        <f aca="false">IF(O370="Excluded","Excluded – nil closing balance",IF(M370&gt;Summary!$C$5,"Above Materiality","Below Materiality"))</f>
        <v>Excluded – nil closing balance</v>
      </c>
      <c r="Q370" s="20" t="str">
        <f aca="false">IF(P370="Below Materiality",T370,"")</f>
        <v/>
      </c>
      <c r="R370" s="21" t="str">
        <f aca="false">IF(P370="Above Materiality",COUNTIFS($O$2:$O$1092,O370,$P$2:$P$1092,"Above Materiality",$M$2:$M$1092,"&gt;"&amp;M370)+COUNTIFS($O$2:$O$1092,O370,$P$2:$P$1092,"Above Materiality",$M$2:$M$1092,M370,$A$2:$A$1092,"&lt;"&amp;A370)+1,"")</f>
        <v/>
      </c>
      <c r="S370" s="21" t="str">
        <f aca="false">IF(P370&lt;&gt;"Below Materiality","",IF(Summary!$C$9="Random",COUNTIFS($O$2:$O$1092,O370,$Q$2:$Q$1092,"&gt;"&amp;Q370)+1,COUNTIFS($O$2:$O$1092,O370,$P$2:$P$1092,"Below Materiality",$M$2:$M$1092,"&gt;"&amp;M370)+COUNTIFS($O$2:$O$1092,O370,$P$2:$P$1092,"Below Materiality",$M$2:$M$1092,M370,$A$2:$A$1092,"&lt;"&amp;A370)+1))</f>
        <v/>
      </c>
      <c r="T370" s="22"/>
      <c r="U370" s="21" t="str">
        <f aca="false">IF(R370="","",O370&amp;"|A|"&amp;R370)</f>
        <v/>
      </c>
      <c r="V370" s="21" t="str">
        <f aca="false">IF(S370="","",O370&amp;"|R|"&amp;S370)</f>
        <v/>
      </c>
    </row>
    <row r="371" customFormat="false" ht="15" hidden="false" customHeight="false" outlineLevel="0" collapsed="false">
      <c r="A371" s="18" t="n">
        <v>370</v>
      </c>
      <c r="B371" s="18"/>
      <c r="C371" s="18"/>
      <c r="D371" s="18"/>
      <c r="E371" s="18" t="s">
        <v>798</v>
      </c>
      <c r="F371" s="18" t="s">
        <v>799</v>
      </c>
      <c r="G371" s="18" t="s">
        <v>74</v>
      </c>
      <c r="H371" s="18" t="n">
        <v>109</v>
      </c>
      <c r="I371" s="19" t="n">
        <v>0</v>
      </c>
      <c r="J371" s="19" t="n">
        <v>1076.4</v>
      </c>
      <c r="K371" s="19" t="n">
        <v>1076.4</v>
      </c>
      <c r="L371" s="19" t="n">
        <v>0</v>
      </c>
      <c r="M371" s="19" t="n">
        <f aca="false">ABS(L371)</f>
        <v>0</v>
      </c>
      <c r="N371" s="18" t="str">
        <f aca="false">IF(L371=0,"Nil balance",IF(G371="AR file",IF(L371&gt;0,"Accounts Receivable","Customer Advances"),IF(L371&lt;0,"Accounts Payable","Supplier Advances")))</f>
        <v>Nil balance</v>
      </c>
      <c r="O371" s="18" t="str">
        <f aca="false">IF(L371=0,"Excluded",IF(Summary!$C$4="By ledger",IF(G371="AR file","Population 1","Population 2"),IF(L371&gt;0,"Population 1","Population 2")))</f>
        <v>Excluded</v>
      </c>
      <c r="P371" s="18" t="str">
        <f aca="false">IF(O371="Excluded","Excluded – nil closing balance",IF(M371&gt;Summary!$C$5,"Above Materiality","Below Materiality"))</f>
        <v>Excluded – nil closing balance</v>
      </c>
      <c r="Q371" s="20" t="str">
        <f aca="false">IF(P371="Below Materiality",T371,"")</f>
        <v/>
      </c>
      <c r="R371" s="21" t="str">
        <f aca="false">IF(P371="Above Materiality",COUNTIFS($O$2:$O$1092,O371,$P$2:$P$1092,"Above Materiality",$M$2:$M$1092,"&gt;"&amp;M371)+COUNTIFS($O$2:$O$1092,O371,$P$2:$P$1092,"Above Materiality",$M$2:$M$1092,M371,$A$2:$A$1092,"&lt;"&amp;A371)+1,"")</f>
        <v/>
      </c>
      <c r="S371" s="21" t="str">
        <f aca="false">IF(P371&lt;&gt;"Below Materiality","",IF(Summary!$C$9="Random",COUNTIFS($O$2:$O$1092,O371,$Q$2:$Q$1092,"&gt;"&amp;Q371)+1,COUNTIFS($O$2:$O$1092,O371,$P$2:$P$1092,"Below Materiality",$M$2:$M$1092,"&gt;"&amp;M371)+COUNTIFS($O$2:$O$1092,O371,$P$2:$P$1092,"Below Materiality",$M$2:$M$1092,M371,$A$2:$A$1092,"&lt;"&amp;A371)+1))</f>
        <v/>
      </c>
      <c r="T371" s="22"/>
      <c r="U371" s="21" t="str">
        <f aca="false">IF(R371="","",O371&amp;"|A|"&amp;R371)</f>
        <v/>
      </c>
      <c r="V371" s="21" t="str">
        <f aca="false">IF(S371="","",O371&amp;"|R|"&amp;S371)</f>
        <v/>
      </c>
    </row>
    <row r="372" customFormat="false" ht="15" hidden="false" customHeight="false" outlineLevel="0" collapsed="false">
      <c r="A372" s="18" t="n">
        <v>371</v>
      </c>
      <c r="B372" s="18"/>
      <c r="C372" s="18"/>
      <c r="D372" s="18"/>
      <c r="E372" s="18" t="s">
        <v>800</v>
      </c>
      <c r="F372" s="18" t="s">
        <v>801</v>
      </c>
      <c r="G372" s="18" t="s">
        <v>74</v>
      </c>
      <c r="H372" s="18" t="n">
        <v>110</v>
      </c>
      <c r="I372" s="19" t="n">
        <v>276.25</v>
      </c>
      <c r="J372" s="19" t="n">
        <v>1083.3</v>
      </c>
      <c r="K372" s="19" t="n">
        <v>1359.55</v>
      </c>
      <c r="L372" s="19" t="n">
        <v>0</v>
      </c>
      <c r="M372" s="19" t="n">
        <f aca="false">ABS(L372)</f>
        <v>0</v>
      </c>
      <c r="N372" s="18" t="str">
        <f aca="false">IF(L372=0,"Nil balance",IF(G372="AR file",IF(L372&gt;0,"Accounts Receivable","Customer Advances"),IF(L372&lt;0,"Accounts Payable","Supplier Advances")))</f>
        <v>Nil balance</v>
      </c>
      <c r="O372" s="18" t="str">
        <f aca="false">IF(L372=0,"Excluded",IF(Summary!$C$4="By ledger",IF(G372="AR file","Population 1","Population 2"),IF(L372&gt;0,"Population 1","Population 2")))</f>
        <v>Excluded</v>
      </c>
      <c r="P372" s="18" t="str">
        <f aca="false">IF(O372="Excluded","Excluded – nil closing balance",IF(M372&gt;Summary!$C$5,"Above Materiality","Below Materiality"))</f>
        <v>Excluded – nil closing balance</v>
      </c>
      <c r="Q372" s="20" t="str">
        <f aca="false">IF(P372="Below Materiality",T372,"")</f>
        <v/>
      </c>
      <c r="R372" s="21" t="str">
        <f aca="false">IF(P372="Above Materiality",COUNTIFS($O$2:$O$1092,O372,$P$2:$P$1092,"Above Materiality",$M$2:$M$1092,"&gt;"&amp;M372)+COUNTIFS($O$2:$O$1092,O372,$P$2:$P$1092,"Above Materiality",$M$2:$M$1092,M372,$A$2:$A$1092,"&lt;"&amp;A372)+1,"")</f>
        <v/>
      </c>
      <c r="S372" s="21" t="str">
        <f aca="false">IF(P372&lt;&gt;"Below Materiality","",IF(Summary!$C$9="Random",COUNTIFS($O$2:$O$1092,O372,$Q$2:$Q$1092,"&gt;"&amp;Q372)+1,COUNTIFS($O$2:$O$1092,O372,$P$2:$P$1092,"Below Materiality",$M$2:$M$1092,"&gt;"&amp;M372)+COUNTIFS($O$2:$O$1092,O372,$P$2:$P$1092,"Below Materiality",$M$2:$M$1092,M372,$A$2:$A$1092,"&lt;"&amp;A372)+1))</f>
        <v/>
      </c>
      <c r="T372" s="22"/>
      <c r="U372" s="21" t="str">
        <f aca="false">IF(R372="","",O372&amp;"|A|"&amp;R372)</f>
        <v/>
      </c>
      <c r="V372" s="21" t="str">
        <f aca="false">IF(S372="","",O372&amp;"|R|"&amp;S372)</f>
        <v/>
      </c>
    </row>
    <row r="373" customFormat="false" ht="15" hidden="false" customHeight="false" outlineLevel="0" collapsed="false">
      <c r="A373" s="18" t="n">
        <v>372</v>
      </c>
      <c r="B373" s="18"/>
      <c r="C373" s="18"/>
      <c r="D373" s="18"/>
      <c r="E373" s="18" t="s">
        <v>802</v>
      </c>
      <c r="F373" s="18" t="s">
        <v>803</v>
      </c>
      <c r="G373" s="18" t="s">
        <v>74</v>
      </c>
      <c r="H373" s="18" t="n">
        <v>113</v>
      </c>
      <c r="I373" s="19" t="n">
        <v>0</v>
      </c>
      <c r="J373" s="19" t="n">
        <v>227.7</v>
      </c>
      <c r="K373" s="19" t="n">
        <v>227.7</v>
      </c>
      <c r="L373" s="19" t="n">
        <v>0</v>
      </c>
      <c r="M373" s="19" t="n">
        <f aca="false">ABS(L373)</f>
        <v>0</v>
      </c>
      <c r="N373" s="18" t="str">
        <f aca="false">IF(L373=0,"Nil balance",IF(G373="AR file",IF(L373&gt;0,"Accounts Receivable","Customer Advances"),IF(L373&lt;0,"Accounts Payable","Supplier Advances")))</f>
        <v>Nil balance</v>
      </c>
      <c r="O373" s="18" t="str">
        <f aca="false">IF(L373=0,"Excluded",IF(Summary!$C$4="By ledger",IF(G373="AR file","Population 1","Population 2"),IF(L373&gt;0,"Population 1","Population 2")))</f>
        <v>Excluded</v>
      </c>
      <c r="P373" s="18" t="str">
        <f aca="false">IF(O373="Excluded","Excluded – nil closing balance",IF(M373&gt;Summary!$C$5,"Above Materiality","Below Materiality"))</f>
        <v>Excluded – nil closing balance</v>
      </c>
      <c r="Q373" s="20" t="str">
        <f aca="false">IF(P373="Below Materiality",T373,"")</f>
        <v/>
      </c>
      <c r="R373" s="21" t="str">
        <f aca="false">IF(P373="Above Materiality",COUNTIFS($O$2:$O$1092,O373,$P$2:$P$1092,"Above Materiality",$M$2:$M$1092,"&gt;"&amp;M373)+COUNTIFS($O$2:$O$1092,O373,$P$2:$P$1092,"Above Materiality",$M$2:$M$1092,M373,$A$2:$A$1092,"&lt;"&amp;A373)+1,"")</f>
        <v/>
      </c>
      <c r="S373" s="21" t="str">
        <f aca="false">IF(P373&lt;&gt;"Below Materiality","",IF(Summary!$C$9="Random",COUNTIFS($O$2:$O$1092,O373,$Q$2:$Q$1092,"&gt;"&amp;Q373)+1,COUNTIFS($O$2:$O$1092,O373,$P$2:$P$1092,"Below Materiality",$M$2:$M$1092,"&gt;"&amp;M373)+COUNTIFS($O$2:$O$1092,O373,$P$2:$P$1092,"Below Materiality",$M$2:$M$1092,M373,$A$2:$A$1092,"&lt;"&amp;A373)+1))</f>
        <v/>
      </c>
      <c r="T373" s="22"/>
      <c r="U373" s="21" t="str">
        <f aca="false">IF(R373="","",O373&amp;"|A|"&amp;R373)</f>
        <v/>
      </c>
      <c r="V373" s="21" t="str">
        <f aca="false">IF(S373="","",O373&amp;"|R|"&amp;S373)</f>
        <v/>
      </c>
    </row>
    <row r="374" customFormat="false" ht="15" hidden="false" customHeight="false" outlineLevel="0" collapsed="false">
      <c r="A374" s="18" t="n">
        <v>373</v>
      </c>
      <c r="B374" s="18"/>
      <c r="C374" s="18"/>
      <c r="D374" s="18"/>
      <c r="E374" s="18" t="s">
        <v>804</v>
      </c>
      <c r="F374" s="18" t="s">
        <v>805</v>
      </c>
      <c r="G374" s="18" t="s">
        <v>74</v>
      </c>
      <c r="H374" s="18" t="n">
        <v>114</v>
      </c>
      <c r="I374" s="19" t="n">
        <v>-200</v>
      </c>
      <c r="J374" s="19" t="n">
        <v>200</v>
      </c>
      <c r="K374" s="19" t="n">
        <v>0</v>
      </c>
      <c r="L374" s="19" t="n">
        <v>0</v>
      </c>
      <c r="M374" s="19" t="n">
        <f aca="false">ABS(L374)</f>
        <v>0</v>
      </c>
      <c r="N374" s="18" t="str">
        <f aca="false">IF(L374=0,"Nil balance",IF(G374="AR file",IF(L374&gt;0,"Accounts Receivable","Customer Advances"),IF(L374&lt;0,"Accounts Payable","Supplier Advances")))</f>
        <v>Nil balance</v>
      </c>
      <c r="O374" s="18" t="str">
        <f aca="false">IF(L374=0,"Excluded",IF(Summary!$C$4="By ledger",IF(G374="AR file","Population 1","Population 2"),IF(L374&gt;0,"Population 1","Population 2")))</f>
        <v>Excluded</v>
      </c>
      <c r="P374" s="18" t="str">
        <f aca="false">IF(O374="Excluded","Excluded – nil closing balance",IF(M374&gt;Summary!$C$5,"Above Materiality","Below Materiality"))</f>
        <v>Excluded – nil closing balance</v>
      </c>
      <c r="Q374" s="20" t="str">
        <f aca="false">IF(P374="Below Materiality",T374,"")</f>
        <v/>
      </c>
      <c r="R374" s="21" t="str">
        <f aca="false">IF(P374="Above Materiality",COUNTIFS($O$2:$O$1092,O374,$P$2:$P$1092,"Above Materiality",$M$2:$M$1092,"&gt;"&amp;M374)+COUNTIFS($O$2:$O$1092,O374,$P$2:$P$1092,"Above Materiality",$M$2:$M$1092,M374,$A$2:$A$1092,"&lt;"&amp;A374)+1,"")</f>
        <v/>
      </c>
      <c r="S374" s="21" t="str">
        <f aca="false">IF(P374&lt;&gt;"Below Materiality","",IF(Summary!$C$9="Random",COUNTIFS($O$2:$O$1092,O374,$Q$2:$Q$1092,"&gt;"&amp;Q374)+1,COUNTIFS($O$2:$O$1092,O374,$P$2:$P$1092,"Below Materiality",$M$2:$M$1092,"&gt;"&amp;M374)+COUNTIFS($O$2:$O$1092,O374,$P$2:$P$1092,"Below Materiality",$M$2:$M$1092,M374,$A$2:$A$1092,"&lt;"&amp;A374)+1))</f>
        <v/>
      </c>
      <c r="T374" s="22"/>
      <c r="U374" s="21" t="str">
        <f aca="false">IF(R374="","",O374&amp;"|A|"&amp;R374)</f>
        <v/>
      </c>
      <c r="V374" s="21" t="str">
        <f aca="false">IF(S374="","",O374&amp;"|R|"&amp;S374)</f>
        <v/>
      </c>
    </row>
    <row r="375" customFormat="false" ht="15" hidden="false" customHeight="false" outlineLevel="0" collapsed="false">
      <c r="A375" s="18" t="n">
        <v>374</v>
      </c>
      <c r="B375" s="18"/>
      <c r="C375" s="18"/>
      <c r="D375" s="18"/>
      <c r="E375" s="18" t="s">
        <v>806</v>
      </c>
      <c r="F375" s="18" t="s">
        <v>807</v>
      </c>
      <c r="G375" s="18" t="s">
        <v>74</v>
      </c>
      <c r="H375" s="18" t="n">
        <v>116</v>
      </c>
      <c r="I375" s="19" t="n">
        <v>35.5799999999999</v>
      </c>
      <c r="J375" s="19" t="n">
        <v>35.58</v>
      </c>
      <c r="K375" s="19" t="n">
        <v>71.16</v>
      </c>
      <c r="L375" s="19" t="n">
        <v>0</v>
      </c>
      <c r="M375" s="19" t="n">
        <f aca="false">ABS(L375)</f>
        <v>0</v>
      </c>
      <c r="N375" s="18" t="str">
        <f aca="false">IF(L375=0,"Nil balance",IF(G375="AR file",IF(L375&gt;0,"Accounts Receivable","Customer Advances"),IF(L375&lt;0,"Accounts Payable","Supplier Advances")))</f>
        <v>Nil balance</v>
      </c>
      <c r="O375" s="18" t="str">
        <f aca="false">IF(L375=0,"Excluded",IF(Summary!$C$4="By ledger",IF(G375="AR file","Population 1","Population 2"),IF(L375&gt;0,"Population 1","Population 2")))</f>
        <v>Excluded</v>
      </c>
      <c r="P375" s="18" t="str">
        <f aca="false">IF(O375="Excluded","Excluded – nil closing balance",IF(M375&gt;Summary!$C$5,"Above Materiality","Below Materiality"))</f>
        <v>Excluded – nil closing balance</v>
      </c>
      <c r="Q375" s="20" t="str">
        <f aca="false">IF(P375="Below Materiality",T375,"")</f>
        <v/>
      </c>
      <c r="R375" s="21" t="str">
        <f aca="false">IF(P375="Above Materiality",COUNTIFS($O$2:$O$1092,O375,$P$2:$P$1092,"Above Materiality",$M$2:$M$1092,"&gt;"&amp;M375)+COUNTIFS($O$2:$O$1092,O375,$P$2:$P$1092,"Above Materiality",$M$2:$M$1092,M375,$A$2:$A$1092,"&lt;"&amp;A375)+1,"")</f>
        <v/>
      </c>
      <c r="S375" s="21" t="str">
        <f aca="false">IF(P375&lt;&gt;"Below Materiality","",IF(Summary!$C$9="Random",COUNTIFS($O$2:$O$1092,O375,$Q$2:$Q$1092,"&gt;"&amp;Q375)+1,COUNTIFS($O$2:$O$1092,O375,$P$2:$P$1092,"Below Materiality",$M$2:$M$1092,"&gt;"&amp;M375)+COUNTIFS($O$2:$O$1092,O375,$P$2:$P$1092,"Below Materiality",$M$2:$M$1092,M375,$A$2:$A$1092,"&lt;"&amp;A375)+1))</f>
        <v/>
      </c>
      <c r="T375" s="22"/>
      <c r="U375" s="21" t="str">
        <f aca="false">IF(R375="","",O375&amp;"|A|"&amp;R375)</f>
        <v/>
      </c>
      <c r="V375" s="21" t="str">
        <f aca="false">IF(S375="","",O375&amp;"|R|"&amp;S375)</f>
        <v/>
      </c>
    </row>
    <row r="376" customFormat="false" ht="15" hidden="false" customHeight="false" outlineLevel="0" collapsed="false">
      <c r="A376" s="18" t="n">
        <v>375</v>
      </c>
      <c r="B376" s="18"/>
      <c r="C376" s="18"/>
      <c r="D376" s="18"/>
      <c r="E376" s="18" t="s">
        <v>808</v>
      </c>
      <c r="F376" s="18" t="s">
        <v>809</v>
      </c>
      <c r="G376" s="18" t="s">
        <v>74</v>
      </c>
      <c r="H376" s="18" t="n">
        <v>118</v>
      </c>
      <c r="I376" s="19" t="n">
        <v>0</v>
      </c>
      <c r="J376" s="19" t="n">
        <v>2802.56</v>
      </c>
      <c r="K376" s="19" t="n">
        <v>2802.56</v>
      </c>
      <c r="L376" s="19" t="n">
        <v>0</v>
      </c>
      <c r="M376" s="19" t="n">
        <f aca="false">ABS(L376)</f>
        <v>0</v>
      </c>
      <c r="N376" s="18" t="str">
        <f aca="false">IF(L376=0,"Nil balance",IF(G376="AR file",IF(L376&gt;0,"Accounts Receivable","Customer Advances"),IF(L376&lt;0,"Accounts Payable","Supplier Advances")))</f>
        <v>Nil balance</v>
      </c>
      <c r="O376" s="18" t="str">
        <f aca="false">IF(L376=0,"Excluded",IF(Summary!$C$4="By ledger",IF(G376="AR file","Population 1","Population 2"),IF(L376&gt;0,"Population 1","Population 2")))</f>
        <v>Excluded</v>
      </c>
      <c r="P376" s="18" t="str">
        <f aca="false">IF(O376="Excluded","Excluded – nil closing balance",IF(M376&gt;Summary!$C$5,"Above Materiality","Below Materiality"))</f>
        <v>Excluded – nil closing balance</v>
      </c>
      <c r="Q376" s="20" t="str">
        <f aca="false">IF(P376="Below Materiality",T376,"")</f>
        <v/>
      </c>
      <c r="R376" s="21" t="str">
        <f aca="false">IF(P376="Above Materiality",COUNTIFS($O$2:$O$1092,O376,$P$2:$P$1092,"Above Materiality",$M$2:$M$1092,"&gt;"&amp;M376)+COUNTIFS($O$2:$O$1092,O376,$P$2:$P$1092,"Above Materiality",$M$2:$M$1092,M376,$A$2:$A$1092,"&lt;"&amp;A376)+1,"")</f>
        <v/>
      </c>
      <c r="S376" s="21" t="str">
        <f aca="false">IF(P376&lt;&gt;"Below Materiality","",IF(Summary!$C$9="Random",COUNTIFS($O$2:$O$1092,O376,$Q$2:$Q$1092,"&gt;"&amp;Q376)+1,COUNTIFS($O$2:$O$1092,O376,$P$2:$P$1092,"Below Materiality",$M$2:$M$1092,"&gt;"&amp;M376)+COUNTIFS($O$2:$O$1092,O376,$P$2:$P$1092,"Below Materiality",$M$2:$M$1092,M376,$A$2:$A$1092,"&lt;"&amp;A376)+1))</f>
        <v/>
      </c>
      <c r="T376" s="22"/>
      <c r="U376" s="21" t="str">
        <f aca="false">IF(R376="","",O376&amp;"|A|"&amp;R376)</f>
        <v/>
      </c>
      <c r="V376" s="21" t="str">
        <f aca="false">IF(S376="","",O376&amp;"|R|"&amp;S376)</f>
        <v/>
      </c>
    </row>
    <row r="377" customFormat="false" ht="15" hidden="false" customHeight="false" outlineLevel="0" collapsed="false">
      <c r="A377" s="18" t="n">
        <v>376</v>
      </c>
      <c r="B377" s="18"/>
      <c r="C377" s="18"/>
      <c r="D377" s="18"/>
      <c r="E377" s="18" t="s">
        <v>810</v>
      </c>
      <c r="F377" s="18" t="s">
        <v>811</v>
      </c>
      <c r="G377" s="18" t="s">
        <v>74</v>
      </c>
      <c r="H377" s="18" t="n">
        <v>121</v>
      </c>
      <c r="I377" s="19" t="n">
        <v>0</v>
      </c>
      <c r="J377" s="19" t="n">
        <v>4540.35</v>
      </c>
      <c r="K377" s="19" t="n">
        <v>4540.35</v>
      </c>
      <c r="L377" s="19" t="n">
        <v>0</v>
      </c>
      <c r="M377" s="19" t="n">
        <f aca="false">ABS(L377)</f>
        <v>0</v>
      </c>
      <c r="N377" s="18" t="str">
        <f aca="false">IF(L377=0,"Nil balance",IF(G377="AR file",IF(L377&gt;0,"Accounts Receivable","Customer Advances"),IF(L377&lt;0,"Accounts Payable","Supplier Advances")))</f>
        <v>Nil balance</v>
      </c>
      <c r="O377" s="18" t="str">
        <f aca="false">IF(L377=0,"Excluded",IF(Summary!$C$4="By ledger",IF(G377="AR file","Population 1","Population 2"),IF(L377&gt;0,"Population 1","Population 2")))</f>
        <v>Excluded</v>
      </c>
      <c r="P377" s="18" t="str">
        <f aca="false">IF(O377="Excluded","Excluded – nil closing balance",IF(M377&gt;Summary!$C$5,"Above Materiality","Below Materiality"))</f>
        <v>Excluded – nil closing balance</v>
      </c>
      <c r="Q377" s="20" t="str">
        <f aca="false">IF(P377="Below Materiality",T377,"")</f>
        <v/>
      </c>
      <c r="R377" s="21" t="str">
        <f aca="false">IF(P377="Above Materiality",COUNTIFS($O$2:$O$1092,O377,$P$2:$P$1092,"Above Materiality",$M$2:$M$1092,"&gt;"&amp;M377)+COUNTIFS($O$2:$O$1092,O377,$P$2:$P$1092,"Above Materiality",$M$2:$M$1092,M377,$A$2:$A$1092,"&lt;"&amp;A377)+1,"")</f>
        <v/>
      </c>
      <c r="S377" s="21" t="str">
        <f aca="false">IF(P377&lt;&gt;"Below Materiality","",IF(Summary!$C$9="Random",COUNTIFS($O$2:$O$1092,O377,$Q$2:$Q$1092,"&gt;"&amp;Q377)+1,COUNTIFS($O$2:$O$1092,O377,$P$2:$P$1092,"Below Materiality",$M$2:$M$1092,"&gt;"&amp;M377)+COUNTIFS($O$2:$O$1092,O377,$P$2:$P$1092,"Below Materiality",$M$2:$M$1092,M377,$A$2:$A$1092,"&lt;"&amp;A377)+1))</f>
        <v/>
      </c>
      <c r="T377" s="22"/>
      <c r="U377" s="21" t="str">
        <f aca="false">IF(R377="","",O377&amp;"|A|"&amp;R377)</f>
        <v/>
      </c>
      <c r="V377" s="21" t="str">
        <f aca="false">IF(S377="","",O377&amp;"|R|"&amp;S377)</f>
        <v/>
      </c>
    </row>
    <row r="378" customFormat="false" ht="15" hidden="false" customHeight="false" outlineLevel="0" collapsed="false">
      <c r="A378" s="18" t="n">
        <v>377</v>
      </c>
      <c r="B378" s="18"/>
      <c r="C378" s="18"/>
      <c r="D378" s="18"/>
      <c r="E378" s="18" t="s">
        <v>812</v>
      </c>
      <c r="F378" s="18" t="s">
        <v>813</v>
      </c>
      <c r="G378" s="18" t="s">
        <v>74</v>
      </c>
      <c r="H378" s="18" t="n">
        <v>122</v>
      </c>
      <c r="I378" s="19" t="n">
        <v>0</v>
      </c>
      <c r="J378" s="19" t="n">
        <v>1370.8</v>
      </c>
      <c r="K378" s="19" t="n">
        <v>1370.8</v>
      </c>
      <c r="L378" s="19" t="n">
        <v>0</v>
      </c>
      <c r="M378" s="19" t="n">
        <f aca="false">ABS(L378)</f>
        <v>0</v>
      </c>
      <c r="N378" s="18" t="str">
        <f aca="false">IF(L378=0,"Nil balance",IF(G378="AR file",IF(L378&gt;0,"Accounts Receivable","Customer Advances"),IF(L378&lt;0,"Accounts Payable","Supplier Advances")))</f>
        <v>Nil balance</v>
      </c>
      <c r="O378" s="18" t="str">
        <f aca="false">IF(L378=0,"Excluded",IF(Summary!$C$4="By ledger",IF(G378="AR file","Population 1","Population 2"),IF(L378&gt;0,"Population 1","Population 2")))</f>
        <v>Excluded</v>
      </c>
      <c r="P378" s="18" t="str">
        <f aca="false">IF(O378="Excluded","Excluded – nil closing balance",IF(M378&gt;Summary!$C$5,"Above Materiality","Below Materiality"))</f>
        <v>Excluded – nil closing balance</v>
      </c>
      <c r="Q378" s="20" t="str">
        <f aca="false">IF(P378="Below Materiality",T378,"")</f>
        <v/>
      </c>
      <c r="R378" s="21" t="str">
        <f aca="false">IF(P378="Above Materiality",COUNTIFS($O$2:$O$1092,O378,$P$2:$P$1092,"Above Materiality",$M$2:$M$1092,"&gt;"&amp;M378)+COUNTIFS($O$2:$O$1092,O378,$P$2:$P$1092,"Above Materiality",$M$2:$M$1092,M378,$A$2:$A$1092,"&lt;"&amp;A378)+1,"")</f>
        <v/>
      </c>
      <c r="S378" s="21" t="str">
        <f aca="false">IF(P378&lt;&gt;"Below Materiality","",IF(Summary!$C$9="Random",COUNTIFS($O$2:$O$1092,O378,$Q$2:$Q$1092,"&gt;"&amp;Q378)+1,COUNTIFS($O$2:$O$1092,O378,$P$2:$P$1092,"Below Materiality",$M$2:$M$1092,"&gt;"&amp;M378)+COUNTIFS($O$2:$O$1092,O378,$P$2:$P$1092,"Below Materiality",$M$2:$M$1092,M378,$A$2:$A$1092,"&lt;"&amp;A378)+1))</f>
        <v/>
      </c>
      <c r="T378" s="22"/>
      <c r="U378" s="21" t="str">
        <f aca="false">IF(R378="","",O378&amp;"|A|"&amp;R378)</f>
        <v/>
      </c>
      <c r="V378" s="21" t="str">
        <f aca="false">IF(S378="","",O378&amp;"|R|"&amp;S378)</f>
        <v/>
      </c>
    </row>
    <row r="379" customFormat="false" ht="15" hidden="false" customHeight="false" outlineLevel="0" collapsed="false">
      <c r="A379" s="18" t="n">
        <v>378</v>
      </c>
      <c r="B379" s="18"/>
      <c r="C379" s="18"/>
      <c r="D379" s="18"/>
      <c r="E379" s="18" t="s">
        <v>814</v>
      </c>
      <c r="F379" s="18" t="s">
        <v>815</v>
      </c>
      <c r="G379" s="18" t="s">
        <v>74</v>
      </c>
      <c r="H379" s="18" t="n">
        <v>125</v>
      </c>
      <c r="I379" s="19" t="n">
        <v>0</v>
      </c>
      <c r="J379" s="19" t="n">
        <v>13455</v>
      </c>
      <c r="K379" s="19" t="n">
        <v>13455</v>
      </c>
      <c r="L379" s="19" t="n">
        <v>0</v>
      </c>
      <c r="M379" s="19" t="n">
        <f aca="false">ABS(L379)</f>
        <v>0</v>
      </c>
      <c r="N379" s="18" t="str">
        <f aca="false">IF(L379=0,"Nil balance",IF(G379="AR file",IF(L379&gt;0,"Accounts Receivable","Customer Advances"),IF(L379&lt;0,"Accounts Payable","Supplier Advances")))</f>
        <v>Nil balance</v>
      </c>
      <c r="O379" s="18" t="str">
        <f aca="false">IF(L379=0,"Excluded",IF(Summary!$C$4="By ledger",IF(G379="AR file","Population 1","Population 2"),IF(L379&gt;0,"Population 1","Population 2")))</f>
        <v>Excluded</v>
      </c>
      <c r="P379" s="18" t="str">
        <f aca="false">IF(O379="Excluded","Excluded – nil closing balance",IF(M379&gt;Summary!$C$5,"Above Materiality","Below Materiality"))</f>
        <v>Excluded – nil closing balance</v>
      </c>
      <c r="Q379" s="20" t="str">
        <f aca="false">IF(P379="Below Materiality",T379,"")</f>
        <v/>
      </c>
      <c r="R379" s="21" t="str">
        <f aca="false">IF(P379="Above Materiality",COUNTIFS($O$2:$O$1092,O379,$P$2:$P$1092,"Above Materiality",$M$2:$M$1092,"&gt;"&amp;M379)+COUNTIFS($O$2:$O$1092,O379,$P$2:$P$1092,"Above Materiality",$M$2:$M$1092,M379,$A$2:$A$1092,"&lt;"&amp;A379)+1,"")</f>
        <v/>
      </c>
      <c r="S379" s="21" t="str">
        <f aca="false">IF(P379&lt;&gt;"Below Materiality","",IF(Summary!$C$9="Random",COUNTIFS($O$2:$O$1092,O379,$Q$2:$Q$1092,"&gt;"&amp;Q379)+1,COUNTIFS($O$2:$O$1092,O379,$P$2:$P$1092,"Below Materiality",$M$2:$M$1092,"&gt;"&amp;M379)+COUNTIFS($O$2:$O$1092,O379,$P$2:$P$1092,"Below Materiality",$M$2:$M$1092,M379,$A$2:$A$1092,"&lt;"&amp;A379)+1))</f>
        <v/>
      </c>
      <c r="T379" s="22"/>
      <c r="U379" s="21" t="str">
        <f aca="false">IF(R379="","",O379&amp;"|A|"&amp;R379)</f>
        <v/>
      </c>
      <c r="V379" s="21" t="str">
        <f aca="false">IF(S379="","",O379&amp;"|R|"&amp;S379)</f>
        <v/>
      </c>
    </row>
    <row r="380" customFormat="false" ht="15" hidden="false" customHeight="false" outlineLevel="0" collapsed="false">
      <c r="A380" s="18" t="n">
        <v>379</v>
      </c>
      <c r="B380" s="18"/>
      <c r="C380" s="18"/>
      <c r="D380" s="18"/>
      <c r="E380" s="18" t="s">
        <v>816</v>
      </c>
      <c r="F380" s="18" t="s">
        <v>817</v>
      </c>
      <c r="G380" s="18" t="s">
        <v>74</v>
      </c>
      <c r="H380" s="18" t="n">
        <v>127</v>
      </c>
      <c r="I380" s="19" t="n">
        <v>0</v>
      </c>
      <c r="J380" s="19" t="n">
        <v>16450.75</v>
      </c>
      <c r="K380" s="19" t="n">
        <v>16450.75</v>
      </c>
      <c r="L380" s="19" t="n">
        <v>0</v>
      </c>
      <c r="M380" s="19" t="n">
        <f aca="false">ABS(L380)</f>
        <v>0</v>
      </c>
      <c r="N380" s="18" t="str">
        <f aca="false">IF(L380=0,"Nil balance",IF(G380="AR file",IF(L380&gt;0,"Accounts Receivable","Customer Advances"),IF(L380&lt;0,"Accounts Payable","Supplier Advances")))</f>
        <v>Nil balance</v>
      </c>
      <c r="O380" s="18" t="str">
        <f aca="false">IF(L380=0,"Excluded",IF(Summary!$C$4="By ledger",IF(G380="AR file","Population 1","Population 2"),IF(L380&gt;0,"Population 1","Population 2")))</f>
        <v>Excluded</v>
      </c>
      <c r="P380" s="18" t="str">
        <f aca="false">IF(O380="Excluded","Excluded – nil closing balance",IF(M380&gt;Summary!$C$5,"Above Materiality","Below Materiality"))</f>
        <v>Excluded – nil closing balance</v>
      </c>
      <c r="Q380" s="20" t="str">
        <f aca="false">IF(P380="Below Materiality",T380,"")</f>
        <v/>
      </c>
      <c r="R380" s="21" t="str">
        <f aca="false">IF(P380="Above Materiality",COUNTIFS($O$2:$O$1092,O380,$P$2:$P$1092,"Above Materiality",$M$2:$M$1092,"&gt;"&amp;M380)+COUNTIFS($O$2:$O$1092,O380,$P$2:$P$1092,"Above Materiality",$M$2:$M$1092,M380,$A$2:$A$1092,"&lt;"&amp;A380)+1,"")</f>
        <v/>
      </c>
      <c r="S380" s="21" t="str">
        <f aca="false">IF(P380&lt;&gt;"Below Materiality","",IF(Summary!$C$9="Random",COUNTIFS($O$2:$O$1092,O380,$Q$2:$Q$1092,"&gt;"&amp;Q380)+1,COUNTIFS($O$2:$O$1092,O380,$P$2:$P$1092,"Below Materiality",$M$2:$M$1092,"&gt;"&amp;M380)+COUNTIFS($O$2:$O$1092,O380,$P$2:$P$1092,"Below Materiality",$M$2:$M$1092,M380,$A$2:$A$1092,"&lt;"&amp;A380)+1))</f>
        <v/>
      </c>
      <c r="T380" s="22"/>
      <c r="U380" s="21" t="str">
        <f aca="false">IF(R380="","",O380&amp;"|A|"&amp;R380)</f>
        <v/>
      </c>
      <c r="V380" s="21" t="str">
        <f aca="false">IF(S380="","",O380&amp;"|R|"&amp;S380)</f>
        <v/>
      </c>
    </row>
    <row r="381" customFormat="false" ht="15" hidden="false" customHeight="false" outlineLevel="0" collapsed="false">
      <c r="A381" s="18" t="n">
        <v>380</v>
      </c>
      <c r="B381" s="18"/>
      <c r="C381" s="18"/>
      <c r="D381" s="18"/>
      <c r="E381" s="18" t="s">
        <v>818</v>
      </c>
      <c r="F381" s="18" t="s">
        <v>819</v>
      </c>
      <c r="G381" s="18" t="s">
        <v>74</v>
      </c>
      <c r="H381" s="18" t="n">
        <v>128</v>
      </c>
      <c r="I381" s="19" t="n">
        <v>52228.4</v>
      </c>
      <c r="J381" s="19" t="n">
        <v>19338.4</v>
      </c>
      <c r="K381" s="19" t="n">
        <v>71566.8</v>
      </c>
      <c r="L381" s="19" t="n">
        <v>0</v>
      </c>
      <c r="M381" s="19" t="n">
        <f aca="false">ABS(L381)</f>
        <v>0</v>
      </c>
      <c r="N381" s="18" t="str">
        <f aca="false">IF(L381=0,"Nil balance",IF(G381="AR file",IF(L381&gt;0,"Accounts Receivable","Customer Advances"),IF(L381&lt;0,"Accounts Payable","Supplier Advances")))</f>
        <v>Nil balance</v>
      </c>
      <c r="O381" s="18" t="str">
        <f aca="false">IF(L381=0,"Excluded",IF(Summary!$C$4="By ledger",IF(G381="AR file","Population 1","Population 2"),IF(L381&gt;0,"Population 1","Population 2")))</f>
        <v>Excluded</v>
      </c>
      <c r="P381" s="18" t="str">
        <f aca="false">IF(O381="Excluded","Excluded – nil closing balance",IF(M381&gt;Summary!$C$5,"Above Materiality","Below Materiality"))</f>
        <v>Excluded – nil closing balance</v>
      </c>
      <c r="Q381" s="20" t="str">
        <f aca="false">IF(P381="Below Materiality",T381,"")</f>
        <v/>
      </c>
      <c r="R381" s="21" t="str">
        <f aca="false">IF(P381="Above Materiality",COUNTIFS($O$2:$O$1092,O381,$P$2:$P$1092,"Above Materiality",$M$2:$M$1092,"&gt;"&amp;M381)+COUNTIFS($O$2:$O$1092,O381,$P$2:$P$1092,"Above Materiality",$M$2:$M$1092,M381,$A$2:$A$1092,"&lt;"&amp;A381)+1,"")</f>
        <v/>
      </c>
      <c r="S381" s="21" t="str">
        <f aca="false">IF(P381&lt;&gt;"Below Materiality","",IF(Summary!$C$9="Random",COUNTIFS($O$2:$O$1092,O381,$Q$2:$Q$1092,"&gt;"&amp;Q381)+1,COUNTIFS($O$2:$O$1092,O381,$P$2:$P$1092,"Below Materiality",$M$2:$M$1092,"&gt;"&amp;M381)+COUNTIFS($O$2:$O$1092,O381,$P$2:$P$1092,"Below Materiality",$M$2:$M$1092,M381,$A$2:$A$1092,"&lt;"&amp;A381)+1))</f>
        <v/>
      </c>
      <c r="T381" s="22"/>
      <c r="U381" s="21" t="str">
        <f aca="false">IF(R381="","",O381&amp;"|A|"&amp;R381)</f>
        <v/>
      </c>
      <c r="V381" s="21" t="str">
        <f aca="false">IF(S381="","",O381&amp;"|R|"&amp;S381)</f>
        <v/>
      </c>
    </row>
    <row r="382" customFormat="false" ht="15" hidden="false" customHeight="false" outlineLevel="0" collapsed="false">
      <c r="A382" s="18" t="n">
        <v>381</v>
      </c>
      <c r="B382" s="18"/>
      <c r="C382" s="18"/>
      <c r="D382" s="18"/>
      <c r="E382" s="18" t="s">
        <v>820</v>
      </c>
      <c r="F382" s="18" t="s">
        <v>821</v>
      </c>
      <c r="G382" s="18" t="s">
        <v>74</v>
      </c>
      <c r="H382" s="18" t="n">
        <v>129</v>
      </c>
      <c r="I382" s="19" t="n">
        <v>0</v>
      </c>
      <c r="J382" s="19" t="n">
        <v>387.55</v>
      </c>
      <c r="K382" s="19" t="n">
        <v>387.55</v>
      </c>
      <c r="L382" s="19" t="n">
        <v>0</v>
      </c>
      <c r="M382" s="19" t="n">
        <f aca="false">ABS(L382)</f>
        <v>0</v>
      </c>
      <c r="N382" s="18" t="str">
        <f aca="false">IF(L382=0,"Nil balance",IF(G382="AR file",IF(L382&gt;0,"Accounts Receivable","Customer Advances"),IF(L382&lt;0,"Accounts Payable","Supplier Advances")))</f>
        <v>Nil balance</v>
      </c>
      <c r="O382" s="18" t="str">
        <f aca="false">IF(L382=0,"Excluded",IF(Summary!$C$4="By ledger",IF(G382="AR file","Population 1","Population 2"),IF(L382&gt;0,"Population 1","Population 2")))</f>
        <v>Excluded</v>
      </c>
      <c r="P382" s="18" t="str">
        <f aca="false">IF(O382="Excluded","Excluded – nil closing balance",IF(M382&gt;Summary!$C$5,"Above Materiality","Below Materiality"))</f>
        <v>Excluded – nil closing balance</v>
      </c>
      <c r="Q382" s="20" t="str">
        <f aca="false">IF(P382="Below Materiality",T382,"")</f>
        <v/>
      </c>
      <c r="R382" s="21" t="str">
        <f aca="false">IF(P382="Above Materiality",COUNTIFS($O$2:$O$1092,O382,$P$2:$P$1092,"Above Materiality",$M$2:$M$1092,"&gt;"&amp;M382)+COUNTIFS($O$2:$O$1092,O382,$P$2:$P$1092,"Above Materiality",$M$2:$M$1092,M382,$A$2:$A$1092,"&lt;"&amp;A382)+1,"")</f>
        <v/>
      </c>
      <c r="S382" s="21" t="str">
        <f aca="false">IF(P382&lt;&gt;"Below Materiality","",IF(Summary!$C$9="Random",COUNTIFS($O$2:$O$1092,O382,$Q$2:$Q$1092,"&gt;"&amp;Q382)+1,COUNTIFS($O$2:$O$1092,O382,$P$2:$P$1092,"Below Materiality",$M$2:$M$1092,"&gt;"&amp;M382)+COUNTIFS($O$2:$O$1092,O382,$P$2:$P$1092,"Below Materiality",$M$2:$M$1092,M382,$A$2:$A$1092,"&lt;"&amp;A382)+1))</f>
        <v/>
      </c>
      <c r="T382" s="22"/>
      <c r="U382" s="21" t="str">
        <f aca="false">IF(R382="","",O382&amp;"|A|"&amp;R382)</f>
        <v/>
      </c>
      <c r="V382" s="21" t="str">
        <f aca="false">IF(S382="","",O382&amp;"|R|"&amp;S382)</f>
        <v/>
      </c>
    </row>
    <row r="383" customFormat="false" ht="15" hidden="false" customHeight="false" outlineLevel="0" collapsed="false">
      <c r="A383" s="18" t="n">
        <v>382</v>
      </c>
      <c r="B383" s="18"/>
      <c r="C383" s="18"/>
      <c r="D383" s="18"/>
      <c r="E383" s="18" t="s">
        <v>822</v>
      </c>
      <c r="F383" s="18" t="s">
        <v>795</v>
      </c>
      <c r="G383" s="18" t="s">
        <v>74</v>
      </c>
      <c r="H383" s="18" t="n">
        <v>130</v>
      </c>
      <c r="I383" s="19" t="n">
        <v>-100</v>
      </c>
      <c r="J383" s="19" t="n">
        <v>100</v>
      </c>
      <c r="K383" s="19" t="n">
        <v>0</v>
      </c>
      <c r="L383" s="19" t="n">
        <v>0</v>
      </c>
      <c r="M383" s="19" t="n">
        <f aca="false">ABS(L383)</f>
        <v>0</v>
      </c>
      <c r="N383" s="18" t="str">
        <f aca="false">IF(L383=0,"Nil balance",IF(G383="AR file",IF(L383&gt;0,"Accounts Receivable","Customer Advances"),IF(L383&lt;0,"Accounts Payable","Supplier Advances")))</f>
        <v>Nil balance</v>
      </c>
      <c r="O383" s="18" t="str">
        <f aca="false">IF(L383=0,"Excluded",IF(Summary!$C$4="By ledger",IF(G383="AR file","Population 1","Population 2"),IF(L383&gt;0,"Population 1","Population 2")))</f>
        <v>Excluded</v>
      </c>
      <c r="P383" s="18" t="str">
        <f aca="false">IF(O383="Excluded","Excluded – nil closing balance",IF(M383&gt;Summary!$C$5,"Above Materiality","Below Materiality"))</f>
        <v>Excluded – nil closing balance</v>
      </c>
      <c r="Q383" s="20" t="str">
        <f aca="false">IF(P383="Below Materiality",T383,"")</f>
        <v/>
      </c>
      <c r="R383" s="21" t="str">
        <f aca="false">IF(P383="Above Materiality",COUNTIFS($O$2:$O$1092,O383,$P$2:$P$1092,"Above Materiality",$M$2:$M$1092,"&gt;"&amp;M383)+COUNTIFS($O$2:$O$1092,O383,$P$2:$P$1092,"Above Materiality",$M$2:$M$1092,M383,$A$2:$A$1092,"&lt;"&amp;A383)+1,"")</f>
        <v/>
      </c>
      <c r="S383" s="21" t="str">
        <f aca="false">IF(P383&lt;&gt;"Below Materiality","",IF(Summary!$C$9="Random",COUNTIFS($O$2:$O$1092,O383,$Q$2:$Q$1092,"&gt;"&amp;Q383)+1,COUNTIFS($O$2:$O$1092,O383,$P$2:$P$1092,"Below Materiality",$M$2:$M$1092,"&gt;"&amp;M383)+COUNTIFS($O$2:$O$1092,O383,$P$2:$P$1092,"Below Materiality",$M$2:$M$1092,M383,$A$2:$A$1092,"&lt;"&amp;A383)+1))</f>
        <v/>
      </c>
      <c r="T383" s="22"/>
      <c r="U383" s="21" t="str">
        <f aca="false">IF(R383="","",O383&amp;"|A|"&amp;R383)</f>
        <v/>
      </c>
      <c r="V383" s="21" t="str">
        <f aca="false">IF(S383="","",O383&amp;"|R|"&amp;S383)</f>
        <v/>
      </c>
    </row>
    <row r="384" customFormat="false" ht="15" hidden="false" customHeight="false" outlineLevel="0" collapsed="false">
      <c r="A384" s="18" t="n">
        <v>383</v>
      </c>
      <c r="B384" s="18"/>
      <c r="C384" s="18"/>
      <c r="D384" s="18"/>
      <c r="E384" s="18" t="s">
        <v>823</v>
      </c>
      <c r="F384" s="18" t="s">
        <v>824</v>
      </c>
      <c r="G384" s="18" t="s">
        <v>74</v>
      </c>
      <c r="H384" s="18" t="n">
        <v>131</v>
      </c>
      <c r="I384" s="19" t="n">
        <v>-637</v>
      </c>
      <c r="J384" s="19" t="n">
        <v>32608.73</v>
      </c>
      <c r="K384" s="19" t="n">
        <v>31971.73</v>
      </c>
      <c r="L384" s="19" t="n">
        <v>0</v>
      </c>
      <c r="M384" s="19" t="n">
        <f aca="false">ABS(L384)</f>
        <v>0</v>
      </c>
      <c r="N384" s="18" t="str">
        <f aca="false">IF(L384=0,"Nil balance",IF(G384="AR file",IF(L384&gt;0,"Accounts Receivable","Customer Advances"),IF(L384&lt;0,"Accounts Payable","Supplier Advances")))</f>
        <v>Nil balance</v>
      </c>
      <c r="O384" s="18" t="str">
        <f aca="false">IF(L384=0,"Excluded",IF(Summary!$C$4="By ledger",IF(G384="AR file","Population 1","Population 2"),IF(L384&gt;0,"Population 1","Population 2")))</f>
        <v>Excluded</v>
      </c>
      <c r="P384" s="18" t="str">
        <f aca="false">IF(O384="Excluded","Excluded – nil closing balance",IF(M384&gt;Summary!$C$5,"Above Materiality","Below Materiality"))</f>
        <v>Excluded – nil closing balance</v>
      </c>
      <c r="Q384" s="20" t="str">
        <f aca="false">IF(P384="Below Materiality",T384,"")</f>
        <v/>
      </c>
      <c r="R384" s="21" t="str">
        <f aca="false">IF(P384="Above Materiality",COUNTIFS($O$2:$O$1092,O384,$P$2:$P$1092,"Above Materiality",$M$2:$M$1092,"&gt;"&amp;M384)+COUNTIFS($O$2:$O$1092,O384,$P$2:$P$1092,"Above Materiality",$M$2:$M$1092,M384,$A$2:$A$1092,"&lt;"&amp;A384)+1,"")</f>
        <v/>
      </c>
      <c r="S384" s="21" t="str">
        <f aca="false">IF(P384&lt;&gt;"Below Materiality","",IF(Summary!$C$9="Random",COUNTIFS($O$2:$O$1092,O384,$Q$2:$Q$1092,"&gt;"&amp;Q384)+1,COUNTIFS($O$2:$O$1092,O384,$P$2:$P$1092,"Below Materiality",$M$2:$M$1092,"&gt;"&amp;M384)+COUNTIFS($O$2:$O$1092,O384,$P$2:$P$1092,"Below Materiality",$M$2:$M$1092,M384,$A$2:$A$1092,"&lt;"&amp;A384)+1))</f>
        <v/>
      </c>
      <c r="T384" s="22"/>
      <c r="U384" s="21" t="str">
        <f aca="false">IF(R384="","",O384&amp;"|A|"&amp;R384)</f>
        <v/>
      </c>
      <c r="V384" s="21" t="str">
        <f aca="false">IF(S384="","",O384&amp;"|R|"&amp;S384)</f>
        <v/>
      </c>
    </row>
    <row r="385" customFormat="false" ht="15" hidden="false" customHeight="false" outlineLevel="0" collapsed="false">
      <c r="A385" s="18" t="n">
        <v>384</v>
      </c>
      <c r="B385" s="18"/>
      <c r="C385" s="18"/>
      <c r="D385" s="18"/>
      <c r="E385" s="18" t="s">
        <v>825</v>
      </c>
      <c r="F385" s="18" t="s">
        <v>826</v>
      </c>
      <c r="G385" s="18" t="s">
        <v>74</v>
      </c>
      <c r="H385" s="18" t="n">
        <v>132</v>
      </c>
      <c r="I385" s="19" t="n">
        <v>0</v>
      </c>
      <c r="J385" s="19" t="n">
        <v>1552</v>
      </c>
      <c r="K385" s="19" t="n">
        <v>1552</v>
      </c>
      <c r="L385" s="19" t="n">
        <v>0</v>
      </c>
      <c r="M385" s="19" t="n">
        <f aca="false">ABS(L385)</f>
        <v>0</v>
      </c>
      <c r="N385" s="18" t="str">
        <f aca="false">IF(L385=0,"Nil balance",IF(G385="AR file",IF(L385&gt;0,"Accounts Receivable","Customer Advances"),IF(L385&lt;0,"Accounts Payable","Supplier Advances")))</f>
        <v>Nil balance</v>
      </c>
      <c r="O385" s="18" t="str">
        <f aca="false">IF(L385=0,"Excluded",IF(Summary!$C$4="By ledger",IF(G385="AR file","Population 1","Population 2"),IF(L385&gt;0,"Population 1","Population 2")))</f>
        <v>Excluded</v>
      </c>
      <c r="P385" s="18" t="str">
        <f aca="false">IF(O385="Excluded","Excluded – nil closing balance",IF(M385&gt;Summary!$C$5,"Above Materiality","Below Materiality"))</f>
        <v>Excluded – nil closing balance</v>
      </c>
      <c r="Q385" s="20" t="str">
        <f aca="false">IF(P385="Below Materiality",T385,"")</f>
        <v/>
      </c>
      <c r="R385" s="21" t="str">
        <f aca="false">IF(P385="Above Materiality",COUNTIFS($O$2:$O$1092,O385,$P$2:$P$1092,"Above Materiality",$M$2:$M$1092,"&gt;"&amp;M385)+COUNTIFS($O$2:$O$1092,O385,$P$2:$P$1092,"Above Materiality",$M$2:$M$1092,M385,$A$2:$A$1092,"&lt;"&amp;A385)+1,"")</f>
        <v/>
      </c>
      <c r="S385" s="21" t="str">
        <f aca="false">IF(P385&lt;&gt;"Below Materiality","",IF(Summary!$C$9="Random",COUNTIFS($O$2:$O$1092,O385,$Q$2:$Q$1092,"&gt;"&amp;Q385)+1,COUNTIFS($O$2:$O$1092,O385,$P$2:$P$1092,"Below Materiality",$M$2:$M$1092,"&gt;"&amp;M385)+COUNTIFS($O$2:$O$1092,O385,$P$2:$P$1092,"Below Materiality",$M$2:$M$1092,M385,$A$2:$A$1092,"&lt;"&amp;A385)+1))</f>
        <v/>
      </c>
      <c r="T385" s="22"/>
      <c r="U385" s="21" t="str">
        <f aca="false">IF(R385="","",O385&amp;"|A|"&amp;R385)</f>
        <v/>
      </c>
      <c r="V385" s="21" t="str">
        <f aca="false">IF(S385="","",O385&amp;"|R|"&amp;S385)</f>
        <v/>
      </c>
    </row>
    <row r="386" customFormat="false" ht="15" hidden="false" customHeight="false" outlineLevel="0" collapsed="false">
      <c r="A386" s="18" t="n">
        <v>385</v>
      </c>
      <c r="B386" s="18"/>
      <c r="C386" s="18"/>
      <c r="D386" s="18"/>
      <c r="E386" s="18" t="s">
        <v>827</v>
      </c>
      <c r="F386" s="18" t="s">
        <v>828</v>
      </c>
      <c r="G386" s="18" t="s">
        <v>74</v>
      </c>
      <c r="H386" s="18" t="n">
        <v>134</v>
      </c>
      <c r="I386" s="19" t="n">
        <v>-500</v>
      </c>
      <c r="J386" s="19" t="n">
        <v>500</v>
      </c>
      <c r="K386" s="19" t="n">
        <v>0</v>
      </c>
      <c r="L386" s="19" t="n">
        <v>0</v>
      </c>
      <c r="M386" s="19" t="n">
        <f aca="false">ABS(L386)</f>
        <v>0</v>
      </c>
      <c r="N386" s="18" t="str">
        <f aca="false">IF(L386=0,"Nil balance",IF(G386="AR file",IF(L386&gt;0,"Accounts Receivable","Customer Advances"),IF(L386&lt;0,"Accounts Payable","Supplier Advances")))</f>
        <v>Nil balance</v>
      </c>
      <c r="O386" s="18" t="str">
        <f aca="false">IF(L386=0,"Excluded",IF(Summary!$C$4="By ledger",IF(G386="AR file","Population 1","Population 2"),IF(L386&gt;0,"Population 1","Population 2")))</f>
        <v>Excluded</v>
      </c>
      <c r="P386" s="18" t="str">
        <f aca="false">IF(O386="Excluded","Excluded – nil closing balance",IF(M386&gt;Summary!$C$5,"Above Materiality","Below Materiality"))</f>
        <v>Excluded – nil closing balance</v>
      </c>
      <c r="Q386" s="20" t="str">
        <f aca="false">IF(P386="Below Materiality",T386,"")</f>
        <v/>
      </c>
      <c r="R386" s="21" t="str">
        <f aca="false">IF(P386="Above Materiality",COUNTIFS($O$2:$O$1092,O386,$P$2:$P$1092,"Above Materiality",$M$2:$M$1092,"&gt;"&amp;M386)+COUNTIFS($O$2:$O$1092,O386,$P$2:$P$1092,"Above Materiality",$M$2:$M$1092,M386,$A$2:$A$1092,"&lt;"&amp;A386)+1,"")</f>
        <v/>
      </c>
      <c r="S386" s="21" t="str">
        <f aca="false">IF(P386&lt;&gt;"Below Materiality","",IF(Summary!$C$9="Random",COUNTIFS($O$2:$O$1092,O386,$Q$2:$Q$1092,"&gt;"&amp;Q386)+1,COUNTIFS($O$2:$O$1092,O386,$P$2:$P$1092,"Below Materiality",$M$2:$M$1092,"&gt;"&amp;M386)+COUNTIFS($O$2:$O$1092,O386,$P$2:$P$1092,"Below Materiality",$M$2:$M$1092,M386,$A$2:$A$1092,"&lt;"&amp;A386)+1))</f>
        <v/>
      </c>
      <c r="T386" s="22"/>
      <c r="U386" s="21" t="str">
        <f aca="false">IF(R386="","",O386&amp;"|A|"&amp;R386)</f>
        <v/>
      </c>
      <c r="V386" s="21" t="str">
        <f aca="false">IF(S386="","",O386&amp;"|R|"&amp;S386)</f>
        <v/>
      </c>
    </row>
    <row r="387" customFormat="false" ht="15" hidden="false" customHeight="false" outlineLevel="0" collapsed="false">
      <c r="A387" s="18" t="n">
        <v>386</v>
      </c>
      <c r="B387" s="18"/>
      <c r="C387" s="18"/>
      <c r="D387" s="18"/>
      <c r="E387" s="18" t="s">
        <v>829</v>
      </c>
      <c r="F387" s="18" t="s">
        <v>830</v>
      </c>
      <c r="G387" s="18" t="s">
        <v>74</v>
      </c>
      <c r="H387" s="18" t="n">
        <v>135</v>
      </c>
      <c r="I387" s="19" t="n">
        <v>-3000</v>
      </c>
      <c r="J387" s="19" t="n">
        <v>3000</v>
      </c>
      <c r="K387" s="19" t="n">
        <v>0</v>
      </c>
      <c r="L387" s="19" t="n">
        <v>0</v>
      </c>
      <c r="M387" s="19" t="n">
        <f aca="false">ABS(L387)</f>
        <v>0</v>
      </c>
      <c r="N387" s="18" t="str">
        <f aca="false">IF(L387=0,"Nil balance",IF(G387="AR file",IF(L387&gt;0,"Accounts Receivable","Customer Advances"),IF(L387&lt;0,"Accounts Payable","Supplier Advances")))</f>
        <v>Nil balance</v>
      </c>
      <c r="O387" s="18" t="str">
        <f aca="false">IF(L387=0,"Excluded",IF(Summary!$C$4="By ledger",IF(G387="AR file","Population 1","Population 2"),IF(L387&gt;0,"Population 1","Population 2")))</f>
        <v>Excluded</v>
      </c>
      <c r="P387" s="18" t="str">
        <f aca="false">IF(O387="Excluded","Excluded – nil closing balance",IF(M387&gt;Summary!$C$5,"Above Materiality","Below Materiality"))</f>
        <v>Excluded – nil closing balance</v>
      </c>
      <c r="Q387" s="20" t="str">
        <f aca="false">IF(P387="Below Materiality",T387,"")</f>
        <v/>
      </c>
      <c r="R387" s="21" t="str">
        <f aca="false">IF(P387="Above Materiality",COUNTIFS($O$2:$O$1092,O387,$P$2:$P$1092,"Above Materiality",$M$2:$M$1092,"&gt;"&amp;M387)+COUNTIFS($O$2:$O$1092,O387,$P$2:$P$1092,"Above Materiality",$M$2:$M$1092,M387,$A$2:$A$1092,"&lt;"&amp;A387)+1,"")</f>
        <v/>
      </c>
      <c r="S387" s="21" t="str">
        <f aca="false">IF(P387&lt;&gt;"Below Materiality","",IF(Summary!$C$9="Random",COUNTIFS($O$2:$O$1092,O387,$Q$2:$Q$1092,"&gt;"&amp;Q387)+1,COUNTIFS($O$2:$O$1092,O387,$P$2:$P$1092,"Below Materiality",$M$2:$M$1092,"&gt;"&amp;M387)+COUNTIFS($O$2:$O$1092,O387,$P$2:$P$1092,"Below Materiality",$M$2:$M$1092,M387,$A$2:$A$1092,"&lt;"&amp;A387)+1))</f>
        <v/>
      </c>
      <c r="T387" s="22"/>
      <c r="U387" s="21" t="str">
        <f aca="false">IF(R387="","",O387&amp;"|A|"&amp;R387)</f>
        <v/>
      </c>
      <c r="V387" s="21" t="str">
        <f aca="false">IF(S387="","",O387&amp;"|R|"&amp;S387)</f>
        <v/>
      </c>
    </row>
    <row r="388" customFormat="false" ht="15" hidden="false" customHeight="false" outlineLevel="0" collapsed="false">
      <c r="A388" s="18" t="n">
        <v>387</v>
      </c>
      <c r="B388" s="18"/>
      <c r="C388" s="18"/>
      <c r="D388" s="18"/>
      <c r="E388" s="18" t="s">
        <v>831</v>
      </c>
      <c r="F388" s="18" t="s">
        <v>832</v>
      </c>
      <c r="G388" s="18" t="s">
        <v>74</v>
      </c>
      <c r="H388" s="18" t="n">
        <v>136</v>
      </c>
      <c r="I388" s="19" t="n">
        <v>2163.14999999999</v>
      </c>
      <c r="J388" s="19" t="n">
        <v>3697.25</v>
      </c>
      <c r="K388" s="19" t="n">
        <v>5860.4</v>
      </c>
      <c r="L388" s="19" t="n">
        <v>0</v>
      </c>
      <c r="M388" s="19" t="n">
        <f aca="false">ABS(L388)</f>
        <v>0</v>
      </c>
      <c r="N388" s="18" t="str">
        <f aca="false">IF(L388=0,"Nil balance",IF(G388="AR file",IF(L388&gt;0,"Accounts Receivable","Customer Advances"),IF(L388&lt;0,"Accounts Payable","Supplier Advances")))</f>
        <v>Nil balance</v>
      </c>
      <c r="O388" s="18" t="str">
        <f aca="false">IF(L388=0,"Excluded",IF(Summary!$C$4="By ledger",IF(G388="AR file","Population 1","Population 2"),IF(L388&gt;0,"Population 1","Population 2")))</f>
        <v>Excluded</v>
      </c>
      <c r="P388" s="18" t="str">
        <f aca="false">IF(O388="Excluded","Excluded – nil closing balance",IF(M388&gt;Summary!$C$5,"Above Materiality","Below Materiality"))</f>
        <v>Excluded – nil closing balance</v>
      </c>
      <c r="Q388" s="20" t="str">
        <f aca="false">IF(P388="Below Materiality",T388,"")</f>
        <v/>
      </c>
      <c r="R388" s="21" t="str">
        <f aca="false">IF(P388="Above Materiality",COUNTIFS($O$2:$O$1092,O388,$P$2:$P$1092,"Above Materiality",$M$2:$M$1092,"&gt;"&amp;M388)+COUNTIFS($O$2:$O$1092,O388,$P$2:$P$1092,"Above Materiality",$M$2:$M$1092,M388,$A$2:$A$1092,"&lt;"&amp;A388)+1,"")</f>
        <v/>
      </c>
      <c r="S388" s="21" t="str">
        <f aca="false">IF(P388&lt;&gt;"Below Materiality","",IF(Summary!$C$9="Random",COUNTIFS($O$2:$O$1092,O388,$Q$2:$Q$1092,"&gt;"&amp;Q388)+1,COUNTIFS($O$2:$O$1092,O388,$P$2:$P$1092,"Below Materiality",$M$2:$M$1092,"&gt;"&amp;M388)+COUNTIFS($O$2:$O$1092,O388,$P$2:$P$1092,"Below Materiality",$M$2:$M$1092,M388,$A$2:$A$1092,"&lt;"&amp;A388)+1))</f>
        <v/>
      </c>
      <c r="T388" s="22"/>
      <c r="U388" s="21" t="str">
        <f aca="false">IF(R388="","",O388&amp;"|A|"&amp;R388)</f>
        <v/>
      </c>
      <c r="V388" s="21" t="str">
        <f aca="false">IF(S388="","",O388&amp;"|R|"&amp;S388)</f>
        <v/>
      </c>
    </row>
    <row r="389" customFormat="false" ht="15" hidden="false" customHeight="false" outlineLevel="0" collapsed="false">
      <c r="A389" s="18" t="n">
        <v>388</v>
      </c>
      <c r="B389" s="18"/>
      <c r="C389" s="18"/>
      <c r="D389" s="18"/>
      <c r="E389" s="18" t="s">
        <v>833</v>
      </c>
      <c r="F389" s="18" t="s">
        <v>834</v>
      </c>
      <c r="G389" s="18" t="s">
        <v>74</v>
      </c>
      <c r="H389" s="18" t="n">
        <v>138</v>
      </c>
      <c r="I389" s="19" t="n">
        <v>0</v>
      </c>
      <c r="J389" s="19" t="n">
        <v>35.65</v>
      </c>
      <c r="K389" s="19" t="n">
        <v>35.65</v>
      </c>
      <c r="L389" s="19" t="n">
        <v>0</v>
      </c>
      <c r="M389" s="19" t="n">
        <f aca="false">ABS(L389)</f>
        <v>0</v>
      </c>
      <c r="N389" s="18" t="str">
        <f aca="false">IF(L389=0,"Nil balance",IF(G389="AR file",IF(L389&gt;0,"Accounts Receivable","Customer Advances"),IF(L389&lt;0,"Accounts Payable","Supplier Advances")))</f>
        <v>Nil balance</v>
      </c>
      <c r="O389" s="18" t="str">
        <f aca="false">IF(L389=0,"Excluded",IF(Summary!$C$4="By ledger",IF(G389="AR file","Population 1","Population 2"),IF(L389&gt;0,"Population 1","Population 2")))</f>
        <v>Excluded</v>
      </c>
      <c r="P389" s="18" t="str">
        <f aca="false">IF(O389="Excluded","Excluded – nil closing balance",IF(M389&gt;Summary!$C$5,"Above Materiality","Below Materiality"))</f>
        <v>Excluded – nil closing balance</v>
      </c>
      <c r="Q389" s="20" t="str">
        <f aca="false">IF(P389="Below Materiality",T389,"")</f>
        <v/>
      </c>
      <c r="R389" s="21" t="str">
        <f aca="false">IF(P389="Above Materiality",COUNTIFS($O$2:$O$1092,O389,$P$2:$P$1092,"Above Materiality",$M$2:$M$1092,"&gt;"&amp;M389)+COUNTIFS($O$2:$O$1092,O389,$P$2:$P$1092,"Above Materiality",$M$2:$M$1092,M389,$A$2:$A$1092,"&lt;"&amp;A389)+1,"")</f>
        <v/>
      </c>
      <c r="S389" s="21" t="str">
        <f aca="false">IF(P389&lt;&gt;"Below Materiality","",IF(Summary!$C$9="Random",COUNTIFS($O$2:$O$1092,O389,$Q$2:$Q$1092,"&gt;"&amp;Q389)+1,COUNTIFS($O$2:$O$1092,O389,$P$2:$P$1092,"Below Materiality",$M$2:$M$1092,"&gt;"&amp;M389)+COUNTIFS($O$2:$O$1092,O389,$P$2:$P$1092,"Below Materiality",$M$2:$M$1092,M389,$A$2:$A$1092,"&lt;"&amp;A389)+1))</f>
        <v/>
      </c>
      <c r="T389" s="22"/>
      <c r="U389" s="21" t="str">
        <f aca="false">IF(R389="","",O389&amp;"|A|"&amp;R389)</f>
        <v/>
      </c>
      <c r="V389" s="21" t="str">
        <f aca="false">IF(S389="","",O389&amp;"|R|"&amp;S389)</f>
        <v/>
      </c>
    </row>
    <row r="390" customFormat="false" ht="15" hidden="false" customHeight="false" outlineLevel="0" collapsed="false">
      <c r="A390" s="18" t="n">
        <v>389</v>
      </c>
      <c r="B390" s="18"/>
      <c r="C390" s="18"/>
      <c r="D390" s="18"/>
      <c r="E390" s="18" t="s">
        <v>835</v>
      </c>
      <c r="F390" s="18" t="s">
        <v>836</v>
      </c>
      <c r="G390" s="18" t="s">
        <v>74</v>
      </c>
      <c r="H390" s="18" t="n">
        <v>139</v>
      </c>
      <c r="I390" s="19" t="n">
        <v>-7703</v>
      </c>
      <c r="J390" s="19" t="n">
        <v>11344.25</v>
      </c>
      <c r="K390" s="19" t="n">
        <v>3641.25</v>
      </c>
      <c r="L390" s="19" t="n">
        <v>0</v>
      </c>
      <c r="M390" s="19" t="n">
        <f aca="false">ABS(L390)</f>
        <v>0</v>
      </c>
      <c r="N390" s="18" t="str">
        <f aca="false">IF(L390=0,"Nil balance",IF(G390="AR file",IF(L390&gt;0,"Accounts Receivable","Customer Advances"),IF(L390&lt;0,"Accounts Payable","Supplier Advances")))</f>
        <v>Nil balance</v>
      </c>
      <c r="O390" s="18" t="str">
        <f aca="false">IF(L390=0,"Excluded",IF(Summary!$C$4="By ledger",IF(G390="AR file","Population 1","Population 2"),IF(L390&gt;0,"Population 1","Population 2")))</f>
        <v>Excluded</v>
      </c>
      <c r="P390" s="18" t="str">
        <f aca="false">IF(O390="Excluded","Excluded – nil closing balance",IF(M390&gt;Summary!$C$5,"Above Materiality","Below Materiality"))</f>
        <v>Excluded – nil closing balance</v>
      </c>
      <c r="Q390" s="20" t="str">
        <f aca="false">IF(P390="Below Materiality",T390,"")</f>
        <v/>
      </c>
      <c r="R390" s="21" t="str">
        <f aca="false">IF(P390="Above Materiality",COUNTIFS($O$2:$O$1092,O390,$P$2:$P$1092,"Above Materiality",$M$2:$M$1092,"&gt;"&amp;M390)+COUNTIFS($O$2:$O$1092,O390,$P$2:$P$1092,"Above Materiality",$M$2:$M$1092,M390,$A$2:$A$1092,"&lt;"&amp;A390)+1,"")</f>
        <v/>
      </c>
      <c r="S390" s="21" t="str">
        <f aca="false">IF(P390&lt;&gt;"Below Materiality","",IF(Summary!$C$9="Random",COUNTIFS($O$2:$O$1092,O390,$Q$2:$Q$1092,"&gt;"&amp;Q390)+1,COUNTIFS($O$2:$O$1092,O390,$P$2:$P$1092,"Below Materiality",$M$2:$M$1092,"&gt;"&amp;M390)+COUNTIFS($O$2:$O$1092,O390,$P$2:$P$1092,"Below Materiality",$M$2:$M$1092,M390,$A$2:$A$1092,"&lt;"&amp;A390)+1))</f>
        <v/>
      </c>
      <c r="T390" s="22"/>
      <c r="U390" s="21" t="str">
        <f aca="false">IF(R390="","",O390&amp;"|A|"&amp;R390)</f>
        <v/>
      </c>
      <c r="V390" s="21" t="str">
        <f aca="false">IF(S390="","",O390&amp;"|R|"&amp;S390)</f>
        <v/>
      </c>
    </row>
    <row r="391" customFormat="false" ht="15" hidden="false" customHeight="false" outlineLevel="0" collapsed="false">
      <c r="A391" s="18" t="n">
        <v>390</v>
      </c>
      <c r="B391" s="18"/>
      <c r="C391" s="18"/>
      <c r="D391" s="18"/>
      <c r="E391" s="18" t="s">
        <v>837</v>
      </c>
      <c r="F391" s="18" t="s">
        <v>838</v>
      </c>
      <c r="G391" s="18" t="s">
        <v>74</v>
      </c>
      <c r="H391" s="18" t="n">
        <v>140</v>
      </c>
      <c r="I391" s="19" t="n">
        <v>-0.5</v>
      </c>
      <c r="J391" s="19" t="n">
        <v>0.5</v>
      </c>
      <c r="K391" s="19" t="n">
        <v>0</v>
      </c>
      <c r="L391" s="19" t="n">
        <v>0</v>
      </c>
      <c r="M391" s="19" t="n">
        <f aca="false">ABS(L391)</f>
        <v>0</v>
      </c>
      <c r="N391" s="18" t="str">
        <f aca="false">IF(L391=0,"Nil balance",IF(G391="AR file",IF(L391&gt;0,"Accounts Receivable","Customer Advances"),IF(L391&lt;0,"Accounts Payable","Supplier Advances")))</f>
        <v>Nil balance</v>
      </c>
      <c r="O391" s="18" t="str">
        <f aca="false">IF(L391=0,"Excluded",IF(Summary!$C$4="By ledger",IF(G391="AR file","Population 1","Population 2"),IF(L391&gt;0,"Population 1","Population 2")))</f>
        <v>Excluded</v>
      </c>
      <c r="P391" s="18" t="str">
        <f aca="false">IF(O391="Excluded","Excluded – nil closing balance",IF(M391&gt;Summary!$C$5,"Above Materiality","Below Materiality"))</f>
        <v>Excluded – nil closing balance</v>
      </c>
      <c r="Q391" s="20" t="str">
        <f aca="false">IF(P391="Below Materiality",T391,"")</f>
        <v/>
      </c>
      <c r="R391" s="21" t="str">
        <f aca="false">IF(P391="Above Materiality",COUNTIFS($O$2:$O$1092,O391,$P$2:$P$1092,"Above Materiality",$M$2:$M$1092,"&gt;"&amp;M391)+COUNTIFS($O$2:$O$1092,O391,$P$2:$P$1092,"Above Materiality",$M$2:$M$1092,M391,$A$2:$A$1092,"&lt;"&amp;A391)+1,"")</f>
        <v/>
      </c>
      <c r="S391" s="21" t="str">
        <f aca="false">IF(P391&lt;&gt;"Below Materiality","",IF(Summary!$C$9="Random",COUNTIFS($O$2:$O$1092,O391,$Q$2:$Q$1092,"&gt;"&amp;Q391)+1,COUNTIFS($O$2:$O$1092,O391,$P$2:$P$1092,"Below Materiality",$M$2:$M$1092,"&gt;"&amp;M391)+COUNTIFS($O$2:$O$1092,O391,$P$2:$P$1092,"Below Materiality",$M$2:$M$1092,M391,$A$2:$A$1092,"&lt;"&amp;A391)+1))</f>
        <v/>
      </c>
      <c r="T391" s="22"/>
      <c r="U391" s="21" t="str">
        <f aca="false">IF(R391="","",O391&amp;"|A|"&amp;R391)</f>
        <v/>
      </c>
      <c r="V391" s="21" t="str">
        <f aca="false">IF(S391="","",O391&amp;"|R|"&amp;S391)</f>
        <v/>
      </c>
    </row>
    <row r="392" customFormat="false" ht="15" hidden="false" customHeight="false" outlineLevel="0" collapsed="false">
      <c r="A392" s="18" t="n">
        <v>391</v>
      </c>
      <c r="B392" s="18"/>
      <c r="C392" s="18"/>
      <c r="D392" s="18"/>
      <c r="E392" s="18" t="s">
        <v>839</v>
      </c>
      <c r="F392" s="18" t="s">
        <v>840</v>
      </c>
      <c r="G392" s="18" t="s">
        <v>74</v>
      </c>
      <c r="H392" s="18" t="n">
        <v>141</v>
      </c>
      <c r="I392" s="19" t="n">
        <v>0</v>
      </c>
      <c r="J392" s="19" t="n">
        <v>230</v>
      </c>
      <c r="K392" s="19" t="n">
        <v>230</v>
      </c>
      <c r="L392" s="19" t="n">
        <v>0</v>
      </c>
      <c r="M392" s="19" t="n">
        <f aca="false">ABS(L392)</f>
        <v>0</v>
      </c>
      <c r="N392" s="18" t="str">
        <f aca="false">IF(L392=0,"Nil balance",IF(G392="AR file",IF(L392&gt;0,"Accounts Receivable","Customer Advances"),IF(L392&lt;0,"Accounts Payable","Supplier Advances")))</f>
        <v>Nil balance</v>
      </c>
      <c r="O392" s="18" t="str">
        <f aca="false">IF(L392=0,"Excluded",IF(Summary!$C$4="By ledger",IF(G392="AR file","Population 1","Population 2"),IF(L392&gt;0,"Population 1","Population 2")))</f>
        <v>Excluded</v>
      </c>
      <c r="P392" s="18" t="str">
        <f aca="false">IF(O392="Excluded","Excluded – nil closing balance",IF(M392&gt;Summary!$C$5,"Above Materiality","Below Materiality"))</f>
        <v>Excluded – nil closing balance</v>
      </c>
      <c r="Q392" s="20" t="str">
        <f aca="false">IF(P392="Below Materiality",T392,"")</f>
        <v/>
      </c>
      <c r="R392" s="21" t="str">
        <f aca="false">IF(P392="Above Materiality",COUNTIFS($O$2:$O$1092,O392,$P$2:$P$1092,"Above Materiality",$M$2:$M$1092,"&gt;"&amp;M392)+COUNTIFS($O$2:$O$1092,O392,$P$2:$P$1092,"Above Materiality",$M$2:$M$1092,M392,$A$2:$A$1092,"&lt;"&amp;A392)+1,"")</f>
        <v/>
      </c>
      <c r="S392" s="21" t="str">
        <f aca="false">IF(P392&lt;&gt;"Below Materiality","",IF(Summary!$C$9="Random",COUNTIFS($O$2:$O$1092,O392,$Q$2:$Q$1092,"&gt;"&amp;Q392)+1,COUNTIFS($O$2:$O$1092,O392,$P$2:$P$1092,"Below Materiality",$M$2:$M$1092,"&gt;"&amp;M392)+COUNTIFS($O$2:$O$1092,O392,$P$2:$P$1092,"Below Materiality",$M$2:$M$1092,M392,$A$2:$A$1092,"&lt;"&amp;A392)+1))</f>
        <v/>
      </c>
      <c r="T392" s="22"/>
      <c r="U392" s="21" t="str">
        <f aca="false">IF(R392="","",O392&amp;"|A|"&amp;R392)</f>
        <v/>
      </c>
      <c r="V392" s="21" t="str">
        <f aca="false">IF(S392="","",O392&amp;"|R|"&amp;S392)</f>
        <v/>
      </c>
    </row>
    <row r="393" customFormat="false" ht="15" hidden="false" customHeight="false" outlineLevel="0" collapsed="false">
      <c r="A393" s="18" t="n">
        <v>392</v>
      </c>
      <c r="B393" s="18"/>
      <c r="C393" s="18"/>
      <c r="D393" s="18"/>
      <c r="E393" s="18" t="s">
        <v>841</v>
      </c>
      <c r="F393" s="18" t="s">
        <v>842</v>
      </c>
      <c r="G393" s="18" t="s">
        <v>74</v>
      </c>
      <c r="H393" s="18" t="n">
        <v>142</v>
      </c>
      <c r="I393" s="19" t="n">
        <v>2679.5</v>
      </c>
      <c r="J393" s="19" t="n">
        <v>11578.2</v>
      </c>
      <c r="K393" s="19" t="n">
        <v>14257.7</v>
      </c>
      <c r="L393" s="19" t="n">
        <v>0</v>
      </c>
      <c r="M393" s="19" t="n">
        <f aca="false">ABS(L393)</f>
        <v>0</v>
      </c>
      <c r="N393" s="18" t="str">
        <f aca="false">IF(L393=0,"Nil balance",IF(G393="AR file",IF(L393&gt;0,"Accounts Receivable","Customer Advances"),IF(L393&lt;0,"Accounts Payable","Supplier Advances")))</f>
        <v>Nil balance</v>
      </c>
      <c r="O393" s="18" t="str">
        <f aca="false">IF(L393=0,"Excluded",IF(Summary!$C$4="By ledger",IF(G393="AR file","Population 1","Population 2"),IF(L393&gt;0,"Population 1","Population 2")))</f>
        <v>Excluded</v>
      </c>
      <c r="P393" s="18" t="str">
        <f aca="false">IF(O393="Excluded","Excluded – nil closing balance",IF(M393&gt;Summary!$C$5,"Above Materiality","Below Materiality"))</f>
        <v>Excluded – nil closing balance</v>
      </c>
      <c r="Q393" s="20" t="str">
        <f aca="false">IF(P393="Below Materiality",T393,"")</f>
        <v/>
      </c>
      <c r="R393" s="21" t="str">
        <f aca="false">IF(P393="Above Materiality",COUNTIFS($O$2:$O$1092,O393,$P$2:$P$1092,"Above Materiality",$M$2:$M$1092,"&gt;"&amp;M393)+COUNTIFS($O$2:$O$1092,O393,$P$2:$P$1092,"Above Materiality",$M$2:$M$1092,M393,$A$2:$A$1092,"&lt;"&amp;A393)+1,"")</f>
        <v/>
      </c>
      <c r="S393" s="21" t="str">
        <f aca="false">IF(P393&lt;&gt;"Below Materiality","",IF(Summary!$C$9="Random",COUNTIFS($O$2:$O$1092,O393,$Q$2:$Q$1092,"&gt;"&amp;Q393)+1,COUNTIFS($O$2:$O$1092,O393,$P$2:$P$1092,"Below Materiality",$M$2:$M$1092,"&gt;"&amp;M393)+COUNTIFS($O$2:$O$1092,O393,$P$2:$P$1092,"Below Materiality",$M$2:$M$1092,M393,$A$2:$A$1092,"&lt;"&amp;A393)+1))</f>
        <v/>
      </c>
      <c r="T393" s="22"/>
      <c r="U393" s="21" t="str">
        <f aca="false">IF(R393="","",O393&amp;"|A|"&amp;R393)</f>
        <v/>
      </c>
      <c r="V393" s="21" t="str">
        <f aca="false">IF(S393="","",O393&amp;"|R|"&amp;S393)</f>
        <v/>
      </c>
    </row>
    <row r="394" customFormat="false" ht="15" hidden="false" customHeight="false" outlineLevel="0" collapsed="false">
      <c r="A394" s="18" t="n">
        <v>393</v>
      </c>
      <c r="B394" s="18"/>
      <c r="C394" s="18"/>
      <c r="D394" s="18"/>
      <c r="E394" s="18" t="s">
        <v>843</v>
      </c>
      <c r="F394" s="18" t="s">
        <v>844</v>
      </c>
      <c r="G394" s="18" t="s">
        <v>74</v>
      </c>
      <c r="H394" s="18" t="n">
        <v>143</v>
      </c>
      <c r="I394" s="19" t="n">
        <v>-12000</v>
      </c>
      <c r="J394" s="19" t="n">
        <v>12140</v>
      </c>
      <c r="K394" s="19" t="n">
        <v>140</v>
      </c>
      <c r="L394" s="19" t="n">
        <v>0</v>
      </c>
      <c r="M394" s="19" t="n">
        <f aca="false">ABS(L394)</f>
        <v>0</v>
      </c>
      <c r="N394" s="18" t="str">
        <f aca="false">IF(L394=0,"Nil balance",IF(G394="AR file",IF(L394&gt;0,"Accounts Receivable","Customer Advances"),IF(L394&lt;0,"Accounts Payable","Supplier Advances")))</f>
        <v>Nil balance</v>
      </c>
      <c r="O394" s="18" t="str">
        <f aca="false">IF(L394=0,"Excluded",IF(Summary!$C$4="By ledger",IF(G394="AR file","Population 1","Population 2"),IF(L394&gt;0,"Population 1","Population 2")))</f>
        <v>Excluded</v>
      </c>
      <c r="P394" s="18" t="str">
        <f aca="false">IF(O394="Excluded","Excluded – nil closing balance",IF(M394&gt;Summary!$C$5,"Above Materiality","Below Materiality"))</f>
        <v>Excluded – nil closing balance</v>
      </c>
      <c r="Q394" s="20" t="str">
        <f aca="false">IF(P394="Below Materiality",T394,"")</f>
        <v/>
      </c>
      <c r="R394" s="21" t="str">
        <f aca="false">IF(P394="Above Materiality",COUNTIFS($O$2:$O$1092,O394,$P$2:$P$1092,"Above Materiality",$M$2:$M$1092,"&gt;"&amp;M394)+COUNTIFS($O$2:$O$1092,O394,$P$2:$P$1092,"Above Materiality",$M$2:$M$1092,M394,$A$2:$A$1092,"&lt;"&amp;A394)+1,"")</f>
        <v/>
      </c>
      <c r="S394" s="21" t="str">
        <f aca="false">IF(P394&lt;&gt;"Below Materiality","",IF(Summary!$C$9="Random",COUNTIFS($O$2:$O$1092,O394,$Q$2:$Q$1092,"&gt;"&amp;Q394)+1,COUNTIFS($O$2:$O$1092,O394,$P$2:$P$1092,"Below Materiality",$M$2:$M$1092,"&gt;"&amp;M394)+COUNTIFS($O$2:$O$1092,O394,$P$2:$P$1092,"Below Materiality",$M$2:$M$1092,M394,$A$2:$A$1092,"&lt;"&amp;A394)+1))</f>
        <v/>
      </c>
      <c r="T394" s="22"/>
      <c r="U394" s="21" t="str">
        <f aca="false">IF(R394="","",O394&amp;"|A|"&amp;R394)</f>
        <v/>
      </c>
      <c r="V394" s="21" t="str">
        <f aca="false">IF(S394="","",O394&amp;"|R|"&amp;S394)</f>
        <v/>
      </c>
    </row>
    <row r="395" customFormat="false" ht="15" hidden="false" customHeight="false" outlineLevel="0" collapsed="false">
      <c r="A395" s="18" t="n">
        <v>394</v>
      </c>
      <c r="B395" s="18"/>
      <c r="C395" s="18"/>
      <c r="D395" s="18"/>
      <c r="E395" s="18" t="s">
        <v>845</v>
      </c>
      <c r="F395" s="18" t="s">
        <v>846</v>
      </c>
      <c r="G395" s="18" t="s">
        <v>74</v>
      </c>
      <c r="H395" s="18" t="n">
        <v>144</v>
      </c>
      <c r="I395" s="19" t="n">
        <v>0</v>
      </c>
      <c r="J395" s="19" t="n">
        <v>2980</v>
      </c>
      <c r="K395" s="19" t="n">
        <v>2980</v>
      </c>
      <c r="L395" s="19" t="n">
        <v>0</v>
      </c>
      <c r="M395" s="19" t="n">
        <f aca="false">ABS(L395)</f>
        <v>0</v>
      </c>
      <c r="N395" s="18" t="str">
        <f aca="false">IF(L395=0,"Nil balance",IF(G395="AR file",IF(L395&gt;0,"Accounts Receivable","Customer Advances"),IF(L395&lt;0,"Accounts Payable","Supplier Advances")))</f>
        <v>Nil balance</v>
      </c>
      <c r="O395" s="18" t="str">
        <f aca="false">IF(L395=0,"Excluded",IF(Summary!$C$4="By ledger",IF(G395="AR file","Population 1","Population 2"),IF(L395&gt;0,"Population 1","Population 2")))</f>
        <v>Excluded</v>
      </c>
      <c r="P395" s="18" t="str">
        <f aca="false">IF(O395="Excluded","Excluded – nil closing balance",IF(M395&gt;Summary!$C$5,"Above Materiality","Below Materiality"))</f>
        <v>Excluded – nil closing balance</v>
      </c>
      <c r="Q395" s="20" t="str">
        <f aca="false">IF(P395="Below Materiality",T395,"")</f>
        <v/>
      </c>
      <c r="R395" s="21" t="str">
        <f aca="false">IF(P395="Above Materiality",COUNTIFS($O$2:$O$1092,O395,$P$2:$P$1092,"Above Materiality",$M$2:$M$1092,"&gt;"&amp;M395)+COUNTIFS($O$2:$O$1092,O395,$P$2:$P$1092,"Above Materiality",$M$2:$M$1092,M395,$A$2:$A$1092,"&lt;"&amp;A395)+1,"")</f>
        <v/>
      </c>
      <c r="S395" s="21" t="str">
        <f aca="false">IF(P395&lt;&gt;"Below Materiality","",IF(Summary!$C$9="Random",COUNTIFS($O$2:$O$1092,O395,$Q$2:$Q$1092,"&gt;"&amp;Q395)+1,COUNTIFS($O$2:$O$1092,O395,$P$2:$P$1092,"Below Materiality",$M$2:$M$1092,"&gt;"&amp;M395)+COUNTIFS($O$2:$O$1092,O395,$P$2:$P$1092,"Below Materiality",$M$2:$M$1092,M395,$A$2:$A$1092,"&lt;"&amp;A395)+1))</f>
        <v/>
      </c>
      <c r="T395" s="22"/>
      <c r="U395" s="21" t="str">
        <f aca="false">IF(R395="","",O395&amp;"|A|"&amp;R395)</f>
        <v/>
      </c>
      <c r="V395" s="21" t="str">
        <f aca="false">IF(S395="","",O395&amp;"|R|"&amp;S395)</f>
        <v/>
      </c>
    </row>
    <row r="396" customFormat="false" ht="15" hidden="false" customHeight="false" outlineLevel="0" collapsed="false">
      <c r="A396" s="18" t="n">
        <v>395</v>
      </c>
      <c r="B396" s="18"/>
      <c r="C396" s="18"/>
      <c r="D396" s="18"/>
      <c r="E396" s="18" t="s">
        <v>847</v>
      </c>
      <c r="F396" s="18" t="s">
        <v>848</v>
      </c>
      <c r="G396" s="18" t="s">
        <v>74</v>
      </c>
      <c r="H396" s="18" t="n">
        <v>146</v>
      </c>
      <c r="I396" s="19" t="n">
        <v>0</v>
      </c>
      <c r="J396" s="19" t="n">
        <v>36000</v>
      </c>
      <c r="K396" s="19" t="n">
        <v>36000</v>
      </c>
      <c r="L396" s="19" t="n">
        <v>0</v>
      </c>
      <c r="M396" s="19" t="n">
        <f aca="false">ABS(L396)</f>
        <v>0</v>
      </c>
      <c r="N396" s="18" t="str">
        <f aca="false">IF(L396=0,"Nil balance",IF(G396="AR file",IF(L396&gt;0,"Accounts Receivable","Customer Advances"),IF(L396&lt;0,"Accounts Payable","Supplier Advances")))</f>
        <v>Nil balance</v>
      </c>
      <c r="O396" s="18" t="str">
        <f aca="false">IF(L396=0,"Excluded",IF(Summary!$C$4="By ledger",IF(G396="AR file","Population 1","Population 2"),IF(L396&gt;0,"Population 1","Population 2")))</f>
        <v>Excluded</v>
      </c>
      <c r="P396" s="18" t="str">
        <f aca="false">IF(O396="Excluded","Excluded – nil closing balance",IF(M396&gt;Summary!$C$5,"Above Materiality","Below Materiality"))</f>
        <v>Excluded – nil closing balance</v>
      </c>
      <c r="Q396" s="20" t="str">
        <f aca="false">IF(P396="Below Materiality",T396,"")</f>
        <v/>
      </c>
      <c r="R396" s="21" t="str">
        <f aca="false">IF(P396="Above Materiality",COUNTIFS($O$2:$O$1092,O396,$P$2:$P$1092,"Above Materiality",$M$2:$M$1092,"&gt;"&amp;M396)+COUNTIFS($O$2:$O$1092,O396,$P$2:$P$1092,"Above Materiality",$M$2:$M$1092,M396,$A$2:$A$1092,"&lt;"&amp;A396)+1,"")</f>
        <v/>
      </c>
      <c r="S396" s="21" t="str">
        <f aca="false">IF(P396&lt;&gt;"Below Materiality","",IF(Summary!$C$9="Random",COUNTIFS($O$2:$O$1092,O396,$Q$2:$Q$1092,"&gt;"&amp;Q396)+1,COUNTIFS($O$2:$O$1092,O396,$P$2:$P$1092,"Below Materiality",$M$2:$M$1092,"&gt;"&amp;M396)+COUNTIFS($O$2:$O$1092,O396,$P$2:$P$1092,"Below Materiality",$M$2:$M$1092,M396,$A$2:$A$1092,"&lt;"&amp;A396)+1))</f>
        <v/>
      </c>
      <c r="T396" s="22"/>
      <c r="U396" s="21" t="str">
        <f aca="false">IF(R396="","",O396&amp;"|A|"&amp;R396)</f>
        <v/>
      </c>
      <c r="V396" s="21" t="str">
        <f aca="false">IF(S396="","",O396&amp;"|R|"&amp;S396)</f>
        <v/>
      </c>
    </row>
    <row r="397" customFormat="false" ht="15" hidden="false" customHeight="false" outlineLevel="0" collapsed="false">
      <c r="A397" s="18" t="n">
        <v>396</v>
      </c>
      <c r="B397" s="18"/>
      <c r="C397" s="18"/>
      <c r="D397" s="18"/>
      <c r="E397" s="18" t="s">
        <v>849</v>
      </c>
      <c r="F397" s="18" t="s">
        <v>850</v>
      </c>
      <c r="G397" s="18" t="s">
        <v>74</v>
      </c>
      <c r="H397" s="18" t="n">
        <v>147</v>
      </c>
      <c r="I397" s="19" t="n">
        <v>-207</v>
      </c>
      <c r="J397" s="19" t="n">
        <v>1242</v>
      </c>
      <c r="K397" s="19" t="n">
        <v>1035</v>
      </c>
      <c r="L397" s="19" t="n">
        <v>0</v>
      </c>
      <c r="M397" s="19" t="n">
        <f aca="false">ABS(L397)</f>
        <v>0</v>
      </c>
      <c r="N397" s="18" t="str">
        <f aca="false">IF(L397=0,"Nil balance",IF(G397="AR file",IF(L397&gt;0,"Accounts Receivable","Customer Advances"),IF(L397&lt;0,"Accounts Payable","Supplier Advances")))</f>
        <v>Nil balance</v>
      </c>
      <c r="O397" s="18" t="str">
        <f aca="false">IF(L397=0,"Excluded",IF(Summary!$C$4="By ledger",IF(G397="AR file","Population 1","Population 2"),IF(L397&gt;0,"Population 1","Population 2")))</f>
        <v>Excluded</v>
      </c>
      <c r="P397" s="18" t="str">
        <f aca="false">IF(O397="Excluded","Excluded – nil closing balance",IF(M397&gt;Summary!$C$5,"Above Materiality","Below Materiality"))</f>
        <v>Excluded – nil closing balance</v>
      </c>
      <c r="Q397" s="20" t="str">
        <f aca="false">IF(P397="Below Materiality",T397,"")</f>
        <v/>
      </c>
      <c r="R397" s="21" t="str">
        <f aca="false">IF(P397="Above Materiality",COUNTIFS($O$2:$O$1092,O397,$P$2:$P$1092,"Above Materiality",$M$2:$M$1092,"&gt;"&amp;M397)+COUNTIFS($O$2:$O$1092,O397,$P$2:$P$1092,"Above Materiality",$M$2:$M$1092,M397,$A$2:$A$1092,"&lt;"&amp;A397)+1,"")</f>
        <v/>
      </c>
      <c r="S397" s="21" t="str">
        <f aca="false">IF(P397&lt;&gt;"Below Materiality","",IF(Summary!$C$9="Random",COUNTIFS($O$2:$O$1092,O397,$Q$2:$Q$1092,"&gt;"&amp;Q397)+1,COUNTIFS($O$2:$O$1092,O397,$P$2:$P$1092,"Below Materiality",$M$2:$M$1092,"&gt;"&amp;M397)+COUNTIFS($O$2:$O$1092,O397,$P$2:$P$1092,"Below Materiality",$M$2:$M$1092,M397,$A$2:$A$1092,"&lt;"&amp;A397)+1))</f>
        <v/>
      </c>
      <c r="T397" s="22"/>
      <c r="U397" s="21" t="str">
        <f aca="false">IF(R397="","",O397&amp;"|A|"&amp;R397)</f>
        <v/>
      </c>
      <c r="V397" s="21" t="str">
        <f aca="false">IF(S397="","",O397&amp;"|R|"&amp;S397)</f>
        <v/>
      </c>
    </row>
    <row r="398" customFormat="false" ht="15" hidden="false" customHeight="false" outlineLevel="0" collapsed="false">
      <c r="A398" s="18" t="n">
        <v>397</v>
      </c>
      <c r="B398" s="18"/>
      <c r="C398" s="18"/>
      <c r="D398" s="18"/>
      <c r="E398" s="18" t="s">
        <v>851</v>
      </c>
      <c r="F398" s="18" t="s">
        <v>852</v>
      </c>
      <c r="G398" s="18" t="s">
        <v>74</v>
      </c>
      <c r="H398" s="18" t="n">
        <v>148</v>
      </c>
      <c r="I398" s="19" t="n">
        <v>287.5</v>
      </c>
      <c r="J398" s="19" t="n">
        <v>0</v>
      </c>
      <c r="K398" s="19" t="n">
        <v>287.5</v>
      </c>
      <c r="L398" s="19" t="n">
        <v>0</v>
      </c>
      <c r="M398" s="19" t="n">
        <f aca="false">ABS(L398)</f>
        <v>0</v>
      </c>
      <c r="N398" s="18" t="str">
        <f aca="false">IF(L398=0,"Nil balance",IF(G398="AR file",IF(L398&gt;0,"Accounts Receivable","Customer Advances"),IF(L398&lt;0,"Accounts Payable","Supplier Advances")))</f>
        <v>Nil balance</v>
      </c>
      <c r="O398" s="18" t="str">
        <f aca="false">IF(L398=0,"Excluded",IF(Summary!$C$4="By ledger",IF(G398="AR file","Population 1","Population 2"),IF(L398&gt;0,"Population 1","Population 2")))</f>
        <v>Excluded</v>
      </c>
      <c r="P398" s="18" t="str">
        <f aca="false">IF(O398="Excluded","Excluded – nil closing balance",IF(M398&gt;Summary!$C$5,"Above Materiality","Below Materiality"))</f>
        <v>Excluded – nil closing balance</v>
      </c>
      <c r="Q398" s="20" t="str">
        <f aca="false">IF(P398="Below Materiality",T398,"")</f>
        <v/>
      </c>
      <c r="R398" s="21" t="str">
        <f aca="false">IF(P398="Above Materiality",COUNTIFS($O$2:$O$1092,O398,$P$2:$P$1092,"Above Materiality",$M$2:$M$1092,"&gt;"&amp;M398)+COUNTIFS($O$2:$O$1092,O398,$P$2:$P$1092,"Above Materiality",$M$2:$M$1092,M398,$A$2:$A$1092,"&lt;"&amp;A398)+1,"")</f>
        <v/>
      </c>
      <c r="S398" s="21" t="str">
        <f aca="false">IF(P398&lt;&gt;"Below Materiality","",IF(Summary!$C$9="Random",COUNTIFS($O$2:$O$1092,O398,$Q$2:$Q$1092,"&gt;"&amp;Q398)+1,COUNTIFS($O$2:$O$1092,O398,$P$2:$P$1092,"Below Materiality",$M$2:$M$1092,"&gt;"&amp;M398)+COUNTIFS($O$2:$O$1092,O398,$P$2:$P$1092,"Below Materiality",$M$2:$M$1092,M398,$A$2:$A$1092,"&lt;"&amp;A398)+1))</f>
        <v/>
      </c>
      <c r="T398" s="22"/>
      <c r="U398" s="21" t="str">
        <f aca="false">IF(R398="","",O398&amp;"|A|"&amp;R398)</f>
        <v/>
      </c>
      <c r="V398" s="21" t="str">
        <f aca="false">IF(S398="","",O398&amp;"|R|"&amp;S398)</f>
        <v/>
      </c>
    </row>
    <row r="399" customFormat="false" ht="15" hidden="false" customHeight="false" outlineLevel="0" collapsed="false">
      <c r="A399" s="18" t="n">
        <v>398</v>
      </c>
      <c r="B399" s="18"/>
      <c r="C399" s="18"/>
      <c r="D399" s="18"/>
      <c r="E399" s="18" t="s">
        <v>853</v>
      </c>
      <c r="F399" s="18" t="s">
        <v>854</v>
      </c>
      <c r="G399" s="18" t="s">
        <v>74</v>
      </c>
      <c r="H399" s="18" t="n">
        <v>149</v>
      </c>
      <c r="I399" s="19" t="n">
        <v>-10455.8</v>
      </c>
      <c r="J399" s="19" t="n">
        <v>19653.5</v>
      </c>
      <c r="K399" s="19" t="n">
        <v>9197.7</v>
      </c>
      <c r="L399" s="19" t="n">
        <v>0</v>
      </c>
      <c r="M399" s="19" t="n">
        <f aca="false">ABS(L399)</f>
        <v>0</v>
      </c>
      <c r="N399" s="18" t="str">
        <f aca="false">IF(L399=0,"Nil balance",IF(G399="AR file",IF(L399&gt;0,"Accounts Receivable","Customer Advances"),IF(L399&lt;0,"Accounts Payable","Supplier Advances")))</f>
        <v>Nil balance</v>
      </c>
      <c r="O399" s="18" t="str">
        <f aca="false">IF(L399=0,"Excluded",IF(Summary!$C$4="By ledger",IF(G399="AR file","Population 1","Population 2"),IF(L399&gt;0,"Population 1","Population 2")))</f>
        <v>Excluded</v>
      </c>
      <c r="P399" s="18" t="str">
        <f aca="false">IF(O399="Excluded","Excluded – nil closing balance",IF(M399&gt;Summary!$C$5,"Above Materiality","Below Materiality"))</f>
        <v>Excluded – nil closing balance</v>
      </c>
      <c r="Q399" s="20" t="str">
        <f aca="false">IF(P399="Below Materiality",T399,"")</f>
        <v/>
      </c>
      <c r="R399" s="21" t="str">
        <f aca="false">IF(P399="Above Materiality",COUNTIFS($O$2:$O$1092,O399,$P$2:$P$1092,"Above Materiality",$M$2:$M$1092,"&gt;"&amp;M399)+COUNTIFS($O$2:$O$1092,O399,$P$2:$P$1092,"Above Materiality",$M$2:$M$1092,M399,$A$2:$A$1092,"&lt;"&amp;A399)+1,"")</f>
        <v/>
      </c>
      <c r="S399" s="21" t="str">
        <f aca="false">IF(P399&lt;&gt;"Below Materiality","",IF(Summary!$C$9="Random",COUNTIFS($O$2:$O$1092,O399,$Q$2:$Q$1092,"&gt;"&amp;Q399)+1,COUNTIFS($O$2:$O$1092,O399,$P$2:$P$1092,"Below Materiality",$M$2:$M$1092,"&gt;"&amp;M399)+COUNTIFS($O$2:$O$1092,O399,$P$2:$P$1092,"Below Materiality",$M$2:$M$1092,M399,$A$2:$A$1092,"&lt;"&amp;A399)+1))</f>
        <v/>
      </c>
      <c r="T399" s="22"/>
      <c r="U399" s="21" t="str">
        <f aca="false">IF(R399="","",O399&amp;"|A|"&amp;R399)</f>
        <v/>
      </c>
      <c r="V399" s="21" t="str">
        <f aca="false">IF(S399="","",O399&amp;"|R|"&amp;S399)</f>
        <v/>
      </c>
    </row>
    <row r="400" customFormat="false" ht="15" hidden="false" customHeight="false" outlineLevel="0" collapsed="false">
      <c r="A400" s="18" t="n">
        <v>399</v>
      </c>
      <c r="B400" s="18"/>
      <c r="C400" s="18"/>
      <c r="D400" s="18"/>
      <c r="E400" s="18" t="s">
        <v>855</v>
      </c>
      <c r="F400" s="18" t="s">
        <v>856</v>
      </c>
      <c r="G400" s="18" t="s">
        <v>74</v>
      </c>
      <c r="H400" s="18" t="n">
        <v>150</v>
      </c>
      <c r="I400" s="19" t="n">
        <v>0</v>
      </c>
      <c r="J400" s="19" t="n">
        <v>19808.75</v>
      </c>
      <c r="K400" s="19" t="n">
        <v>19808.75</v>
      </c>
      <c r="L400" s="19" t="n">
        <v>0</v>
      </c>
      <c r="M400" s="19" t="n">
        <f aca="false">ABS(L400)</f>
        <v>0</v>
      </c>
      <c r="N400" s="18" t="str">
        <f aca="false">IF(L400=0,"Nil balance",IF(G400="AR file",IF(L400&gt;0,"Accounts Receivable","Customer Advances"),IF(L400&lt;0,"Accounts Payable","Supplier Advances")))</f>
        <v>Nil balance</v>
      </c>
      <c r="O400" s="18" t="str">
        <f aca="false">IF(L400=0,"Excluded",IF(Summary!$C$4="By ledger",IF(G400="AR file","Population 1","Population 2"),IF(L400&gt;0,"Population 1","Population 2")))</f>
        <v>Excluded</v>
      </c>
      <c r="P400" s="18" t="str">
        <f aca="false">IF(O400="Excluded","Excluded – nil closing balance",IF(M400&gt;Summary!$C$5,"Above Materiality","Below Materiality"))</f>
        <v>Excluded – nil closing balance</v>
      </c>
      <c r="Q400" s="20" t="str">
        <f aca="false">IF(P400="Below Materiality",T400,"")</f>
        <v/>
      </c>
      <c r="R400" s="21" t="str">
        <f aca="false">IF(P400="Above Materiality",COUNTIFS($O$2:$O$1092,O400,$P$2:$P$1092,"Above Materiality",$M$2:$M$1092,"&gt;"&amp;M400)+COUNTIFS($O$2:$O$1092,O400,$P$2:$P$1092,"Above Materiality",$M$2:$M$1092,M400,$A$2:$A$1092,"&lt;"&amp;A400)+1,"")</f>
        <v/>
      </c>
      <c r="S400" s="21" t="str">
        <f aca="false">IF(P400&lt;&gt;"Below Materiality","",IF(Summary!$C$9="Random",COUNTIFS($O$2:$O$1092,O400,$Q$2:$Q$1092,"&gt;"&amp;Q400)+1,COUNTIFS($O$2:$O$1092,O400,$P$2:$P$1092,"Below Materiality",$M$2:$M$1092,"&gt;"&amp;M400)+COUNTIFS($O$2:$O$1092,O400,$P$2:$P$1092,"Below Materiality",$M$2:$M$1092,M400,$A$2:$A$1092,"&lt;"&amp;A400)+1))</f>
        <v/>
      </c>
      <c r="T400" s="22"/>
      <c r="U400" s="21" t="str">
        <f aca="false">IF(R400="","",O400&amp;"|A|"&amp;R400)</f>
        <v/>
      </c>
      <c r="V400" s="21" t="str">
        <f aca="false">IF(S400="","",O400&amp;"|R|"&amp;S400)</f>
        <v/>
      </c>
    </row>
    <row r="401" customFormat="false" ht="15" hidden="false" customHeight="false" outlineLevel="0" collapsed="false">
      <c r="A401" s="18" t="n">
        <v>400</v>
      </c>
      <c r="B401" s="18"/>
      <c r="C401" s="18"/>
      <c r="D401" s="18"/>
      <c r="E401" s="18" t="s">
        <v>857</v>
      </c>
      <c r="F401" s="18" t="s">
        <v>858</v>
      </c>
      <c r="G401" s="18" t="s">
        <v>74</v>
      </c>
      <c r="H401" s="18" t="n">
        <v>151</v>
      </c>
      <c r="I401" s="19" t="n">
        <v>227.5</v>
      </c>
      <c r="J401" s="19" t="n">
        <v>6869.94</v>
      </c>
      <c r="K401" s="19" t="n">
        <v>7097.44</v>
      </c>
      <c r="L401" s="19" t="n">
        <v>0</v>
      </c>
      <c r="M401" s="19" t="n">
        <f aca="false">ABS(L401)</f>
        <v>0</v>
      </c>
      <c r="N401" s="18" t="str">
        <f aca="false">IF(L401=0,"Nil balance",IF(G401="AR file",IF(L401&gt;0,"Accounts Receivable","Customer Advances"),IF(L401&lt;0,"Accounts Payable","Supplier Advances")))</f>
        <v>Nil balance</v>
      </c>
      <c r="O401" s="18" t="str">
        <f aca="false">IF(L401=0,"Excluded",IF(Summary!$C$4="By ledger",IF(G401="AR file","Population 1","Population 2"),IF(L401&gt;0,"Population 1","Population 2")))</f>
        <v>Excluded</v>
      </c>
      <c r="P401" s="18" t="str">
        <f aca="false">IF(O401="Excluded","Excluded – nil closing balance",IF(M401&gt;Summary!$C$5,"Above Materiality","Below Materiality"))</f>
        <v>Excluded – nil closing balance</v>
      </c>
      <c r="Q401" s="20" t="str">
        <f aca="false">IF(P401="Below Materiality",T401,"")</f>
        <v/>
      </c>
      <c r="R401" s="21" t="str">
        <f aca="false">IF(P401="Above Materiality",COUNTIFS($O$2:$O$1092,O401,$P$2:$P$1092,"Above Materiality",$M$2:$M$1092,"&gt;"&amp;M401)+COUNTIFS($O$2:$O$1092,O401,$P$2:$P$1092,"Above Materiality",$M$2:$M$1092,M401,$A$2:$A$1092,"&lt;"&amp;A401)+1,"")</f>
        <v/>
      </c>
      <c r="S401" s="21" t="str">
        <f aca="false">IF(P401&lt;&gt;"Below Materiality","",IF(Summary!$C$9="Random",COUNTIFS($O$2:$O$1092,O401,$Q$2:$Q$1092,"&gt;"&amp;Q401)+1,COUNTIFS($O$2:$O$1092,O401,$P$2:$P$1092,"Below Materiality",$M$2:$M$1092,"&gt;"&amp;M401)+COUNTIFS($O$2:$O$1092,O401,$P$2:$P$1092,"Below Materiality",$M$2:$M$1092,M401,$A$2:$A$1092,"&lt;"&amp;A401)+1))</f>
        <v/>
      </c>
      <c r="T401" s="22"/>
      <c r="U401" s="21" t="str">
        <f aca="false">IF(R401="","",O401&amp;"|A|"&amp;R401)</f>
        <v/>
      </c>
      <c r="V401" s="21" t="str">
        <f aca="false">IF(S401="","",O401&amp;"|R|"&amp;S401)</f>
        <v/>
      </c>
    </row>
    <row r="402" customFormat="false" ht="15" hidden="false" customHeight="false" outlineLevel="0" collapsed="false">
      <c r="A402" s="18" t="n">
        <v>401</v>
      </c>
      <c r="B402" s="18"/>
      <c r="C402" s="18"/>
      <c r="D402" s="18"/>
      <c r="E402" s="18" t="s">
        <v>859</v>
      </c>
      <c r="F402" s="18" t="s">
        <v>860</v>
      </c>
      <c r="G402" s="18" t="s">
        <v>74</v>
      </c>
      <c r="H402" s="18" t="n">
        <v>152</v>
      </c>
      <c r="I402" s="19" t="n">
        <v>0</v>
      </c>
      <c r="J402" s="19" t="n">
        <v>402.5</v>
      </c>
      <c r="K402" s="19" t="n">
        <v>402.5</v>
      </c>
      <c r="L402" s="19" t="n">
        <v>0</v>
      </c>
      <c r="M402" s="19" t="n">
        <f aca="false">ABS(L402)</f>
        <v>0</v>
      </c>
      <c r="N402" s="18" t="str">
        <f aca="false">IF(L402=0,"Nil balance",IF(G402="AR file",IF(L402&gt;0,"Accounts Receivable","Customer Advances"),IF(L402&lt;0,"Accounts Payable","Supplier Advances")))</f>
        <v>Nil balance</v>
      </c>
      <c r="O402" s="18" t="str">
        <f aca="false">IF(L402=0,"Excluded",IF(Summary!$C$4="By ledger",IF(G402="AR file","Population 1","Population 2"),IF(L402&gt;0,"Population 1","Population 2")))</f>
        <v>Excluded</v>
      </c>
      <c r="P402" s="18" t="str">
        <f aca="false">IF(O402="Excluded","Excluded – nil closing balance",IF(M402&gt;Summary!$C$5,"Above Materiality","Below Materiality"))</f>
        <v>Excluded – nil closing balance</v>
      </c>
      <c r="Q402" s="20" t="str">
        <f aca="false">IF(P402="Below Materiality",T402,"")</f>
        <v/>
      </c>
      <c r="R402" s="21" t="str">
        <f aca="false">IF(P402="Above Materiality",COUNTIFS($O$2:$O$1092,O402,$P$2:$P$1092,"Above Materiality",$M$2:$M$1092,"&gt;"&amp;M402)+COUNTIFS($O$2:$O$1092,O402,$P$2:$P$1092,"Above Materiality",$M$2:$M$1092,M402,$A$2:$A$1092,"&lt;"&amp;A402)+1,"")</f>
        <v/>
      </c>
      <c r="S402" s="21" t="str">
        <f aca="false">IF(P402&lt;&gt;"Below Materiality","",IF(Summary!$C$9="Random",COUNTIFS($O$2:$O$1092,O402,$Q$2:$Q$1092,"&gt;"&amp;Q402)+1,COUNTIFS($O$2:$O$1092,O402,$P$2:$P$1092,"Below Materiality",$M$2:$M$1092,"&gt;"&amp;M402)+COUNTIFS($O$2:$O$1092,O402,$P$2:$P$1092,"Below Materiality",$M$2:$M$1092,M402,$A$2:$A$1092,"&lt;"&amp;A402)+1))</f>
        <v/>
      </c>
      <c r="T402" s="22"/>
      <c r="U402" s="21" t="str">
        <f aca="false">IF(R402="","",O402&amp;"|A|"&amp;R402)</f>
        <v/>
      </c>
      <c r="V402" s="21" t="str">
        <f aca="false">IF(S402="","",O402&amp;"|R|"&amp;S402)</f>
        <v/>
      </c>
    </row>
    <row r="403" customFormat="false" ht="15" hidden="false" customHeight="false" outlineLevel="0" collapsed="false">
      <c r="A403" s="18" t="n">
        <v>402</v>
      </c>
      <c r="B403" s="18"/>
      <c r="C403" s="18"/>
      <c r="D403" s="18"/>
      <c r="E403" s="18" t="s">
        <v>861</v>
      </c>
      <c r="F403" s="18" t="s">
        <v>862</v>
      </c>
      <c r="G403" s="18" t="s">
        <v>74</v>
      </c>
      <c r="H403" s="18" t="n">
        <v>153</v>
      </c>
      <c r="I403" s="19" t="n">
        <v>0</v>
      </c>
      <c r="J403" s="19" t="n">
        <v>10542.05</v>
      </c>
      <c r="K403" s="19" t="n">
        <v>10542.05</v>
      </c>
      <c r="L403" s="19" t="n">
        <v>0</v>
      </c>
      <c r="M403" s="19" t="n">
        <f aca="false">ABS(L403)</f>
        <v>0</v>
      </c>
      <c r="N403" s="18" t="str">
        <f aca="false">IF(L403=0,"Nil balance",IF(G403="AR file",IF(L403&gt;0,"Accounts Receivable","Customer Advances"),IF(L403&lt;0,"Accounts Payable","Supplier Advances")))</f>
        <v>Nil balance</v>
      </c>
      <c r="O403" s="18" t="str">
        <f aca="false">IF(L403=0,"Excluded",IF(Summary!$C$4="By ledger",IF(G403="AR file","Population 1","Population 2"),IF(L403&gt;0,"Population 1","Population 2")))</f>
        <v>Excluded</v>
      </c>
      <c r="P403" s="18" t="str">
        <f aca="false">IF(O403="Excluded","Excluded – nil closing balance",IF(M403&gt;Summary!$C$5,"Above Materiality","Below Materiality"))</f>
        <v>Excluded – nil closing balance</v>
      </c>
      <c r="Q403" s="20" t="str">
        <f aca="false">IF(P403="Below Materiality",T403,"")</f>
        <v/>
      </c>
      <c r="R403" s="21" t="str">
        <f aca="false">IF(P403="Above Materiality",COUNTIFS($O$2:$O$1092,O403,$P$2:$P$1092,"Above Materiality",$M$2:$M$1092,"&gt;"&amp;M403)+COUNTIFS($O$2:$O$1092,O403,$P$2:$P$1092,"Above Materiality",$M$2:$M$1092,M403,$A$2:$A$1092,"&lt;"&amp;A403)+1,"")</f>
        <v/>
      </c>
      <c r="S403" s="21" t="str">
        <f aca="false">IF(P403&lt;&gt;"Below Materiality","",IF(Summary!$C$9="Random",COUNTIFS($O$2:$O$1092,O403,$Q$2:$Q$1092,"&gt;"&amp;Q403)+1,COUNTIFS($O$2:$O$1092,O403,$P$2:$P$1092,"Below Materiality",$M$2:$M$1092,"&gt;"&amp;M403)+COUNTIFS($O$2:$O$1092,O403,$P$2:$P$1092,"Below Materiality",$M$2:$M$1092,M403,$A$2:$A$1092,"&lt;"&amp;A403)+1))</f>
        <v/>
      </c>
      <c r="T403" s="22"/>
      <c r="U403" s="21" t="str">
        <f aca="false">IF(R403="","",O403&amp;"|A|"&amp;R403)</f>
        <v/>
      </c>
      <c r="V403" s="21" t="str">
        <f aca="false">IF(S403="","",O403&amp;"|R|"&amp;S403)</f>
        <v/>
      </c>
    </row>
    <row r="404" customFormat="false" ht="15" hidden="false" customHeight="false" outlineLevel="0" collapsed="false">
      <c r="A404" s="18" t="n">
        <v>403</v>
      </c>
      <c r="B404" s="18"/>
      <c r="C404" s="18"/>
      <c r="D404" s="18"/>
      <c r="E404" s="18" t="s">
        <v>863</v>
      </c>
      <c r="F404" s="18" t="s">
        <v>864</v>
      </c>
      <c r="G404" s="18" t="s">
        <v>74</v>
      </c>
      <c r="H404" s="18" t="n">
        <v>154</v>
      </c>
      <c r="I404" s="19" t="n">
        <v>4140</v>
      </c>
      <c r="J404" s="19" t="n">
        <v>44269.25</v>
      </c>
      <c r="K404" s="19" t="n">
        <v>48409.25</v>
      </c>
      <c r="L404" s="19" t="n">
        <v>0</v>
      </c>
      <c r="M404" s="19" t="n">
        <f aca="false">ABS(L404)</f>
        <v>0</v>
      </c>
      <c r="N404" s="18" t="str">
        <f aca="false">IF(L404=0,"Nil balance",IF(G404="AR file",IF(L404&gt;0,"Accounts Receivable","Customer Advances"),IF(L404&lt;0,"Accounts Payable","Supplier Advances")))</f>
        <v>Nil balance</v>
      </c>
      <c r="O404" s="18" t="str">
        <f aca="false">IF(L404=0,"Excluded",IF(Summary!$C$4="By ledger",IF(G404="AR file","Population 1","Population 2"),IF(L404&gt;0,"Population 1","Population 2")))</f>
        <v>Excluded</v>
      </c>
      <c r="P404" s="18" t="str">
        <f aca="false">IF(O404="Excluded","Excluded – nil closing balance",IF(M404&gt;Summary!$C$5,"Above Materiality","Below Materiality"))</f>
        <v>Excluded – nil closing balance</v>
      </c>
      <c r="Q404" s="20" t="str">
        <f aca="false">IF(P404="Below Materiality",T404,"")</f>
        <v/>
      </c>
      <c r="R404" s="21" t="str">
        <f aca="false">IF(P404="Above Materiality",COUNTIFS($O$2:$O$1092,O404,$P$2:$P$1092,"Above Materiality",$M$2:$M$1092,"&gt;"&amp;M404)+COUNTIFS($O$2:$O$1092,O404,$P$2:$P$1092,"Above Materiality",$M$2:$M$1092,M404,$A$2:$A$1092,"&lt;"&amp;A404)+1,"")</f>
        <v/>
      </c>
      <c r="S404" s="21" t="str">
        <f aca="false">IF(P404&lt;&gt;"Below Materiality","",IF(Summary!$C$9="Random",COUNTIFS($O$2:$O$1092,O404,$Q$2:$Q$1092,"&gt;"&amp;Q404)+1,COUNTIFS($O$2:$O$1092,O404,$P$2:$P$1092,"Below Materiality",$M$2:$M$1092,"&gt;"&amp;M404)+COUNTIFS($O$2:$O$1092,O404,$P$2:$P$1092,"Below Materiality",$M$2:$M$1092,M404,$A$2:$A$1092,"&lt;"&amp;A404)+1))</f>
        <v/>
      </c>
      <c r="T404" s="22"/>
      <c r="U404" s="21" t="str">
        <f aca="false">IF(R404="","",O404&amp;"|A|"&amp;R404)</f>
        <v/>
      </c>
      <c r="V404" s="21" t="str">
        <f aca="false">IF(S404="","",O404&amp;"|R|"&amp;S404)</f>
        <v/>
      </c>
    </row>
    <row r="405" customFormat="false" ht="15" hidden="false" customHeight="false" outlineLevel="0" collapsed="false">
      <c r="A405" s="18" t="n">
        <v>404</v>
      </c>
      <c r="B405" s="18"/>
      <c r="C405" s="18"/>
      <c r="D405" s="18"/>
      <c r="E405" s="18" t="s">
        <v>865</v>
      </c>
      <c r="F405" s="18" t="s">
        <v>866</v>
      </c>
      <c r="G405" s="18" t="s">
        <v>74</v>
      </c>
      <c r="H405" s="18" t="n">
        <v>155</v>
      </c>
      <c r="I405" s="19" t="n">
        <v>93.6299999999901</v>
      </c>
      <c r="J405" s="19" t="n">
        <v>31668.7</v>
      </c>
      <c r="K405" s="19" t="n">
        <v>31762.33</v>
      </c>
      <c r="L405" s="19" t="n">
        <v>0</v>
      </c>
      <c r="M405" s="19" t="n">
        <f aca="false">ABS(L405)</f>
        <v>0</v>
      </c>
      <c r="N405" s="18" t="str">
        <f aca="false">IF(L405=0,"Nil balance",IF(G405="AR file",IF(L405&gt;0,"Accounts Receivable","Customer Advances"),IF(L405&lt;0,"Accounts Payable","Supplier Advances")))</f>
        <v>Nil balance</v>
      </c>
      <c r="O405" s="18" t="str">
        <f aca="false">IF(L405=0,"Excluded",IF(Summary!$C$4="By ledger",IF(G405="AR file","Population 1","Population 2"),IF(L405&gt;0,"Population 1","Population 2")))</f>
        <v>Excluded</v>
      </c>
      <c r="P405" s="18" t="str">
        <f aca="false">IF(O405="Excluded","Excluded – nil closing balance",IF(M405&gt;Summary!$C$5,"Above Materiality","Below Materiality"))</f>
        <v>Excluded – nil closing balance</v>
      </c>
      <c r="Q405" s="20" t="str">
        <f aca="false">IF(P405="Below Materiality",T405,"")</f>
        <v/>
      </c>
      <c r="R405" s="21" t="str">
        <f aca="false">IF(P405="Above Materiality",COUNTIFS($O$2:$O$1092,O405,$P$2:$P$1092,"Above Materiality",$M$2:$M$1092,"&gt;"&amp;M405)+COUNTIFS($O$2:$O$1092,O405,$P$2:$P$1092,"Above Materiality",$M$2:$M$1092,M405,$A$2:$A$1092,"&lt;"&amp;A405)+1,"")</f>
        <v/>
      </c>
      <c r="S405" s="21" t="str">
        <f aca="false">IF(P405&lt;&gt;"Below Materiality","",IF(Summary!$C$9="Random",COUNTIFS($O$2:$O$1092,O405,$Q$2:$Q$1092,"&gt;"&amp;Q405)+1,COUNTIFS($O$2:$O$1092,O405,$P$2:$P$1092,"Below Materiality",$M$2:$M$1092,"&gt;"&amp;M405)+COUNTIFS($O$2:$O$1092,O405,$P$2:$P$1092,"Below Materiality",$M$2:$M$1092,M405,$A$2:$A$1092,"&lt;"&amp;A405)+1))</f>
        <v/>
      </c>
      <c r="T405" s="22"/>
      <c r="U405" s="21" t="str">
        <f aca="false">IF(R405="","",O405&amp;"|A|"&amp;R405)</f>
        <v/>
      </c>
      <c r="V405" s="21" t="str">
        <f aca="false">IF(S405="","",O405&amp;"|R|"&amp;S405)</f>
        <v/>
      </c>
    </row>
    <row r="406" customFormat="false" ht="15" hidden="false" customHeight="false" outlineLevel="0" collapsed="false">
      <c r="A406" s="18" t="n">
        <v>405</v>
      </c>
      <c r="B406" s="18"/>
      <c r="C406" s="18"/>
      <c r="D406" s="18"/>
      <c r="E406" s="18" t="s">
        <v>867</v>
      </c>
      <c r="F406" s="18" t="s">
        <v>868</v>
      </c>
      <c r="G406" s="18" t="s">
        <v>74</v>
      </c>
      <c r="H406" s="18" t="n">
        <v>159</v>
      </c>
      <c r="I406" s="19" t="n">
        <v>0.700000000004366</v>
      </c>
      <c r="J406" s="19" t="n">
        <v>37740.98</v>
      </c>
      <c r="K406" s="19" t="n">
        <v>37741.68</v>
      </c>
      <c r="L406" s="19" t="n">
        <v>0</v>
      </c>
      <c r="M406" s="19" t="n">
        <f aca="false">ABS(L406)</f>
        <v>0</v>
      </c>
      <c r="N406" s="18" t="str">
        <f aca="false">IF(L406=0,"Nil balance",IF(G406="AR file",IF(L406&gt;0,"Accounts Receivable","Customer Advances"),IF(L406&lt;0,"Accounts Payable","Supplier Advances")))</f>
        <v>Nil balance</v>
      </c>
      <c r="O406" s="18" t="str">
        <f aca="false">IF(L406=0,"Excluded",IF(Summary!$C$4="By ledger",IF(G406="AR file","Population 1","Population 2"),IF(L406&gt;0,"Population 1","Population 2")))</f>
        <v>Excluded</v>
      </c>
      <c r="P406" s="18" t="str">
        <f aca="false">IF(O406="Excluded","Excluded – nil closing balance",IF(M406&gt;Summary!$C$5,"Above Materiality","Below Materiality"))</f>
        <v>Excluded – nil closing balance</v>
      </c>
      <c r="Q406" s="20" t="str">
        <f aca="false">IF(P406="Below Materiality",T406,"")</f>
        <v/>
      </c>
      <c r="R406" s="21" t="str">
        <f aca="false">IF(P406="Above Materiality",COUNTIFS($O$2:$O$1092,O406,$P$2:$P$1092,"Above Materiality",$M$2:$M$1092,"&gt;"&amp;M406)+COUNTIFS($O$2:$O$1092,O406,$P$2:$P$1092,"Above Materiality",$M$2:$M$1092,M406,$A$2:$A$1092,"&lt;"&amp;A406)+1,"")</f>
        <v/>
      </c>
      <c r="S406" s="21" t="str">
        <f aca="false">IF(P406&lt;&gt;"Below Materiality","",IF(Summary!$C$9="Random",COUNTIFS($O$2:$O$1092,O406,$Q$2:$Q$1092,"&gt;"&amp;Q406)+1,COUNTIFS($O$2:$O$1092,O406,$P$2:$P$1092,"Below Materiality",$M$2:$M$1092,"&gt;"&amp;M406)+COUNTIFS($O$2:$O$1092,O406,$P$2:$P$1092,"Below Materiality",$M$2:$M$1092,M406,$A$2:$A$1092,"&lt;"&amp;A406)+1))</f>
        <v/>
      </c>
      <c r="T406" s="22"/>
      <c r="U406" s="21" t="str">
        <f aca="false">IF(R406="","",O406&amp;"|A|"&amp;R406)</f>
        <v/>
      </c>
      <c r="V406" s="21" t="str">
        <f aca="false">IF(S406="","",O406&amp;"|R|"&amp;S406)</f>
        <v/>
      </c>
    </row>
    <row r="407" customFormat="false" ht="15" hidden="false" customHeight="false" outlineLevel="0" collapsed="false">
      <c r="A407" s="18" t="n">
        <v>406</v>
      </c>
      <c r="B407" s="18"/>
      <c r="C407" s="18"/>
      <c r="D407" s="18"/>
      <c r="E407" s="18" t="s">
        <v>869</v>
      </c>
      <c r="F407" s="18" t="s">
        <v>870</v>
      </c>
      <c r="G407" s="18" t="s">
        <v>74</v>
      </c>
      <c r="H407" s="18" t="n">
        <v>160</v>
      </c>
      <c r="I407" s="19" t="n">
        <v>0</v>
      </c>
      <c r="J407" s="19" t="n">
        <v>1580</v>
      </c>
      <c r="K407" s="19" t="n">
        <v>1580</v>
      </c>
      <c r="L407" s="19" t="n">
        <v>0</v>
      </c>
      <c r="M407" s="19" t="n">
        <f aca="false">ABS(L407)</f>
        <v>0</v>
      </c>
      <c r="N407" s="18" t="str">
        <f aca="false">IF(L407=0,"Nil balance",IF(G407="AR file",IF(L407&gt;0,"Accounts Receivable","Customer Advances"),IF(L407&lt;0,"Accounts Payable","Supplier Advances")))</f>
        <v>Nil balance</v>
      </c>
      <c r="O407" s="18" t="str">
        <f aca="false">IF(L407=0,"Excluded",IF(Summary!$C$4="By ledger",IF(G407="AR file","Population 1","Population 2"),IF(L407&gt;0,"Population 1","Population 2")))</f>
        <v>Excluded</v>
      </c>
      <c r="P407" s="18" t="str">
        <f aca="false">IF(O407="Excluded","Excluded – nil closing balance",IF(M407&gt;Summary!$C$5,"Above Materiality","Below Materiality"))</f>
        <v>Excluded – nil closing balance</v>
      </c>
      <c r="Q407" s="20" t="str">
        <f aca="false">IF(P407="Below Materiality",T407,"")</f>
        <v/>
      </c>
      <c r="R407" s="21" t="str">
        <f aca="false">IF(P407="Above Materiality",COUNTIFS($O$2:$O$1092,O407,$P$2:$P$1092,"Above Materiality",$M$2:$M$1092,"&gt;"&amp;M407)+COUNTIFS($O$2:$O$1092,O407,$P$2:$P$1092,"Above Materiality",$M$2:$M$1092,M407,$A$2:$A$1092,"&lt;"&amp;A407)+1,"")</f>
        <v/>
      </c>
      <c r="S407" s="21" t="str">
        <f aca="false">IF(P407&lt;&gt;"Below Materiality","",IF(Summary!$C$9="Random",COUNTIFS($O$2:$O$1092,O407,$Q$2:$Q$1092,"&gt;"&amp;Q407)+1,COUNTIFS($O$2:$O$1092,O407,$P$2:$P$1092,"Below Materiality",$M$2:$M$1092,"&gt;"&amp;M407)+COUNTIFS($O$2:$O$1092,O407,$P$2:$P$1092,"Below Materiality",$M$2:$M$1092,M407,$A$2:$A$1092,"&lt;"&amp;A407)+1))</f>
        <v/>
      </c>
      <c r="T407" s="22"/>
      <c r="U407" s="21" t="str">
        <f aca="false">IF(R407="","",O407&amp;"|A|"&amp;R407)</f>
        <v/>
      </c>
      <c r="V407" s="21" t="str">
        <f aca="false">IF(S407="","",O407&amp;"|R|"&amp;S407)</f>
        <v/>
      </c>
    </row>
    <row r="408" customFormat="false" ht="15" hidden="false" customHeight="false" outlineLevel="0" collapsed="false">
      <c r="A408" s="18" t="n">
        <v>407</v>
      </c>
      <c r="B408" s="18"/>
      <c r="C408" s="18"/>
      <c r="D408" s="18"/>
      <c r="E408" s="18" t="s">
        <v>871</v>
      </c>
      <c r="F408" s="18" t="s">
        <v>872</v>
      </c>
      <c r="G408" s="18" t="s">
        <v>74</v>
      </c>
      <c r="H408" s="18" t="n">
        <v>162</v>
      </c>
      <c r="I408" s="19" t="n">
        <v>0</v>
      </c>
      <c r="J408" s="19" t="n">
        <v>1218.01</v>
      </c>
      <c r="K408" s="19" t="n">
        <v>1218.01</v>
      </c>
      <c r="L408" s="19" t="n">
        <v>0</v>
      </c>
      <c r="M408" s="19" t="n">
        <f aca="false">ABS(L408)</f>
        <v>0</v>
      </c>
      <c r="N408" s="18" t="str">
        <f aca="false">IF(L408=0,"Nil balance",IF(G408="AR file",IF(L408&gt;0,"Accounts Receivable","Customer Advances"),IF(L408&lt;0,"Accounts Payable","Supplier Advances")))</f>
        <v>Nil balance</v>
      </c>
      <c r="O408" s="18" t="str">
        <f aca="false">IF(L408=0,"Excluded",IF(Summary!$C$4="By ledger",IF(G408="AR file","Population 1","Population 2"),IF(L408&gt;0,"Population 1","Population 2")))</f>
        <v>Excluded</v>
      </c>
      <c r="P408" s="18" t="str">
        <f aca="false">IF(O408="Excluded","Excluded – nil closing balance",IF(M408&gt;Summary!$C$5,"Above Materiality","Below Materiality"))</f>
        <v>Excluded – nil closing balance</v>
      </c>
      <c r="Q408" s="20" t="str">
        <f aca="false">IF(P408="Below Materiality",T408,"")</f>
        <v/>
      </c>
      <c r="R408" s="21" t="str">
        <f aca="false">IF(P408="Above Materiality",COUNTIFS($O$2:$O$1092,O408,$P$2:$P$1092,"Above Materiality",$M$2:$M$1092,"&gt;"&amp;M408)+COUNTIFS($O$2:$O$1092,O408,$P$2:$P$1092,"Above Materiality",$M$2:$M$1092,M408,$A$2:$A$1092,"&lt;"&amp;A408)+1,"")</f>
        <v/>
      </c>
      <c r="S408" s="21" t="str">
        <f aca="false">IF(P408&lt;&gt;"Below Materiality","",IF(Summary!$C$9="Random",COUNTIFS($O$2:$O$1092,O408,$Q$2:$Q$1092,"&gt;"&amp;Q408)+1,COUNTIFS($O$2:$O$1092,O408,$P$2:$P$1092,"Below Materiality",$M$2:$M$1092,"&gt;"&amp;M408)+COUNTIFS($O$2:$O$1092,O408,$P$2:$P$1092,"Below Materiality",$M$2:$M$1092,M408,$A$2:$A$1092,"&lt;"&amp;A408)+1))</f>
        <v/>
      </c>
      <c r="T408" s="22"/>
      <c r="U408" s="21" t="str">
        <f aca="false">IF(R408="","",O408&amp;"|A|"&amp;R408)</f>
        <v/>
      </c>
      <c r="V408" s="21" t="str">
        <f aca="false">IF(S408="","",O408&amp;"|R|"&amp;S408)</f>
        <v/>
      </c>
    </row>
    <row r="409" customFormat="false" ht="15" hidden="false" customHeight="false" outlineLevel="0" collapsed="false">
      <c r="A409" s="18" t="n">
        <v>408</v>
      </c>
      <c r="B409" s="18"/>
      <c r="C409" s="18"/>
      <c r="D409" s="18"/>
      <c r="E409" s="18" t="s">
        <v>873</v>
      </c>
      <c r="F409" s="18" t="s">
        <v>425</v>
      </c>
      <c r="G409" s="18" t="s">
        <v>74</v>
      </c>
      <c r="H409" s="18" t="n">
        <v>163</v>
      </c>
      <c r="I409" s="19" t="n">
        <v>0</v>
      </c>
      <c r="J409" s="19" t="n">
        <v>34.5</v>
      </c>
      <c r="K409" s="19" t="n">
        <v>34.5</v>
      </c>
      <c r="L409" s="19" t="n">
        <v>0</v>
      </c>
      <c r="M409" s="19" t="n">
        <f aca="false">ABS(L409)</f>
        <v>0</v>
      </c>
      <c r="N409" s="18" t="str">
        <f aca="false">IF(L409=0,"Nil balance",IF(G409="AR file",IF(L409&gt;0,"Accounts Receivable","Customer Advances"),IF(L409&lt;0,"Accounts Payable","Supplier Advances")))</f>
        <v>Nil balance</v>
      </c>
      <c r="O409" s="18" t="str">
        <f aca="false">IF(L409=0,"Excluded",IF(Summary!$C$4="By ledger",IF(G409="AR file","Population 1","Population 2"),IF(L409&gt;0,"Population 1","Population 2")))</f>
        <v>Excluded</v>
      </c>
      <c r="P409" s="18" t="str">
        <f aca="false">IF(O409="Excluded","Excluded – nil closing balance",IF(M409&gt;Summary!$C$5,"Above Materiality","Below Materiality"))</f>
        <v>Excluded – nil closing balance</v>
      </c>
      <c r="Q409" s="20" t="str">
        <f aca="false">IF(P409="Below Materiality",T409,"")</f>
        <v/>
      </c>
      <c r="R409" s="21" t="str">
        <f aca="false">IF(P409="Above Materiality",COUNTIFS($O$2:$O$1092,O409,$P$2:$P$1092,"Above Materiality",$M$2:$M$1092,"&gt;"&amp;M409)+COUNTIFS($O$2:$O$1092,O409,$P$2:$P$1092,"Above Materiality",$M$2:$M$1092,M409,$A$2:$A$1092,"&lt;"&amp;A409)+1,"")</f>
        <v/>
      </c>
      <c r="S409" s="21" t="str">
        <f aca="false">IF(P409&lt;&gt;"Below Materiality","",IF(Summary!$C$9="Random",COUNTIFS($O$2:$O$1092,O409,$Q$2:$Q$1092,"&gt;"&amp;Q409)+1,COUNTIFS($O$2:$O$1092,O409,$P$2:$P$1092,"Below Materiality",$M$2:$M$1092,"&gt;"&amp;M409)+COUNTIFS($O$2:$O$1092,O409,$P$2:$P$1092,"Below Materiality",$M$2:$M$1092,M409,$A$2:$A$1092,"&lt;"&amp;A409)+1))</f>
        <v/>
      </c>
      <c r="T409" s="22"/>
      <c r="U409" s="21" t="str">
        <f aca="false">IF(R409="","",O409&amp;"|A|"&amp;R409)</f>
        <v/>
      </c>
      <c r="V409" s="21" t="str">
        <f aca="false">IF(S409="","",O409&amp;"|R|"&amp;S409)</f>
        <v/>
      </c>
    </row>
    <row r="410" customFormat="false" ht="15" hidden="false" customHeight="false" outlineLevel="0" collapsed="false">
      <c r="A410" s="18" t="n">
        <v>409</v>
      </c>
      <c r="B410" s="18"/>
      <c r="C410" s="18"/>
      <c r="D410" s="18"/>
      <c r="E410" s="18" t="s">
        <v>874</v>
      </c>
      <c r="F410" s="18" t="s">
        <v>875</v>
      </c>
      <c r="G410" s="18" t="s">
        <v>74</v>
      </c>
      <c r="H410" s="18" t="n">
        <v>164</v>
      </c>
      <c r="I410" s="19" t="n">
        <v>-1500</v>
      </c>
      <c r="J410" s="19" t="n">
        <v>1500</v>
      </c>
      <c r="K410" s="19" t="n">
        <v>0</v>
      </c>
      <c r="L410" s="19" t="n">
        <v>0</v>
      </c>
      <c r="M410" s="19" t="n">
        <f aca="false">ABS(L410)</f>
        <v>0</v>
      </c>
      <c r="N410" s="18" t="str">
        <f aca="false">IF(L410=0,"Nil balance",IF(G410="AR file",IF(L410&gt;0,"Accounts Receivable","Customer Advances"),IF(L410&lt;0,"Accounts Payable","Supplier Advances")))</f>
        <v>Nil balance</v>
      </c>
      <c r="O410" s="18" t="str">
        <f aca="false">IF(L410=0,"Excluded",IF(Summary!$C$4="By ledger",IF(G410="AR file","Population 1","Population 2"),IF(L410&gt;0,"Population 1","Population 2")))</f>
        <v>Excluded</v>
      </c>
      <c r="P410" s="18" t="str">
        <f aca="false">IF(O410="Excluded","Excluded – nil closing balance",IF(M410&gt;Summary!$C$5,"Above Materiality","Below Materiality"))</f>
        <v>Excluded – nil closing balance</v>
      </c>
      <c r="Q410" s="20" t="str">
        <f aca="false">IF(P410="Below Materiality",T410,"")</f>
        <v/>
      </c>
      <c r="R410" s="21" t="str">
        <f aca="false">IF(P410="Above Materiality",COUNTIFS($O$2:$O$1092,O410,$P$2:$P$1092,"Above Materiality",$M$2:$M$1092,"&gt;"&amp;M410)+COUNTIFS($O$2:$O$1092,O410,$P$2:$P$1092,"Above Materiality",$M$2:$M$1092,M410,$A$2:$A$1092,"&lt;"&amp;A410)+1,"")</f>
        <v/>
      </c>
      <c r="S410" s="21" t="str">
        <f aca="false">IF(P410&lt;&gt;"Below Materiality","",IF(Summary!$C$9="Random",COUNTIFS($O$2:$O$1092,O410,$Q$2:$Q$1092,"&gt;"&amp;Q410)+1,COUNTIFS($O$2:$O$1092,O410,$P$2:$P$1092,"Below Materiality",$M$2:$M$1092,"&gt;"&amp;M410)+COUNTIFS($O$2:$O$1092,O410,$P$2:$P$1092,"Below Materiality",$M$2:$M$1092,M410,$A$2:$A$1092,"&lt;"&amp;A410)+1))</f>
        <v/>
      </c>
      <c r="T410" s="22"/>
      <c r="U410" s="21" t="str">
        <f aca="false">IF(R410="","",O410&amp;"|A|"&amp;R410)</f>
        <v/>
      </c>
      <c r="V410" s="21" t="str">
        <f aca="false">IF(S410="","",O410&amp;"|R|"&amp;S410)</f>
        <v/>
      </c>
    </row>
    <row r="411" customFormat="false" ht="15" hidden="false" customHeight="false" outlineLevel="0" collapsed="false">
      <c r="A411" s="18" t="n">
        <v>410</v>
      </c>
      <c r="B411" s="18"/>
      <c r="C411" s="18"/>
      <c r="D411" s="18"/>
      <c r="E411" s="18" t="s">
        <v>876</v>
      </c>
      <c r="F411" s="18" t="s">
        <v>877</v>
      </c>
      <c r="G411" s="18" t="s">
        <v>74</v>
      </c>
      <c r="H411" s="18" t="n">
        <v>165</v>
      </c>
      <c r="I411" s="19" t="n">
        <v>0</v>
      </c>
      <c r="J411" s="19" t="n">
        <v>5290.8</v>
      </c>
      <c r="K411" s="19" t="n">
        <v>5290.8</v>
      </c>
      <c r="L411" s="19" t="n">
        <v>0</v>
      </c>
      <c r="M411" s="19" t="n">
        <f aca="false">ABS(L411)</f>
        <v>0</v>
      </c>
      <c r="N411" s="18" t="str">
        <f aca="false">IF(L411=0,"Nil balance",IF(G411="AR file",IF(L411&gt;0,"Accounts Receivable","Customer Advances"),IF(L411&lt;0,"Accounts Payable","Supplier Advances")))</f>
        <v>Nil balance</v>
      </c>
      <c r="O411" s="18" t="str">
        <f aca="false">IF(L411=0,"Excluded",IF(Summary!$C$4="By ledger",IF(G411="AR file","Population 1","Population 2"),IF(L411&gt;0,"Population 1","Population 2")))</f>
        <v>Excluded</v>
      </c>
      <c r="P411" s="18" t="str">
        <f aca="false">IF(O411="Excluded","Excluded – nil closing balance",IF(M411&gt;Summary!$C$5,"Above Materiality","Below Materiality"))</f>
        <v>Excluded – nil closing balance</v>
      </c>
      <c r="Q411" s="20" t="str">
        <f aca="false">IF(P411="Below Materiality",T411,"")</f>
        <v/>
      </c>
      <c r="R411" s="21" t="str">
        <f aca="false">IF(P411="Above Materiality",COUNTIFS($O$2:$O$1092,O411,$P$2:$P$1092,"Above Materiality",$M$2:$M$1092,"&gt;"&amp;M411)+COUNTIFS($O$2:$O$1092,O411,$P$2:$P$1092,"Above Materiality",$M$2:$M$1092,M411,$A$2:$A$1092,"&lt;"&amp;A411)+1,"")</f>
        <v/>
      </c>
      <c r="S411" s="21" t="str">
        <f aca="false">IF(P411&lt;&gt;"Below Materiality","",IF(Summary!$C$9="Random",COUNTIFS($O$2:$O$1092,O411,$Q$2:$Q$1092,"&gt;"&amp;Q411)+1,COUNTIFS($O$2:$O$1092,O411,$P$2:$P$1092,"Below Materiality",$M$2:$M$1092,"&gt;"&amp;M411)+COUNTIFS($O$2:$O$1092,O411,$P$2:$P$1092,"Below Materiality",$M$2:$M$1092,M411,$A$2:$A$1092,"&lt;"&amp;A411)+1))</f>
        <v/>
      </c>
      <c r="T411" s="22"/>
      <c r="U411" s="21" t="str">
        <f aca="false">IF(R411="","",O411&amp;"|A|"&amp;R411)</f>
        <v/>
      </c>
      <c r="V411" s="21" t="str">
        <f aca="false">IF(S411="","",O411&amp;"|R|"&amp;S411)</f>
        <v/>
      </c>
    </row>
    <row r="412" customFormat="false" ht="15" hidden="false" customHeight="false" outlineLevel="0" collapsed="false">
      <c r="A412" s="18" t="n">
        <v>411</v>
      </c>
      <c r="B412" s="18"/>
      <c r="C412" s="18"/>
      <c r="D412" s="18"/>
      <c r="E412" s="18" t="s">
        <v>878</v>
      </c>
      <c r="F412" s="18" t="s">
        <v>879</v>
      </c>
      <c r="G412" s="18" t="s">
        <v>74</v>
      </c>
      <c r="H412" s="18" t="n">
        <v>166</v>
      </c>
      <c r="I412" s="19" t="n">
        <v>0</v>
      </c>
      <c r="J412" s="19" t="n">
        <v>6468.75</v>
      </c>
      <c r="K412" s="19" t="n">
        <v>6468.75</v>
      </c>
      <c r="L412" s="19" t="n">
        <v>0</v>
      </c>
      <c r="M412" s="19" t="n">
        <f aca="false">ABS(L412)</f>
        <v>0</v>
      </c>
      <c r="N412" s="18" t="str">
        <f aca="false">IF(L412=0,"Nil balance",IF(G412="AR file",IF(L412&gt;0,"Accounts Receivable","Customer Advances"),IF(L412&lt;0,"Accounts Payable","Supplier Advances")))</f>
        <v>Nil balance</v>
      </c>
      <c r="O412" s="18" t="str">
        <f aca="false">IF(L412=0,"Excluded",IF(Summary!$C$4="By ledger",IF(G412="AR file","Population 1","Population 2"),IF(L412&gt;0,"Population 1","Population 2")))</f>
        <v>Excluded</v>
      </c>
      <c r="P412" s="18" t="str">
        <f aca="false">IF(O412="Excluded","Excluded – nil closing balance",IF(M412&gt;Summary!$C$5,"Above Materiality","Below Materiality"))</f>
        <v>Excluded – nil closing balance</v>
      </c>
      <c r="Q412" s="20" t="str">
        <f aca="false">IF(P412="Below Materiality",T412,"")</f>
        <v/>
      </c>
      <c r="R412" s="21" t="str">
        <f aca="false">IF(P412="Above Materiality",COUNTIFS($O$2:$O$1092,O412,$P$2:$P$1092,"Above Materiality",$M$2:$M$1092,"&gt;"&amp;M412)+COUNTIFS($O$2:$O$1092,O412,$P$2:$P$1092,"Above Materiality",$M$2:$M$1092,M412,$A$2:$A$1092,"&lt;"&amp;A412)+1,"")</f>
        <v/>
      </c>
      <c r="S412" s="21" t="str">
        <f aca="false">IF(P412&lt;&gt;"Below Materiality","",IF(Summary!$C$9="Random",COUNTIFS($O$2:$O$1092,O412,$Q$2:$Q$1092,"&gt;"&amp;Q412)+1,COUNTIFS($O$2:$O$1092,O412,$P$2:$P$1092,"Below Materiality",$M$2:$M$1092,"&gt;"&amp;M412)+COUNTIFS($O$2:$O$1092,O412,$P$2:$P$1092,"Below Materiality",$M$2:$M$1092,M412,$A$2:$A$1092,"&lt;"&amp;A412)+1))</f>
        <v/>
      </c>
      <c r="T412" s="22"/>
      <c r="U412" s="21" t="str">
        <f aca="false">IF(R412="","",O412&amp;"|A|"&amp;R412)</f>
        <v/>
      </c>
      <c r="V412" s="21" t="str">
        <f aca="false">IF(S412="","",O412&amp;"|R|"&amp;S412)</f>
        <v/>
      </c>
    </row>
    <row r="413" customFormat="false" ht="15" hidden="false" customHeight="false" outlineLevel="0" collapsed="false">
      <c r="A413" s="18" t="n">
        <v>412</v>
      </c>
      <c r="B413" s="18"/>
      <c r="C413" s="18"/>
      <c r="D413" s="18"/>
      <c r="E413" s="18" t="s">
        <v>880</v>
      </c>
      <c r="F413" s="18" t="s">
        <v>881</v>
      </c>
      <c r="G413" s="18" t="s">
        <v>74</v>
      </c>
      <c r="H413" s="18" t="n">
        <v>167</v>
      </c>
      <c r="I413" s="19" t="n">
        <v>0.5</v>
      </c>
      <c r="J413" s="19" t="n">
        <v>780.85</v>
      </c>
      <c r="K413" s="19" t="n">
        <v>781.35</v>
      </c>
      <c r="L413" s="19" t="n">
        <v>0</v>
      </c>
      <c r="M413" s="19" t="n">
        <f aca="false">ABS(L413)</f>
        <v>0</v>
      </c>
      <c r="N413" s="18" t="str">
        <f aca="false">IF(L413=0,"Nil balance",IF(G413="AR file",IF(L413&gt;0,"Accounts Receivable","Customer Advances"),IF(L413&lt;0,"Accounts Payable","Supplier Advances")))</f>
        <v>Nil balance</v>
      </c>
      <c r="O413" s="18" t="str">
        <f aca="false">IF(L413=0,"Excluded",IF(Summary!$C$4="By ledger",IF(G413="AR file","Population 1","Population 2"),IF(L413&gt;0,"Population 1","Population 2")))</f>
        <v>Excluded</v>
      </c>
      <c r="P413" s="18" t="str">
        <f aca="false">IF(O413="Excluded","Excluded – nil closing balance",IF(M413&gt;Summary!$C$5,"Above Materiality","Below Materiality"))</f>
        <v>Excluded – nil closing balance</v>
      </c>
      <c r="Q413" s="20" t="str">
        <f aca="false">IF(P413="Below Materiality",T413,"")</f>
        <v/>
      </c>
      <c r="R413" s="21" t="str">
        <f aca="false">IF(P413="Above Materiality",COUNTIFS($O$2:$O$1092,O413,$P$2:$P$1092,"Above Materiality",$M$2:$M$1092,"&gt;"&amp;M413)+COUNTIFS($O$2:$O$1092,O413,$P$2:$P$1092,"Above Materiality",$M$2:$M$1092,M413,$A$2:$A$1092,"&lt;"&amp;A413)+1,"")</f>
        <v/>
      </c>
      <c r="S413" s="21" t="str">
        <f aca="false">IF(P413&lt;&gt;"Below Materiality","",IF(Summary!$C$9="Random",COUNTIFS($O$2:$O$1092,O413,$Q$2:$Q$1092,"&gt;"&amp;Q413)+1,COUNTIFS($O$2:$O$1092,O413,$P$2:$P$1092,"Below Materiality",$M$2:$M$1092,"&gt;"&amp;M413)+COUNTIFS($O$2:$O$1092,O413,$P$2:$P$1092,"Below Materiality",$M$2:$M$1092,M413,$A$2:$A$1092,"&lt;"&amp;A413)+1))</f>
        <v/>
      </c>
      <c r="T413" s="22"/>
      <c r="U413" s="21" t="str">
        <f aca="false">IF(R413="","",O413&amp;"|A|"&amp;R413)</f>
        <v/>
      </c>
      <c r="V413" s="21" t="str">
        <f aca="false">IF(S413="","",O413&amp;"|R|"&amp;S413)</f>
        <v/>
      </c>
    </row>
    <row r="414" customFormat="false" ht="15" hidden="false" customHeight="false" outlineLevel="0" collapsed="false">
      <c r="A414" s="18" t="n">
        <v>413</v>
      </c>
      <c r="B414" s="18"/>
      <c r="C414" s="18"/>
      <c r="D414" s="18"/>
      <c r="E414" s="18" t="s">
        <v>882</v>
      </c>
      <c r="F414" s="18" t="s">
        <v>883</v>
      </c>
      <c r="G414" s="18" t="s">
        <v>74</v>
      </c>
      <c r="H414" s="18" t="n">
        <v>168</v>
      </c>
      <c r="I414" s="19" t="n">
        <v>0</v>
      </c>
      <c r="J414" s="19" t="n">
        <v>1050</v>
      </c>
      <c r="K414" s="19" t="n">
        <v>1050</v>
      </c>
      <c r="L414" s="19" t="n">
        <v>0</v>
      </c>
      <c r="M414" s="19" t="n">
        <f aca="false">ABS(L414)</f>
        <v>0</v>
      </c>
      <c r="N414" s="18" t="str">
        <f aca="false">IF(L414=0,"Nil balance",IF(G414="AR file",IF(L414&gt;0,"Accounts Receivable","Customer Advances"),IF(L414&lt;0,"Accounts Payable","Supplier Advances")))</f>
        <v>Nil balance</v>
      </c>
      <c r="O414" s="18" t="str">
        <f aca="false">IF(L414=0,"Excluded",IF(Summary!$C$4="By ledger",IF(G414="AR file","Population 1","Population 2"),IF(L414&gt;0,"Population 1","Population 2")))</f>
        <v>Excluded</v>
      </c>
      <c r="P414" s="18" t="str">
        <f aca="false">IF(O414="Excluded","Excluded – nil closing balance",IF(M414&gt;Summary!$C$5,"Above Materiality","Below Materiality"))</f>
        <v>Excluded – nil closing balance</v>
      </c>
      <c r="Q414" s="20" t="str">
        <f aca="false">IF(P414="Below Materiality",T414,"")</f>
        <v/>
      </c>
      <c r="R414" s="21" t="str">
        <f aca="false">IF(P414="Above Materiality",COUNTIFS($O$2:$O$1092,O414,$P$2:$P$1092,"Above Materiality",$M$2:$M$1092,"&gt;"&amp;M414)+COUNTIFS($O$2:$O$1092,O414,$P$2:$P$1092,"Above Materiality",$M$2:$M$1092,M414,$A$2:$A$1092,"&lt;"&amp;A414)+1,"")</f>
        <v/>
      </c>
      <c r="S414" s="21" t="str">
        <f aca="false">IF(P414&lt;&gt;"Below Materiality","",IF(Summary!$C$9="Random",COUNTIFS($O$2:$O$1092,O414,$Q$2:$Q$1092,"&gt;"&amp;Q414)+1,COUNTIFS($O$2:$O$1092,O414,$P$2:$P$1092,"Below Materiality",$M$2:$M$1092,"&gt;"&amp;M414)+COUNTIFS($O$2:$O$1092,O414,$P$2:$P$1092,"Below Materiality",$M$2:$M$1092,M414,$A$2:$A$1092,"&lt;"&amp;A414)+1))</f>
        <v/>
      </c>
      <c r="T414" s="22"/>
      <c r="U414" s="21" t="str">
        <f aca="false">IF(R414="","",O414&amp;"|A|"&amp;R414)</f>
        <v/>
      </c>
      <c r="V414" s="21" t="str">
        <f aca="false">IF(S414="","",O414&amp;"|R|"&amp;S414)</f>
        <v/>
      </c>
    </row>
    <row r="415" customFormat="false" ht="15" hidden="false" customHeight="false" outlineLevel="0" collapsed="false">
      <c r="A415" s="18" t="n">
        <v>414</v>
      </c>
      <c r="B415" s="18"/>
      <c r="C415" s="18"/>
      <c r="D415" s="18"/>
      <c r="E415" s="18" t="s">
        <v>884</v>
      </c>
      <c r="F415" s="18" t="s">
        <v>455</v>
      </c>
      <c r="G415" s="18" t="s">
        <v>74</v>
      </c>
      <c r="H415" s="18" t="n">
        <v>169</v>
      </c>
      <c r="I415" s="19" t="n">
        <v>0</v>
      </c>
      <c r="J415" s="19" t="n">
        <v>161</v>
      </c>
      <c r="K415" s="19" t="n">
        <v>161</v>
      </c>
      <c r="L415" s="19" t="n">
        <v>0</v>
      </c>
      <c r="M415" s="19" t="n">
        <f aca="false">ABS(L415)</f>
        <v>0</v>
      </c>
      <c r="N415" s="18" t="str">
        <f aca="false">IF(L415=0,"Nil balance",IF(G415="AR file",IF(L415&gt;0,"Accounts Receivable","Customer Advances"),IF(L415&lt;0,"Accounts Payable","Supplier Advances")))</f>
        <v>Nil balance</v>
      </c>
      <c r="O415" s="18" t="str">
        <f aca="false">IF(L415=0,"Excluded",IF(Summary!$C$4="By ledger",IF(G415="AR file","Population 1","Population 2"),IF(L415&gt;0,"Population 1","Population 2")))</f>
        <v>Excluded</v>
      </c>
      <c r="P415" s="18" t="str">
        <f aca="false">IF(O415="Excluded","Excluded – nil closing balance",IF(M415&gt;Summary!$C$5,"Above Materiality","Below Materiality"))</f>
        <v>Excluded – nil closing balance</v>
      </c>
      <c r="Q415" s="20" t="str">
        <f aca="false">IF(P415="Below Materiality",T415,"")</f>
        <v/>
      </c>
      <c r="R415" s="21" t="str">
        <f aca="false">IF(P415="Above Materiality",COUNTIFS($O$2:$O$1092,O415,$P$2:$P$1092,"Above Materiality",$M$2:$M$1092,"&gt;"&amp;M415)+COUNTIFS($O$2:$O$1092,O415,$P$2:$P$1092,"Above Materiality",$M$2:$M$1092,M415,$A$2:$A$1092,"&lt;"&amp;A415)+1,"")</f>
        <v/>
      </c>
      <c r="S415" s="21" t="str">
        <f aca="false">IF(P415&lt;&gt;"Below Materiality","",IF(Summary!$C$9="Random",COUNTIFS($O$2:$O$1092,O415,$Q$2:$Q$1092,"&gt;"&amp;Q415)+1,COUNTIFS($O$2:$O$1092,O415,$P$2:$P$1092,"Below Materiality",$M$2:$M$1092,"&gt;"&amp;M415)+COUNTIFS($O$2:$O$1092,O415,$P$2:$P$1092,"Below Materiality",$M$2:$M$1092,M415,$A$2:$A$1092,"&lt;"&amp;A415)+1))</f>
        <v/>
      </c>
      <c r="T415" s="22"/>
      <c r="U415" s="21" t="str">
        <f aca="false">IF(R415="","",O415&amp;"|A|"&amp;R415)</f>
        <v/>
      </c>
      <c r="V415" s="21" t="str">
        <f aca="false">IF(S415="","",O415&amp;"|R|"&amp;S415)</f>
        <v/>
      </c>
    </row>
    <row r="416" customFormat="false" ht="15" hidden="false" customHeight="false" outlineLevel="0" collapsed="false">
      <c r="A416" s="18" t="n">
        <v>415</v>
      </c>
      <c r="B416" s="18"/>
      <c r="C416" s="18"/>
      <c r="D416" s="18"/>
      <c r="E416" s="18" t="s">
        <v>885</v>
      </c>
      <c r="F416" s="18" t="s">
        <v>886</v>
      </c>
      <c r="G416" s="18" t="s">
        <v>74</v>
      </c>
      <c r="H416" s="18" t="n">
        <v>170</v>
      </c>
      <c r="I416" s="19" t="n">
        <v>0</v>
      </c>
      <c r="J416" s="19" t="n">
        <v>30</v>
      </c>
      <c r="K416" s="19" t="n">
        <v>30</v>
      </c>
      <c r="L416" s="19" t="n">
        <v>0</v>
      </c>
      <c r="M416" s="19" t="n">
        <f aca="false">ABS(L416)</f>
        <v>0</v>
      </c>
      <c r="N416" s="18" t="str">
        <f aca="false">IF(L416=0,"Nil balance",IF(G416="AR file",IF(L416&gt;0,"Accounts Receivable","Customer Advances"),IF(L416&lt;0,"Accounts Payable","Supplier Advances")))</f>
        <v>Nil balance</v>
      </c>
      <c r="O416" s="18" t="str">
        <f aca="false">IF(L416=0,"Excluded",IF(Summary!$C$4="By ledger",IF(G416="AR file","Population 1","Population 2"),IF(L416&gt;0,"Population 1","Population 2")))</f>
        <v>Excluded</v>
      </c>
      <c r="P416" s="18" t="str">
        <f aca="false">IF(O416="Excluded","Excluded – nil closing balance",IF(M416&gt;Summary!$C$5,"Above Materiality","Below Materiality"))</f>
        <v>Excluded – nil closing balance</v>
      </c>
      <c r="Q416" s="20" t="str">
        <f aca="false">IF(P416="Below Materiality",T416,"")</f>
        <v/>
      </c>
      <c r="R416" s="21" t="str">
        <f aca="false">IF(P416="Above Materiality",COUNTIFS($O$2:$O$1092,O416,$P$2:$P$1092,"Above Materiality",$M$2:$M$1092,"&gt;"&amp;M416)+COUNTIFS($O$2:$O$1092,O416,$P$2:$P$1092,"Above Materiality",$M$2:$M$1092,M416,$A$2:$A$1092,"&lt;"&amp;A416)+1,"")</f>
        <v/>
      </c>
      <c r="S416" s="21" t="str">
        <f aca="false">IF(P416&lt;&gt;"Below Materiality","",IF(Summary!$C$9="Random",COUNTIFS($O$2:$O$1092,O416,$Q$2:$Q$1092,"&gt;"&amp;Q416)+1,COUNTIFS($O$2:$O$1092,O416,$P$2:$P$1092,"Below Materiality",$M$2:$M$1092,"&gt;"&amp;M416)+COUNTIFS($O$2:$O$1092,O416,$P$2:$P$1092,"Below Materiality",$M$2:$M$1092,M416,$A$2:$A$1092,"&lt;"&amp;A416)+1))</f>
        <v/>
      </c>
      <c r="T416" s="22"/>
      <c r="U416" s="21" t="str">
        <f aca="false">IF(R416="","",O416&amp;"|A|"&amp;R416)</f>
        <v/>
      </c>
      <c r="V416" s="21" t="str">
        <f aca="false">IF(S416="","",O416&amp;"|R|"&amp;S416)</f>
        <v/>
      </c>
    </row>
    <row r="417" customFormat="false" ht="15" hidden="false" customHeight="false" outlineLevel="0" collapsed="false">
      <c r="A417" s="18" t="n">
        <v>416</v>
      </c>
      <c r="B417" s="18"/>
      <c r="C417" s="18"/>
      <c r="D417" s="18"/>
      <c r="E417" s="18" t="s">
        <v>887</v>
      </c>
      <c r="F417" s="18" t="s">
        <v>888</v>
      </c>
      <c r="G417" s="18" t="s">
        <v>74</v>
      </c>
      <c r="H417" s="18" t="n">
        <v>171</v>
      </c>
      <c r="I417" s="19" t="n">
        <v>-115</v>
      </c>
      <c r="J417" s="19" t="n">
        <v>3811.75</v>
      </c>
      <c r="K417" s="19" t="n">
        <v>3696.75</v>
      </c>
      <c r="L417" s="19" t="n">
        <v>0</v>
      </c>
      <c r="M417" s="19" t="n">
        <f aca="false">ABS(L417)</f>
        <v>0</v>
      </c>
      <c r="N417" s="18" t="str">
        <f aca="false">IF(L417=0,"Nil balance",IF(G417="AR file",IF(L417&gt;0,"Accounts Receivable","Customer Advances"),IF(L417&lt;0,"Accounts Payable","Supplier Advances")))</f>
        <v>Nil balance</v>
      </c>
      <c r="O417" s="18" t="str">
        <f aca="false">IF(L417=0,"Excluded",IF(Summary!$C$4="By ledger",IF(G417="AR file","Population 1","Population 2"),IF(L417&gt;0,"Population 1","Population 2")))</f>
        <v>Excluded</v>
      </c>
      <c r="P417" s="18" t="str">
        <f aca="false">IF(O417="Excluded","Excluded – nil closing balance",IF(M417&gt;Summary!$C$5,"Above Materiality","Below Materiality"))</f>
        <v>Excluded – nil closing balance</v>
      </c>
      <c r="Q417" s="20" t="str">
        <f aca="false">IF(P417="Below Materiality",T417,"")</f>
        <v/>
      </c>
      <c r="R417" s="21" t="str">
        <f aca="false">IF(P417="Above Materiality",COUNTIFS($O$2:$O$1092,O417,$P$2:$P$1092,"Above Materiality",$M$2:$M$1092,"&gt;"&amp;M417)+COUNTIFS($O$2:$O$1092,O417,$P$2:$P$1092,"Above Materiality",$M$2:$M$1092,M417,$A$2:$A$1092,"&lt;"&amp;A417)+1,"")</f>
        <v/>
      </c>
      <c r="S417" s="21" t="str">
        <f aca="false">IF(P417&lt;&gt;"Below Materiality","",IF(Summary!$C$9="Random",COUNTIFS($O$2:$O$1092,O417,$Q$2:$Q$1092,"&gt;"&amp;Q417)+1,COUNTIFS($O$2:$O$1092,O417,$P$2:$P$1092,"Below Materiality",$M$2:$M$1092,"&gt;"&amp;M417)+COUNTIFS($O$2:$O$1092,O417,$P$2:$P$1092,"Below Materiality",$M$2:$M$1092,M417,$A$2:$A$1092,"&lt;"&amp;A417)+1))</f>
        <v/>
      </c>
      <c r="T417" s="22"/>
      <c r="U417" s="21" t="str">
        <f aca="false">IF(R417="","",O417&amp;"|A|"&amp;R417)</f>
        <v/>
      </c>
      <c r="V417" s="21" t="str">
        <f aca="false">IF(S417="","",O417&amp;"|R|"&amp;S417)</f>
        <v/>
      </c>
    </row>
    <row r="418" customFormat="false" ht="15" hidden="false" customHeight="false" outlineLevel="0" collapsed="false">
      <c r="A418" s="18" t="n">
        <v>417</v>
      </c>
      <c r="B418" s="18"/>
      <c r="C418" s="18"/>
      <c r="D418" s="18"/>
      <c r="E418" s="18" t="s">
        <v>889</v>
      </c>
      <c r="F418" s="18" t="s">
        <v>890</v>
      </c>
      <c r="G418" s="18" t="s">
        <v>74</v>
      </c>
      <c r="H418" s="18" t="n">
        <v>172</v>
      </c>
      <c r="I418" s="19" t="n">
        <v>0</v>
      </c>
      <c r="J418" s="19" t="n">
        <v>4370</v>
      </c>
      <c r="K418" s="19" t="n">
        <v>4370</v>
      </c>
      <c r="L418" s="19" t="n">
        <v>0</v>
      </c>
      <c r="M418" s="19" t="n">
        <f aca="false">ABS(L418)</f>
        <v>0</v>
      </c>
      <c r="N418" s="18" t="str">
        <f aca="false">IF(L418=0,"Nil balance",IF(G418="AR file",IF(L418&gt;0,"Accounts Receivable","Customer Advances"),IF(L418&lt;0,"Accounts Payable","Supplier Advances")))</f>
        <v>Nil balance</v>
      </c>
      <c r="O418" s="18" t="str">
        <f aca="false">IF(L418=0,"Excluded",IF(Summary!$C$4="By ledger",IF(G418="AR file","Population 1","Population 2"),IF(L418&gt;0,"Population 1","Population 2")))</f>
        <v>Excluded</v>
      </c>
      <c r="P418" s="18" t="str">
        <f aca="false">IF(O418="Excluded","Excluded – nil closing balance",IF(M418&gt;Summary!$C$5,"Above Materiality","Below Materiality"))</f>
        <v>Excluded – nil closing balance</v>
      </c>
      <c r="Q418" s="20" t="str">
        <f aca="false">IF(P418="Below Materiality",T418,"")</f>
        <v/>
      </c>
      <c r="R418" s="21" t="str">
        <f aca="false">IF(P418="Above Materiality",COUNTIFS($O$2:$O$1092,O418,$P$2:$P$1092,"Above Materiality",$M$2:$M$1092,"&gt;"&amp;M418)+COUNTIFS($O$2:$O$1092,O418,$P$2:$P$1092,"Above Materiality",$M$2:$M$1092,M418,$A$2:$A$1092,"&lt;"&amp;A418)+1,"")</f>
        <v/>
      </c>
      <c r="S418" s="21" t="str">
        <f aca="false">IF(P418&lt;&gt;"Below Materiality","",IF(Summary!$C$9="Random",COUNTIFS($O$2:$O$1092,O418,$Q$2:$Q$1092,"&gt;"&amp;Q418)+1,COUNTIFS($O$2:$O$1092,O418,$P$2:$P$1092,"Below Materiality",$M$2:$M$1092,"&gt;"&amp;M418)+COUNTIFS($O$2:$O$1092,O418,$P$2:$P$1092,"Below Materiality",$M$2:$M$1092,M418,$A$2:$A$1092,"&lt;"&amp;A418)+1))</f>
        <v/>
      </c>
      <c r="T418" s="22"/>
      <c r="U418" s="21" t="str">
        <f aca="false">IF(R418="","",O418&amp;"|A|"&amp;R418)</f>
        <v/>
      </c>
      <c r="V418" s="21" t="str">
        <f aca="false">IF(S418="","",O418&amp;"|R|"&amp;S418)</f>
        <v/>
      </c>
    </row>
    <row r="419" customFormat="false" ht="15" hidden="false" customHeight="false" outlineLevel="0" collapsed="false">
      <c r="A419" s="18" t="n">
        <v>418</v>
      </c>
      <c r="B419" s="18"/>
      <c r="C419" s="18"/>
      <c r="D419" s="18"/>
      <c r="E419" s="18" t="s">
        <v>891</v>
      </c>
      <c r="F419" s="18" t="s">
        <v>892</v>
      </c>
      <c r="G419" s="18" t="s">
        <v>74</v>
      </c>
      <c r="H419" s="18" t="n">
        <v>173</v>
      </c>
      <c r="I419" s="19" t="n">
        <v>862.5</v>
      </c>
      <c r="J419" s="19" t="n">
        <v>0</v>
      </c>
      <c r="K419" s="19" t="n">
        <v>862.5</v>
      </c>
      <c r="L419" s="19" t="n">
        <v>0</v>
      </c>
      <c r="M419" s="19" t="n">
        <f aca="false">ABS(L419)</f>
        <v>0</v>
      </c>
      <c r="N419" s="18" t="str">
        <f aca="false">IF(L419=0,"Nil balance",IF(G419="AR file",IF(L419&gt;0,"Accounts Receivable","Customer Advances"),IF(L419&lt;0,"Accounts Payable","Supplier Advances")))</f>
        <v>Nil balance</v>
      </c>
      <c r="O419" s="18" t="str">
        <f aca="false">IF(L419=0,"Excluded",IF(Summary!$C$4="By ledger",IF(G419="AR file","Population 1","Population 2"),IF(L419&gt;0,"Population 1","Population 2")))</f>
        <v>Excluded</v>
      </c>
      <c r="P419" s="18" t="str">
        <f aca="false">IF(O419="Excluded","Excluded – nil closing balance",IF(M419&gt;Summary!$C$5,"Above Materiality","Below Materiality"))</f>
        <v>Excluded – nil closing balance</v>
      </c>
      <c r="Q419" s="20" t="str">
        <f aca="false">IF(P419="Below Materiality",T419,"")</f>
        <v/>
      </c>
      <c r="R419" s="21" t="str">
        <f aca="false">IF(P419="Above Materiality",COUNTIFS($O$2:$O$1092,O419,$P$2:$P$1092,"Above Materiality",$M$2:$M$1092,"&gt;"&amp;M419)+COUNTIFS($O$2:$O$1092,O419,$P$2:$P$1092,"Above Materiality",$M$2:$M$1092,M419,$A$2:$A$1092,"&lt;"&amp;A419)+1,"")</f>
        <v/>
      </c>
      <c r="S419" s="21" t="str">
        <f aca="false">IF(P419&lt;&gt;"Below Materiality","",IF(Summary!$C$9="Random",COUNTIFS($O$2:$O$1092,O419,$Q$2:$Q$1092,"&gt;"&amp;Q419)+1,COUNTIFS($O$2:$O$1092,O419,$P$2:$P$1092,"Below Materiality",$M$2:$M$1092,"&gt;"&amp;M419)+COUNTIFS($O$2:$O$1092,O419,$P$2:$P$1092,"Below Materiality",$M$2:$M$1092,M419,$A$2:$A$1092,"&lt;"&amp;A419)+1))</f>
        <v/>
      </c>
      <c r="T419" s="22"/>
      <c r="U419" s="21" t="str">
        <f aca="false">IF(R419="","",O419&amp;"|A|"&amp;R419)</f>
        <v/>
      </c>
      <c r="V419" s="21" t="str">
        <f aca="false">IF(S419="","",O419&amp;"|R|"&amp;S419)</f>
        <v/>
      </c>
    </row>
    <row r="420" customFormat="false" ht="15" hidden="false" customHeight="false" outlineLevel="0" collapsed="false">
      <c r="A420" s="18" t="n">
        <v>419</v>
      </c>
      <c r="B420" s="18"/>
      <c r="C420" s="18"/>
      <c r="D420" s="18"/>
      <c r="E420" s="18" t="s">
        <v>893</v>
      </c>
      <c r="F420" s="18" t="s">
        <v>894</v>
      </c>
      <c r="G420" s="18" t="s">
        <v>74</v>
      </c>
      <c r="H420" s="18" t="n">
        <v>174</v>
      </c>
      <c r="I420" s="19" t="n">
        <v>1050</v>
      </c>
      <c r="J420" s="19" t="n">
        <v>0</v>
      </c>
      <c r="K420" s="19" t="n">
        <v>1050</v>
      </c>
      <c r="L420" s="19" t="n">
        <v>0</v>
      </c>
      <c r="M420" s="19" t="n">
        <f aca="false">ABS(L420)</f>
        <v>0</v>
      </c>
      <c r="N420" s="18" t="str">
        <f aca="false">IF(L420=0,"Nil balance",IF(G420="AR file",IF(L420&gt;0,"Accounts Receivable","Customer Advances"),IF(L420&lt;0,"Accounts Payable","Supplier Advances")))</f>
        <v>Nil balance</v>
      </c>
      <c r="O420" s="18" t="str">
        <f aca="false">IF(L420=0,"Excluded",IF(Summary!$C$4="By ledger",IF(G420="AR file","Population 1","Population 2"),IF(L420&gt;0,"Population 1","Population 2")))</f>
        <v>Excluded</v>
      </c>
      <c r="P420" s="18" t="str">
        <f aca="false">IF(O420="Excluded","Excluded – nil closing balance",IF(M420&gt;Summary!$C$5,"Above Materiality","Below Materiality"))</f>
        <v>Excluded – nil closing balance</v>
      </c>
      <c r="Q420" s="20" t="str">
        <f aca="false">IF(P420="Below Materiality",T420,"")</f>
        <v/>
      </c>
      <c r="R420" s="21" t="str">
        <f aca="false">IF(P420="Above Materiality",COUNTIFS($O$2:$O$1092,O420,$P$2:$P$1092,"Above Materiality",$M$2:$M$1092,"&gt;"&amp;M420)+COUNTIFS($O$2:$O$1092,O420,$P$2:$P$1092,"Above Materiality",$M$2:$M$1092,M420,$A$2:$A$1092,"&lt;"&amp;A420)+1,"")</f>
        <v/>
      </c>
      <c r="S420" s="21" t="str">
        <f aca="false">IF(P420&lt;&gt;"Below Materiality","",IF(Summary!$C$9="Random",COUNTIFS($O$2:$O$1092,O420,$Q$2:$Q$1092,"&gt;"&amp;Q420)+1,COUNTIFS($O$2:$O$1092,O420,$P$2:$P$1092,"Below Materiality",$M$2:$M$1092,"&gt;"&amp;M420)+COUNTIFS($O$2:$O$1092,O420,$P$2:$P$1092,"Below Materiality",$M$2:$M$1092,M420,$A$2:$A$1092,"&lt;"&amp;A420)+1))</f>
        <v/>
      </c>
      <c r="T420" s="22"/>
      <c r="U420" s="21" t="str">
        <f aca="false">IF(R420="","",O420&amp;"|A|"&amp;R420)</f>
        <v/>
      </c>
      <c r="V420" s="21" t="str">
        <f aca="false">IF(S420="","",O420&amp;"|R|"&amp;S420)</f>
        <v/>
      </c>
    </row>
    <row r="421" customFormat="false" ht="15" hidden="false" customHeight="false" outlineLevel="0" collapsed="false">
      <c r="A421" s="18" t="n">
        <v>420</v>
      </c>
      <c r="B421" s="18"/>
      <c r="C421" s="18"/>
      <c r="D421" s="18"/>
      <c r="E421" s="18" t="s">
        <v>895</v>
      </c>
      <c r="F421" s="18" t="s">
        <v>896</v>
      </c>
      <c r="G421" s="18" t="s">
        <v>74</v>
      </c>
      <c r="H421" s="18" t="n">
        <v>175</v>
      </c>
      <c r="I421" s="19" t="n">
        <v>115</v>
      </c>
      <c r="J421" s="19" t="n">
        <v>0</v>
      </c>
      <c r="K421" s="19" t="n">
        <v>115</v>
      </c>
      <c r="L421" s="19" t="n">
        <v>0</v>
      </c>
      <c r="M421" s="19" t="n">
        <f aca="false">ABS(L421)</f>
        <v>0</v>
      </c>
      <c r="N421" s="18" t="str">
        <f aca="false">IF(L421=0,"Nil balance",IF(G421="AR file",IF(L421&gt;0,"Accounts Receivable","Customer Advances"),IF(L421&lt;0,"Accounts Payable","Supplier Advances")))</f>
        <v>Nil balance</v>
      </c>
      <c r="O421" s="18" t="str">
        <f aca="false">IF(L421=0,"Excluded",IF(Summary!$C$4="By ledger",IF(G421="AR file","Population 1","Population 2"),IF(L421&gt;0,"Population 1","Population 2")))</f>
        <v>Excluded</v>
      </c>
      <c r="P421" s="18" t="str">
        <f aca="false">IF(O421="Excluded","Excluded – nil closing balance",IF(M421&gt;Summary!$C$5,"Above Materiality","Below Materiality"))</f>
        <v>Excluded – nil closing balance</v>
      </c>
      <c r="Q421" s="20" t="str">
        <f aca="false">IF(P421="Below Materiality",T421,"")</f>
        <v/>
      </c>
      <c r="R421" s="21" t="str">
        <f aca="false">IF(P421="Above Materiality",COUNTIFS($O$2:$O$1092,O421,$P$2:$P$1092,"Above Materiality",$M$2:$M$1092,"&gt;"&amp;M421)+COUNTIFS($O$2:$O$1092,O421,$P$2:$P$1092,"Above Materiality",$M$2:$M$1092,M421,$A$2:$A$1092,"&lt;"&amp;A421)+1,"")</f>
        <v/>
      </c>
      <c r="S421" s="21" t="str">
        <f aca="false">IF(P421&lt;&gt;"Below Materiality","",IF(Summary!$C$9="Random",COUNTIFS($O$2:$O$1092,O421,$Q$2:$Q$1092,"&gt;"&amp;Q421)+1,COUNTIFS($O$2:$O$1092,O421,$P$2:$P$1092,"Below Materiality",$M$2:$M$1092,"&gt;"&amp;M421)+COUNTIFS($O$2:$O$1092,O421,$P$2:$P$1092,"Below Materiality",$M$2:$M$1092,M421,$A$2:$A$1092,"&lt;"&amp;A421)+1))</f>
        <v/>
      </c>
      <c r="T421" s="22"/>
      <c r="U421" s="21" t="str">
        <f aca="false">IF(R421="","",O421&amp;"|A|"&amp;R421)</f>
        <v/>
      </c>
      <c r="V421" s="21" t="str">
        <f aca="false">IF(S421="","",O421&amp;"|R|"&amp;S421)</f>
        <v/>
      </c>
    </row>
    <row r="422" customFormat="false" ht="15" hidden="false" customHeight="false" outlineLevel="0" collapsed="false">
      <c r="A422" s="18" t="n">
        <v>421</v>
      </c>
      <c r="B422" s="18"/>
      <c r="C422" s="18"/>
      <c r="D422" s="18"/>
      <c r="E422" s="18" t="s">
        <v>897</v>
      </c>
      <c r="F422" s="18" t="s">
        <v>898</v>
      </c>
      <c r="G422" s="18" t="s">
        <v>74</v>
      </c>
      <c r="H422" s="18" t="n">
        <v>176</v>
      </c>
      <c r="I422" s="19" t="n">
        <v>828</v>
      </c>
      <c r="J422" s="19" t="n">
        <v>0</v>
      </c>
      <c r="K422" s="19" t="n">
        <v>828</v>
      </c>
      <c r="L422" s="19" t="n">
        <v>0</v>
      </c>
      <c r="M422" s="19" t="n">
        <f aca="false">ABS(L422)</f>
        <v>0</v>
      </c>
      <c r="N422" s="18" t="str">
        <f aca="false">IF(L422=0,"Nil balance",IF(G422="AR file",IF(L422&gt;0,"Accounts Receivable","Customer Advances"),IF(L422&lt;0,"Accounts Payable","Supplier Advances")))</f>
        <v>Nil balance</v>
      </c>
      <c r="O422" s="18" t="str">
        <f aca="false">IF(L422=0,"Excluded",IF(Summary!$C$4="By ledger",IF(G422="AR file","Population 1","Population 2"),IF(L422&gt;0,"Population 1","Population 2")))</f>
        <v>Excluded</v>
      </c>
      <c r="P422" s="18" t="str">
        <f aca="false">IF(O422="Excluded","Excluded – nil closing balance",IF(M422&gt;Summary!$C$5,"Above Materiality","Below Materiality"))</f>
        <v>Excluded – nil closing balance</v>
      </c>
      <c r="Q422" s="20" t="str">
        <f aca="false">IF(P422="Below Materiality",T422,"")</f>
        <v/>
      </c>
      <c r="R422" s="21" t="str">
        <f aca="false">IF(P422="Above Materiality",COUNTIFS($O$2:$O$1092,O422,$P$2:$P$1092,"Above Materiality",$M$2:$M$1092,"&gt;"&amp;M422)+COUNTIFS($O$2:$O$1092,O422,$P$2:$P$1092,"Above Materiality",$M$2:$M$1092,M422,$A$2:$A$1092,"&lt;"&amp;A422)+1,"")</f>
        <v/>
      </c>
      <c r="S422" s="21" t="str">
        <f aca="false">IF(P422&lt;&gt;"Below Materiality","",IF(Summary!$C$9="Random",COUNTIFS($O$2:$O$1092,O422,$Q$2:$Q$1092,"&gt;"&amp;Q422)+1,COUNTIFS($O$2:$O$1092,O422,$P$2:$P$1092,"Below Materiality",$M$2:$M$1092,"&gt;"&amp;M422)+COUNTIFS($O$2:$O$1092,O422,$P$2:$P$1092,"Below Materiality",$M$2:$M$1092,M422,$A$2:$A$1092,"&lt;"&amp;A422)+1))</f>
        <v/>
      </c>
      <c r="T422" s="22"/>
      <c r="U422" s="21" t="str">
        <f aca="false">IF(R422="","",O422&amp;"|A|"&amp;R422)</f>
        <v/>
      </c>
      <c r="V422" s="21" t="str">
        <f aca="false">IF(S422="","",O422&amp;"|R|"&amp;S422)</f>
        <v/>
      </c>
    </row>
    <row r="423" customFormat="false" ht="15" hidden="false" customHeight="false" outlineLevel="0" collapsed="false">
      <c r="A423" s="18" t="n">
        <v>422</v>
      </c>
      <c r="B423" s="18"/>
      <c r="C423" s="18"/>
      <c r="D423" s="18"/>
      <c r="E423" s="18" t="s">
        <v>899</v>
      </c>
      <c r="F423" s="18" t="s">
        <v>900</v>
      </c>
      <c r="G423" s="18" t="s">
        <v>74</v>
      </c>
      <c r="H423" s="18" t="n">
        <v>178</v>
      </c>
      <c r="I423" s="19" t="n">
        <v>100.5</v>
      </c>
      <c r="J423" s="19" t="n">
        <v>0</v>
      </c>
      <c r="K423" s="19" t="n">
        <v>100.5</v>
      </c>
      <c r="L423" s="19" t="n">
        <v>0</v>
      </c>
      <c r="M423" s="19" t="n">
        <f aca="false">ABS(L423)</f>
        <v>0</v>
      </c>
      <c r="N423" s="18" t="str">
        <f aca="false">IF(L423=0,"Nil balance",IF(G423="AR file",IF(L423&gt;0,"Accounts Receivable","Customer Advances"),IF(L423&lt;0,"Accounts Payable","Supplier Advances")))</f>
        <v>Nil balance</v>
      </c>
      <c r="O423" s="18" t="str">
        <f aca="false">IF(L423=0,"Excluded",IF(Summary!$C$4="By ledger",IF(G423="AR file","Population 1","Population 2"),IF(L423&gt;0,"Population 1","Population 2")))</f>
        <v>Excluded</v>
      </c>
      <c r="P423" s="18" t="str">
        <f aca="false">IF(O423="Excluded","Excluded – nil closing balance",IF(M423&gt;Summary!$C$5,"Above Materiality","Below Materiality"))</f>
        <v>Excluded – nil closing balance</v>
      </c>
      <c r="Q423" s="20" t="str">
        <f aca="false">IF(P423="Below Materiality",T423,"")</f>
        <v/>
      </c>
      <c r="R423" s="21" t="str">
        <f aca="false">IF(P423="Above Materiality",COUNTIFS($O$2:$O$1092,O423,$P$2:$P$1092,"Above Materiality",$M$2:$M$1092,"&gt;"&amp;M423)+COUNTIFS($O$2:$O$1092,O423,$P$2:$P$1092,"Above Materiality",$M$2:$M$1092,M423,$A$2:$A$1092,"&lt;"&amp;A423)+1,"")</f>
        <v/>
      </c>
      <c r="S423" s="21" t="str">
        <f aca="false">IF(P423&lt;&gt;"Below Materiality","",IF(Summary!$C$9="Random",COUNTIFS($O$2:$O$1092,O423,$Q$2:$Q$1092,"&gt;"&amp;Q423)+1,COUNTIFS($O$2:$O$1092,O423,$P$2:$P$1092,"Below Materiality",$M$2:$M$1092,"&gt;"&amp;M423)+COUNTIFS($O$2:$O$1092,O423,$P$2:$P$1092,"Below Materiality",$M$2:$M$1092,M423,$A$2:$A$1092,"&lt;"&amp;A423)+1))</f>
        <v/>
      </c>
      <c r="T423" s="22"/>
      <c r="U423" s="21" t="str">
        <f aca="false">IF(R423="","",O423&amp;"|A|"&amp;R423)</f>
        <v/>
      </c>
      <c r="V423" s="21" t="str">
        <f aca="false">IF(S423="","",O423&amp;"|R|"&amp;S423)</f>
        <v/>
      </c>
    </row>
    <row r="424" customFormat="false" ht="15" hidden="false" customHeight="false" outlineLevel="0" collapsed="false">
      <c r="A424" s="18" t="n">
        <v>423</v>
      </c>
      <c r="B424" s="18"/>
      <c r="C424" s="18"/>
      <c r="D424" s="18"/>
      <c r="E424" s="18" t="s">
        <v>901</v>
      </c>
      <c r="F424" s="18" t="s">
        <v>902</v>
      </c>
      <c r="G424" s="18" t="s">
        <v>74</v>
      </c>
      <c r="H424" s="18" t="n">
        <v>179</v>
      </c>
      <c r="I424" s="19" t="n">
        <v>430</v>
      </c>
      <c r="J424" s="19" t="n">
        <v>0</v>
      </c>
      <c r="K424" s="19" t="n">
        <v>430</v>
      </c>
      <c r="L424" s="19" t="n">
        <v>0</v>
      </c>
      <c r="M424" s="19" t="n">
        <f aca="false">ABS(L424)</f>
        <v>0</v>
      </c>
      <c r="N424" s="18" t="str">
        <f aca="false">IF(L424=0,"Nil balance",IF(G424="AR file",IF(L424&gt;0,"Accounts Receivable","Customer Advances"),IF(L424&lt;0,"Accounts Payable","Supplier Advances")))</f>
        <v>Nil balance</v>
      </c>
      <c r="O424" s="18" t="str">
        <f aca="false">IF(L424=0,"Excluded",IF(Summary!$C$4="By ledger",IF(G424="AR file","Population 1","Population 2"),IF(L424&gt;0,"Population 1","Population 2")))</f>
        <v>Excluded</v>
      </c>
      <c r="P424" s="18" t="str">
        <f aca="false">IF(O424="Excluded","Excluded – nil closing balance",IF(M424&gt;Summary!$C$5,"Above Materiality","Below Materiality"))</f>
        <v>Excluded – nil closing balance</v>
      </c>
      <c r="Q424" s="20" t="str">
        <f aca="false">IF(P424="Below Materiality",T424,"")</f>
        <v/>
      </c>
      <c r="R424" s="21" t="str">
        <f aca="false">IF(P424="Above Materiality",COUNTIFS($O$2:$O$1092,O424,$P$2:$P$1092,"Above Materiality",$M$2:$M$1092,"&gt;"&amp;M424)+COUNTIFS($O$2:$O$1092,O424,$P$2:$P$1092,"Above Materiality",$M$2:$M$1092,M424,$A$2:$A$1092,"&lt;"&amp;A424)+1,"")</f>
        <v/>
      </c>
      <c r="S424" s="21" t="str">
        <f aca="false">IF(P424&lt;&gt;"Below Materiality","",IF(Summary!$C$9="Random",COUNTIFS($O$2:$O$1092,O424,$Q$2:$Q$1092,"&gt;"&amp;Q424)+1,COUNTIFS($O$2:$O$1092,O424,$P$2:$P$1092,"Below Materiality",$M$2:$M$1092,"&gt;"&amp;M424)+COUNTIFS($O$2:$O$1092,O424,$P$2:$P$1092,"Below Materiality",$M$2:$M$1092,M424,$A$2:$A$1092,"&lt;"&amp;A424)+1))</f>
        <v/>
      </c>
      <c r="T424" s="22"/>
      <c r="U424" s="21" t="str">
        <f aca="false">IF(R424="","",O424&amp;"|A|"&amp;R424)</f>
        <v/>
      </c>
      <c r="V424" s="21" t="str">
        <f aca="false">IF(S424="","",O424&amp;"|R|"&amp;S424)</f>
        <v/>
      </c>
    </row>
    <row r="425" customFormat="false" ht="15" hidden="false" customHeight="false" outlineLevel="0" collapsed="false">
      <c r="A425" s="18" t="n">
        <v>424</v>
      </c>
      <c r="B425" s="18"/>
      <c r="C425" s="18"/>
      <c r="D425" s="18"/>
      <c r="E425" s="18" t="s">
        <v>903</v>
      </c>
      <c r="F425" s="18" t="s">
        <v>904</v>
      </c>
      <c r="G425" s="18" t="s">
        <v>74</v>
      </c>
      <c r="H425" s="18" t="n">
        <v>180</v>
      </c>
      <c r="I425" s="19" t="n">
        <v>0</v>
      </c>
      <c r="J425" s="19" t="n">
        <v>1656</v>
      </c>
      <c r="K425" s="19" t="n">
        <v>1656</v>
      </c>
      <c r="L425" s="19" t="n">
        <v>0</v>
      </c>
      <c r="M425" s="19" t="n">
        <f aca="false">ABS(L425)</f>
        <v>0</v>
      </c>
      <c r="N425" s="18" t="str">
        <f aca="false">IF(L425=0,"Nil balance",IF(G425="AR file",IF(L425&gt;0,"Accounts Receivable","Customer Advances"),IF(L425&lt;0,"Accounts Payable","Supplier Advances")))</f>
        <v>Nil balance</v>
      </c>
      <c r="O425" s="18" t="str">
        <f aca="false">IF(L425=0,"Excluded",IF(Summary!$C$4="By ledger",IF(G425="AR file","Population 1","Population 2"),IF(L425&gt;0,"Population 1","Population 2")))</f>
        <v>Excluded</v>
      </c>
      <c r="P425" s="18" t="str">
        <f aca="false">IF(O425="Excluded","Excluded – nil closing balance",IF(M425&gt;Summary!$C$5,"Above Materiality","Below Materiality"))</f>
        <v>Excluded – nil closing balance</v>
      </c>
      <c r="Q425" s="20" t="str">
        <f aca="false">IF(P425="Below Materiality",T425,"")</f>
        <v/>
      </c>
      <c r="R425" s="21" t="str">
        <f aca="false">IF(P425="Above Materiality",COUNTIFS($O$2:$O$1092,O425,$P$2:$P$1092,"Above Materiality",$M$2:$M$1092,"&gt;"&amp;M425)+COUNTIFS($O$2:$O$1092,O425,$P$2:$P$1092,"Above Materiality",$M$2:$M$1092,M425,$A$2:$A$1092,"&lt;"&amp;A425)+1,"")</f>
        <v/>
      </c>
      <c r="S425" s="21" t="str">
        <f aca="false">IF(P425&lt;&gt;"Below Materiality","",IF(Summary!$C$9="Random",COUNTIFS($O$2:$O$1092,O425,$Q$2:$Q$1092,"&gt;"&amp;Q425)+1,COUNTIFS($O$2:$O$1092,O425,$P$2:$P$1092,"Below Materiality",$M$2:$M$1092,"&gt;"&amp;M425)+COUNTIFS($O$2:$O$1092,O425,$P$2:$P$1092,"Below Materiality",$M$2:$M$1092,M425,$A$2:$A$1092,"&lt;"&amp;A425)+1))</f>
        <v/>
      </c>
      <c r="T425" s="22"/>
      <c r="U425" s="21" t="str">
        <f aca="false">IF(R425="","",O425&amp;"|A|"&amp;R425)</f>
        <v/>
      </c>
      <c r="V425" s="21" t="str">
        <f aca="false">IF(S425="","",O425&amp;"|R|"&amp;S425)</f>
        <v/>
      </c>
    </row>
    <row r="426" customFormat="false" ht="15" hidden="false" customHeight="false" outlineLevel="0" collapsed="false">
      <c r="A426" s="18" t="n">
        <v>425</v>
      </c>
      <c r="B426" s="18"/>
      <c r="C426" s="18"/>
      <c r="D426" s="18"/>
      <c r="E426" s="18" t="s">
        <v>905</v>
      </c>
      <c r="F426" s="18" t="s">
        <v>906</v>
      </c>
      <c r="G426" s="18" t="s">
        <v>74</v>
      </c>
      <c r="H426" s="18" t="n">
        <v>181</v>
      </c>
      <c r="I426" s="19" t="n">
        <v>400</v>
      </c>
      <c r="J426" s="19" t="n">
        <v>0</v>
      </c>
      <c r="K426" s="19" t="n">
        <v>400</v>
      </c>
      <c r="L426" s="19" t="n">
        <v>0</v>
      </c>
      <c r="M426" s="19" t="n">
        <f aca="false">ABS(L426)</f>
        <v>0</v>
      </c>
      <c r="N426" s="18" t="str">
        <f aca="false">IF(L426=0,"Nil balance",IF(G426="AR file",IF(L426&gt;0,"Accounts Receivable","Customer Advances"),IF(L426&lt;0,"Accounts Payable","Supplier Advances")))</f>
        <v>Nil balance</v>
      </c>
      <c r="O426" s="18" t="str">
        <f aca="false">IF(L426=0,"Excluded",IF(Summary!$C$4="By ledger",IF(G426="AR file","Population 1","Population 2"),IF(L426&gt;0,"Population 1","Population 2")))</f>
        <v>Excluded</v>
      </c>
      <c r="P426" s="18" t="str">
        <f aca="false">IF(O426="Excluded","Excluded – nil closing balance",IF(M426&gt;Summary!$C$5,"Above Materiality","Below Materiality"))</f>
        <v>Excluded – nil closing balance</v>
      </c>
      <c r="Q426" s="20" t="str">
        <f aca="false">IF(P426="Below Materiality",T426,"")</f>
        <v/>
      </c>
      <c r="R426" s="21" t="str">
        <f aca="false">IF(P426="Above Materiality",COUNTIFS($O$2:$O$1092,O426,$P$2:$P$1092,"Above Materiality",$M$2:$M$1092,"&gt;"&amp;M426)+COUNTIFS($O$2:$O$1092,O426,$P$2:$P$1092,"Above Materiality",$M$2:$M$1092,M426,$A$2:$A$1092,"&lt;"&amp;A426)+1,"")</f>
        <v/>
      </c>
      <c r="S426" s="21" t="str">
        <f aca="false">IF(P426&lt;&gt;"Below Materiality","",IF(Summary!$C$9="Random",COUNTIFS($O$2:$O$1092,O426,$Q$2:$Q$1092,"&gt;"&amp;Q426)+1,COUNTIFS($O$2:$O$1092,O426,$P$2:$P$1092,"Below Materiality",$M$2:$M$1092,"&gt;"&amp;M426)+COUNTIFS($O$2:$O$1092,O426,$P$2:$P$1092,"Below Materiality",$M$2:$M$1092,M426,$A$2:$A$1092,"&lt;"&amp;A426)+1))</f>
        <v/>
      </c>
      <c r="T426" s="22"/>
      <c r="U426" s="21" t="str">
        <f aca="false">IF(R426="","",O426&amp;"|A|"&amp;R426)</f>
        <v/>
      </c>
      <c r="V426" s="21" t="str">
        <f aca="false">IF(S426="","",O426&amp;"|R|"&amp;S426)</f>
        <v/>
      </c>
    </row>
    <row r="427" customFormat="false" ht="15" hidden="false" customHeight="false" outlineLevel="0" collapsed="false">
      <c r="A427" s="18" t="n">
        <v>426</v>
      </c>
      <c r="B427" s="18"/>
      <c r="C427" s="18"/>
      <c r="D427" s="18"/>
      <c r="E427" s="18" t="s">
        <v>907</v>
      </c>
      <c r="F427" s="18" t="s">
        <v>908</v>
      </c>
      <c r="G427" s="18" t="s">
        <v>74</v>
      </c>
      <c r="H427" s="18" t="n">
        <v>182</v>
      </c>
      <c r="I427" s="19" t="n">
        <v>0</v>
      </c>
      <c r="J427" s="19" t="n">
        <v>50</v>
      </c>
      <c r="K427" s="19" t="n">
        <v>50</v>
      </c>
      <c r="L427" s="19" t="n">
        <v>0</v>
      </c>
      <c r="M427" s="19" t="n">
        <f aca="false">ABS(L427)</f>
        <v>0</v>
      </c>
      <c r="N427" s="18" t="str">
        <f aca="false">IF(L427=0,"Nil balance",IF(G427="AR file",IF(L427&gt;0,"Accounts Receivable","Customer Advances"),IF(L427&lt;0,"Accounts Payable","Supplier Advances")))</f>
        <v>Nil balance</v>
      </c>
      <c r="O427" s="18" t="str">
        <f aca="false">IF(L427=0,"Excluded",IF(Summary!$C$4="By ledger",IF(G427="AR file","Population 1","Population 2"),IF(L427&gt;0,"Population 1","Population 2")))</f>
        <v>Excluded</v>
      </c>
      <c r="P427" s="18" t="str">
        <f aca="false">IF(O427="Excluded","Excluded – nil closing balance",IF(M427&gt;Summary!$C$5,"Above Materiality","Below Materiality"))</f>
        <v>Excluded – nil closing balance</v>
      </c>
      <c r="Q427" s="20" t="str">
        <f aca="false">IF(P427="Below Materiality",T427,"")</f>
        <v/>
      </c>
      <c r="R427" s="21" t="str">
        <f aca="false">IF(P427="Above Materiality",COUNTIFS($O$2:$O$1092,O427,$P$2:$P$1092,"Above Materiality",$M$2:$M$1092,"&gt;"&amp;M427)+COUNTIFS($O$2:$O$1092,O427,$P$2:$P$1092,"Above Materiality",$M$2:$M$1092,M427,$A$2:$A$1092,"&lt;"&amp;A427)+1,"")</f>
        <v/>
      </c>
      <c r="S427" s="21" t="str">
        <f aca="false">IF(P427&lt;&gt;"Below Materiality","",IF(Summary!$C$9="Random",COUNTIFS($O$2:$O$1092,O427,$Q$2:$Q$1092,"&gt;"&amp;Q427)+1,COUNTIFS($O$2:$O$1092,O427,$P$2:$P$1092,"Below Materiality",$M$2:$M$1092,"&gt;"&amp;M427)+COUNTIFS($O$2:$O$1092,O427,$P$2:$P$1092,"Below Materiality",$M$2:$M$1092,M427,$A$2:$A$1092,"&lt;"&amp;A427)+1))</f>
        <v/>
      </c>
      <c r="T427" s="22"/>
      <c r="U427" s="21" t="str">
        <f aca="false">IF(R427="","",O427&amp;"|A|"&amp;R427)</f>
        <v/>
      </c>
      <c r="V427" s="21" t="str">
        <f aca="false">IF(S427="","",O427&amp;"|R|"&amp;S427)</f>
        <v/>
      </c>
    </row>
    <row r="428" customFormat="false" ht="15" hidden="false" customHeight="false" outlineLevel="0" collapsed="false">
      <c r="A428" s="18" t="n">
        <v>427</v>
      </c>
      <c r="B428" s="18"/>
      <c r="C428" s="18"/>
      <c r="D428" s="18"/>
      <c r="E428" s="18" t="s">
        <v>909</v>
      </c>
      <c r="F428" s="18" t="s">
        <v>910</v>
      </c>
      <c r="G428" s="18" t="s">
        <v>74</v>
      </c>
      <c r="H428" s="18" t="n">
        <v>183</v>
      </c>
      <c r="I428" s="19" t="n">
        <v>50</v>
      </c>
      <c r="J428" s="19" t="n">
        <v>0</v>
      </c>
      <c r="K428" s="19" t="n">
        <v>50</v>
      </c>
      <c r="L428" s="19" t="n">
        <v>0</v>
      </c>
      <c r="M428" s="19" t="n">
        <f aca="false">ABS(L428)</f>
        <v>0</v>
      </c>
      <c r="N428" s="18" t="str">
        <f aca="false">IF(L428=0,"Nil balance",IF(G428="AR file",IF(L428&gt;0,"Accounts Receivable","Customer Advances"),IF(L428&lt;0,"Accounts Payable","Supplier Advances")))</f>
        <v>Nil balance</v>
      </c>
      <c r="O428" s="18" t="str">
        <f aca="false">IF(L428=0,"Excluded",IF(Summary!$C$4="By ledger",IF(G428="AR file","Population 1","Population 2"),IF(L428&gt;0,"Population 1","Population 2")))</f>
        <v>Excluded</v>
      </c>
      <c r="P428" s="18" t="str">
        <f aca="false">IF(O428="Excluded","Excluded – nil closing balance",IF(M428&gt;Summary!$C$5,"Above Materiality","Below Materiality"))</f>
        <v>Excluded – nil closing balance</v>
      </c>
      <c r="Q428" s="20" t="str">
        <f aca="false">IF(P428="Below Materiality",T428,"")</f>
        <v/>
      </c>
      <c r="R428" s="21" t="str">
        <f aca="false">IF(P428="Above Materiality",COUNTIFS($O$2:$O$1092,O428,$P$2:$P$1092,"Above Materiality",$M$2:$M$1092,"&gt;"&amp;M428)+COUNTIFS($O$2:$O$1092,O428,$P$2:$P$1092,"Above Materiality",$M$2:$M$1092,M428,$A$2:$A$1092,"&lt;"&amp;A428)+1,"")</f>
        <v/>
      </c>
      <c r="S428" s="21" t="str">
        <f aca="false">IF(P428&lt;&gt;"Below Materiality","",IF(Summary!$C$9="Random",COUNTIFS($O$2:$O$1092,O428,$Q$2:$Q$1092,"&gt;"&amp;Q428)+1,COUNTIFS($O$2:$O$1092,O428,$P$2:$P$1092,"Below Materiality",$M$2:$M$1092,"&gt;"&amp;M428)+COUNTIFS($O$2:$O$1092,O428,$P$2:$P$1092,"Below Materiality",$M$2:$M$1092,M428,$A$2:$A$1092,"&lt;"&amp;A428)+1))</f>
        <v/>
      </c>
      <c r="T428" s="22"/>
      <c r="U428" s="21" t="str">
        <f aca="false">IF(R428="","",O428&amp;"|A|"&amp;R428)</f>
        <v/>
      </c>
      <c r="V428" s="21" t="str">
        <f aca="false">IF(S428="","",O428&amp;"|R|"&amp;S428)</f>
        <v/>
      </c>
    </row>
    <row r="429" customFormat="false" ht="15" hidden="false" customHeight="false" outlineLevel="0" collapsed="false">
      <c r="A429" s="18" t="n">
        <v>428</v>
      </c>
      <c r="B429" s="18"/>
      <c r="C429" s="18"/>
      <c r="D429" s="18"/>
      <c r="E429" s="18" t="s">
        <v>911</v>
      </c>
      <c r="F429" s="18" t="s">
        <v>912</v>
      </c>
      <c r="G429" s="18" t="s">
        <v>74</v>
      </c>
      <c r="H429" s="18" t="n">
        <v>184</v>
      </c>
      <c r="I429" s="19" t="n">
        <v>0</v>
      </c>
      <c r="J429" s="19" t="n">
        <v>6665.4</v>
      </c>
      <c r="K429" s="19" t="n">
        <v>6665.4</v>
      </c>
      <c r="L429" s="19" t="n">
        <v>0</v>
      </c>
      <c r="M429" s="19" t="n">
        <f aca="false">ABS(L429)</f>
        <v>0</v>
      </c>
      <c r="N429" s="18" t="str">
        <f aca="false">IF(L429=0,"Nil balance",IF(G429="AR file",IF(L429&gt;0,"Accounts Receivable","Customer Advances"),IF(L429&lt;0,"Accounts Payable","Supplier Advances")))</f>
        <v>Nil balance</v>
      </c>
      <c r="O429" s="18" t="str">
        <f aca="false">IF(L429=0,"Excluded",IF(Summary!$C$4="By ledger",IF(G429="AR file","Population 1","Population 2"),IF(L429&gt;0,"Population 1","Population 2")))</f>
        <v>Excluded</v>
      </c>
      <c r="P429" s="18" t="str">
        <f aca="false">IF(O429="Excluded","Excluded – nil closing balance",IF(M429&gt;Summary!$C$5,"Above Materiality","Below Materiality"))</f>
        <v>Excluded – nil closing balance</v>
      </c>
      <c r="Q429" s="20" t="str">
        <f aca="false">IF(P429="Below Materiality",T429,"")</f>
        <v/>
      </c>
      <c r="R429" s="21" t="str">
        <f aca="false">IF(P429="Above Materiality",COUNTIFS($O$2:$O$1092,O429,$P$2:$P$1092,"Above Materiality",$M$2:$M$1092,"&gt;"&amp;M429)+COUNTIFS($O$2:$O$1092,O429,$P$2:$P$1092,"Above Materiality",$M$2:$M$1092,M429,$A$2:$A$1092,"&lt;"&amp;A429)+1,"")</f>
        <v/>
      </c>
      <c r="S429" s="21" t="str">
        <f aca="false">IF(P429&lt;&gt;"Below Materiality","",IF(Summary!$C$9="Random",COUNTIFS($O$2:$O$1092,O429,$Q$2:$Q$1092,"&gt;"&amp;Q429)+1,COUNTIFS($O$2:$O$1092,O429,$P$2:$P$1092,"Below Materiality",$M$2:$M$1092,"&gt;"&amp;M429)+COUNTIFS($O$2:$O$1092,O429,$P$2:$P$1092,"Below Materiality",$M$2:$M$1092,M429,$A$2:$A$1092,"&lt;"&amp;A429)+1))</f>
        <v/>
      </c>
      <c r="T429" s="22"/>
      <c r="U429" s="21" t="str">
        <f aca="false">IF(R429="","",O429&amp;"|A|"&amp;R429)</f>
        <v/>
      </c>
      <c r="V429" s="21" t="str">
        <f aca="false">IF(S429="","",O429&amp;"|R|"&amp;S429)</f>
        <v/>
      </c>
    </row>
    <row r="430" customFormat="false" ht="15" hidden="false" customHeight="false" outlineLevel="0" collapsed="false">
      <c r="A430" s="18" t="n">
        <v>429</v>
      </c>
      <c r="B430" s="18"/>
      <c r="C430" s="18"/>
      <c r="D430" s="18"/>
      <c r="E430" s="18" t="s">
        <v>913</v>
      </c>
      <c r="F430" s="18" t="s">
        <v>914</v>
      </c>
      <c r="G430" s="18" t="s">
        <v>74</v>
      </c>
      <c r="H430" s="18" t="n">
        <v>186</v>
      </c>
      <c r="I430" s="19" t="n">
        <v>500</v>
      </c>
      <c r="J430" s="19" t="n">
        <v>0</v>
      </c>
      <c r="K430" s="19" t="n">
        <v>500</v>
      </c>
      <c r="L430" s="19" t="n">
        <v>0</v>
      </c>
      <c r="M430" s="19" t="n">
        <f aca="false">ABS(L430)</f>
        <v>0</v>
      </c>
      <c r="N430" s="18" t="str">
        <f aca="false">IF(L430=0,"Nil balance",IF(G430="AR file",IF(L430&gt;0,"Accounts Receivable","Customer Advances"),IF(L430&lt;0,"Accounts Payable","Supplier Advances")))</f>
        <v>Nil balance</v>
      </c>
      <c r="O430" s="18" t="str">
        <f aca="false">IF(L430=0,"Excluded",IF(Summary!$C$4="By ledger",IF(G430="AR file","Population 1","Population 2"),IF(L430&gt;0,"Population 1","Population 2")))</f>
        <v>Excluded</v>
      </c>
      <c r="P430" s="18" t="str">
        <f aca="false">IF(O430="Excluded","Excluded – nil closing balance",IF(M430&gt;Summary!$C$5,"Above Materiality","Below Materiality"))</f>
        <v>Excluded – nil closing balance</v>
      </c>
      <c r="Q430" s="20" t="str">
        <f aca="false">IF(P430="Below Materiality",T430,"")</f>
        <v/>
      </c>
      <c r="R430" s="21" t="str">
        <f aca="false">IF(P430="Above Materiality",COUNTIFS($O$2:$O$1092,O430,$P$2:$P$1092,"Above Materiality",$M$2:$M$1092,"&gt;"&amp;M430)+COUNTIFS($O$2:$O$1092,O430,$P$2:$P$1092,"Above Materiality",$M$2:$M$1092,M430,$A$2:$A$1092,"&lt;"&amp;A430)+1,"")</f>
        <v/>
      </c>
      <c r="S430" s="21" t="str">
        <f aca="false">IF(P430&lt;&gt;"Below Materiality","",IF(Summary!$C$9="Random",COUNTIFS($O$2:$O$1092,O430,$Q$2:$Q$1092,"&gt;"&amp;Q430)+1,COUNTIFS($O$2:$O$1092,O430,$P$2:$P$1092,"Below Materiality",$M$2:$M$1092,"&gt;"&amp;M430)+COUNTIFS($O$2:$O$1092,O430,$P$2:$P$1092,"Below Materiality",$M$2:$M$1092,M430,$A$2:$A$1092,"&lt;"&amp;A430)+1))</f>
        <v/>
      </c>
      <c r="T430" s="22"/>
      <c r="U430" s="21" t="str">
        <f aca="false">IF(R430="","",O430&amp;"|A|"&amp;R430)</f>
        <v/>
      </c>
      <c r="V430" s="21" t="str">
        <f aca="false">IF(S430="","",O430&amp;"|R|"&amp;S430)</f>
        <v/>
      </c>
    </row>
    <row r="431" customFormat="false" ht="15" hidden="false" customHeight="false" outlineLevel="0" collapsed="false">
      <c r="A431" s="18" t="n">
        <v>430</v>
      </c>
      <c r="B431" s="18"/>
      <c r="C431" s="18"/>
      <c r="D431" s="18"/>
      <c r="E431" s="18" t="s">
        <v>915</v>
      </c>
      <c r="F431" s="18" t="s">
        <v>764</v>
      </c>
      <c r="G431" s="18" t="s">
        <v>74</v>
      </c>
      <c r="H431" s="18" t="n">
        <v>187</v>
      </c>
      <c r="I431" s="19" t="n">
        <v>0</v>
      </c>
      <c r="J431" s="19" t="n">
        <v>920</v>
      </c>
      <c r="K431" s="19" t="n">
        <v>920</v>
      </c>
      <c r="L431" s="19" t="n">
        <v>0</v>
      </c>
      <c r="M431" s="19" t="n">
        <f aca="false">ABS(L431)</f>
        <v>0</v>
      </c>
      <c r="N431" s="18" t="str">
        <f aca="false">IF(L431=0,"Nil balance",IF(G431="AR file",IF(L431&gt;0,"Accounts Receivable","Customer Advances"),IF(L431&lt;0,"Accounts Payable","Supplier Advances")))</f>
        <v>Nil balance</v>
      </c>
      <c r="O431" s="18" t="str">
        <f aca="false">IF(L431=0,"Excluded",IF(Summary!$C$4="By ledger",IF(G431="AR file","Population 1","Population 2"),IF(L431&gt;0,"Population 1","Population 2")))</f>
        <v>Excluded</v>
      </c>
      <c r="P431" s="18" t="str">
        <f aca="false">IF(O431="Excluded","Excluded – nil closing balance",IF(M431&gt;Summary!$C$5,"Above Materiality","Below Materiality"))</f>
        <v>Excluded – nil closing balance</v>
      </c>
      <c r="Q431" s="20" t="str">
        <f aca="false">IF(P431="Below Materiality",T431,"")</f>
        <v/>
      </c>
      <c r="R431" s="21" t="str">
        <f aca="false">IF(P431="Above Materiality",COUNTIFS($O$2:$O$1092,O431,$P$2:$P$1092,"Above Materiality",$M$2:$M$1092,"&gt;"&amp;M431)+COUNTIFS($O$2:$O$1092,O431,$P$2:$P$1092,"Above Materiality",$M$2:$M$1092,M431,$A$2:$A$1092,"&lt;"&amp;A431)+1,"")</f>
        <v/>
      </c>
      <c r="S431" s="21" t="str">
        <f aca="false">IF(P431&lt;&gt;"Below Materiality","",IF(Summary!$C$9="Random",COUNTIFS($O$2:$O$1092,O431,$Q$2:$Q$1092,"&gt;"&amp;Q431)+1,COUNTIFS($O$2:$O$1092,O431,$P$2:$P$1092,"Below Materiality",$M$2:$M$1092,"&gt;"&amp;M431)+COUNTIFS($O$2:$O$1092,O431,$P$2:$P$1092,"Below Materiality",$M$2:$M$1092,M431,$A$2:$A$1092,"&lt;"&amp;A431)+1))</f>
        <v/>
      </c>
      <c r="T431" s="22"/>
      <c r="U431" s="21" t="str">
        <f aca="false">IF(R431="","",O431&amp;"|A|"&amp;R431)</f>
        <v/>
      </c>
      <c r="V431" s="21" t="str">
        <f aca="false">IF(S431="","",O431&amp;"|R|"&amp;S431)</f>
        <v/>
      </c>
    </row>
    <row r="432" customFormat="false" ht="15" hidden="false" customHeight="false" outlineLevel="0" collapsed="false">
      <c r="A432" s="18" t="n">
        <v>431</v>
      </c>
      <c r="B432" s="18"/>
      <c r="C432" s="18"/>
      <c r="D432" s="18"/>
      <c r="E432" s="18" t="s">
        <v>916</v>
      </c>
      <c r="F432" s="18" t="s">
        <v>917</v>
      </c>
      <c r="G432" s="18" t="s">
        <v>74</v>
      </c>
      <c r="H432" s="18" t="n">
        <v>189</v>
      </c>
      <c r="I432" s="19" t="n">
        <v>40</v>
      </c>
      <c r="J432" s="19" t="n">
        <v>40</v>
      </c>
      <c r="K432" s="19" t="n">
        <v>80</v>
      </c>
      <c r="L432" s="19" t="n">
        <v>0</v>
      </c>
      <c r="M432" s="19" t="n">
        <f aca="false">ABS(L432)</f>
        <v>0</v>
      </c>
      <c r="N432" s="18" t="str">
        <f aca="false">IF(L432=0,"Nil balance",IF(G432="AR file",IF(L432&gt;0,"Accounts Receivable","Customer Advances"),IF(L432&lt;0,"Accounts Payable","Supplier Advances")))</f>
        <v>Nil balance</v>
      </c>
      <c r="O432" s="18" t="str">
        <f aca="false">IF(L432=0,"Excluded",IF(Summary!$C$4="By ledger",IF(G432="AR file","Population 1","Population 2"),IF(L432&gt;0,"Population 1","Population 2")))</f>
        <v>Excluded</v>
      </c>
      <c r="P432" s="18" t="str">
        <f aca="false">IF(O432="Excluded","Excluded – nil closing balance",IF(M432&gt;Summary!$C$5,"Above Materiality","Below Materiality"))</f>
        <v>Excluded – nil closing balance</v>
      </c>
      <c r="Q432" s="20" t="str">
        <f aca="false">IF(P432="Below Materiality",T432,"")</f>
        <v/>
      </c>
      <c r="R432" s="21" t="str">
        <f aca="false">IF(P432="Above Materiality",COUNTIFS($O$2:$O$1092,O432,$P$2:$P$1092,"Above Materiality",$M$2:$M$1092,"&gt;"&amp;M432)+COUNTIFS($O$2:$O$1092,O432,$P$2:$P$1092,"Above Materiality",$M$2:$M$1092,M432,$A$2:$A$1092,"&lt;"&amp;A432)+1,"")</f>
        <v/>
      </c>
      <c r="S432" s="21" t="str">
        <f aca="false">IF(P432&lt;&gt;"Below Materiality","",IF(Summary!$C$9="Random",COUNTIFS($O$2:$O$1092,O432,$Q$2:$Q$1092,"&gt;"&amp;Q432)+1,COUNTIFS($O$2:$O$1092,O432,$P$2:$P$1092,"Below Materiality",$M$2:$M$1092,"&gt;"&amp;M432)+COUNTIFS($O$2:$O$1092,O432,$P$2:$P$1092,"Below Materiality",$M$2:$M$1092,M432,$A$2:$A$1092,"&lt;"&amp;A432)+1))</f>
        <v/>
      </c>
      <c r="T432" s="22"/>
      <c r="U432" s="21" t="str">
        <f aca="false">IF(R432="","",O432&amp;"|A|"&amp;R432)</f>
        <v/>
      </c>
      <c r="V432" s="21" t="str">
        <f aca="false">IF(S432="","",O432&amp;"|R|"&amp;S432)</f>
        <v/>
      </c>
    </row>
    <row r="433" customFormat="false" ht="15" hidden="false" customHeight="false" outlineLevel="0" collapsed="false">
      <c r="A433" s="18" t="n">
        <v>432</v>
      </c>
      <c r="B433" s="18"/>
      <c r="C433" s="18"/>
      <c r="D433" s="18"/>
      <c r="E433" s="18" t="s">
        <v>918</v>
      </c>
      <c r="F433" s="18" t="s">
        <v>919</v>
      </c>
      <c r="G433" s="18" t="s">
        <v>74</v>
      </c>
      <c r="H433" s="18" t="n">
        <v>190</v>
      </c>
      <c r="I433" s="19" t="n">
        <v>17.5</v>
      </c>
      <c r="J433" s="19" t="n">
        <v>460</v>
      </c>
      <c r="K433" s="19" t="n">
        <v>477.5</v>
      </c>
      <c r="L433" s="19" t="n">
        <v>0</v>
      </c>
      <c r="M433" s="19" t="n">
        <f aca="false">ABS(L433)</f>
        <v>0</v>
      </c>
      <c r="N433" s="18" t="str">
        <f aca="false">IF(L433=0,"Nil balance",IF(G433="AR file",IF(L433&gt;0,"Accounts Receivable","Customer Advances"),IF(L433&lt;0,"Accounts Payable","Supplier Advances")))</f>
        <v>Nil balance</v>
      </c>
      <c r="O433" s="18" t="str">
        <f aca="false">IF(L433=0,"Excluded",IF(Summary!$C$4="By ledger",IF(G433="AR file","Population 1","Population 2"),IF(L433&gt;0,"Population 1","Population 2")))</f>
        <v>Excluded</v>
      </c>
      <c r="P433" s="18" t="str">
        <f aca="false">IF(O433="Excluded","Excluded – nil closing balance",IF(M433&gt;Summary!$C$5,"Above Materiality","Below Materiality"))</f>
        <v>Excluded – nil closing balance</v>
      </c>
      <c r="Q433" s="20" t="str">
        <f aca="false">IF(P433="Below Materiality",T433,"")</f>
        <v/>
      </c>
      <c r="R433" s="21" t="str">
        <f aca="false">IF(P433="Above Materiality",COUNTIFS($O$2:$O$1092,O433,$P$2:$P$1092,"Above Materiality",$M$2:$M$1092,"&gt;"&amp;M433)+COUNTIFS($O$2:$O$1092,O433,$P$2:$P$1092,"Above Materiality",$M$2:$M$1092,M433,$A$2:$A$1092,"&lt;"&amp;A433)+1,"")</f>
        <v/>
      </c>
      <c r="S433" s="21" t="str">
        <f aca="false">IF(P433&lt;&gt;"Below Materiality","",IF(Summary!$C$9="Random",COUNTIFS($O$2:$O$1092,O433,$Q$2:$Q$1092,"&gt;"&amp;Q433)+1,COUNTIFS($O$2:$O$1092,O433,$P$2:$P$1092,"Below Materiality",$M$2:$M$1092,"&gt;"&amp;M433)+COUNTIFS($O$2:$O$1092,O433,$P$2:$P$1092,"Below Materiality",$M$2:$M$1092,M433,$A$2:$A$1092,"&lt;"&amp;A433)+1))</f>
        <v/>
      </c>
      <c r="T433" s="22"/>
      <c r="U433" s="21" t="str">
        <f aca="false">IF(R433="","",O433&amp;"|A|"&amp;R433)</f>
        <v/>
      </c>
      <c r="V433" s="21" t="str">
        <f aca="false">IF(S433="","",O433&amp;"|R|"&amp;S433)</f>
        <v/>
      </c>
    </row>
    <row r="434" customFormat="false" ht="15" hidden="false" customHeight="false" outlineLevel="0" collapsed="false">
      <c r="A434" s="18" t="n">
        <v>433</v>
      </c>
      <c r="B434" s="18"/>
      <c r="C434" s="18"/>
      <c r="D434" s="18"/>
      <c r="E434" s="18" t="s">
        <v>920</v>
      </c>
      <c r="F434" s="18" t="s">
        <v>921</v>
      </c>
      <c r="G434" s="18" t="s">
        <v>74</v>
      </c>
      <c r="H434" s="18" t="n">
        <v>191</v>
      </c>
      <c r="I434" s="19" t="n">
        <v>8808.03</v>
      </c>
      <c r="J434" s="19" t="n">
        <v>6958.65</v>
      </c>
      <c r="K434" s="19" t="n">
        <v>15766.68</v>
      </c>
      <c r="L434" s="19" t="n">
        <v>0</v>
      </c>
      <c r="M434" s="19" t="n">
        <f aca="false">ABS(L434)</f>
        <v>0</v>
      </c>
      <c r="N434" s="18" t="str">
        <f aca="false">IF(L434=0,"Nil balance",IF(G434="AR file",IF(L434&gt;0,"Accounts Receivable","Customer Advances"),IF(L434&lt;0,"Accounts Payable","Supplier Advances")))</f>
        <v>Nil balance</v>
      </c>
      <c r="O434" s="18" t="str">
        <f aca="false">IF(L434=0,"Excluded",IF(Summary!$C$4="By ledger",IF(G434="AR file","Population 1","Population 2"),IF(L434&gt;0,"Population 1","Population 2")))</f>
        <v>Excluded</v>
      </c>
      <c r="P434" s="18" t="str">
        <f aca="false">IF(O434="Excluded","Excluded – nil closing balance",IF(M434&gt;Summary!$C$5,"Above Materiality","Below Materiality"))</f>
        <v>Excluded – nil closing balance</v>
      </c>
      <c r="Q434" s="20" t="str">
        <f aca="false">IF(P434="Below Materiality",T434,"")</f>
        <v/>
      </c>
      <c r="R434" s="21" t="str">
        <f aca="false">IF(P434="Above Materiality",COUNTIFS($O$2:$O$1092,O434,$P$2:$P$1092,"Above Materiality",$M$2:$M$1092,"&gt;"&amp;M434)+COUNTIFS($O$2:$O$1092,O434,$P$2:$P$1092,"Above Materiality",$M$2:$M$1092,M434,$A$2:$A$1092,"&lt;"&amp;A434)+1,"")</f>
        <v/>
      </c>
      <c r="S434" s="21" t="str">
        <f aca="false">IF(P434&lt;&gt;"Below Materiality","",IF(Summary!$C$9="Random",COUNTIFS($O$2:$O$1092,O434,$Q$2:$Q$1092,"&gt;"&amp;Q434)+1,COUNTIFS($O$2:$O$1092,O434,$P$2:$P$1092,"Below Materiality",$M$2:$M$1092,"&gt;"&amp;M434)+COUNTIFS($O$2:$O$1092,O434,$P$2:$P$1092,"Below Materiality",$M$2:$M$1092,M434,$A$2:$A$1092,"&lt;"&amp;A434)+1))</f>
        <v/>
      </c>
      <c r="T434" s="22"/>
      <c r="U434" s="21" t="str">
        <f aca="false">IF(R434="","",O434&amp;"|A|"&amp;R434)</f>
        <v/>
      </c>
      <c r="V434" s="21" t="str">
        <f aca="false">IF(S434="","",O434&amp;"|R|"&amp;S434)</f>
        <v/>
      </c>
    </row>
    <row r="435" customFormat="false" ht="15" hidden="false" customHeight="false" outlineLevel="0" collapsed="false">
      <c r="A435" s="18" t="n">
        <v>434</v>
      </c>
      <c r="B435" s="18"/>
      <c r="C435" s="18"/>
      <c r="D435" s="18"/>
      <c r="E435" s="18" t="s">
        <v>922</v>
      </c>
      <c r="F435" s="18" t="s">
        <v>923</v>
      </c>
      <c r="G435" s="18" t="s">
        <v>74</v>
      </c>
      <c r="H435" s="18" t="n">
        <v>192</v>
      </c>
      <c r="I435" s="19" t="n">
        <v>0</v>
      </c>
      <c r="J435" s="19" t="n">
        <v>807.3</v>
      </c>
      <c r="K435" s="19" t="n">
        <v>807.3</v>
      </c>
      <c r="L435" s="19" t="n">
        <v>0</v>
      </c>
      <c r="M435" s="19" t="n">
        <f aca="false">ABS(L435)</f>
        <v>0</v>
      </c>
      <c r="N435" s="18" t="str">
        <f aca="false">IF(L435=0,"Nil balance",IF(G435="AR file",IF(L435&gt;0,"Accounts Receivable","Customer Advances"),IF(L435&lt;0,"Accounts Payable","Supplier Advances")))</f>
        <v>Nil balance</v>
      </c>
      <c r="O435" s="18" t="str">
        <f aca="false">IF(L435=0,"Excluded",IF(Summary!$C$4="By ledger",IF(G435="AR file","Population 1","Population 2"),IF(L435&gt;0,"Population 1","Population 2")))</f>
        <v>Excluded</v>
      </c>
      <c r="P435" s="18" t="str">
        <f aca="false">IF(O435="Excluded","Excluded – nil closing balance",IF(M435&gt;Summary!$C$5,"Above Materiality","Below Materiality"))</f>
        <v>Excluded – nil closing balance</v>
      </c>
      <c r="Q435" s="20" t="str">
        <f aca="false">IF(P435="Below Materiality",T435,"")</f>
        <v/>
      </c>
      <c r="R435" s="21" t="str">
        <f aca="false">IF(P435="Above Materiality",COUNTIFS($O$2:$O$1092,O435,$P$2:$P$1092,"Above Materiality",$M$2:$M$1092,"&gt;"&amp;M435)+COUNTIFS($O$2:$O$1092,O435,$P$2:$P$1092,"Above Materiality",$M$2:$M$1092,M435,$A$2:$A$1092,"&lt;"&amp;A435)+1,"")</f>
        <v/>
      </c>
      <c r="S435" s="21" t="str">
        <f aca="false">IF(P435&lt;&gt;"Below Materiality","",IF(Summary!$C$9="Random",COUNTIFS($O$2:$O$1092,O435,$Q$2:$Q$1092,"&gt;"&amp;Q435)+1,COUNTIFS($O$2:$O$1092,O435,$P$2:$P$1092,"Below Materiality",$M$2:$M$1092,"&gt;"&amp;M435)+COUNTIFS($O$2:$O$1092,O435,$P$2:$P$1092,"Below Materiality",$M$2:$M$1092,M435,$A$2:$A$1092,"&lt;"&amp;A435)+1))</f>
        <v/>
      </c>
      <c r="T435" s="22"/>
      <c r="U435" s="21" t="str">
        <f aca="false">IF(R435="","",O435&amp;"|A|"&amp;R435)</f>
        <v/>
      </c>
      <c r="V435" s="21" t="str">
        <f aca="false">IF(S435="","",O435&amp;"|R|"&amp;S435)</f>
        <v/>
      </c>
    </row>
    <row r="436" customFormat="false" ht="15" hidden="false" customHeight="false" outlineLevel="0" collapsed="false">
      <c r="A436" s="18" t="n">
        <v>435</v>
      </c>
      <c r="B436" s="18"/>
      <c r="C436" s="18"/>
      <c r="D436" s="18"/>
      <c r="E436" s="18" t="s">
        <v>924</v>
      </c>
      <c r="F436" s="18" t="s">
        <v>925</v>
      </c>
      <c r="G436" s="18" t="s">
        <v>74</v>
      </c>
      <c r="H436" s="18" t="n">
        <v>193</v>
      </c>
      <c r="I436" s="19" t="n">
        <v>-4122</v>
      </c>
      <c r="J436" s="19" t="n">
        <v>4122</v>
      </c>
      <c r="K436" s="19" t="n">
        <v>0</v>
      </c>
      <c r="L436" s="19" t="n">
        <v>0</v>
      </c>
      <c r="M436" s="19" t="n">
        <f aca="false">ABS(L436)</f>
        <v>0</v>
      </c>
      <c r="N436" s="18" t="str">
        <f aca="false">IF(L436=0,"Nil balance",IF(G436="AR file",IF(L436&gt;0,"Accounts Receivable","Customer Advances"),IF(L436&lt;0,"Accounts Payable","Supplier Advances")))</f>
        <v>Nil balance</v>
      </c>
      <c r="O436" s="18" t="str">
        <f aca="false">IF(L436=0,"Excluded",IF(Summary!$C$4="By ledger",IF(G436="AR file","Population 1","Population 2"),IF(L436&gt;0,"Population 1","Population 2")))</f>
        <v>Excluded</v>
      </c>
      <c r="P436" s="18" t="str">
        <f aca="false">IF(O436="Excluded","Excluded – nil closing balance",IF(M436&gt;Summary!$C$5,"Above Materiality","Below Materiality"))</f>
        <v>Excluded – nil closing balance</v>
      </c>
      <c r="Q436" s="20" t="str">
        <f aca="false">IF(P436="Below Materiality",T436,"")</f>
        <v/>
      </c>
      <c r="R436" s="21" t="str">
        <f aca="false">IF(P436="Above Materiality",COUNTIFS($O$2:$O$1092,O436,$P$2:$P$1092,"Above Materiality",$M$2:$M$1092,"&gt;"&amp;M436)+COUNTIFS($O$2:$O$1092,O436,$P$2:$P$1092,"Above Materiality",$M$2:$M$1092,M436,$A$2:$A$1092,"&lt;"&amp;A436)+1,"")</f>
        <v/>
      </c>
      <c r="S436" s="21" t="str">
        <f aca="false">IF(P436&lt;&gt;"Below Materiality","",IF(Summary!$C$9="Random",COUNTIFS($O$2:$O$1092,O436,$Q$2:$Q$1092,"&gt;"&amp;Q436)+1,COUNTIFS($O$2:$O$1092,O436,$P$2:$P$1092,"Below Materiality",$M$2:$M$1092,"&gt;"&amp;M436)+COUNTIFS($O$2:$O$1092,O436,$P$2:$P$1092,"Below Materiality",$M$2:$M$1092,M436,$A$2:$A$1092,"&lt;"&amp;A436)+1))</f>
        <v/>
      </c>
      <c r="T436" s="22"/>
      <c r="U436" s="21" t="str">
        <f aca="false">IF(R436="","",O436&amp;"|A|"&amp;R436)</f>
        <v/>
      </c>
      <c r="V436" s="21" t="str">
        <f aca="false">IF(S436="","",O436&amp;"|R|"&amp;S436)</f>
        <v/>
      </c>
    </row>
    <row r="437" customFormat="false" ht="15" hidden="false" customHeight="false" outlineLevel="0" collapsed="false">
      <c r="A437" s="18" t="n">
        <v>436</v>
      </c>
      <c r="B437" s="18"/>
      <c r="C437" s="18"/>
      <c r="D437" s="18"/>
      <c r="E437" s="18" t="s">
        <v>926</v>
      </c>
      <c r="F437" s="18" t="s">
        <v>927</v>
      </c>
      <c r="G437" s="18" t="s">
        <v>74</v>
      </c>
      <c r="H437" s="18" t="n">
        <v>194</v>
      </c>
      <c r="I437" s="19" t="n">
        <v>0</v>
      </c>
      <c r="J437" s="19" t="n">
        <v>15415.73</v>
      </c>
      <c r="K437" s="19" t="n">
        <v>15415.73</v>
      </c>
      <c r="L437" s="19" t="n">
        <v>0</v>
      </c>
      <c r="M437" s="19" t="n">
        <f aca="false">ABS(L437)</f>
        <v>0</v>
      </c>
      <c r="N437" s="18" t="str">
        <f aca="false">IF(L437=0,"Nil balance",IF(G437="AR file",IF(L437&gt;0,"Accounts Receivable","Customer Advances"),IF(L437&lt;0,"Accounts Payable","Supplier Advances")))</f>
        <v>Nil balance</v>
      </c>
      <c r="O437" s="18" t="str">
        <f aca="false">IF(L437=0,"Excluded",IF(Summary!$C$4="By ledger",IF(G437="AR file","Population 1","Population 2"),IF(L437&gt;0,"Population 1","Population 2")))</f>
        <v>Excluded</v>
      </c>
      <c r="P437" s="18" t="str">
        <f aca="false">IF(O437="Excluded","Excluded – nil closing balance",IF(M437&gt;Summary!$C$5,"Above Materiality","Below Materiality"))</f>
        <v>Excluded – nil closing balance</v>
      </c>
      <c r="Q437" s="20" t="str">
        <f aca="false">IF(P437="Below Materiality",T437,"")</f>
        <v/>
      </c>
      <c r="R437" s="21" t="str">
        <f aca="false">IF(P437="Above Materiality",COUNTIFS($O$2:$O$1092,O437,$P$2:$P$1092,"Above Materiality",$M$2:$M$1092,"&gt;"&amp;M437)+COUNTIFS($O$2:$O$1092,O437,$P$2:$P$1092,"Above Materiality",$M$2:$M$1092,M437,$A$2:$A$1092,"&lt;"&amp;A437)+1,"")</f>
        <v/>
      </c>
      <c r="S437" s="21" t="str">
        <f aca="false">IF(P437&lt;&gt;"Below Materiality","",IF(Summary!$C$9="Random",COUNTIFS($O$2:$O$1092,O437,$Q$2:$Q$1092,"&gt;"&amp;Q437)+1,COUNTIFS($O$2:$O$1092,O437,$P$2:$P$1092,"Below Materiality",$M$2:$M$1092,"&gt;"&amp;M437)+COUNTIFS($O$2:$O$1092,O437,$P$2:$P$1092,"Below Materiality",$M$2:$M$1092,M437,$A$2:$A$1092,"&lt;"&amp;A437)+1))</f>
        <v/>
      </c>
      <c r="T437" s="22"/>
      <c r="U437" s="21" t="str">
        <f aca="false">IF(R437="","",O437&amp;"|A|"&amp;R437)</f>
        <v/>
      </c>
      <c r="V437" s="21" t="str">
        <f aca="false">IF(S437="","",O437&amp;"|R|"&amp;S437)</f>
        <v/>
      </c>
    </row>
    <row r="438" customFormat="false" ht="15" hidden="false" customHeight="false" outlineLevel="0" collapsed="false">
      <c r="A438" s="18" t="n">
        <v>437</v>
      </c>
      <c r="B438" s="18"/>
      <c r="C438" s="18"/>
      <c r="D438" s="18"/>
      <c r="E438" s="18" t="s">
        <v>928</v>
      </c>
      <c r="F438" s="18" t="s">
        <v>929</v>
      </c>
      <c r="G438" s="18" t="s">
        <v>74</v>
      </c>
      <c r="H438" s="18" t="n">
        <v>196</v>
      </c>
      <c r="I438" s="19" t="n">
        <v>0</v>
      </c>
      <c r="J438" s="19" t="n">
        <v>496.6</v>
      </c>
      <c r="K438" s="19" t="n">
        <v>496.6</v>
      </c>
      <c r="L438" s="19" t="n">
        <v>0</v>
      </c>
      <c r="M438" s="19" t="n">
        <f aca="false">ABS(L438)</f>
        <v>0</v>
      </c>
      <c r="N438" s="18" t="str">
        <f aca="false">IF(L438=0,"Nil balance",IF(G438="AR file",IF(L438&gt;0,"Accounts Receivable","Customer Advances"),IF(L438&lt;0,"Accounts Payable","Supplier Advances")))</f>
        <v>Nil balance</v>
      </c>
      <c r="O438" s="18" t="str">
        <f aca="false">IF(L438=0,"Excluded",IF(Summary!$C$4="By ledger",IF(G438="AR file","Population 1","Population 2"),IF(L438&gt;0,"Population 1","Population 2")))</f>
        <v>Excluded</v>
      </c>
      <c r="P438" s="18" t="str">
        <f aca="false">IF(O438="Excluded","Excluded – nil closing balance",IF(M438&gt;Summary!$C$5,"Above Materiality","Below Materiality"))</f>
        <v>Excluded – nil closing balance</v>
      </c>
      <c r="Q438" s="20" t="str">
        <f aca="false">IF(P438="Below Materiality",T438,"")</f>
        <v/>
      </c>
      <c r="R438" s="21" t="str">
        <f aca="false">IF(P438="Above Materiality",COUNTIFS($O$2:$O$1092,O438,$P$2:$P$1092,"Above Materiality",$M$2:$M$1092,"&gt;"&amp;M438)+COUNTIFS($O$2:$O$1092,O438,$P$2:$P$1092,"Above Materiality",$M$2:$M$1092,M438,$A$2:$A$1092,"&lt;"&amp;A438)+1,"")</f>
        <v/>
      </c>
      <c r="S438" s="21" t="str">
        <f aca="false">IF(P438&lt;&gt;"Below Materiality","",IF(Summary!$C$9="Random",COUNTIFS($O$2:$O$1092,O438,$Q$2:$Q$1092,"&gt;"&amp;Q438)+1,COUNTIFS($O$2:$O$1092,O438,$P$2:$P$1092,"Below Materiality",$M$2:$M$1092,"&gt;"&amp;M438)+COUNTIFS($O$2:$O$1092,O438,$P$2:$P$1092,"Below Materiality",$M$2:$M$1092,M438,$A$2:$A$1092,"&lt;"&amp;A438)+1))</f>
        <v/>
      </c>
      <c r="T438" s="22"/>
      <c r="U438" s="21" t="str">
        <f aca="false">IF(R438="","",O438&amp;"|A|"&amp;R438)</f>
        <v/>
      </c>
      <c r="V438" s="21" t="str">
        <f aca="false">IF(S438="","",O438&amp;"|R|"&amp;S438)</f>
        <v/>
      </c>
    </row>
    <row r="439" customFormat="false" ht="15" hidden="false" customHeight="false" outlineLevel="0" collapsed="false">
      <c r="A439" s="18" t="n">
        <v>438</v>
      </c>
      <c r="B439" s="18"/>
      <c r="C439" s="18"/>
      <c r="D439" s="18"/>
      <c r="E439" s="18" t="s">
        <v>930</v>
      </c>
      <c r="F439" s="18" t="s">
        <v>931</v>
      </c>
      <c r="G439" s="18" t="s">
        <v>74</v>
      </c>
      <c r="H439" s="18" t="n">
        <v>197</v>
      </c>
      <c r="I439" s="19" t="n">
        <v>0</v>
      </c>
      <c r="J439" s="19" t="n">
        <v>21728.7</v>
      </c>
      <c r="K439" s="19" t="n">
        <v>21728.7</v>
      </c>
      <c r="L439" s="19" t="n">
        <v>0</v>
      </c>
      <c r="M439" s="19" t="n">
        <f aca="false">ABS(L439)</f>
        <v>0</v>
      </c>
      <c r="N439" s="18" t="str">
        <f aca="false">IF(L439=0,"Nil balance",IF(G439="AR file",IF(L439&gt;0,"Accounts Receivable","Customer Advances"),IF(L439&lt;0,"Accounts Payable","Supplier Advances")))</f>
        <v>Nil balance</v>
      </c>
      <c r="O439" s="18" t="str">
        <f aca="false">IF(L439=0,"Excluded",IF(Summary!$C$4="By ledger",IF(G439="AR file","Population 1","Population 2"),IF(L439&gt;0,"Population 1","Population 2")))</f>
        <v>Excluded</v>
      </c>
      <c r="P439" s="18" t="str">
        <f aca="false">IF(O439="Excluded","Excluded – nil closing balance",IF(M439&gt;Summary!$C$5,"Above Materiality","Below Materiality"))</f>
        <v>Excluded – nil closing balance</v>
      </c>
      <c r="Q439" s="20" t="str">
        <f aca="false">IF(P439="Below Materiality",T439,"")</f>
        <v/>
      </c>
      <c r="R439" s="21" t="str">
        <f aca="false">IF(P439="Above Materiality",COUNTIFS($O$2:$O$1092,O439,$P$2:$P$1092,"Above Materiality",$M$2:$M$1092,"&gt;"&amp;M439)+COUNTIFS($O$2:$O$1092,O439,$P$2:$P$1092,"Above Materiality",$M$2:$M$1092,M439,$A$2:$A$1092,"&lt;"&amp;A439)+1,"")</f>
        <v/>
      </c>
      <c r="S439" s="21" t="str">
        <f aca="false">IF(P439&lt;&gt;"Below Materiality","",IF(Summary!$C$9="Random",COUNTIFS($O$2:$O$1092,O439,$Q$2:$Q$1092,"&gt;"&amp;Q439)+1,COUNTIFS($O$2:$O$1092,O439,$P$2:$P$1092,"Below Materiality",$M$2:$M$1092,"&gt;"&amp;M439)+COUNTIFS($O$2:$O$1092,O439,$P$2:$P$1092,"Below Materiality",$M$2:$M$1092,M439,$A$2:$A$1092,"&lt;"&amp;A439)+1))</f>
        <v/>
      </c>
      <c r="T439" s="22"/>
      <c r="U439" s="21" t="str">
        <f aca="false">IF(R439="","",O439&amp;"|A|"&amp;R439)</f>
        <v/>
      </c>
      <c r="V439" s="21" t="str">
        <f aca="false">IF(S439="","",O439&amp;"|R|"&amp;S439)</f>
        <v/>
      </c>
    </row>
    <row r="440" customFormat="false" ht="15" hidden="false" customHeight="false" outlineLevel="0" collapsed="false">
      <c r="A440" s="18" t="n">
        <v>439</v>
      </c>
      <c r="B440" s="18"/>
      <c r="C440" s="18"/>
      <c r="D440" s="18"/>
      <c r="E440" s="18" t="s">
        <v>932</v>
      </c>
      <c r="F440" s="18" t="s">
        <v>933</v>
      </c>
      <c r="G440" s="18" t="s">
        <v>74</v>
      </c>
      <c r="H440" s="18" t="n">
        <v>198</v>
      </c>
      <c r="I440" s="19" t="n">
        <v>0</v>
      </c>
      <c r="J440" s="19" t="n">
        <v>6940</v>
      </c>
      <c r="K440" s="19" t="n">
        <v>6940</v>
      </c>
      <c r="L440" s="19" t="n">
        <v>0</v>
      </c>
      <c r="M440" s="19" t="n">
        <f aca="false">ABS(L440)</f>
        <v>0</v>
      </c>
      <c r="N440" s="18" t="str">
        <f aca="false">IF(L440=0,"Nil balance",IF(G440="AR file",IF(L440&gt;0,"Accounts Receivable","Customer Advances"),IF(L440&lt;0,"Accounts Payable","Supplier Advances")))</f>
        <v>Nil balance</v>
      </c>
      <c r="O440" s="18" t="str">
        <f aca="false">IF(L440=0,"Excluded",IF(Summary!$C$4="By ledger",IF(G440="AR file","Population 1","Population 2"),IF(L440&gt;0,"Population 1","Population 2")))</f>
        <v>Excluded</v>
      </c>
      <c r="P440" s="18" t="str">
        <f aca="false">IF(O440="Excluded","Excluded – nil closing balance",IF(M440&gt;Summary!$C$5,"Above Materiality","Below Materiality"))</f>
        <v>Excluded – nil closing balance</v>
      </c>
      <c r="Q440" s="20" t="str">
        <f aca="false">IF(P440="Below Materiality",T440,"")</f>
        <v/>
      </c>
      <c r="R440" s="21" t="str">
        <f aca="false">IF(P440="Above Materiality",COUNTIFS($O$2:$O$1092,O440,$P$2:$P$1092,"Above Materiality",$M$2:$M$1092,"&gt;"&amp;M440)+COUNTIFS($O$2:$O$1092,O440,$P$2:$P$1092,"Above Materiality",$M$2:$M$1092,M440,$A$2:$A$1092,"&lt;"&amp;A440)+1,"")</f>
        <v/>
      </c>
      <c r="S440" s="21" t="str">
        <f aca="false">IF(P440&lt;&gt;"Below Materiality","",IF(Summary!$C$9="Random",COUNTIFS($O$2:$O$1092,O440,$Q$2:$Q$1092,"&gt;"&amp;Q440)+1,COUNTIFS($O$2:$O$1092,O440,$P$2:$P$1092,"Below Materiality",$M$2:$M$1092,"&gt;"&amp;M440)+COUNTIFS($O$2:$O$1092,O440,$P$2:$P$1092,"Below Materiality",$M$2:$M$1092,M440,$A$2:$A$1092,"&lt;"&amp;A440)+1))</f>
        <v/>
      </c>
      <c r="T440" s="22"/>
      <c r="U440" s="21" t="str">
        <f aca="false">IF(R440="","",O440&amp;"|A|"&amp;R440)</f>
        <v/>
      </c>
      <c r="V440" s="21" t="str">
        <f aca="false">IF(S440="","",O440&amp;"|R|"&amp;S440)</f>
        <v/>
      </c>
    </row>
    <row r="441" customFormat="false" ht="15" hidden="false" customHeight="false" outlineLevel="0" collapsed="false">
      <c r="A441" s="18" t="n">
        <v>440</v>
      </c>
      <c r="B441" s="18"/>
      <c r="C441" s="18"/>
      <c r="D441" s="18"/>
      <c r="E441" s="18" t="s">
        <v>934</v>
      </c>
      <c r="F441" s="18" t="s">
        <v>935</v>
      </c>
      <c r="G441" s="18" t="s">
        <v>74</v>
      </c>
      <c r="H441" s="18" t="n">
        <v>200</v>
      </c>
      <c r="I441" s="19" t="n">
        <v>-860</v>
      </c>
      <c r="J441" s="19" t="n">
        <v>860</v>
      </c>
      <c r="K441" s="19" t="n">
        <v>0</v>
      </c>
      <c r="L441" s="19" t="n">
        <v>0</v>
      </c>
      <c r="M441" s="19" t="n">
        <f aca="false">ABS(L441)</f>
        <v>0</v>
      </c>
      <c r="N441" s="18" t="str">
        <f aca="false">IF(L441=0,"Nil balance",IF(G441="AR file",IF(L441&gt;0,"Accounts Receivable","Customer Advances"),IF(L441&lt;0,"Accounts Payable","Supplier Advances")))</f>
        <v>Nil balance</v>
      </c>
      <c r="O441" s="18" t="str">
        <f aca="false">IF(L441=0,"Excluded",IF(Summary!$C$4="By ledger",IF(G441="AR file","Population 1","Population 2"),IF(L441&gt;0,"Population 1","Population 2")))</f>
        <v>Excluded</v>
      </c>
      <c r="P441" s="18" t="str">
        <f aca="false">IF(O441="Excluded","Excluded – nil closing balance",IF(M441&gt;Summary!$C$5,"Above Materiality","Below Materiality"))</f>
        <v>Excluded – nil closing balance</v>
      </c>
      <c r="Q441" s="20" t="str">
        <f aca="false">IF(P441="Below Materiality",T441,"")</f>
        <v/>
      </c>
      <c r="R441" s="21" t="str">
        <f aca="false">IF(P441="Above Materiality",COUNTIFS($O$2:$O$1092,O441,$P$2:$P$1092,"Above Materiality",$M$2:$M$1092,"&gt;"&amp;M441)+COUNTIFS($O$2:$O$1092,O441,$P$2:$P$1092,"Above Materiality",$M$2:$M$1092,M441,$A$2:$A$1092,"&lt;"&amp;A441)+1,"")</f>
        <v/>
      </c>
      <c r="S441" s="21" t="str">
        <f aca="false">IF(P441&lt;&gt;"Below Materiality","",IF(Summary!$C$9="Random",COUNTIFS($O$2:$O$1092,O441,$Q$2:$Q$1092,"&gt;"&amp;Q441)+1,COUNTIFS($O$2:$O$1092,O441,$P$2:$P$1092,"Below Materiality",$M$2:$M$1092,"&gt;"&amp;M441)+COUNTIFS($O$2:$O$1092,O441,$P$2:$P$1092,"Below Materiality",$M$2:$M$1092,M441,$A$2:$A$1092,"&lt;"&amp;A441)+1))</f>
        <v/>
      </c>
      <c r="T441" s="22"/>
      <c r="U441" s="21" t="str">
        <f aca="false">IF(R441="","",O441&amp;"|A|"&amp;R441)</f>
        <v/>
      </c>
      <c r="V441" s="21" t="str">
        <f aca="false">IF(S441="","",O441&amp;"|R|"&amp;S441)</f>
        <v/>
      </c>
    </row>
    <row r="442" customFormat="false" ht="15" hidden="false" customHeight="false" outlineLevel="0" collapsed="false">
      <c r="A442" s="18" t="n">
        <v>441</v>
      </c>
      <c r="B442" s="18"/>
      <c r="C442" s="18"/>
      <c r="D442" s="18"/>
      <c r="E442" s="18" t="s">
        <v>936</v>
      </c>
      <c r="F442" s="18" t="s">
        <v>937</v>
      </c>
      <c r="G442" s="18" t="s">
        <v>74</v>
      </c>
      <c r="H442" s="18" t="n">
        <v>201</v>
      </c>
      <c r="I442" s="19" t="n">
        <v>22</v>
      </c>
      <c r="J442" s="19" t="n">
        <v>0</v>
      </c>
      <c r="K442" s="19" t="n">
        <v>22</v>
      </c>
      <c r="L442" s="19" t="n">
        <v>0</v>
      </c>
      <c r="M442" s="19" t="n">
        <f aca="false">ABS(L442)</f>
        <v>0</v>
      </c>
      <c r="N442" s="18" t="str">
        <f aca="false">IF(L442=0,"Nil balance",IF(G442="AR file",IF(L442&gt;0,"Accounts Receivable","Customer Advances"),IF(L442&lt;0,"Accounts Payable","Supplier Advances")))</f>
        <v>Nil balance</v>
      </c>
      <c r="O442" s="18" t="str">
        <f aca="false">IF(L442=0,"Excluded",IF(Summary!$C$4="By ledger",IF(G442="AR file","Population 1","Population 2"),IF(L442&gt;0,"Population 1","Population 2")))</f>
        <v>Excluded</v>
      </c>
      <c r="P442" s="18" t="str">
        <f aca="false">IF(O442="Excluded","Excluded – nil closing balance",IF(M442&gt;Summary!$C$5,"Above Materiality","Below Materiality"))</f>
        <v>Excluded – nil closing balance</v>
      </c>
      <c r="Q442" s="20" t="str">
        <f aca="false">IF(P442="Below Materiality",T442,"")</f>
        <v/>
      </c>
      <c r="R442" s="21" t="str">
        <f aca="false">IF(P442="Above Materiality",COUNTIFS($O$2:$O$1092,O442,$P$2:$P$1092,"Above Materiality",$M$2:$M$1092,"&gt;"&amp;M442)+COUNTIFS($O$2:$O$1092,O442,$P$2:$P$1092,"Above Materiality",$M$2:$M$1092,M442,$A$2:$A$1092,"&lt;"&amp;A442)+1,"")</f>
        <v/>
      </c>
      <c r="S442" s="21" t="str">
        <f aca="false">IF(P442&lt;&gt;"Below Materiality","",IF(Summary!$C$9="Random",COUNTIFS($O$2:$O$1092,O442,$Q$2:$Q$1092,"&gt;"&amp;Q442)+1,COUNTIFS($O$2:$O$1092,O442,$P$2:$P$1092,"Below Materiality",$M$2:$M$1092,"&gt;"&amp;M442)+COUNTIFS($O$2:$O$1092,O442,$P$2:$P$1092,"Below Materiality",$M$2:$M$1092,M442,$A$2:$A$1092,"&lt;"&amp;A442)+1))</f>
        <v/>
      </c>
      <c r="T442" s="22"/>
      <c r="U442" s="21" t="str">
        <f aca="false">IF(R442="","",O442&amp;"|A|"&amp;R442)</f>
        <v/>
      </c>
      <c r="V442" s="21" t="str">
        <f aca="false">IF(S442="","",O442&amp;"|R|"&amp;S442)</f>
        <v/>
      </c>
    </row>
    <row r="443" customFormat="false" ht="15" hidden="false" customHeight="false" outlineLevel="0" collapsed="false">
      <c r="A443" s="18" t="n">
        <v>442</v>
      </c>
      <c r="B443" s="18"/>
      <c r="C443" s="18"/>
      <c r="D443" s="18"/>
      <c r="E443" s="18" t="s">
        <v>938</v>
      </c>
      <c r="F443" s="18" t="s">
        <v>939</v>
      </c>
      <c r="G443" s="18" t="s">
        <v>74</v>
      </c>
      <c r="H443" s="18" t="n">
        <v>202</v>
      </c>
      <c r="I443" s="19" t="n">
        <v>0</v>
      </c>
      <c r="J443" s="19" t="n">
        <v>679.65</v>
      </c>
      <c r="K443" s="19" t="n">
        <v>679.65</v>
      </c>
      <c r="L443" s="19" t="n">
        <v>0</v>
      </c>
      <c r="M443" s="19" t="n">
        <f aca="false">ABS(L443)</f>
        <v>0</v>
      </c>
      <c r="N443" s="18" t="str">
        <f aca="false">IF(L443=0,"Nil balance",IF(G443="AR file",IF(L443&gt;0,"Accounts Receivable","Customer Advances"),IF(L443&lt;0,"Accounts Payable","Supplier Advances")))</f>
        <v>Nil balance</v>
      </c>
      <c r="O443" s="18" t="str">
        <f aca="false">IF(L443=0,"Excluded",IF(Summary!$C$4="By ledger",IF(G443="AR file","Population 1","Population 2"),IF(L443&gt;0,"Population 1","Population 2")))</f>
        <v>Excluded</v>
      </c>
      <c r="P443" s="18" t="str">
        <f aca="false">IF(O443="Excluded","Excluded – nil closing balance",IF(M443&gt;Summary!$C$5,"Above Materiality","Below Materiality"))</f>
        <v>Excluded – nil closing balance</v>
      </c>
      <c r="Q443" s="20" t="str">
        <f aca="false">IF(P443="Below Materiality",T443,"")</f>
        <v/>
      </c>
      <c r="R443" s="21" t="str">
        <f aca="false">IF(P443="Above Materiality",COUNTIFS($O$2:$O$1092,O443,$P$2:$P$1092,"Above Materiality",$M$2:$M$1092,"&gt;"&amp;M443)+COUNTIFS($O$2:$O$1092,O443,$P$2:$P$1092,"Above Materiality",$M$2:$M$1092,M443,$A$2:$A$1092,"&lt;"&amp;A443)+1,"")</f>
        <v/>
      </c>
      <c r="S443" s="21" t="str">
        <f aca="false">IF(P443&lt;&gt;"Below Materiality","",IF(Summary!$C$9="Random",COUNTIFS($O$2:$O$1092,O443,$Q$2:$Q$1092,"&gt;"&amp;Q443)+1,COUNTIFS($O$2:$O$1092,O443,$P$2:$P$1092,"Below Materiality",$M$2:$M$1092,"&gt;"&amp;M443)+COUNTIFS($O$2:$O$1092,O443,$P$2:$P$1092,"Below Materiality",$M$2:$M$1092,M443,$A$2:$A$1092,"&lt;"&amp;A443)+1))</f>
        <v/>
      </c>
      <c r="T443" s="22"/>
      <c r="U443" s="21" t="str">
        <f aca="false">IF(R443="","",O443&amp;"|A|"&amp;R443)</f>
        <v/>
      </c>
      <c r="V443" s="21" t="str">
        <f aca="false">IF(S443="","",O443&amp;"|R|"&amp;S443)</f>
        <v/>
      </c>
    </row>
    <row r="444" customFormat="false" ht="15" hidden="false" customHeight="false" outlineLevel="0" collapsed="false">
      <c r="A444" s="18" t="n">
        <v>443</v>
      </c>
      <c r="B444" s="18"/>
      <c r="C444" s="18"/>
      <c r="D444" s="18"/>
      <c r="E444" s="18" t="s">
        <v>940</v>
      </c>
      <c r="F444" s="18" t="s">
        <v>941</v>
      </c>
      <c r="G444" s="18" t="s">
        <v>74</v>
      </c>
      <c r="H444" s="18" t="n">
        <v>203</v>
      </c>
      <c r="I444" s="19" t="n">
        <v>0</v>
      </c>
      <c r="J444" s="19" t="n">
        <v>356.5</v>
      </c>
      <c r="K444" s="19" t="n">
        <v>356.5</v>
      </c>
      <c r="L444" s="19" t="n">
        <v>0</v>
      </c>
      <c r="M444" s="19" t="n">
        <f aca="false">ABS(L444)</f>
        <v>0</v>
      </c>
      <c r="N444" s="18" t="str">
        <f aca="false">IF(L444=0,"Nil balance",IF(G444="AR file",IF(L444&gt;0,"Accounts Receivable","Customer Advances"),IF(L444&lt;0,"Accounts Payable","Supplier Advances")))</f>
        <v>Nil balance</v>
      </c>
      <c r="O444" s="18" t="str">
        <f aca="false">IF(L444=0,"Excluded",IF(Summary!$C$4="By ledger",IF(G444="AR file","Population 1","Population 2"),IF(L444&gt;0,"Population 1","Population 2")))</f>
        <v>Excluded</v>
      </c>
      <c r="P444" s="18" t="str">
        <f aca="false">IF(O444="Excluded","Excluded – nil closing balance",IF(M444&gt;Summary!$C$5,"Above Materiality","Below Materiality"))</f>
        <v>Excluded – nil closing balance</v>
      </c>
      <c r="Q444" s="20" t="str">
        <f aca="false">IF(P444="Below Materiality",T444,"")</f>
        <v/>
      </c>
      <c r="R444" s="21" t="str">
        <f aca="false">IF(P444="Above Materiality",COUNTIFS($O$2:$O$1092,O444,$P$2:$P$1092,"Above Materiality",$M$2:$M$1092,"&gt;"&amp;M444)+COUNTIFS($O$2:$O$1092,O444,$P$2:$P$1092,"Above Materiality",$M$2:$M$1092,M444,$A$2:$A$1092,"&lt;"&amp;A444)+1,"")</f>
        <v/>
      </c>
      <c r="S444" s="21" t="str">
        <f aca="false">IF(P444&lt;&gt;"Below Materiality","",IF(Summary!$C$9="Random",COUNTIFS($O$2:$O$1092,O444,$Q$2:$Q$1092,"&gt;"&amp;Q444)+1,COUNTIFS($O$2:$O$1092,O444,$P$2:$P$1092,"Below Materiality",$M$2:$M$1092,"&gt;"&amp;M444)+COUNTIFS($O$2:$O$1092,O444,$P$2:$P$1092,"Below Materiality",$M$2:$M$1092,M444,$A$2:$A$1092,"&lt;"&amp;A444)+1))</f>
        <v/>
      </c>
      <c r="T444" s="22"/>
      <c r="U444" s="21" t="str">
        <f aca="false">IF(R444="","",O444&amp;"|A|"&amp;R444)</f>
        <v/>
      </c>
      <c r="V444" s="21" t="str">
        <f aca="false">IF(S444="","",O444&amp;"|R|"&amp;S444)</f>
        <v/>
      </c>
    </row>
    <row r="445" customFormat="false" ht="15" hidden="false" customHeight="false" outlineLevel="0" collapsed="false">
      <c r="A445" s="18" t="n">
        <v>444</v>
      </c>
      <c r="B445" s="18"/>
      <c r="C445" s="18"/>
      <c r="D445" s="18"/>
      <c r="E445" s="18" t="s">
        <v>942</v>
      </c>
      <c r="F445" s="18" t="s">
        <v>943</v>
      </c>
      <c r="G445" s="18" t="s">
        <v>74</v>
      </c>
      <c r="H445" s="18" t="n">
        <v>204</v>
      </c>
      <c r="I445" s="19" t="n">
        <v>0</v>
      </c>
      <c r="J445" s="19" t="n">
        <v>6608.48</v>
      </c>
      <c r="K445" s="19" t="n">
        <v>6608.48</v>
      </c>
      <c r="L445" s="19" t="n">
        <v>0</v>
      </c>
      <c r="M445" s="19" t="n">
        <f aca="false">ABS(L445)</f>
        <v>0</v>
      </c>
      <c r="N445" s="18" t="str">
        <f aca="false">IF(L445=0,"Nil balance",IF(G445="AR file",IF(L445&gt;0,"Accounts Receivable","Customer Advances"),IF(L445&lt;0,"Accounts Payable","Supplier Advances")))</f>
        <v>Nil balance</v>
      </c>
      <c r="O445" s="18" t="str">
        <f aca="false">IF(L445=0,"Excluded",IF(Summary!$C$4="By ledger",IF(G445="AR file","Population 1","Population 2"),IF(L445&gt;0,"Population 1","Population 2")))</f>
        <v>Excluded</v>
      </c>
      <c r="P445" s="18" t="str">
        <f aca="false">IF(O445="Excluded","Excluded – nil closing balance",IF(M445&gt;Summary!$C$5,"Above Materiality","Below Materiality"))</f>
        <v>Excluded – nil closing balance</v>
      </c>
      <c r="Q445" s="20" t="str">
        <f aca="false">IF(P445="Below Materiality",T445,"")</f>
        <v/>
      </c>
      <c r="R445" s="21" t="str">
        <f aca="false">IF(P445="Above Materiality",COUNTIFS($O$2:$O$1092,O445,$P$2:$P$1092,"Above Materiality",$M$2:$M$1092,"&gt;"&amp;M445)+COUNTIFS($O$2:$O$1092,O445,$P$2:$P$1092,"Above Materiality",$M$2:$M$1092,M445,$A$2:$A$1092,"&lt;"&amp;A445)+1,"")</f>
        <v/>
      </c>
      <c r="S445" s="21" t="str">
        <f aca="false">IF(P445&lt;&gt;"Below Materiality","",IF(Summary!$C$9="Random",COUNTIFS($O$2:$O$1092,O445,$Q$2:$Q$1092,"&gt;"&amp;Q445)+1,COUNTIFS($O$2:$O$1092,O445,$P$2:$P$1092,"Below Materiality",$M$2:$M$1092,"&gt;"&amp;M445)+COUNTIFS($O$2:$O$1092,O445,$P$2:$P$1092,"Below Materiality",$M$2:$M$1092,M445,$A$2:$A$1092,"&lt;"&amp;A445)+1))</f>
        <v/>
      </c>
      <c r="T445" s="22"/>
      <c r="U445" s="21" t="str">
        <f aca="false">IF(R445="","",O445&amp;"|A|"&amp;R445)</f>
        <v/>
      </c>
      <c r="V445" s="21" t="str">
        <f aca="false">IF(S445="","",O445&amp;"|R|"&amp;S445)</f>
        <v/>
      </c>
    </row>
    <row r="446" customFormat="false" ht="15" hidden="false" customHeight="false" outlineLevel="0" collapsed="false">
      <c r="A446" s="18" t="n">
        <v>445</v>
      </c>
      <c r="B446" s="18"/>
      <c r="C446" s="18"/>
      <c r="D446" s="18"/>
      <c r="E446" s="18" t="s">
        <v>944</v>
      </c>
      <c r="F446" s="18" t="s">
        <v>945</v>
      </c>
      <c r="G446" s="18" t="s">
        <v>74</v>
      </c>
      <c r="H446" s="18" t="n">
        <v>205</v>
      </c>
      <c r="I446" s="19" t="n">
        <v>0</v>
      </c>
      <c r="J446" s="19" t="n">
        <v>42849</v>
      </c>
      <c r="K446" s="19" t="n">
        <v>42849</v>
      </c>
      <c r="L446" s="19" t="n">
        <v>0</v>
      </c>
      <c r="M446" s="19" t="n">
        <f aca="false">ABS(L446)</f>
        <v>0</v>
      </c>
      <c r="N446" s="18" t="str">
        <f aca="false">IF(L446=0,"Nil balance",IF(G446="AR file",IF(L446&gt;0,"Accounts Receivable","Customer Advances"),IF(L446&lt;0,"Accounts Payable","Supplier Advances")))</f>
        <v>Nil balance</v>
      </c>
      <c r="O446" s="18" t="str">
        <f aca="false">IF(L446=0,"Excluded",IF(Summary!$C$4="By ledger",IF(G446="AR file","Population 1","Population 2"),IF(L446&gt;0,"Population 1","Population 2")))</f>
        <v>Excluded</v>
      </c>
      <c r="P446" s="18" t="str">
        <f aca="false">IF(O446="Excluded","Excluded – nil closing balance",IF(M446&gt;Summary!$C$5,"Above Materiality","Below Materiality"))</f>
        <v>Excluded – nil closing balance</v>
      </c>
      <c r="Q446" s="20" t="str">
        <f aca="false">IF(P446="Below Materiality",T446,"")</f>
        <v/>
      </c>
      <c r="R446" s="21" t="str">
        <f aca="false">IF(P446="Above Materiality",COUNTIFS($O$2:$O$1092,O446,$P$2:$P$1092,"Above Materiality",$M$2:$M$1092,"&gt;"&amp;M446)+COUNTIFS($O$2:$O$1092,O446,$P$2:$P$1092,"Above Materiality",$M$2:$M$1092,M446,$A$2:$A$1092,"&lt;"&amp;A446)+1,"")</f>
        <v/>
      </c>
      <c r="S446" s="21" t="str">
        <f aca="false">IF(P446&lt;&gt;"Below Materiality","",IF(Summary!$C$9="Random",COUNTIFS($O$2:$O$1092,O446,$Q$2:$Q$1092,"&gt;"&amp;Q446)+1,COUNTIFS($O$2:$O$1092,O446,$P$2:$P$1092,"Below Materiality",$M$2:$M$1092,"&gt;"&amp;M446)+COUNTIFS($O$2:$O$1092,O446,$P$2:$P$1092,"Below Materiality",$M$2:$M$1092,M446,$A$2:$A$1092,"&lt;"&amp;A446)+1))</f>
        <v/>
      </c>
      <c r="T446" s="22"/>
      <c r="U446" s="21" t="str">
        <f aca="false">IF(R446="","",O446&amp;"|A|"&amp;R446)</f>
        <v/>
      </c>
      <c r="V446" s="21" t="str">
        <f aca="false">IF(S446="","",O446&amp;"|R|"&amp;S446)</f>
        <v/>
      </c>
    </row>
    <row r="447" customFormat="false" ht="15" hidden="false" customHeight="false" outlineLevel="0" collapsed="false">
      <c r="A447" s="18" t="n">
        <v>446</v>
      </c>
      <c r="B447" s="18"/>
      <c r="C447" s="18"/>
      <c r="D447" s="18"/>
      <c r="E447" s="18" t="s">
        <v>946</v>
      </c>
      <c r="F447" s="18" t="s">
        <v>910</v>
      </c>
      <c r="G447" s="18" t="s">
        <v>74</v>
      </c>
      <c r="H447" s="18" t="n">
        <v>206</v>
      </c>
      <c r="I447" s="19" t="n">
        <v>50</v>
      </c>
      <c r="J447" s="19" t="n">
        <v>0</v>
      </c>
      <c r="K447" s="19" t="n">
        <v>50</v>
      </c>
      <c r="L447" s="19" t="n">
        <v>0</v>
      </c>
      <c r="M447" s="19" t="n">
        <f aca="false">ABS(L447)</f>
        <v>0</v>
      </c>
      <c r="N447" s="18" t="str">
        <f aca="false">IF(L447=0,"Nil balance",IF(G447="AR file",IF(L447&gt;0,"Accounts Receivable","Customer Advances"),IF(L447&lt;0,"Accounts Payable","Supplier Advances")))</f>
        <v>Nil balance</v>
      </c>
      <c r="O447" s="18" t="str">
        <f aca="false">IF(L447=0,"Excluded",IF(Summary!$C$4="By ledger",IF(G447="AR file","Population 1","Population 2"),IF(L447&gt;0,"Population 1","Population 2")))</f>
        <v>Excluded</v>
      </c>
      <c r="P447" s="18" t="str">
        <f aca="false">IF(O447="Excluded","Excluded – nil closing balance",IF(M447&gt;Summary!$C$5,"Above Materiality","Below Materiality"))</f>
        <v>Excluded – nil closing balance</v>
      </c>
      <c r="Q447" s="20" t="str">
        <f aca="false">IF(P447="Below Materiality",T447,"")</f>
        <v/>
      </c>
      <c r="R447" s="21" t="str">
        <f aca="false">IF(P447="Above Materiality",COUNTIFS($O$2:$O$1092,O447,$P$2:$P$1092,"Above Materiality",$M$2:$M$1092,"&gt;"&amp;M447)+COUNTIFS($O$2:$O$1092,O447,$P$2:$P$1092,"Above Materiality",$M$2:$M$1092,M447,$A$2:$A$1092,"&lt;"&amp;A447)+1,"")</f>
        <v/>
      </c>
      <c r="S447" s="21" t="str">
        <f aca="false">IF(P447&lt;&gt;"Below Materiality","",IF(Summary!$C$9="Random",COUNTIFS($O$2:$O$1092,O447,$Q$2:$Q$1092,"&gt;"&amp;Q447)+1,COUNTIFS($O$2:$O$1092,O447,$P$2:$P$1092,"Below Materiality",$M$2:$M$1092,"&gt;"&amp;M447)+COUNTIFS($O$2:$O$1092,O447,$P$2:$P$1092,"Below Materiality",$M$2:$M$1092,M447,$A$2:$A$1092,"&lt;"&amp;A447)+1))</f>
        <v/>
      </c>
      <c r="T447" s="22"/>
      <c r="U447" s="21" t="str">
        <f aca="false">IF(R447="","",O447&amp;"|A|"&amp;R447)</f>
        <v/>
      </c>
      <c r="V447" s="21" t="str">
        <f aca="false">IF(S447="","",O447&amp;"|R|"&amp;S447)</f>
        <v/>
      </c>
    </row>
    <row r="448" customFormat="false" ht="15" hidden="false" customHeight="false" outlineLevel="0" collapsed="false">
      <c r="A448" s="18" t="n">
        <v>447</v>
      </c>
      <c r="B448" s="18"/>
      <c r="C448" s="18"/>
      <c r="D448" s="18"/>
      <c r="E448" s="18" t="s">
        <v>947</v>
      </c>
      <c r="F448" s="18" t="s">
        <v>948</v>
      </c>
      <c r="G448" s="18" t="s">
        <v>74</v>
      </c>
      <c r="H448" s="18" t="n">
        <v>207</v>
      </c>
      <c r="I448" s="19" t="n">
        <v>0</v>
      </c>
      <c r="J448" s="19" t="n">
        <v>2622</v>
      </c>
      <c r="K448" s="19" t="n">
        <v>2622</v>
      </c>
      <c r="L448" s="19" t="n">
        <v>0</v>
      </c>
      <c r="M448" s="19" t="n">
        <f aca="false">ABS(L448)</f>
        <v>0</v>
      </c>
      <c r="N448" s="18" t="str">
        <f aca="false">IF(L448=0,"Nil balance",IF(G448="AR file",IF(L448&gt;0,"Accounts Receivable","Customer Advances"),IF(L448&lt;0,"Accounts Payable","Supplier Advances")))</f>
        <v>Nil balance</v>
      </c>
      <c r="O448" s="18" t="str">
        <f aca="false">IF(L448=0,"Excluded",IF(Summary!$C$4="By ledger",IF(G448="AR file","Population 1","Population 2"),IF(L448&gt;0,"Population 1","Population 2")))</f>
        <v>Excluded</v>
      </c>
      <c r="P448" s="18" t="str">
        <f aca="false">IF(O448="Excluded","Excluded – nil closing balance",IF(M448&gt;Summary!$C$5,"Above Materiality","Below Materiality"))</f>
        <v>Excluded – nil closing balance</v>
      </c>
      <c r="Q448" s="20" t="str">
        <f aca="false">IF(P448="Below Materiality",T448,"")</f>
        <v/>
      </c>
      <c r="R448" s="21" t="str">
        <f aca="false">IF(P448="Above Materiality",COUNTIFS($O$2:$O$1092,O448,$P$2:$P$1092,"Above Materiality",$M$2:$M$1092,"&gt;"&amp;M448)+COUNTIFS($O$2:$O$1092,O448,$P$2:$P$1092,"Above Materiality",$M$2:$M$1092,M448,$A$2:$A$1092,"&lt;"&amp;A448)+1,"")</f>
        <v/>
      </c>
      <c r="S448" s="21" t="str">
        <f aca="false">IF(P448&lt;&gt;"Below Materiality","",IF(Summary!$C$9="Random",COUNTIFS($O$2:$O$1092,O448,$Q$2:$Q$1092,"&gt;"&amp;Q448)+1,COUNTIFS($O$2:$O$1092,O448,$P$2:$P$1092,"Below Materiality",$M$2:$M$1092,"&gt;"&amp;M448)+COUNTIFS($O$2:$O$1092,O448,$P$2:$P$1092,"Below Materiality",$M$2:$M$1092,M448,$A$2:$A$1092,"&lt;"&amp;A448)+1))</f>
        <v/>
      </c>
      <c r="T448" s="22"/>
      <c r="U448" s="21" t="str">
        <f aca="false">IF(R448="","",O448&amp;"|A|"&amp;R448)</f>
        <v/>
      </c>
      <c r="V448" s="21" t="str">
        <f aca="false">IF(S448="","",O448&amp;"|R|"&amp;S448)</f>
        <v/>
      </c>
    </row>
    <row r="449" customFormat="false" ht="15" hidden="false" customHeight="false" outlineLevel="0" collapsed="false">
      <c r="A449" s="18" t="n">
        <v>448</v>
      </c>
      <c r="B449" s="18"/>
      <c r="C449" s="18"/>
      <c r="D449" s="18"/>
      <c r="E449" s="18" t="s">
        <v>949</v>
      </c>
      <c r="F449" s="18" t="s">
        <v>950</v>
      </c>
      <c r="G449" s="18" t="s">
        <v>74</v>
      </c>
      <c r="H449" s="18" t="n">
        <v>208</v>
      </c>
      <c r="I449" s="19" t="n">
        <v>0</v>
      </c>
      <c r="J449" s="19" t="n">
        <v>4997.55</v>
      </c>
      <c r="K449" s="19" t="n">
        <v>4997.55</v>
      </c>
      <c r="L449" s="19" t="n">
        <v>0</v>
      </c>
      <c r="M449" s="19" t="n">
        <f aca="false">ABS(L449)</f>
        <v>0</v>
      </c>
      <c r="N449" s="18" t="str">
        <f aca="false">IF(L449=0,"Nil balance",IF(G449="AR file",IF(L449&gt;0,"Accounts Receivable","Customer Advances"),IF(L449&lt;0,"Accounts Payable","Supplier Advances")))</f>
        <v>Nil balance</v>
      </c>
      <c r="O449" s="18" t="str">
        <f aca="false">IF(L449=0,"Excluded",IF(Summary!$C$4="By ledger",IF(G449="AR file","Population 1","Population 2"),IF(L449&gt;0,"Population 1","Population 2")))</f>
        <v>Excluded</v>
      </c>
      <c r="P449" s="18" t="str">
        <f aca="false">IF(O449="Excluded","Excluded – nil closing balance",IF(M449&gt;Summary!$C$5,"Above Materiality","Below Materiality"))</f>
        <v>Excluded – nil closing balance</v>
      </c>
      <c r="Q449" s="20" t="str">
        <f aca="false">IF(P449="Below Materiality",T449,"")</f>
        <v/>
      </c>
      <c r="R449" s="21" t="str">
        <f aca="false">IF(P449="Above Materiality",COUNTIFS($O$2:$O$1092,O449,$P$2:$P$1092,"Above Materiality",$M$2:$M$1092,"&gt;"&amp;M449)+COUNTIFS($O$2:$O$1092,O449,$P$2:$P$1092,"Above Materiality",$M$2:$M$1092,M449,$A$2:$A$1092,"&lt;"&amp;A449)+1,"")</f>
        <v/>
      </c>
      <c r="S449" s="21" t="str">
        <f aca="false">IF(P449&lt;&gt;"Below Materiality","",IF(Summary!$C$9="Random",COUNTIFS($O$2:$O$1092,O449,$Q$2:$Q$1092,"&gt;"&amp;Q449)+1,COUNTIFS($O$2:$O$1092,O449,$P$2:$P$1092,"Below Materiality",$M$2:$M$1092,"&gt;"&amp;M449)+COUNTIFS($O$2:$O$1092,O449,$P$2:$P$1092,"Below Materiality",$M$2:$M$1092,M449,$A$2:$A$1092,"&lt;"&amp;A449)+1))</f>
        <v/>
      </c>
      <c r="T449" s="22"/>
      <c r="U449" s="21" t="str">
        <f aca="false">IF(R449="","",O449&amp;"|A|"&amp;R449)</f>
        <v/>
      </c>
      <c r="V449" s="21" t="str">
        <f aca="false">IF(S449="","",O449&amp;"|R|"&amp;S449)</f>
        <v/>
      </c>
    </row>
    <row r="450" customFormat="false" ht="15" hidden="false" customHeight="false" outlineLevel="0" collapsed="false">
      <c r="A450" s="18" t="n">
        <v>449</v>
      </c>
      <c r="B450" s="18"/>
      <c r="C450" s="18"/>
      <c r="D450" s="18"/>
      <c r="E450" s="18" t="s">
        <v>951</v>
      </c>
      <c r="F450" s="18" t="s">
        <v>952</v>
      </c>
      <c r="G450" s="18" t="s">
        <v>74</v>
      </c>
      <c r="H450" s="18" t="n">
        <v>209</v>
      </c>
      <c r="I450" s="19" t="n">
        <v>1495</v>
      </c>
      <c r="J450" s="19" t="n">
        <v>0</v>
      </c>
      <c r="K450" s="19" t="n">
        <v>1495</v>
      </c>
      <c r="L450" s="19" t="n">
        <v>0</v>
      </c>
      <c r="M450" s="19" t="n">
        <f aca="false">ABS(L450)</f>
        <v>0</v>
      </c>
      <c r="N450" s="18" t="str">
        <f aca="false">IF(L450=0,"Nil balance",IF(G450="AR file",IF(L450&gt;0,"Accounts Receivable","Customer Advances"),IF(L450&lt;0,"Accounts Payable","Supplier Advances")))</f>
        <v>Nil balance</v>
      </c>
      <c r="O450" s="18" t="str">
        <f aca="false">IF(L450=0,"Excluded",IF(Summary!$C$4="By ledger",IF(G450="AR file","Population 1","Population 2"),IF(L450&gt;0,"Population 1","Population 2")))</f>
        <v>Excluded</v>
      </c>
      <c r="P450" s="18" t="str">
        <f aca="false">IF(O450="Excluded","Excluded – nil closing balance",IF(M450&gt;Summary!$C$5,"Above Materiality","Below Materiality"))</f>
        <v>Excluded – nil closing balance</v>
      </c>
      <c r="Q450" s="20" t="str">
        <f aca="false">IF(P450="Below Materiality",T450,"")</f>
        <v/>
      </c>
      <c r="R450" s="21" t="str">
        <f aca="false">IF(P450="Above Materiality",COUNTIFS($O$2:$O$1092,O450,$P$2:$P$1092,"Above Materiality",$M$2:$M$1092,"&gt;"&amp;M450)+COUNTIFS($O$2:$O$1092,O450,$P$2:$P$1092,"Above Materiality",$M$2:$M$1092,M450,$A$2:$A$1092,"&lt;"&amp;A450)+1,"")</f>
        <v/>
      </c>
      <c r="S450" s="21" t="str">
        <f aca="false">IF(P450&lt;&gt;"Below Materiality","",IF(Summary!$C$9="Random",COUNTIFS($O$2:$O$1092,O450,$Q$2:$Q$1092,"&gt;"&amp;Q450)+1,COUNTIFS($O$2:$O$1092,O450,$P$2:$P$1092,"Below Materiality",$M$2:$M$1092,"&gt;"&amp;M450)+COUNTIFS($O$2:$O$1092,O450,$P$2:$P$1092,"Below Materiality",$M$2:$M$1092,M450,$A$2:$A$1092,"&lt;"&amp;A450)+1))</f>
        <v/>
      </c>
      <c r="T450" s="22"/>
      <c r="U450" s="21" t="str">
        <f aca="false">IF(R450="","",O450&amp;"|A|"&amp;R450)</f>
        <v/>
      </c>
      <c r="V450" s="21" t="str">
        <f aca="false">IF(S450="","",O450&amp;"|R|"&amp;S450)</f>
        <v/>
      </c>
    </row>
    <row r="451" customFormat="false" ht="15" hidden="false" customHeight="false" outlineLevel="0" collapsed="false">
      <c r="A451" s="18" t="n">
        <v>450</v>
      </c>
      <c r="B451" s="18"/>
      <c r="C451" s="18"/>
      <c r="D451" s="18"/>
      <c r="E451" s="18" t="s">
        <v>953</v>
      </c>
      <c r="F451" s="18" t="s">
        <v>954</v>
      </c>
      <c r="G451" s="18" t="s">
        <v>74</v>
      </c>
      <c r="H451" s="18" t="n">
        <v>211</v>
      </c>
      <c r="I451" s="19" t="n">
        <v>1208</v>
      </c>
      <c r="J451" s="19" t="n">
        <v>0</v>
      </c>
      <c r="K451" s="19" t="n">
        <v>1208</v>
      </c>
      <c r="L451" s="19" t="n">
        <v>0</v>
      </c>
      <c r="M451" s="19" t="n">
        <f aca="false">ABS(L451)</f>
        <v>0</v>
      </c>
      <c r="N451" s="18" t="str">
        <f aca="false">IF(L451=0,"Nil balance",IF(G451="AR file",IF(L451&gt;0,"Accounts Receivable","Customer Advances"),IF(L451&lt;0,"Accounts Payable","Supplier Advances")))</f>
        <v>Nil balance</v>
      </c>
      <c r="O451" s="18" t="str">
        <f aca="false">IF(L451=0,"Excluded",IF(Summary!$C$4="By ledger",IF(G451="AR file","Population 1","Population 2"),IF(L451&gt;0,"Population 1","Population 2")))</f>
        <v>Excluded</v>
      </c>
      <c r="P451" s="18" t="str">
        <f aca="false">IF(O451="Excluded","Excluded – nil closing balance",IF(M451&gt;Summary!$C$5,"Above Materiality","Below Materiality"))</f>
        <v>Excluded – nil closing balance</v>
      </c>
      <c r="Q451" s="20" t="str">
        <f aca="false">IF(P451="Below Materiality",T451,"")</f>
        <v/>
      </c>
      <c r="R451" s="21" t="str">
        <f aca="false">IF(P451="Above Materiality",COUNTIFS($O$2:$O$1092,O451,$P$2:$P$1092,"Above Materiality",$M$2:$M$1092,"&gt;"&amp;M451)+COUNTIFS($O$2:$O$1092,O451,$P$2:$P$1092,"Above Materiality",$M$2:$M$1092,M451,$A$2:$A$1092,"&lt;"&amp;A451)+1,"")</f>
        <v/>
      </c>
      <c r="S451" s="21" t="str">
        <f aca="false">IF(P451&lt;&gt;"Below Materiality","",IF(Summary!$C$9="Random",COUNTIFS($O$2:$O$1092,O451,$Q$2:$Q$1092,"&gt;"&amp;Q451)+1,COUNTIFS($O$2:$O$1092,O451,$P$2:$P$1092,"Below Materiality",$M$2:$M$1092,"&gt;"&amp;M451)+COUNTIFS($O$2:$O$1092,O451,$P$2:$P$1092,"Below Materiality",$M$2:$M$1092,M451,$A$2:$A$1092,"&lt;"&amp;A451)+1))</f>
        <v/>
      </c>
      <c r="T451" s="22"/>
      <c r="U451" s="21" t="str">
        <f aca="false">IF(R451="","",O451&amp;"|A|"&amp;R451)</f>
        <v/>
      </c>
      <c r="V451" s="21" t="str">
        <f aca="false">IF(S451="","",O451&amp;"|R|"&amp;S451)</f>
        <v/>
      </c>
    </row>
    <row r="452" customFormat="false" ht="15" hidden="false" customHeight="false" outlineLevel="0" collapsed="false">
      <c r="A452" s="18" t="n">
        <v>451</v>
      </c>
      <c r="B452" s="18"/>
      <c r="C452" s="18"/>
      <c r="D452" s="18"/>
      <c r="E452" s="18" t="s">
        <v>955</v>
      </c>
      <c r="F452" s="18" t="s">
        <v>956</v>
      </c>
      <c r="G452" s="18" t="s">
        <v>74</v>
      </c>
      <c r="H452" s="18" t="n">
        <v>212</v>
      </c>
      <c r="I452" s="19" t="n">
        <v>0</v>
      </c>
      <c r="J452" s="19" t="n">
        <v>609.5</v>
      </c>
      <c r="K452" s="19" t="n">
        <v>609.5</v>
      </c>
      <c r="L452" s="19" t="n">
        <v>0</v>
      </c>
      <c r="M452" s="19" t="n">
        <f aca="false">ABS(L452)</f>
        <v>0</v>
      </c>
      <c r="N452" s="18" t="str">
        <f aca="false">IF(L452=0,"Nil balance",IF(G452="AR file",IF(L452&gt;0,"Accounts Receivable","Customer Advances"),IF(L452&lt;0,"Accounts Payable","Supplier Advances")))</f>
        <v>Nil balance</v>
      </c>
      <c r="O452" s="18" t="str">
        <f aca="false">IF(L452=0,"Excluded",IF(Summary!$C$4="By ledger",IF(G452="AR file","Population 1","Population 2"),IF(L452&gt;0,"Population 1","Population 2")))</f>
        <v>Excluded</v>
      </c>
      <c r="P452" s="18" t="str">
        <f aca="false">IF(O452="Excluded","Excluded – nil closing balance",IF(M452&gt;Summary!$C$5,"Above Materiality","Below Materiality"))</f>
        <v>Excluded – nil closing balance</v>
      </c>
      <c r="Q452" s="20" t="str">
        <f aca="false">IF(P452="Below Materiality",T452,"")</f>
        <v/>
      </c>
      <c r="R452" s="21" t="str">
        <f aca="false">IF(P452="Above Materiality",COUNTIFS($O$2:$O$1092,O452,$P$2:$P$1092,"Above Materiality",$M$2:$M$1092,"&gt;"&amp;M452)+COUNTIFS($O$2:$O$1092,O452,$P$2:$P$1092,"Above Materiality",$M$2:$M$1092,M452,$A$2:$A$1092,"&lt;"&amp;A452)+1,"")</f>
        <v/>
      </c>
      <c r="S452" s="21" t="str">
        <f aca="false">IF(P452&lt;&gt;"Below Materiality","",IF(Summary!$C$9="Random",COUNTIFS($O$2:$O$1092,O452,$Q$2:$Q$1092,"&gt;"&amp;Q452)+1,COUNTIFS($O$2:$O$1092,O452,$P$2:$P$1092,"Below Materiality",$M$2:$M$1092,"&gt;"&amp;M452)+COUNTIFS($O$2:$O$1092,O452,$P$2:$P$1092,"Below Materiality",$M$2:$M$1092,M452,$A$2:$A$1092,"&lt;"&amp;A452)+1))</f>
        <v/>
      </c>
      <c r="T452" s="22"/>
      <c r="U452" s="21" t="str">
        <f aca="false">IF(R452="","",O452&amp;"|A|"&amp;R452)</f>
        <v/>
      </c>
      <c r="V452" s="21" t="str">
        <f aca="false">IF(S452="","",O452&amp;"|R|"&amp;S452)</f>
        <v/>
      </c>
    </row>
    <row r="453" customFormat="false" ht="15" hidden="false" customHeight="false" outlineLevel="0" collapsed="false">
      <c r="A453" s="18" t="n">
        <v>452</v>
      </c>
      <c r="B453" s="18"/>
      <c r="C453" s="18"/>
      <c r="D453" s="18"/>
      <c r="E453" s="18" t="s">
        <v>957</v>
      </c>
      <c r="F453" s="18" t="s">
        <v>958</v>
      </c>
      <c r="G453" s="18" t="s">
        <v>74</v>
      </c>
      <c r="H453" s="18" t="n">
        <v>213</v>
      </c>
      <c r="I453" s="19" t="n">
        <v>-3000</v>
      </c>
      <c r="J453" s="19" t="n">
        <v>3264.5</v>
      </c>
      <c r="K453" s="19" t="n">
        <v>264.5</v>
      </c>
      <c r="L453" s="19" t="n">
        <v>0</v>
      </c>
      <c r="M453" s="19" t="n">
        <f aca="false">ABS(L453)</f>
        <v>0</v>
      </c>
      <c r="N453" s="18" t="str">
        <f aca="false">IF(L453=0,"Nil balance",IF(G453="AR file",IF(L453&gt;0,"Accounts Receivable","Customer Advances"),IF(L453&lt;0,"Accounts Payable","Supplier Advances")))</f>
        <v>Nil balance</v>
      </c>
      <c r="O453" s="18" t="str">
        <f aca="false">IF(L453=0,"Excluded",IF(Summary!$C$4="By ledger",IF(G453="AR file","Population 1","Population 2"),IF(L453&gt;0,"Population 1","Population 2")))</f>
        <v>Excluded</v>
      </c>
      <c r="P453" s="18" t="str">
        <f aca="false">IF(O453="Excluded","Excluded – nil closing balance",IF(M453&gt;Summary!$C$5,"Above Materiality","Below Materiality"))</f>
        <v>Excluded – nil closing balance</v>
      </c>
      <c r="Q453" s="20" t="str">
        <f aca="false">IF(P453="Below Materiality",T453,"")</f>
        <v/>
      </c>
      <c r="R453" s="21" t="str">
        <f aca="false">IF(P453="Above Materiality",COUNTIFS($O$2:$O$1092,O453,$P$2:$P$1092,"Above Materiality",$M$2:$M$1092,"&gt;"&amp;M453)+COUNTIFS($O$2:$O$1092,O453,$P$2:$P$1092,"Above Materiality",$M$2:$M$1092,M453,$A$2:$A$1092,"&lt;"&amp;A453)+1,"")</f>
        <v/>
      </c>
      <c r="S453" s="21" t="str">
        <f aca="false">IF(P453&lt;&gt;"Below Materiality","",IF(Summary!$C$9="Random",COUNTIFS($O$2:$O$1092,O453,$Q$2:$Q$1092,"&gt;"&amp;Q453)+1,COUNTIFS($O$2:$O$1092,O453,$P$2:$P$1092,"Below Materiality",$M$2:$M$1092,"&gt;"&amp;M453)+COUNTIFS($O$2:$O$1092,O453,$P$2:$P$1092,"Below Materiality",$M$2:$M$1092,M453,$A$2:$A$1092,"&lt;"&amp;A453)+1))</f>
        <v/>
      </c>
      <c r="T453" s="22"/>
      <c r="U453" s="21" t="str">
        <f aca="false">IF(R453="","",O453&amp;"|A|"&amp;R453)</f>
        <v/>
      </c>
      <c r="V453" s="21" t="str">
        <f aca="false">IF(S453="","",O453&amp;"|R|"&amp;S453)</f>
        <v/>
      </c>
    </row>
    <row r="454" customFormat="false" ht="15" hidden="false" customHeight="false" outlineLevel="0" collapsed="false">
      <c r="A454" s="18" t="n">
        <v>453</v>
      </c>
      <c r="B454" s="18"/>
      <c r="C454" s="18"/>
      <c r="D454" s="18"/>
      <c r="E454" s="18" t="s">
        <v>959</v>
      </c>
      <c r="F454" s="18" t="s">
        <v>960</v>
      </c>
      <c r="G454" s="18" t="s">
        <v>74</v>
      </c>
      <c r="H454" s="18" t="n">
        <v>214</v>
      </c>
      <c r="I454" s="19" t="n">
        <v>0</v>
      </c>
      <c r="J454" s="19" t="n">
        <v>3200</v>
      </c>
      <c r="K454" s="19" t="n">
        <v>3200</v>
      </c>
      <c r="L454" s="19" t="n">
        <v>0</v>
      </c>
      <c r="M454" s="19" t="n">
        <f aca="false">ABS(L454)</f>
        <v>0</v>
      </c>
      <c r="N454" s="18" t="str">
        <f aca="false">IF(L454=0,"Nil balance",IF(G454="AR file",IF(L454&gt;0,"Accounts Receivable","Customer Advances"),IF(L454&lt;0,"Accounts Payable","Supplier Advances")))</f>
        <v>Nil balance</v>
      </c>
      <c r="O454" s="18" t="str">
        <f aca="false">IF(L454=0,"Excluded",IF(Summary!$C$4="By ledger",IF(G454="AR file","Population 1","Population 2"),IF(L454&gt;0,"Population 1","Population 2")))</f>
        <v>Excluded</v>
      </c>
      <c r="P454" s="18" t="str">
        <f aca="false">IF(O454="Excluded","Excluded – nil closing balance",IF(M454&gt;Summary!$C$5,"Above Materiality","Below Materiality"))</f>
        <v>Excluded – nil closing balance</v>
      </c>
      <c r="Q454" s="20" t="str">
        <f aca="false">IF(P454="Below Materiality",T454,"")</f>
        <v/>
      </c>
      <c r="R454" s="21" t="str">
        <f aca="false">IF(P454="Above Materiality",COUNTIFS($O$2:$O$1092,O454,$P$2:$P$1092,"Above Materiality",$M$2:$M$1092,"&gt;"&amp;M454)+COUNTIFS($O$2:$O$1092,O454,$P$2:$P$1092,"Above Materiality",$M$2:$M$1092,M454,$A$2:$A$1092,"&lt;"&amp;A454)+1,"")</f>
        <v/>
      </c>
      <c r="S454" s="21" t="str">
        <f aca="false">IF(P454&lt;&gt;"Below Materiality","",IF(Summary!$C$9="Random",COUNTIFS($O$2:$O$1092,O454,$Q$2:$Q$1092,"&gt;"&amp;Q454)+1,COUNTIFS($O$2:$O$1092,O454,$P$2:$P$1092,"Below Materiality",$M$2:$M$1092,"&gt;"&amp;M454)+COUNTIFS($O$2:$O$1092,O454,$P$2:$P$1092,"Below Materiality",$M$2:$M$1092,M454,$A$2:$A$1092,"&lt;"&amp;A454)+1))</f>
        <v/>
      </c>
      <c r="T454" s="22"/>
      <c r="U454" s="21" t="str">
        <f aca="false">IF(R454="","",O454&amp;"|A|"&amp;R454)</f>
        <v/>
      </c>
      <c r="V454" s="21" t="str">
        <f aca="false">IF(S454="","",O454&amp;"|R|"&amp;S454)</f>
        <v/>
      </c>
    </row>
    <row r="455" customFormat="false" ht="15" hidden="false" customHeight="false" outlineLevel="0" collapsed="false">
      <c r="A455" s="18" t="n">
        <v>454</v>
      </c>
      <c r="B455" s="18"/>
      <c r="C455" s="18"/>
      <c r="D455" s="18"/>
      <c r="E455" s="18" t="s">
        <v>961</v>
      </c>
      <c r="F455" s="18" t="s">
        <v>962</v>
      </c>
      <c r="G455" s="18" t="s">
        <v>74</v>
      </c>
      <c r="H455" s="18" t="n">
        <v>215</v>
      </c>
      <c r="I455" s="19" t="n">
        <v>0</v>
      </c>
      <c r="J455" s="19" t="n">
        <v>3697.25</v>
      </c>
      <c r="K455" s="19" t="n">
        <v>3697.25</v>
      </c>
      <c r="L455" s="19" t="n">
        <v>0</v>
      </c>
      <c r="M455" s="19" t="n">
        <f aca="false">ABS(L455)</f>
        <v>0</v>
      </c>
      <c r="N455" s="18" t="str">
        <f aca="false">IF(L455=0,"Nil balance",IF(G455="AR file",IF(L455&gt;0,"Accounts Receivable","Customer Advances"),IF(L455&lt;0,"Accounts Payable","Supplier Advances")))</f>
        <v>Nil balance</v>
      </c>
      <c r="O455" s="18" t="str">
        <f aca="false">IF(L455=0,"Excluded",IF(Summary!$C$4="By ledger",IF(G455="AR file","Population 1","Population 2"),IF(L455&gt;0,"Population 1","Population 2")))</f>
        <v>Excluded</v>
      </c>
      <c r="P455" s="18" t="str">
        <f aca="false">IF(O455="Excluded","Excluded – nil closing balance",IF(M455&gt;Summary!$C$5,"Above Materiality","Below Materiality"))</f>
        <v>Excluded – nil closing balance</v>
      </c>
      <c r="Q455" s="20" t="str">
        <f aca="false">IF(P455="Below Materiality",T455,"")</f>
        <v/>
      </c>
      <c r="R455" s="21" t="str">
        <f aca="false">IF(P455="Above Materiality",COUNTIFS($O$2:$O$1092,O455,$P$2:$P$1092,"Above Materiality",$M$2:$M$1092,"&gt;"&amp;M455)+COUNTIFS($O$2:$O$1092,O455,$P$2:$P$1092,"Above Materiality",$M$2:$M$1092,M455,$A$2:$A$1092,"&lt;"&amp;A455)+1,"")</f>
        <v/>
      </c>
      <c r="S455" s="21" t="str">
        <f aca="false">IF(P455&lt;&gt;"Below Materiality","",IF(Summary!$C$9="Random",COUNTIFS($O$2:$O$1092,O455,$Q$2:$Q$1092,"&gt;"&amp;Q455)+1,COUNTIFS($O$2:$O$1092,O455,$P$2:$P$1092,"Below Materiality",$M$2:$M$1092,"&gt;"&amp;M455)+COUNTIFS($O$2:$O$1092,O455,$P$2:$P$1092,"Below Materiality",$M$2:$M$1092,M455,$A$2:$A$1092,"&lt;"&amp;A455)+1))</f>
        <v/>
      </c>
      <c r="T455" s="22"/>
      <c r="U455" s="21" t="str">
        <f aca="false">IF(R455="","",O455&amp;"|A|"&amp;R455)</f>
        <v/>
      </c>
      <c r="V455" s="21" t="str">
        <f aca="false">IF(S455="","",O455&amp;"|R|"&amp;S455)</f>
        <v/>
      </c>
    </row>
    <row r="456" customFormat="false" ht="15" hidden="false" customHeight="false" outlineLevel="0" collapsed="false">
      <c r="A456" s="18" t="n">
        <v>455</v>
      </c>
      <c r="B456" s="18"/>
      <c r="C456" s="18"/>
      <c r="D456" s="18"/>
      <c r="E456" s="18" t="s">
        <v>963</v>
      </c>
      <c r="F456" s="18" t="s">
        <v>964</v>
      </c>
      <c r="G456" s="18" t="s">
        <v>74</v>
      </c>
      <c r="H456" s="18" t="n">
        <v>217</v>
      </c>
      <c r="I456" s="19" t="n">
        <v>0</v>
      </c>
      <c r="J456" s="19" t="n">
        <v>1035</v>
      </c>
      <c r="K456" s="19" t="n">
        <v>1035</v>
      </c>
      <c r="L456" s="19" t="n">
        <v>0</v>
      </c>
      <c r="M456" s="19" t="n">
        <f aca="false">ABS(L456)</f>
        <v>0</v>
      </c>
      <c r="N456" s="18" t="str">
        <f aca="false">IF(L456=0,"Nil balance",IF(G456="AR file",IF(L456&gt;0,"Accounts Receivable","Customer Advances"),IF(L456&lt;0,"Accounts Payable","Supplier Advances")))</f>
        <v>Nil balance</v>
      </c>
      <c r="O456" s="18" t="str">
        <f aca="false">IF(L456=0,"Excluded",IF(Summary!$C$4="By ledger",IF(G456="AR file","Population 1","Population 2"),IF(L456&gt;0,"Population 1","Population 2")))</f>
        <v>Excluded</v>
      </c>
      <c r="P456" s="18" t="str">
        <f aca="false">IF(O456="Excluded","Excluded – nil closing balance",IF(M456&gt;Summary!$C$5,"Above Materiality","Below Materiality"))</f>
        <v>Excluded – nil closing balance</v>
      </c>
      <c r="Q456" s="20" t="str">
        <f aca="false">IF(P456="Below Materiality",T456,"")</f>
        <v/>
      </c>
      <c r="R456" s="21" t="str">
        <f aca="false">IF(P456="Above Materiality",COUNTIFS($O$2:$O$1092,O456,$P$2:$P$1092,"Above Materiality",$M$2:$M$1092,"&gt;"&amp;M456)+COUNTIFS($O$2:$O$1092,O456,$P$2:$P$1092,"Above Materiality",$M$2:$M$1092,M456,$A$2:$A$1092,"&lt;"&amp;A456)+1,"")</f>
        <v/>
      </c>
      <c r="S456" s="21" t="str">
        <f aca="false">IF(P456&lt;&gt;"Below Materiality","",IF(Summary!$C$9="Random",COUNTIFS($O$2:$O$1092,O456,$Q$2:$Q$1092,"&gt;"&amp;Q456)+1,COUNTIFS($O$2:$O$1092,O456,$P$2:$P$1092,"Below Materiality",$M$2:$M$1092,"&gt;"&amp;M456)+COUNTIFS($O$2:$O$1092,O456,$P$2:$P$1092,"Below Materiality",$M$2:$M$1092,M456,$A$2:$A$1092,"&lt;"&amp;A456)+1))</f>
        <v/>
      </c>
      <c r="T456" s="22"/>
      <c r="U456" s="21" t="str">
        <f aca="false">IF(R456="","",O456&amp;"|A|"&amp;R456)</f>
        <v/>
      </c>
      <c r="V456" s="21" t="str">
        <f aca="false">IF(S456="","",O456&amp;"|R|"&amp;S456)</f>
        <v/>
      </c>
    </row>
    <row r="457" customFormat="false" ht="15" hidden="false" customHeight="false" outlineLevel="0" collapsed="false">
      <c r="A457" s="18" t="n">
        <v>456</v>
      </c>
      <c r="B457" s="18"/>
      <c r="C457" s="18"/>
      <c r="D457" s="18"/>
      <c r="E457" s="18" t="s">
        <v>965</v>
      </c>
      <c r="F457" s="18" t="s">
        <v>966</v>
      </c>
      <c r="G457" s="18" t="s">
        <v>74</v>
      </c>
      <c r="H457" s="18" t="n">
        <v>218</v>
      </c>
      <c r="I457" s="19" t="n">
        <v>0</v>
      </c>
      <c r="J457" s="19" t="n">
        <v>532.9</v>
      </c>
      <c r="K457" s="19" t="n">
        <v>532.9</v>
      </c>
      <c r="L457" s="19" t="n">
        <v>0</v>
      </c>
      <c r="M457" s="19" t="n">
        <f aca="false">ABS(L457)</f>
        <v>0</v>
      </c>
      <c r="N457" s="18" t="str">
        <f aca="false">IF(L457=0,"Nil balance",IF(G457="AR file",IF(L457&gt;0,"Accounts Receivable","Customer Advances"),IF(L457&lt;0,"Accounts Payable","Supplier Advances")))</f>
        <v>Nil balance</v>
      </c>
      <c r="O457" s="18" t="str">
        <f aca="false">IF(L457=0,"Excluded",IF(Summary!$C$4="By ledger",IF(G457="AR file","Population 1","Population 2"),IF(L457&gt;0,"Population 1","Population 2")))</f>
        <v>Excluded</v>
      </c>
      <c r="P457" s="18" t="str">
        <f aca="false">IF(O457="Excluded","Excluded – nil closing balance",IF(M457&gt;Summary!$C$5,"Above Materiality","Below Materiality"))</f>
        <v>Excluded – nil closing balance</v>
      </c>
      <c r="Q457" s="20" t="str">
        <f aca="false">IF(P457="Below Materiality",T457,"")</f>
        <v/>
      </c>
      <c r="R457" s="21" t="str">
        <f aca="false">IF(P457="Above Materiality",COUNTIFS($O$2:$O$1092,O457,$P$2:$P$1092,"Above Materiality",$M$2:$M$1092,"&gt;"&amp;M457)+COUNTIFS($O$2:$O$1092,O457,$P$2:$P$1092,"Above Materiality",$M$2:$M$1092,M457,$A$2:$A$1092,"&lt;"&amp;A457)+1,"")</f>
        <v/>
      </c>
      <c r="S457" s="21" t="str">
        <f aca="false">IF(P457&lt;&gt;"Below Materiality","",IF(Summary!$C$9="Random",COUNTIFS($O$2:$O$1092,O457,$Q$2:$Q$1092,"&gt;"&amp;Q457)+1,COUNTIFS($O$2:$O$1092,O457,$P$2:$P$1092,"Below Materiality",$M$2:$M$1092,"&gt;"&amp;M457)+COUNTIFS($O$2:$O$1092,O457,$P$2:$P$1092,"Below Materiality",$M$2:$M$1092,M457,$A$2:$A$1092,"&lt;"&amp;A457)+1))</f>
        <v/>
      </c>
      <c r="T457" s="22"/>
      <c r="U457" s="21" t="str">
        <f aca="false">IF(R457="","",O457&amp;"|A|"&amp;R457)</f>
        <v/>
      </c>
      <c r="V457" s="21" t="str">
        <f aca="false">IF(S457="","",O457&amp;"|R|"&amp;S457)</f>
        <v/>
      </c>
    </row>
    <row r="458" customFormat="false" ht="15" hidden="false" customHeight="false" outlineLevel="0" collapsed="false">
      <c r="A458" s="18" t="n">
        <v>457</v>
      </c>
      <c r="B458" s="18"/>
      <c r="C458" s="18"/>
      <c r="D458" s="18"/>
      <c r="E458" s="18" t="s">
        <v>967</v>
      </c>
      <c r="F458" s="18" t="s">
        <v>968</v>
      </c>
      <c r="G458" s="18" t="s">
        <v>74</v>
      </c>
      <c r="H458" s="18" t="n">
        <v>219</v>
      </c>
      <c r="I458" s="19" t="n">
        <v>2037.5</v>
      </c>
      <c r="J458" s="19" t="n">
        <v>0</v>
      </c>
      <c r="K458" s="19" t="n">
        <v>2037.5</v>
      </c>
      <c r="L458" s="19" t="n">
        <v>0</v>
      </c>
      <c r="M458" s="19" t="n">
        <f aca="false">ABS(L458)</f>
        <v>0</v>
      </c>
      <c r="N458" s="18" t="str">
        <f aca="false">IF(L458=0,"Nil balance",IF(G458="AR file",IF(L458&gt;0,"Accounts Receivable","Customer Advances"),IF(L458&lt;0,"Accounts Payable","Supplier Advances")))</f>
        <v>Nil balance</v>
      </c>
      <c r="O458" s="18" t="str">
        <f aca="false">IF(L458=0,"Excluded",IF(Summary!$C$4="By ledger",IF(G458="AR file","Population 1","Population 2"),IF(L458&gt;0,"Population 1","Population 2")))</f>
        <v>Excluded</v>
      </c>
      <c r="P458" s="18" t="str">
        <f aca="false">IF(O458="Excluded","Excluded – nil closing balance",IF(M458&gt;Summary!$C$5,"Above Materiality","Below Materiality"))</f>
        <v>Excluded – nil closing balance</v>
      </c>
      <c r="Q458" s="20" t="str">
        <f aca="false">IF(P458="Below Materiality",T458,"")</f>
        <v/>
      </c>
      <c r="R458" s="21" t="str">
        <f aca="false">IF(P458="Above Materiality",COUNTIFS($O$2:$O$1092,O458,$P$2:$P$1092,"Above Materiality",$M$2:$M$1092,"&gt;"&amp;M458)+COUNTIFS($O$2:$O$1092,O458,$P$2:$P$1092,"Above Materiality",$M$2:$M$1092,M458,$A$2:$A$1092,"&lt;"&amp;A458)+1,"")</f>
        <v/>
      </c>
      <c r="S458" s="21" t="str">
        <f aca="false">IF(P458&lt;&gt;"Below Materiality","",IF(Summary!$C$9="Random",COUNTIFS($O$2:$O$1092,O458,$Q$2:$Q$1092,"&gt;"&amp;Q458)+1,COUNTIFS($O$2:$O$1092,O458,$P$2:$P$1092,"Below Materiality",$M$2:$M$1092,"&gt;"&amp;M458)+COUNTIFS($O$2:$O$1092,O458,$P$2:$P$1092,"Below Materiality",$M$2:$M$1092,M458,$A$2:$A$1092,"&lt;"&amp;A458)+1))</f>
        <v/>
      </c>
      <c r="T458" s="22"/>
      <c r="U458" s="21" t="str">
        <f aca="false">IF(R458="","",O458&amp;"|A|"&amp;R458)</f>
        <v/>
      </c>
      <c r="V458" s="21" t="str">
        <f aca="false">IF(S458="","",O458&amp;"|R|"&amp;S458)</f>
        <v/>
      </c>
    </row>
    <row r="459" customFormat="false" ht="15" hidden="false" customHeight="false" outlineLevel="0" collapsed="false">
      <c r="A459" s="18" t="n">
        <v>458</v>
      </c>
      <c r="B459" s="18"/>
      <c r="C459" s="18"/>
      <c r="D459" s="18"/>
      <c r="E459" s="18" t="s">
        <v>969</v>
      </c>
      <c r="F459" s="18" t="s">
        <v>970</v>
      </c>
      <c r="G459" s="18" t="s">
        <v>74</v>
      </c>
      <c r="H459" s="18" t="n">
        <v>220</v>
      </c>
      <c r="I459" s="19" t="n">
        <v>0</v>
      </c>
      <c r="J459" s="19" t="n">
        <v>6760.28</v>
      </c>
      <c r="K459" s="19" t="n">
        <v>6760.28</v>
      </c>
      <c r="L459" s="19" t="n">
        <v>0</v>
      </c>
      <c r="M459" s="19" t="n">
        <f aca="false">ABS(L459)</f>
        <v>0</v>
      </c>
      <c r="N459" s="18" t="str">
        <f aca="false">IF(L459=0,"Nil balance",IF(G459="AR file",IF(L459&gt;0,"Accounts Receivable","Customer Advances"),IF(L459&lt;0,"Accounts Payable","Supplier Advances")))</f>
        <v>Nil balance</v>
      </c>
      <c r="O459" s="18" t="str">
        <f aca="false">IF(L459=0,"Excluded",IF(Summary!$C$4="By ledger",IF(G459="AR file","Population 1","Population 2"),IF(L459&gt;0,"Population 1","Population 2")))</f>
        <v>Excluded</v>
      </c>
      <c r="P459" s="18" t="str">
        <f aca="false">IF(O459="Excluded","Excluded – nil closing balance",IF(M459&gt;Summary!$C$5,"Above Materiality","Below Materiality"))</f>
        <v>Excluded – nil closing balance</v>
      </c>
      <c r="Q459" s="20" t="str">
        <f aca="false">IF(P459="Below Materiality",T459,"")</f>
        <v/>
      </c>
      <c r="R459" s="21" t="str">
        <f aca="false">IF(P459="Above Materiality",COUNTIFS($O$2:$O$1092,O459,$P$2:$P$1092,"Above Materiality",$M$2:$M$1092,"&gt;"&amp;M459)+COUNTIFS($O$2:$O$1092,O459,$P$2:$P$1092,"Above Materiality",$M$2:$M$1092,M459,$A$2:$A$1092,"&lt;"&amp;A459)+1,"")</f>
        <v/>
      </c>
      <c r="S459" s="21" t="str">
        <f aca="false">IF(P459&lt;&gt;"Below Materiality","",IF(Summary!$C$9="Random",COUNTIFS($O$2:$O$1092,O459,$Q$2:$Q$1092,"&gt;"&amp;Q459)+1,COUNTIFS($O$2:$O$1092,O459,$P$2:$P$1092,"Below Materiality",$M$2:$M$1092,"&gt;"&amp;M459)+COUNTIFS($O$2:$O$1092,O459,$P$2:$P$1092,"Below Materiality",$M$2:$M$1092,M459,$A$2:$A$1092,"&lt;"&amp;A459)+1))</f>
        <v/>
      </c>
      <c r="T459" s="22"/>
      <c r="U459" s="21" t="str">
        <f aca="false">IF(R459="","",O459&amp;"|A|"&amp;R459)</f>
        <v/>
      </c>
      <c r="V459" s="21" t="str">
        <f aca="false">IF(S459="","",O459&amp;"|R|"&amp;S459)</f>
        <v/>
      </c>
    </row>
    <row r="460" customFormat="false" ht="15" hidden="false" customHeight="false" outlineLevel="0" collapsed="false">
      <c r="A460" s="18" t="n">
        <v>459</v>
      </c>
      <c r="B460" s="18"/>
      <c r="C460" s="18"/>
      <c r="D460" s="18"/>
      <c r="E460" s="18" t="s">
        <v>971</v>
      </c>
      <c r="F460" s="18" t="s">
        <v>908</v>
      </c>
      <c r="G460" s="18" t="s">
        <v>74</v>
      </c>
      <c r="H460" s="18" t="n">
        <v>221</v>
      </c>
      <c r="I460" s="19" t="n">
        <v>0</v>
      </c>
      <c r="J460" s="19" t="n">
        <v>50</v>
      </c>
      <c r="K460" s="19" t="n">
        <v>50</v>
      </c>
      <c r="L460" s="19" t="n">
        <v>0</v>
      </c>
      <c r="M460" s="19" t="n">
        <f aca="false">ABS(L460)</f>
        <v>0</v>
      </c>
      <c r="N460" s="18" t="str">
        <f aca="false">IF(L460=0,"Nil balance",IF(G460="AR file",IF(L460&gt;0,"Accounts Receivable","Customer Advances"),IF(L460&lt;0,"Accounts Payable","Supplier Advances")))</f>
        <v>Nil balance</v>
      </c>
      <c r="O460" s="18" t="str">
        <f aca="false">IF(L460=0,"Excluded",IF(Summary!$C$4="By ledger",IF(G460="AR file","Population 1","Population 2"),IF(L460&gt;0,"Population 1","Population 2")))</f>
        <v>Excluded</v>
      </c>
      <c r="P460" s="18" t="str">
        <f aca="false">IF(O460="Excluded","Excluded – nil closing balance",IF(M460&gt;Summary!$C$5,"Above Materiality","Below Materiality"))</f>
        <v>Excluded – nil closing balance</v>
      </c>
      <c r="Q460" s="20" t="str">
        <f aca="false">IF(P460="Below Materiality",T460,"")</f>
        <v/>
      </c>
      <c r="R460" s="21" t="str">
        <f aca="false">IF(P460="Above Materiality",COUNTIFS($O$2:$O$1092,O460,$P$2:$P$1092,"Above Materiality",$M$2:$M$1092,"&gt;"&amp;M460)+COUNTIFS($O$2:$O$1092,O460,$P$2:$P$1092,"Above Materiality",$M$2:$M$1092,M460,$A$2:$A$1092,"&lt;"&amp;A460)+1,"")</f>
        <v/>
      </c>
      <c r="S460" s="21" t="str">
        <f aca="false">IF(P460&lt;&gt;"Below Materiality","",IF(Summary!$C$9="Random",COUNTIFS($O$2:$O$1092,O460,$Q$2:$Q$1092,"&gt;"&amp;Q460)+1,COUNTIFS($O$2:$O$1092,O460,$P$2:$P$1092,"Below Materiality",$M$2:$M$1092,"&gt;"&amp;M460)+COUNTIFS($O$2:$O$1092,O460,$P$2:$P$1092,"Below Materiality",$M$2:$M$1092,M460,$A$2:$A$1092,"&lt;"&amp;A460)+1))</f>
        <v/>
      </c>
      <c r="T460" s="22"/>
      <c r="U460" s="21" t="str">
        <f aca="false">IF(R460="","",O460&amp;"|A|"&amp;R460)</f>
        <v/>
      </c>
      <c r="V460" s="21" t="str">
        <f aca="false">IF(S460="","",O460&amp;"|R|"&amp;S460)</f>
        <v/>
      </c>
    </row>
    <row r="461" customFormat="false" ht="15" hidden="false" customHeight="false" outlineLevel="0" collapsed="false">
      <c r="A461" s="18" t="n">
        <v>460</v>
      </c>
      <c r="B461" s="18"/>
      <c r="C461" s="18"/>
      <c r="D461" s="18"/>
      <c r="E461" s="18" t="s">
        <v>972</v>
      </c>
      <c r="F461" s="18" t="s">
        <v>973</v>
      </c>
      <c r="G461" s="18" t="s">
        <v>74</v>
      </c>
      <c r="H461" s="18" t="n">
        <v>222</v>
      </c>
      <c r="I461" s="19" t="n">
        <v>0</v>
      </c>
      <c r="J461" s="19" t="n">
        <v>6179.5</v>
      </c>
      <c r="K461" s="19" t="n">
        <v>6179.5</v>
      </c>
      <c r="L461" s="19" t="n">
        <v>0</v>
      </c>
      <c r="M461" s="19" t="n">
        <f aca="false">ABS(L461)</f>
        <v>0</v>
      </c>
      <c r="N461" s="18" t="str">
        <f aca="false">IF(L461=0,"Nil balance",IF(G461="AR file",IF(L461&gt;0,"Accounts Receivable","Customer Advances"),IF(L461&lt;0,"Accounts Payable","Supplier Advances")))</f>
        <v>Nil balance</v>
      </c>
      <c r="O461" s="18" t="str">
        <f aca="false">IF(L461=0,"Excluded",IF(Summary!$C$4="By ledger",IF(G461="AR file","Population 1","Population 2"),IF(L461&gt;0,"Population 1","Population 2")))</f>
        <v>Excluded</v>
      </c>
      <c r="P461" s="18" t="str">
        <f aca="false">IF(O461="Excluded","Excluded – nil closing balance",IF(M461&gt;Summary!$C$5,"Above Materiality","Below Materiality"))</f>
        <v>Excluded – nil closing balance</v>
      </c>
      <c r="Q461" s="20" t="str">
        <f aca="false">IF(P461="Below Materiality",T461,"")</f>
        <v/>
      </c>
      <c r="R461" s="21" t="str">
        <f aca="false">IF(P461="Above Materiality",COUNTIFS($O$2:$O$1092,O461,$P$2:$P$1092,"Above Materiality",$M$2:$M$1092,"&gt;"&amp;M461)+COUNTIFS($O$2:$O$1092,O461,$P$2:$P$1092,"Above Materiality",$M$2:$M$1092,M461,$A$2:$A$1092,"&lt;"&amp;A461)+1,"")</f>
        <v/>
      </c>
      <c r="S461" s="21" t="str">
        <f aca="false">IF(P461&lt;&gt;"Below Materiality","",IF(Summary!$C$9="Random",COUNTIFS($O$2:$O$1092,O461,$Q$2:$Q$1092,"&gt;"&amp;Q461)+1,COUNTIFS($O$2:$O$1092,O461,$P$2:$P$1092,"Below Materiality",$M$2:$M$1092,"&gt;"&amp;M461)+COUNTIFS($O$2:$O$1092,O461,$P$2:$P$1092,"Below Materiality",$M$2:$M$1092,M461,$A$2:$A$1092,"&lt;"&amp;A461)+1))</f>
        <v/>
      </c>
      <c r="T461" s="22"/>
      <c r="U461" s="21" t="str">
        <f aca="false">IF(R461="","",O461&amp;"|A|"&amp;R461)</f>
        <v/>
      </c>
      <c r="V461" s="21" t="str">
        <f aca="false">IF(S461="","",O461&amp;"|R|"&amp;S461)</f>
        <v/>
      </c>
    </row>
    <row r="462" customFormat="false" ht="15" hidden="false" customHeight="false" outlineLevel="0" collapsed="false">
      <c r="A462" s="18" t="n">
        <v>461</v>
      </c>
      <c r="B462" s="18"/>
      <c r="C462" s="18"/>
      <c r="D462" s="18"/>
      <c r="E462" s="18" t="s">
        <v>974</v>
      </c>
      <c r="F462" s="18" t="s">
        <v>975</v>
      </c>
      <c r="G462" s="18" t="s">
        <v>74</v>
      </c>
      <c r="H462" s="18" t="n">
        <v>224</v>
      </c>
      <c r="I462" s="19" t="n">
        <v>0.400000000000091</v>
      </c>
      <c r="J462" s="19" t="n">
        <v>1045.5</v>
      </c>
      <c r="K462" s="19" t="n">
        <v>1045.9</v>
      </c>
      <c r="L462" s="19" t="n">
        <v>0</v>
      </c>
      <c r="M462" s="19" t="n">
        <f aca="false">ABS(L462)</f>
        <v>0</v>
      </c>
      <c r="N462" s="18" t="str">
        <f aca="false">IF(L462=0,"Nil balance",IF(G462="AR file",IF(L462&gt;0,"Accounts Receivable","Customer Advances"),IF(L462&lt;0,"Accounts Payable","Supplier Advances")))</f>
        <v>Nil balance</v>
      </c>
      <c r="O462" s="18" t="str">
        <f aca="false">IF(L462=0,"Excluded",IF(Summary!$C$4="By ledger",IF(G462="AR file","Population 1","Population 2"),IF(L462&gt;0,"Population 1","Population 2")))</f>
        <v>Excluded</v>
      </c>
      <c r="P462" s="18" t="str">
        <f aca="false">IF(O462="Excluded","Excluded – nil closing balance",IF(M462&gt;Summary!$C$5,"Above Materiality","Below Materiality"))</f>
        <v>Excluded – nil closing balance</v>
      </c>
      <c r="Q462" s="20" t="str">
        <f aca="false">IF(P462="Below Materiality",T462,"")</f>
        <v/>
      </c>
      <c r="R462" s="21" t="str">
        <f aca="false">IF(P462="Above Materiality",COUNTIFS($O$2:$O$1092,O462,$P$2:$P$1092,"Above Materiality",$M$2:$M$1092,"&gt;"&amp;M462)+COUNTIFS($O$2:$O$1092,O462,$P$2:$P$1092,"Above Materiality",$M$2:$M$1092,M462,$A$2:$A$1092,"&lt;"&amp;A462)+1,"")</f>
        <v/>
      </c>
      <c r="S462" s="21" t="str">
        <f aca="false">IF(P462&lt;&gt;"Below Materiality","",IF(Summary!$C$9="Random",COUNTIFS($O$2:$O$1092,O462,$Q$2:$Q$1092,"&gt;"&amp;Q462)+1,COUNTIFS($O$2:$O$1092,O462,$P$2:$P$1092,"Below Materiality",$M$2:$M$1092,"&gt;"&amp;M462)+COUNTIFS($O$2:$O$1092,O462,$P$2:$P$1092,"Below Materiality",$M$2:$M$1092,M462,$A$2:$A$1092,"&lt;"&amp;A462)+1))</f>
        <v/>
      </c>
      <c r="T462" s="22"/>
      <c r="U462" s="21" t="str">
        <f aca="false">IF(R462="","",O462&amp;"|A|"&amp;R462)</f>
        <v/>
      </c>
      <c r="V462" s="21" t="str">
        <f aca="false">IF(S462="","",O462&amp;"|R|"&amp;S462)</f>
        <v/>
      </c>
    </row>
    <row r="463" customFormat="false" ht="15" hidden="false" customHeight="false" outlineLevel="0" collapsed="false">
      <c r="A463" s="18" t="n">
        <v>462</v>
      </c>
      <c r="B463" s="18"/>
      <c r="C463" s="18"/>
      <c r="D463" s="18"/>
      <c r="E463" s="18" t="s">
        <v>976</v>
      </c>
      <c r="F463" s="18" t="s">
        <v>977</v>
      </c>
      <c r="G463" s="18" t="s">
        <v>74</v>
      </c>
      <c r="H463" s="18" t="n">
        <v>225</v>
      </c>
      <c r="I463" s="19" t="n">
        <v>0</v>
      </c>
      <c r="J463" s="19" t="n">
        <v>11005.5</v>
      </c>
      <c r="K463" s="19" t="n">
        <v>11005.5</v>
      </c>
      <c r="L463" s="19" t="n">
        <v>0</v>
      </c>
      <c r="M463" s="19" t="n">
        <f aca="false">ABS(L463)</f>
        <v>0</v>
      </c>
      <c r="N463" s="18" t="str">
        <f aca="false">IF(L463=0,"Nil balance",IF(G463="AR file",IF(L463&gt;0,"Accounts Receivable","Customer Advances"),IF(L463&lt;0,"Accounts Payable","Supplier Advances")))</f>
        <v>Nil balance</v>
      </c>
      <c r="O463" s="18" t="str">
        <f aca="false">IF(L463=0,"Excluded",IF(Summary!$C$4="By ledger",IF(G463="AR file","Population 1","Population 2"),IF(L463&gt;0,"Population 1","Population 2")))</f>
        <v>Excluded</v>
      </c>
      <c r="P463" s="18" t="str">
        <f aca="false">IF(O463="Excluded","Excluded – nil closing balance",IF(M463&gt;Summary!$C$5,"Above Materiality","Below Materiality"))</f>
        <v>Excluded – nil closing balance</v>
      </c>
      <c r="Q463" s="20" t="str">
        <f aca="false">IF(P463="Below Materiality",T463,"")</f>
        <v/>
      </c>
      <c r="R463" s="21" t="str">
        <f aca="false">IF(P463="Above Materiality",COUNTIFS($O$2:$O$1092,O463,$P$2:$P$1092,"Above Materiality",$M$2:$M$1092,"&gt;"&amp;M463)+COUNTIFS($O$2:$O$1092,O463,$P$2:$P$1092,"Above Materiality",$M$2:$M$1092,M463,$A$2:$A$1092,"&lt;"&amp;A463)+1,"")</f>
        <v/>
      </c>
      <c r="S463" s="21" t="str">
        <f aca="false">IF(P463&lt;&gt;"Below Materiality","",IF(Summary!$C$9="Random",COUNTIFS($O$2:$O$1092,O463,$Q$2:$Q$1092,"&gt;"&amp;Q463)+1,COUNTIFS($O$2:$O$1092,O463,$P$2:$P$1092,"Below Materiality",$M$2:$M$1092,"&gt;"&amp;M463)+COUNTIFS($O$2:$O$1092,O463,$P$2:$P$1092,"Below Materiality",$M$2:$M$1092,M463,$A$2:$A$1092,"&lt;"&amp;A463)+1))</f>
        <v/>
      </c>
      <c r="T463" s="22"/>
      <c r="U463" s="21" t="str">
        <f aca="false">IF(R463="","",O463&amp;"|A|"&amp;R463)</f>
        <v/>
      </c>
      <c r="V463" s="21" t="str">
        <f aca="false">IF(S463="","",O463&amp;"|R|"&amp;S463)</f>
        <v/>
      </c>
    </row>
    <row r="464" customFormat="false" ht="15" hidden="false" customHeight="false" outlineLevel="0" collapsed="false">
      <c r="A464" s="18" t="n">
        <v>463</v>
      </c>
      <c r="B464" s="18"/>
      <c r="C464" s="18"/>
      <c r="D464" s="18"/>
      <c r="E464" s="18" t="s">
        <v>978</v>
      </c>
      <c r="F464" s="18" t="s">
        <v>979</v>
      </c>
      <c r="G464" s="18" t="s">
        <v>74</v>
      </c>
      <c r="H464" s="18" t="n">
        <v>226</v>
      </c>
      <c r="I464" s="19" t="n">
        <v>0</v>
      </c>
      <c r="J464" s="19" t="n">
        <v>28.75</v>
      </c>
      <c r="K464" s="19" t="n">
        <v>28.75</v>
      </c>
      <c r="L464" s="19" t="n">
        <v>0</v>
      </c>
      <c r="M464" s="19" t="n">
        <f aca="false">ABS(L464)</f>
        <v>0</v>
      </c>
      <c r="N464" s="18" t="str">
        <f aca="false">IF(L464=0,"Nil balance",IF(G464="AR file",IF(L464&gt;0,"Accounts Receivable","Customer Advances"),IF(L464&lt;0,"Accounts Payable","Supplier Advances")))</f>
        <v>Nil balance</v>
      </c>
      <c r="O464" s="18" t="str">
        <f aca="false">IF(L464=0,"Excluded",IF(Summary!$C$4="By ledger",IF(G464="AR file","Population 1","Population 2"),IF(L464&gt;0,"Population 1","Population 2")))</f>
        <v>Excluded</v>
      </c>
      <c r="P464" s="18" t="str">
        <f aca="false">IF(O464="Excluded","Excluded – nil closing balance",IF(M464&gt;Summary!$C$5,"Above Materiality","Below Materiality"))</f>
        <v>Excluded – nil closing balance</v>
      </c>
      <c r="Q464" s="20" t="str">
        <f aca="false">IF(P464="Below Materiality",T464,"")</f>
        <v/>
      </c>
      <c r="R464" s="21" t="str">
        <f aca="false">IF(P464="Above Materiality",COUNTIFS($O$2:$O$1092,O464,$P$2:$P$1092,"Above Materiality",$M$2:$M$1092,"&gt;"&amp;M464)+COUNTIFS($O$2:$O$1092,O464,$P$2:$P$1092,"Above Materiality",$M$2:$M$1092,M464,$A$2:$A$1092,"&lt;"&amp;A464)+1,"")</f>
        <v/>
      </c>
      <c r="S464" s="21" t="str">
        <f aca="false">IF(P464&lt;&gt;"Below Materiality","",IF(Summary!$C$9="Random",COUNTIFS($O$2:$O$1092,O464,$Q$2:$Q$1092,"&gt;"&amp;Q464)+1,COUNTIFS($O$2:$O$1092,O464,$P$2:$P$1092,"Below Materiality",$M$2:$M$1092,"&gt;"&amp;M464)+COUNTIFS($O$2:$O$1092,O464,$P$2:$P$1092,"Below Materiality",$M$2:$M$1092,M464,$A$2:$A$1092,"&lt;"&amp;A464)+1))</f>
        <v/>
      </c>
      <c r="T464" s="22"/>
      <c r="U464" s="21" t="str">
        <f aca="false">IF(R464="","",O464&amp;"|A|"&amp;R464)</f>
        <v/>
      </c>
      <c r="V464" s="21" t="str">
        <f aca="false">IF(S464="","",O464&amp;"|R|"&amp;S464)</f>
        <v/>
      </c>
    </row>
    <row r="465" customFormat="false" ht="15" hidden="false" customHeight="false" outlineLevel="0" collapsed="false">
      <c r="A465" s="18" t="n">
        <v>464</v>
      </c>
      <c r="B465" s="18"/>
      <c r="C465" s="18"/>
      <c r="D465" s="18"/>
      <c r="E465" s="18" t="s">
        <v>980</v>
      </c>
      <c r="F465" s="18" t="s">
        <v>981</v>
      </c>
      <c r="G465" s="18" t="s">
        <v>74</v>
      </c>
      <c r="H465" s="18" t="n">
        <v>227</v>
      </c>
      <c r="I465" s="19" t="n">
        <v>460</v>
      </c>
      <c r="J465" s="19" t="n">
        <v>0</v>
      </c>
      <c r="K465" s="19" t="n">
        <v>460</v>
      </c>
      <c r="L465" s="19" t="n">
        <v>0</v>
      </c>
      <c r="M465" s="19" t="n">
        <f aca="false">ABS(L465)</f>
        <v>0</v>
      </c>
      <c r="N465" s="18" t="str">
        <f aca="false">IF(L465=0,"Nil balance",IF(G465="AR file",IF(L465&gt;0,"Accounts Receivable","Customer Advances"),IF(L465&lt;0,"Accounts Payable","Supplier Advances")))</f>
        <v>Nil balance</v>
      </c>
      <c r="O465" s="18" t="str">
        <f aca="false">IF(L465=0,"Excluded",IF(Summary!$C$4="By ledger",IF(G465="AR file","Population 1","Population 2"),IF(L465&gt;0,"Population 1","Population 2")))</f>
        <v>Excluded</v>
      </c>
      <c r="P465" s="18" t="str">
        <f aca="false">IF(O465="Excluded","Excluded – nil closing balance",IF(M465&gt;Summary!$C$5,"Above Materiality","Below Materiality"))</f>
        <v>Excluded – nil closing balance</v>
      </c>
      <c r="Q465" s="20" t="str">
        <f aca="false">IF(P465="Below Materiality",T465,"")</f>
        <v/>
      </c>
      <c r="R465" s="21" t="str">
        <f aca="false">IF(P465="Above Materiality",COUNTIFS($O$2:$O$1092,O465,$P$2:$P$1092,"Above Materiality",$M$2:$M$1092,"&gt;"&amp;M465)+COUNTIFS($O$2:$O$1092,O465,$P$2:$P$1092,"Above Materiality",$M$2:$M$1092,M465,$A$2:$A$1092,"&lt;"&amp;A465)+1,"")</f>
        <v/>
      </c>
      <c r="S465" s="21" t="str">
        <f aca="false">IF(P465&lt;&gt;"Below Materiality","",IF(Summary!$C$9="Random",COUNTIFS($O$2:$O$1092,O465,$Q$2:$Q$1092,"&gt;"&amp;Q465)+1,COUNTIFS($O$2:$O$1092,O465,$P$2:$P$1092,"Below Materiality",$M$2:$M$1092,"&gt;"&amp;M465)+COUNTIFS($O$2:$O$1092,O465,$P$2:$P$1092,"Below Materiality",$M$2:$M$1092,M465,$A$2:$A$1092,"&lt;"&amp;A465)+1))</f>
        <v/>
      </c>
      <c r="T465" s="22"/>
      <c r="U465" s="21" t="str">
        <f aca="false">IF(R465="","",O465&amp;"|A|"&amp;R465)</f>
        <v/>
      </c>
      <c r="V465" s="21" t="str">
        <f aca="false">IF(S465="","",O465&amp;"|R|"&amp;S465)</f>
        <v/>
      </c>
    </row>
    <row r="466" customFormat="false" ht="15" hidden="false" customHeight="false" outlineLevel="0" collapsed="false">
      <c r="A466" s="18" t="n">
        <v>465</v>
      </c>
      <c r="B466" s="18"/>
      <c r="C466" s="18"/>
      <c r="D466" s="18"/>
      <c r="E466" s="18" t="s">
        <v>982</v>
      </c>
      <c r="F466" s="18" t="s">
        <v>983</v>
      </c>
      <c r="G466" s="18" t="s">
        <v>74</v>
      </c>
      <c r="H466" s="18" t="n">
        <v>228</v>
      </c>
      <c r="I466" s="19" t="n">
        <v>0</v>
      </c>
      <c r="J466" s="19" t="n">
        <v>1004.8</v>
      </c>
      <c r="K466" s="19" t="n">
        <v>1004.8</v>
      </c>
      <c r="L466" s="19" t="n">
        <v>0</v>
      </c>
      <c r="M466" s="19" t="n">
        <f aca="false">ABS(L466)</f>
        <v>0</v>
      </c>
      <c r="N466" s="18" t="str">
        <f aca="false">IF(L466=0,"Nil balance",IF(G466="AR file",IF(L466&gt;0,"Accounts Receivable","Customer Advances"),IF(L466&lt;0,"Accounts Payable","Supplier Advances")))</f>
        <v>Nil balance</v>
      </c>
      <c r="O466" s="18" t="str">
        <f aca="false">IF(L466=0,"Excluded",IF(Summary!$C$4="By ledger",IF(G466="AR file","Population 1","Population 2"),IF(L466&gt;0,"Population 1","Population 2")))</f>
        <v>Excluded</v>
      </c>
      <c r="P466" s="18" t="str">
        <f aca="false">IF(O466="Excluded","Excluded – nil closing balance",IF(M466&gt;Summary!$C$5,"Above Materiality","Below Materiality"))</f>
        <v>Excluded – nil closing balance</v>
      </c>
      <c r="Q466" s="20" t="str">
        <f aca="false">IF(P466="Below Materiality",T466,"")</f>
        <v/>
      </c>
      <c r="R466" s="21" t="str">
        <f aca="false">IF(P466="Above Materiality",COUNTIFS($O$2:$O$1092,O466,$P$2:$P$1092,"Above Materiality",$M$2:$M$1092,"&gt;"&amp;M466)+COUNTIFS($O$2:$O$1092,O466,$P$2:$P$1092,"Above Materiality",$M$2:$M$1092,M466,$A$2:$A$1092,"&lt;"&amp;A466)+1,"")</f>
        <v/>
      </c>
      <c r="S466" s="21" t="str">
        <f aca="false">IF(P466&lt;&gt;"Below Materiality","",IF(Summary!$C$9="Random",COUNTIFS($O$2:$O$1092,O466,$Q$2:$Q$1092,"&gt;"&amp;Q466)+1,COUNTIFS($O$2:$O$1092,O466,$P$2:$P$1092,"Below Materiality",$M$2:$M$1092,"&gt;"&amp;M466)+COUNTIFS($O$2:$O$1092,O466,$P$2:$P$1092,"Below Materiality",$M$2:$M$1092,M466,$A$2:$A$1092,"&lt;"&amp;A466)+1))</f>
        <v/>
      </c>
      <c r="T466" s="22"/>
      <c r="U466" s="21" t="str">
        <f aca="false">IF(R466="","",O466&amp;"|A|"&amp;R466)</f>
        <v/>
      </c>
      <c r="V466" s="21" t="str">
        <f aca="false">IF(S466="","",O466&amp;"|R|"&amp;S466)</f>
        <v/>
      </c>
    </row>
    <row r="467" customFormat="false" ht="15" hidden="false" customHeight="false" outlineLevel="0" collapsed="false">
      <c r="A467" s="18" t="n">
        <v>466</v>
      </c>
      <c r="B467" s="18"/>
      <c r="C467" s="18"/>
      <c r="D467" s="18"/>
      <c r="E467" s="18" t="s">
        <v>984</v>
      </c>
      <c r="F467" s="18" t="s">
        <v>840</v>
      </c>
      <c r="G467" s="18" t="s">
        <v>74</v>
      </c>
      <c r="H467" s="18" t="n">
        <v>230</v>
      </c>
      <c r="I467" s="19" t="n">
        <v>0</v>
      </c>
      <c r="J467" s="19" t="n">
        <v>230</v>
      </c>
      <c r="K467" s="19" t="n">
        <v>230</v>
      </c>
      <c r="L467" s="19" t="n">
        <v>0</v>
      </c>
      <c r="M467" s="19" t="n">
        <f aca="false">ABS(L467)</f>
        <v>0</v>
      </c>
      <c r="N467" s="18" t="str">
        <f aca="false">IF(L467=0,"Nil balance",IF(G467="AR file",IF(L467&gt;0,"Accounts Receivable","Customer Advances"),IF(L467&lt;0,"Accounts Payable","Supplier Advances")))</f>
        <v>Nil balance</v>
      </c>
      <c r="O467" s="18" t="str">
        <f aca="false">IF(L467=0,"Excluded",IF(Summary!$C$4="By ledger",IF(G467="AR file","Population 1","Population 2"),IF(L467&gt;0,"Population 1","Population 2")))</f>
        <v>Excluded</v>
      </c>
      <c r="P467" s="18" t="str">
        <f aca="false">IF(O467="Excluded","Excluded – nil closing balance",IF(M467&gt;Summary!$C$5,"Above Materiality","Below Materiality"))</f>
        <v>Excluded – nil closing balance</v>
      </c>
      <c r="Q467" s="20" t="str">
        <f aca="false">IF(P467="Below Materiality",T467,"")</f>
        <v/>
      </c>
      <c r="R467" s="21" t="str">
        <f aca="false">IF(P467="Above Materiality",COUNTIFS($O$2:$O$1092,O467,$P$2:$P$1092,"Above Materiality",$M$2:$M$1092,"&gt;"&amp;M467)+COUNTIFS($O$2:$O$1092,O467,$P$2:$P$1092,"Above Materiality",$M$2:$M$1092,M467,$A$2:$A$1092,"&lt;"&amp;A467)+1,"")</f>
        <v/>
      </c>
      <c r="S467" s="21" t="str">
        <f aca="false">IF(P467&lt;&gt;"Below Materiality","",IF(Summary!$C$9="Random",COUNTIFS($O$2:$O$1092,O467,$Q$2:$Q$1092,"&gt;"&amp;Q467)+1,COUNTIFS($O$2:$O$1092,O467,$P$2:$P$1092,"Below Materiality",$M$2:$M$1092,"&gt;"&amp;M467)+COUNTIFS($O$2:$O$1092,O467,$P$2:$P$1092,"Below Materiality",$M$2:$M$1092,M467,$A$2:$A$1092,"&lt;"&amp;A467)+1))</f>
        <v/>
      </c>
      <c r="T467" s="22"/>
      <c r="U467" s="21" t="str">
        <f aca="false">IF(R467="","",O467&amp;"|A|"&amp;R467)</f>
        <v/>
      </c>
      <c r="V467" s="21" t="str">
        <f aca="false">IF(S467="","",O467&amp;"|R|"&amp;S467)</f>
        <v/>
      </c>
    </row>
    <row r="468" customFormat="false" ht="15" hidden="false" customHeight="false" outlineLevel="0" collapsed="false">
      <c r="A468" s="18" t="n">
        <v>467</v>
      </c>
      <c r="B468" s="18"/>
      <c r="C468" s="18"/>
      <c r="D468" s="18"/>
      <c r="E468" s="18" t="s">
        <v>985</v>
      </c>
      <c r="F468" s="18" t="s">
        <v>986</v>
      </c>
      <c r="G468" s="18" t="s">
        <v>74</v>
      </c>
      <c r="H468" s="18" t="n">
        <v>231</v>
      </c>
      <c r="I468" s="19" t="n">
        <v>2415</v>
      </c>
      <c r="J468" s="19" t="n">
        <v>3271.75</v>
      </c>
      <c r="K468" s="19" t="n">
        <v>5686.75</v>
      </c>
      <c r="L468" s="19" t="n">
        <v>0</v>
      </c>
      <c r="M468" s="19" t="n">
        <f aca="false">ABS(L468)</f>
        <v>0</v>
      </c>
      <c r="N468" s="18" t="str">
        <f aca="false">IF(L468=0,"Nil balance",IF(G468="AR file",IF(L468&gt;0,"Accounts Receivable","Customer Advances"),IF(L468&lt;0,"Accounts Payable","Supplier Advances")))</f>
        <v>Nil balance</v>
      </c>
      <c r="O468" s="18" t="str">
        <f aca="false">IF(L468=0,"Excluded",IF(Summary!$C$4="By ledger",IF(G468="AR file","Population 1","Population 2"),IF(L468&gt;0,"Population 1","Population 2")))</f>
        <v>Excluded</v>
      </c>
      <c r="P468" s="18" t="str">
        <f aca="false">IF(O468="Excluded","Excluded – nil closing balance",IF(M468&gt;Summary!$C$5,"Above Materiality","Below Materiality"))</f>
        <v>Excluded – nil closing balance</v>
      </c>
      <c r="Q468" s="20" t="str">
        <f aca="false">IF(P468="Below Materiality",T468,"")</f>
        <v/>
      </c>
      <c r="R468" s="21" t="str">
        <f aca="false">IF(P468="Above Materiality",COUNTIFS($O$2:$O$1092,O468,$P$2:$P$1092,"Above Materiality",$M$2:$M$1092,"&gt;"&amp;M468)+COUNTIFS($O$2:$O$1092,O468,$P$2:$P$1092,"Above Materiality",$M$2:$M$1092,M468,$A$2:$A$1092,"&lt;"&amp;A468)+1,"")</f>
        <v/>
      </c>
      <c r="S468" s="21" t="str">
        <f aca="false">IF(P468&lt;&gt;"Below Materiality","",IF(Summary!$C$9="Random",COUNTIFS($O$2:$O$1092,O468,$Q$2:$Q$1092,"&gt;"&amp;Q468)+1,COUNTIFS($O$2:$O$1092,O468,$P$2:$P$1092,"Below Materiality",$M$2:$M$1092,"&gt;"&amp;M468)+COUNTIFS($O$2:$O$1092,O468,$P$2:$P$1092,"Below Materiality",$M$2:$M$1092,M468,$A$2:$A$1092,"&lt;"&amp;A468)+1))</f>
        <v/>
      </c>
      <c r="T468" s="22"/>
      <c r="U468" s="21" t="str">
        <f aca="false">IF(R468="","",O468&amp;"|A|"&amp;R468)</f>
        <v/>
      </c>
      <c r="V468" s="21" t="str">
        <f aca="false">IF(S468="","",O468&amp;"|R|"&amp;S468)</f>
        <v/>
      </c>
    </row>
    <row r="469" customFormat="false" ht="15" hidden="false" customHeight="false" outlineLevel="0" collapsed="false">
      <c r="A469" s="18" t="n">
        <v>468</v>
      </c>
      <c r="B469" s="18"/>
      <c r="C469" s="18"/>
      <c r="D469" s="18"/>
      <c r="E469" s="18" t="s">
        <v>987</v>
      </c>
      <c r="F469" s="18" t="s">
        <v>425</v>
      </c>
      <c r="G469" s="18" t="s">
        <v>74</v>
      </c>
      <c r="H469" s="18" t="n">
        <v>232</v>
      </c>
      <c r="I469" s="19" t="n">
        <v>0</v>
      </c>
      <c r="J469" s="19" t="n">
        <v>34.5</v>
      </c>
      <c r="K469" s="19" t="n">
        <v>34.5</v>
      </c>
      <c r="L469" s="19" t="n">
        <v>0</v>
      </c>
      <c r="M469" s="19" t="n">
        <f aca="false">ABS(L469)</f>
        <v>0</v>
      </c>
      <c r="N469" s="18" t="str">
        <f aca="false">IF(L469=0,"Nil balance",IF(G469="AR file",IF(L469&gt;0,"Accounts Receivable","Customer Advances"),IF(L469&lt;0,"Accounts Payable","Supplier Advances")))</f>
        <v>Nil balance</v>
      </c>
      <c r="O469" s="18" t="str">
        <f aca="false">IF(L469=0,"Excluded",IF(Summary!$C$4="By ledger",IF(G469="AR file","Population 1","Population 2"),IF(L469&gt;0,"Population 1","Population 2")))</f>
        <v>Excluded</v>
      </c>
      <c r="P469" s="18" t="str">
        <f aca="false">IF(O469="Excluded","Excluded – nil closing balance",IF(M469&gt;Summary!$C$5,"Above Materiality","Below Materiality"))</f>
        <v>Excluded – nil closing balance</v>
      </c>
      <c r="Q469" s="20" t="str">
        <f aca="false">IF(P469="Below Materiality",T469,"")</f>
        <v/>
      </c>
      <c r="R469" s="21" t="str">
        <f aca="false">IF(P469="Above Materiality",COUNTIFS($O$2:$O$1092,O469,$P$2:$P$1092,"Above Materiality",$M$2:$M$1092,"&gt;"&amp;M469)+COUNTIFS($O$2:$O$1092,O469,$P$2:$P$1092,"Above Materiality",$M$2:$M$1092,M469,$A$2:$A$1092,"&lt;"&amp;A469)+1,"")</f>
        <v/>
      </c>
      <c r="S469" s="21" t="str">
        <f aca="false">IF(P469&lt;&gt;"Below Materiality","",IF(Summary!$C$9="Random",COUNTIFS($O$2:$O$1092,O469,$Q$2:$Q$1092,"&gt;"&amp;Q469)+1,COUNTIFS($O$2:$O$1092,O469,$P$2:$P$1092,"Below Materiality",$M$2:$M$1092,"&gt;"&amp;M469)+COUNTIFS($O$2:$O$1092,O469,$P$2:$P$1092,"Below Materiality",$M$2:$M$1092,M469,$A$2:$A$1092,"&lt;"&amp;A469)+1))</f>
        <v/>
      </c>
      <c r="T469" s="22"/>
      <c r="U469" s="21" t="str">
        <f aca="false">IF(R469="","",O469&amp;"|A|"&amp;R469)</f>
        <v/>
      </c>
      <c r="V469" s="21" t="str">
        <f aca="false">IF(S469="","",O469&amp;"|R|"&amp;S469)</f>
        <v/>
      </c>
    </row>
    <row r="470" customFormat="false" ht="15" hidden="false" customHeight="false" outlineLevel="0" collapsed="false">
      <c r="A470" s="18" t="n">
        <v>469</v>
      </c>
      <c r="B470" s="18"/>
      <c r="C470" s="18"/>
      <c r="D470" s="18"/>
      <c r="E470" s="18" t="s">
        <v>988</v>
      </c>
      <c r="F470" s="18" t="s">
        <v>989</v>
      </c>
      <c r="G470" s="18" t="s">
        <v>74</v>
      </c>
      <c r="H470" s="18" t="n">
        <v>233</v>
      </c>
      <c r="I470" s="19" t="n">
        <v>-30636</v>
      </c>
      <c r="J470" s="19" t="n">
        <v>58494.08</v>
      </c>
      <c r="K470" s="19" t="n">
        <v>27858.08</v>
      </c>
      <c r="L470" s="19" t="n">
        <v>0</v>
      </c>
      <c r="M470" s="19" t="n">
        <f aca="false">ABS(L470)</f>
        <v>0</v>
      </c>
      <c r="N470" s="18" t="str">
        <f aca="false">IF(L470=0,"Nil balance",IF(G470="AR file",IF(L470&gt;0,"Accounts Receivable","Customer Advances"),IF(L470&lt;0,"Accounts Payable","Supplier Advances")))</f>
        <v>Nil balance</v>
      </c>
      <c r="O470" s="18" t="str">
        <f aca="false">IF(L470=0,"Excluded",IF(Summary!$C$4="By ledger",IF(G470="AR file","Population 1","Population 2"),IF(L470&gt;0,"Population 1","Population 2")))</f>
        <v>Excluded</v>
      </c>
      <c r="P470" s="18" t="str">
        <f aca="false">IF(O470="Excluded","Excluded – nil closing balance",IF(M470&gt;Summary!$C$5,"Above Materiality","Below Materiality"))</f>
        <v>Excluded – nil closing balance</v>
      </c>
      <c r="Q470" s="20" t="str">
        <f aca="false">IF(P470="Below Materiality",T470,"")</f>
        <v/>
      </c>
      <c r="R470" s="21" t="str">
        <f aca="false">IF(P470="Above Materiality",COUNTIFS($O$2:$O$1092,O470,$P$2:$P$1092,"Above Materiality",$M$2:$M$1092,"&gt;"&amp;M470)+COUNTIFS($O$2:$O$1092,O470,$P$2:$P$1092,"Above Materiality",$M$2:$M$1092,M470,$A$2:$A$1092,"&lt;"&amp;A470)+1,"")</f>
        <v/>
      </c>
      <c r="S470" s="21" t="str">
        <f aca="false">IF(P470&lt;&gt;"Below Materiality","",IF(Summary!$C$9="Random",COUNTIFS($O$2:$O$1092,O470,$Q$2:$Q$1092,"&gt;"&amp;Q470)+1,COUNTIFS($O$2:$O$1092,O470,$P$2:$P$1092,"Below Materiality",$M$2:$M$1092,"&gt;"&amp;M470)+COUNTIFS($O$2:$O$1092,O470,$P$2:$P$1092,"Below Materiality",$M$2:$M$1092,M470,$A$2:$A$1092,"&lt;"&amp;A470)+1))</f>
        <v/>
      </c>
      <c r="T470" s="22"/>
      <c r="U470" s="21" t="str">
        <f aca="false">IF(R470="","",O470&amp;"|A|"&amp;R470)</f>
        <v/>
      </c>
      <c r="V470" s="21" t="str">
        <f aca="false">IF(S470="","",O470&amp;"|R|"&amp;S470)</f>
        <v/>
      </c>
    </row>
    <row r="471" customFormat="false" ht="15" hidden="false" customHeight="false" outlineLevel="0" collapsed="false">
      <c r="A471" s="18" t="n">
        <v>470</v>
      </c>
      <c r="B471" s="18"/>
      <c r="C471" s="18"/>
      <c r="D471" s="18"/>
      <c r="E471" s="18" t="s">
        <v>990</v>
      </c>
      <c r="F471" s="18" t="s">
        <v>991</v>
      </c>
      <c r="G471" s="18" t="s">
        <v>74</v>
      </c>
      <c r="H471" s="18" t="n">
        <v>234</v>
      </c>
      <c r="I471" s="19" t="n">
        <v>1293.75</v>
      </c>
      <c r="J471" s="19" t="n">
        <v>0</v>
      </c>
      <c r="K471" s="19" t="n">
        <v>1293.75</v>
      </c>
      <c r="L471" s="19" t="n">
        <v>0</v>
      </c>
      <c r="M471" s="19" t="n">
        <f aca="false">ABS(L471)</f>
        <v>0</v>
      </c>
      <c r="N471" s="18" t="str">
        <f aca="false">IF(L471=0,"Nil balance",IF(G471="AR file",IF(L471&gt;0,"Accounts Receivable","Customer Advances"),IF(L471&lt;0,"Accounts Payable","Supplier Advances")))</f>
        <v>Nil balance</v>
      </c>
      <c r="O471" s="18" t="str">
        <f aca="false">IF(L471=0,"Excluded",IF(Summary!$C$4="By ledger",IF(G471="AR file","Population 1","Population 2"),IF(L471&gt;0,"Population 1","Population 2")))</f>
        <v>Excluded</v>
      </c>
      <c r="P471" s="18" t="str">
        <f aca="false">IF(O471="Excluded","Excluded – nil closing balance",IF(M471&gt;Summary!$C$5,"Above Materiality","Below Materiality"))</f>
        <v>Excluded – nil closing balance</v>
      </c>
      <c r="Q471" s="20" t="str">
        <f aca="false">IF(P471="Below Materiality",T471,"")</f>
        <v/>
      </c>
      <c r="R471" s="21" t="str">
        <f aca="false">IF(P471="Above Materiality",COUNTIFS($O$2:$O$1092,O471,$P$2:$P$1092,"Above Materiality",$M$2:$M$1092,"&gt;"&amp;M471)+COUNTIFS($O$2:$O$1092,O471,$P$2:$P$1092,"Above Materiality",$M$2:$M$1092,M471,$A$2:$A$1092,"&lt;"&amp;A471)+1,"")</f>
        <v/>
      </c>
      <c r="S471" s="21" t="str">
        <f aca="false">IF(P471&lt;&gt;"Below Materiality","",IF(Summary!$C$9="Random",COUNTIFS($O$2:$O$1092,O471,$Q$2:$Q$1092,"&gt;"&amp;Q471)+1,COUNTIFS($O$2:$O$1092,O471,$P$2:$P$1092,"Below Materiality",$M$2:$M$1092,"&gt;"&amp;M471)+COUNTIFS($O$2:$O$1092,O471,$P$2:$P$1092,"Below Materiality",$M$2:$M$1092,M471,$A$2:$A$1092,"&lt;"&amp;A471)+1))</f>
        <v/>
      </c>
      <c r="T471" s="22"/>
      <c r="U471" s="21" t="str">
        <f aca="false">IF(R471="","",O471&amp;"|A|"&amp;R471)</f>
        <v/>
      </c>
      <c r="V471" s="21" t="str">
        <f aca="false">IF(S471="","",O471&amp;"|R|"&amp;S471)</f>
        <v/>
      </c>
    </row>
    <row r="472" customFormat="false" ht="15" hidden="false" customHeight="false" outlineLevel="0" collapsed="false">
      <c r="A472" s="18" t="n">
        <v>471</v>
      </c>
      <c r="B472" s="18"/>
      <c r="C472" s="18"/>
      <c r="D472" s="18"/>
      <c r="E472" s="18" t="s">
        <v>992</v>
      </c>
      <c r="F472" s="18" t="s">
        <v>993</v>
      </c>
      <c r="G472" s="18" t="s">
        <v>74</v>
      </c>
      <c r="H472" s="18" t="n">
        <v>235</v>
      </c>
      <c r="I472" s="19" t="n">
        <v>-2242.5</v>
      </c>
      <c r="J472" s="19" t="n">
        <v>2242.5</v>
      </c>
      <c r="K472" s="19" t="n">
        <v>0</v>
      </c>
      <c r="L472" s="19" t="n">
        <v>0</v>
      </c>
      <c r="M472" s="19" t="n">
        <f aca="false">ABS(L472)</f>
        <v>0</v>
      </c>
      <c r="N472" s="18" t="str">
        <f aca="false">IF(L472=0,"Nil balance",IF(G472="AR file",IF(L472&gt;0,"Accounts Receivable","Customer Advances"),IF(L472&lt;0,"Accounts Payable","Supplier Advances")))</f>
        <v>Nil balance</v>
      </c>
      <c r="O472" s="18" t="str">
        <f aca="false">IF(L472=0,"Excluded",IF(Summary!$C$4="By ledger",IF(G472="AR file","Population 1","Population 2"),IF(L472&gt;0,"Population 1","Population 2")))</f>
        <v>Excluded</v>
      </c>
      <c r="P472" s="18" t="str">
        <f aca="false">IF(O472="Excluded","Excluded – nil closing balance",IF(M472&gt;Summary!$C$5,"Above Materiality","Below Materiality"))</f>
        <v>Excluded – nil closing balance</v>
      </c>
      <c r="Q472" s="20" t="str">
        <f aca="false">IF(P472="Below Materiality",T472,"")</f>
        <v/>
      </c>
      <c r="R472" s="21" t="str">
        <f aca="false">IF(P472="Above Materiality",COUNTIFS($O$2:$O$1092,O472,$P$2:$P$1092,"Above Materiality",$M$2:$M$1092,"&gt;"&amp;M472)+COUNTIFS($O$2:$O$1092,O472,$P$2:$P$1092,"Above Materiality",$M$2:$M$1092,M472,$A$2:$A$1092,"&lt;"&amp;A472)+1,"")</f>
        <v/>
      </c>
      <c r="S472" s="21" t="str">
        <f aca="false">IF(P472&lt;&gt;"Below Materiality","",IF(Summary!$C$9="Random",COUNTIFS($O$2:$O$1092,O472,$Q$2:$Q$1092,"&gt;"&amp;Q472)+1,COUNTIFS($O$2:$O$1092,O472,$P$2:$P$1092,"Below Materiality",$M$2:$M$1092,"&gt;"&amp;M472)+COUNTIFS($O$2:$O$1092,O472,$P$2:$P$1092,"Below Materiality",$M$2:$M$1092,M472,$A$2:$A$1092,"&lt;"&amp;A472)+1))</f>
        <v/>
      </c>
      <c r="T472" s="22"/>
      <c r="U472" s="21" t="str">
        <f aca="false">IF(R472="","",O472&amp;"|A|"&amp;R472)</f>
        <v/>
      </c>
      <c r="V472" s="21" t="str">
        <f aca="false">IF(S472="","",O472&amp;"|R|"&amp;S472)</f>
        <v/>
      </c>
    </row>
    <row r="473" customFormat="false" ht="15" hidden="false" customHeight="false" outlineLevel="0" collapsed="false">
      <c r="A473" s="18" t="n">
        <v>472</v>
      </c>
      <c r="B473" s="18"/>
      <c r="C473" s="18"/>
      <c r="D473" s="18"/>
      <c r="E473" s="18" t="s">
        <v>994</v>
      </c>
      <c r="F473" s="18" t="s">
        <v>995</v>
      </c>
      <c r="G473" s="18" t="s">
        <v>74</v>
      </c>
      <c r="H473" s="18" t="n">
        <v>236</v>
      </c>
      <c r="I473" s="19" t="n">
        <v>0</v>
      </c>
      <c r="J473" s="19" t="n">
        <v>7473.2</v>
      </c>
      <c r="K473" s="19" t="n">
        <v>7473.2</v>
      </c>
      <c r="L473" s="19" t="n">
        <v>0</v>
      </c>
      <c r="M473" s="19" t="n">
        <f aca="false">ABS(L473)</f>
        <v>0</v>
      </c>
      <c r="N473" s="18" t="str">
        <f aca="false">IF(L473=0,"Nil balance",IF(G473="AR file",IF(L473&gt;0,"Accounts Receivable","Customer Advances"),IF(L473&lt;0,"Accounts Payable","Supplier Advances")))</f>
        <v>Nil balance</v>
      </c>
      <c r="O473" s="18" t="str">
        <f aca="false">IF(L473=0,"Excluded",IF(Summary!$C$4="By ledger",IF(G473="AR file","Population 1","Population 2"),IF(L473&gt;0,"Population 1","Population 2")))</f>
        <v>Excluded</v>
      </c>
      <c r="P473" s="18" t="str">
        <f aca="false">IF(O473="Excluded","Excluded – nil closing balance",IF(M473&gt;Summary!$C$5,"Above Materiality","Below Materiality"))</f>
        <v>Excluded – nil closing balance</v>
      </c>
      <c r="Q473" s="20" t="str">
        <f aca="false">IF(P473="Below Materiality",T473,"")</f>
        <v/>
      </c>
      <c r="R473" s="21" t="str">
        <f aca="false">IF(P473="Above Materiality",COUNTIFS($O$2:$O$1092,O473,$P$2:$P$1092,"Above Materiality",$M$2:$M$1092,"&gt;"&amp;M473)+COUNTIFS($O$2:$O$1092,O473,$P$2:$P$1092,"Above Materiality",$M$2:$M$1092,M473,$A$2:$A$1092,"&lt;"&amp;A473)+1,"")</f>
        <v/>
      </c>
      <c r="S473" s="21" t="str">
        <f aca="false">IF(P473&lt;&gt;"Below Materiality","",IF(Summary!$C$9="Random",COUNTIFS($O$2:$O$1092,O473,$Q$2:$Q$1092,"&gt;"&amp;Q473)+1,COUNTIFS($O$2:$O$1092,O473,$P$2:$P$1092,"Below Materiality",$M$2:$M$1092,"&gt;"&amp;M473)+COUNTIFS($O$2:$O$1092,O473,$P$2:$P$1092,"Below Materiality",$M$2:$M$1092,M473,$A$2:$A$1092,"&lt;"&amp;A473)+1))</f>
        <v/>
      </c>
      <c r="T473" s="22"/>
      <c r="U473" s="21" t="str">
        <f aca="false">IF(R473="","",O473&amp;"|A|"&amp;R473)</f>
        <v/>
      </c>
      <c r="V473" s="21" t="str">
        <f aca="false">IF(S473="","",O473&amp;"|R|"&amp;S473)</f>
        <v/>
      </c>
    </row>
    <row r="474" customFormat="false" ht="15" hidden="false" customHeight="false" outlineLevel="0" collapsed="false">
      <c r="A474" s="18" t="n">
        <v>473</v>
      </c>
      <c r="B474" s="18"/>
      <c r="C474" s="18"/>
      <c r="D474" s="18"/>
      <c r="E474" s="18" t="s">
        <v>996</v>
      </c>
      <c r="F474" s="18" t="s">
        <v>997</v>
      </c>
      <c r="G474" s="18" t="s">
        <v>74</v>
      </c>
      <c r="H474" s="18" t="n">
        <v>237</v>
      </c>
      <c r="I474" s="19" t="n">
        <v>0</v>
      </c>
      <c r="J474" s="19" t="n">
        <v>2000</v>
      </c>
      <c r="K474" s="19" t="n">
        <v>2000</v>
      </c>
      <c r="L474" s="19" t="n">
        <v>0</v>
      </c>
      <c r="M474" s="19" t="n">
        <f aca="false">ABS(L474)</f>
        <v>0</v>
      </c>
      <c r="N474" s="18" t="str">
        <f aca="false">IF(L474=0,"Nil balance",IF(G474="AR file",IF(L474&gt;0,"Accounts Receivable","Customer Advances"),IF(L474&lt;0,"Accounts Payable","Supplier Advances")))</f>
        <v>Nil balance</v>
      </c>
      <c r="O474" s="18" t="str">
        <f aca="false">IF(L474=0,"Excluded",IF(Summary!$C$4="By ledger",IF(G474="AR file","Population 1","Population 2"),IF(L474&gt;0,"Population 1","Population 2")))</f>
        <v>Excluded</v>
      </c>
      <c r="P474" s="18" t="str">
        <f aca="false">IF(O474="Excluded","Excluded – nil closing balance",IF(M474&gt;Summary!$C$5,"Above Materiality","Below Materiality"))</f>
        <v>Excluded – nil closing balance</v>
      </c>
      <c r="Q474" s="20" t="str">
        <f aca="false">IF(P474="Below Materiality",T474,"")</f>
        <v/>
      </c>
      <c r="R474" s="21" t="str">
        <f aca="false">IF(P474="Above Materiality",COUNTIFS($O$2:$O$1092,O474,$P$2:$P$1092,"Above Materiality",$M$2:$M$1092,"&gt;"&amp;M474)+COUNTIFS($O$2:$O$1092,O474,$P$2:$P$1092,"Above Materiality",$M$2:$M$1092,M474,$A$2:$A$1092,"&lt;"&amp;A474)+1,"")</f>
        <v/>
      </c>
      <c r="S474" s="21" t="str">
        <f aca="false">IF(P474&lt;&gt;"Below Materiality","",IF(Summary!$C$9="Random",COUNTIFS($O$2:$O$1092,O474,$Q$2:$Q$1092,"&gt;"&amp;Q474)+1,COUNTIFS($O$2:$O$1092,O474,$P$2:$P$1092,"Below Materiality",$M$2:$M$1092,"&gt;"&amp;M474)+COUNTIFS($O$2:$O$1092,O474,$P$2:$P$1092,"Below Materiality",$M$2:$M$1092,M474,$A$2:$A$1092,"&lt;"&amp;A474)+1))</f>
        <v/>
      </c>
      <c r="T474" s="22"/>
      <c r="U474" s="21" t="str">
        <f aca="false">IF(R474="","",O474&amp;"|A|"&amp;R474)</f>
        <v/>
      </c>
      <c r="V474" s="21" t="str">
        <f aca="false">IF(S474="","",O474&amp;"|R|"&amp;S474)</f>
        <v/>
      </c>
    </row>
    <row r="475" customFormat="false" ht="15" hidden="false" customHeight="false" outlineLevel="0" collapsed="false">
      <c r="A475" s="18" t="n">
        <v>474</v>
      </c>
      <c r="B475" s="18"/>
      <c r="C475" s="18"/>
      <c r="D475" s="18"/>
      <c r="E475" s="18" t="s">
        <v>998</v>
      </c>
      <c r="F475" s="18" t="s">
        <v>999</v>
      </c>
      <c r="G475" s="18" t="s">
        <v>74</v>
      </c>
      <c r="H475" s="18" t="n">
        <v>238</v>
      </c>
      <c r="I475" s="19" t="n">
        <v>0</v>
      </c>
      <c r="J475" s="19" t="n">
        <v>5339.7</v>
      </c>
      <c r="K475" s="19" t="n">
        <v>5339.7</v>
      </c>
      <c r="L475" s="19" t="n">
        <v>0</v>
      </c>
      <c r="M475" s="19" t="n">
        <f aca="false">ABS(L475)</f>
        <v>0</v>
      </c>
      <c r="N475" s="18" t="str">
        <f aca="false">IF(L475=0,"Nil balance",IF(G475="AR file",IF(L475&gt;0,"Accounts Receivable","Customer Advances"),IF(L475&lt;0,"Accounts Payable","Supplier Advances")))</f>
        <v>Nil balance</v>
      </c>
      <c r="O475" s="18" t="str">
        <f aca="false">IF(L475=0,"Excluded",IF(Summary!$C$4="By ledger",IF(G475="AR file","Population 1","Population 2"),IF(L475&gt;0,"Population 1","Population 2")))</f>
        <v>Excluded</v>
      </c>
      <c r="P475" s="18" t="str">
        <f aca="false">IF(O475="Excluded","Excluded – nil closing balance",IF(M475&gt;Summary!$C$5,"Above Materiality","Below Materiality"))</f>
        <v>Excluded – nil closing balance</v>
      </c>
      <c r="Q475" s="20" t="str">
        <f aca="false">IF(P475="Below Materiality",T475,"")</f>
        <v/>
      </c>
      <c r="R475" s="21" t="str">
        <f aca="false">IF(P475="Above Materiality",COUNTIFS($O$2:$O$1092,O475,$P$2:$P$1092,"Above Materiality",$M$2:$M$1092,"&gt;"&amp;M475)+COUNTIFS($O$2:$O$1092,O475,$P$2:$P$1092,"Above Materiality",$M$2:$M$1092,M475,$A$2:$A$1092,"&lt;"&amp;A475)+1,"")</f>
        <v/>
      </c>
      <c r="S475" s="21" t="str">
        <f aca="false">IF(P475&lt;&gt;"Below Materiality","",IF(Summary!$C$9="Random",COUNTIFS($O$2:$O$1092,O475,$Q$2:$Q$1092,"&gt;"&amp;Q475)+1,COUNTIFS($O$2:$O$1092,O475,$P$2:$P$1092,"Below Materiality",$M$2:$M$1092,"&gt;"&amp;M475)+COUNTIFS($O$2:$O$1092,O475,$P$2:$P$1092,"Below Materiality",$M$2:$M$1092,M475,$A$2:$A$1092,"&lt;"&amp;A475)+1))</f>
        <v/>
      </c>
      <c r="T475" s="22"/>
      <c r="U475" s="21" t="str">
        <f aca="false">IF(R475="","",O475&amp;"|A|"&amp;R475)</f>
        <v/>
      </c>
      <c r="V475" s="21" t="str">
        <f aca="false">IF(S475="","",O475&amp;"|R|"&amp;S475)</f>
        <v/>
      </c>
    </row>
    <row r="476" customFormat="false" ht="15" hidden="false" customHeight="false" outlineLevel="0" collapsed="false">
      <c r="A476" s="18" t="n">
        <v>475</v>
      </c>
      <c r="B476" s="18"/>
      <c r="C476" s="18"/>
      <c r="D476" s="18"/>
      <c r="E476" s="18" t="s">
        <v>1000</v>
      </c>
      <c r="F476" s="18" t="s">
        <v>828</v>
      </c>
      <c r="G476" s="18" t="s">
        <v>74</v>
      </c>
      <c r="H476" s="18" t="n">
        <v>240</v>
      </c>
      <c r="I476" s="19" t="n">
        <v>-500</v>
      </c>
      <c r="J476" s="19" t="n">
        <v>500</v>
      </c>
      <c r="K476" s="19" t="n">
        <v>0</v>
      </c>
      <c r="L476" s="19" t="n">
        <v>0</v>
      </c>
      <c r="M476" s="19" t="n">
        <f aca="false">ABS(L476)</f>
        <v>0</v>
      </c>
      <c r="N476" s="18" t="str">
        <f aca="false">IF(L476=0,"Nil balance",IF(G476="AR file",IF(L476&gt;0,"Accounts Receivable","Customer Advances"),IF(L476&lt;0,"Accounts Payable","Supplier Advances")))</f>
        <v>Nil balance</v>
      </c>
      <c r="O476" s="18" t="str">
        <f aca="false">IF(L476=0,"Excluded",IF(Summary!$C$4="By ledger",IF(G476="AR file","Population 1","Population 2"),IF(L476&gt;0,"Population 1","Population 2")))</f>
        <v>Excluded</v>
      </c>
      <c r="P476" s="18" t="str">
        <f aca="false">IF(O476="Excluded","Excluded – nil closing balance",IF(M476&gt;Summary!$C$5,"Above Materiality","Below Materiality"))</f>
        <v>Excluded – nil closing balance</v>
      </c>
      <c r="Q476" s="20" t="str">
        <f aca="false">IF(P476="Below Materiality",T476,"")</f>
        <v/>
      </c>
      <c r="R476" s="21" t="str">
        <f aca="false">IF(P476="Above Materiality",COUNTIFS($O$2:$O$1092,O476,$P$2:$P$1092,"Above Materiality",$M$2:$M$1092,"&gt;"&amp;M476)+COUNTIFS($O$2:$O$1092,O476,$P$2:$P$1092,"Above Materiality",$M$2:$M$1092,M476,$A$2:$A$1092,"&lt;"&amp;A476)+1,"")</f>
        <v/>
      </c>
      <c r="S476" s="21" t="str">
        <f aca="false">IF(P476&lt;&gt;"Below Materiality","",IF(Summary!$C$9="Random",COUNTIFS($O$2:$O$1092,O476,$Q$2:$Q$1092,"&gt;"&amp;Q476)+1,COUNTIFS($O$2:$O$1092,O476,$P$2:$P$1092,"Below Materiality",$M$2:$M$1092,"&gt;"&amp;M476)+COUNTIFS($O$2:$O$1092,O476,$P$2:$P$1092,"Below Materiality",$M$2:$M$1092,M476,$A$2:$A$1092,"&lt;"&amp;A476)+1))</f>
        <v/>
      </c>
      <c r="T476" s="22"/>
      <c r="U476" s="21" t="str">
        <f aca="false">IF(R476="","",O476&amp;"|A|"&amp;R476)</f>
        <v/>
      </c>
      <c r="V476" s="21" t="str">
        <f aca="false">IF(S476="","",O476&amp;"|R|"&amp;S476)</f>
        <v/>
      </c>
    </row>
    <row r="477" customFormat="false" ht="15" hidden="false" customHeight="false" outlineLevel="0" collapsed="false">
      <c r="A477" s="18" t="n">
        <v>476</v>
      </c>
      <c r="B477" s="18"/>
      <c r="C477" s="18"/>
      <c r="D477" s="18"/>
      <c r="E477" s="18" t="s">
        <v>1001</v>
      </c>
      <c r="F477" s="18" t="s">
        <v>1002</v>
      </c>
      <c r="G477" s="18" t="s">
        <v>74</v>
      </c>
      <c r="H477" s="18" t="n">
        <v>242</v>
      </c>
      <c r="I477" s="19" t="n">
        <v>0</v>
      </c>
      <c r="J477" s="19" t="n">
        <v>362.25</v>
      </c>
      <c r="K477" s="19" t="n">
        <v>362.25</v>
      </c>
      <c r="L477" s="19" t="n">
        <v>0</v>
      </c>
      <c r="M477" s="19" t="n">
        <f aca="false">ABS(L477)</f>
        <v>0</v>
      </c>
      <c r="N477" s="18" t="str">
        <f aca="false">IF(L477=0,"Nil balance",IF(G477="AR file",IF(L477&gt;0,"Accounts Receivable","Customer Advances"),IF(L477&lt;0,"Accounts Payable","Supplier Advances")))</f>
        <v>Nil balance</v>
      </c>
      <c r="O477" s="18" t="str">
        <f aca="false">IF(L477=0,"Excluded",IF(Summary!$C$4="By ledger",IF(G477="AR file","Population 1","Population 2"),IF(L477&gt;0,"Population 1","Population 2")))</f>
        <v>Excluded</v>
      </c>
      <c r="P477" s="18" t="str">
        <f aca="false">IF(O477="Excluded","Excluded – nil closing balance",IF(M477&gt;Summary!$C$5,"Above Materiality","Below Materiality"))</f>
        <v>Excluded – nil closing balance</v>
      </c>
      <c r="Q477" s="20" t="str">
        <f aca="false">IF(P477="Below Materiality",T477,"")</f>
        <v/>
      </c>
      <c r="R477" s="21" t="str">
        <f aca="false">IF(P477="Above Materiality",COUNTIFS($O$2:$O$1092,O477,$P$2:$P$1092,"Above Materiality",$M$2:$M$1092,"&gt;"&amp;M477)+COUNTIFS($O$2:$O$1092,O477,$P$2:$P$1092,"Above Materiality",$M$2:$M$1092,M477,$A$2:$A$1092,"&lt;"&amp;A477)+1,"")</f>
        <v/>
      </c>
      <c r="S477" s="21" t="str">
        <f aca="false">IF(P477&lt;&gt;"Below Materiality","",IF(Summary!$C$9="Random",COUNTIFS($O$2:$O$1092,O477,$Q$2:$Q$1092,"&gt;"&amp;Q477)+1,COUNTIFS($O$2:$O$1092,O477,$P$2:$P$1092,"Below Materiality",$M$2:$M$1092,"&gt;"&amp;M477)+COUNTIFS($O$2:$O$1092,O477,$P$2:$P$1092,"Below Materiality",$M$2:$M$1092,M477,$A$2:$A$1092,"&lt;"&amp;A477)+1))</f>
        <v/>
      </c>
      <c r="T477" s="22"/>
      <c r="U477" s="21" t="str">
        <f aca="false">IF(R477="","",O477&amp;"|A|"&amp;R477)</f>
        <v/>
      </c>
      <c r="V477" s="21" t="str">
        <f aca="false">IF(S477="","",O477&amp;"|R|"&amp;S477)</f>
        <v/>
      </c>
    </row>
    <row r="478" customFormat="false" ht="15" hidden="false" customHeight="false" outlineLevel="0" collapsed="false">
      <c r="A478" s="18" t="n">
        <v>477</v>
      </c>
      <c r="B478" s="18"/>
      <c r="C478" s="18"/>
      <c r="D478" s="18"/>
      <c r="E478" s="18" t="s">
        <v>1003</v>
      </c>
      <c r="F478" s="18" t="s">
        <v>1004</v>
      </c>
      <c r="G478" s="18" t="s">
        <v>74</v>
      </c>
      <c r="H478" s="18" t="n">
        <v>243</v>
      </c>
      <c r="I478" s="19" t="n">
        <v>0</v>
      </c>
      <c r="J478" s="19" t="n">
        <v>116396.1</v>
      </c>
      <c r="K478" s="19" t="n">
        <v>116396.1</v>
      </c>
      <c r="L478" s="19" t="n">
        <v>0</v>
      </c>
      <c r="M478" s="19" t="n">
        <f aca="false">ABS(L478)</f>
        <v>0</v>
      </c>
      <c r="N478" s="18" t="str">
        <f aca="false">IF(L478=0,"Nil balance",IF(G478="AR file",IF(L478&gt;0,"Accounts Receivable","Customer Advances"),IF(L478&lt;0,"Accounts Payable","Supplier Advances")))</f>
        <v>Nil balance</v>
      </c>
      <c r="O478" s="18" t="str">
        <f aca="false">IF(L478=0,"Excluded",IF(Summary!$C$4="By ledger",IF(G478="AR file","Population 1","Population 2"),IF(L478&gt;0,"Population 1","Population 2")))</f>
        <v>Excluded</v>
      </c>
      <c r="P478" s="18" t="str">
        <f aca="false">IF(O478="Excluded","Excluded – nil closing balance",IF(M478&gt;Summary!$C$5,"Above Materiality","Below Materiality"))</f>
        <v>Excluded – nil closing balance</v>
      </c>
      <c r="Q478" s="20" t="str">
        <f aca="false">IF(P478="Below Materiality",T478,"")</f>
        <v/>
      </c>
      <c r="R478" s="21" t="str">
        <f aca="false">IF(P478="Above Materiality",COUNTIFS($O$2:$O$1092,O478,$P$2:$P$1092,"Above Materiality",$M$2:$M$1092,"&gt;"&amp;M478)+COUNTIFS($O$2:$O$1092,O478,$P$2:$P$1092,"Above Materiality",$M$2:$M$1092,M478,$A$2:$A$1092,"&lt;"&amp;A478)+1,"")</f>
        <v/>
      </c>
      <c r="S478" s="21" t="str">
        <f aca="false">IF(P478&lt;&gt;"Below Materiality","",IF(Summary!$C$9="Random",COUNTIFS($O$2:$O$1092,O478,$Q$2:$Q$1092,"&gt;"&amp;Q478)+1,COUNTIFS($O$2:$O$1092,O478,$P$2:$P$1092,"Below Materiality",$M$2:$M$1092,"&gt;"&amp;M478)+COUNTIFS($O$2:$O$1092,O478,$P$2:$P$1092,"Below Materiality",$M$2:$M$1092,M478,$A$2:$A$1092,"&lt;"&amp;A478)+1))</f>
        <v/>
      </c>
      <c r="T478" s="22"/>
      <c r="U478" s="21" t="str">
        <f aca="false">IF(R478="","",O478&amp;"|A|"&amp;R478)</f>
        <v/>
      </c>
      <c r="V478" s="21" t="str">
        <f aca="false">IF(S478="","",O478&amp;"|R|"&amp;S478)</f>
        <v/>
      </c>
    </row>
    <row r="479" customFormat="false" ht="15" hidden="false" customHeight="false" outlineLevel="0" collapsed="false">
      <c r="A479" s="18" t="n">
        <v>478</v>
      </c>
      <c r="B479" s="18"/>
      <c r="C479" s="18"/>
      <c r="D479" s="18"/>
      <c r="E479" s="18" t="s">
        <v>1005</v>
      </c>
      <c r="F479" s="18" t="s">
        <v>1006</v>
      </c>
      <c r="G479" s="18" t="s">
        <v>74</v>
      </c>
      <c r="H479" s="18" t="n">
        <v>245</v>
      </c>
      <c r="I479" s="19" t="n">
        <v>1186.8</v>
      </c>
      <c r="J479" s="19" t="n">
        <v>3887</v>
      </c>
      <c r="K479" s="19" t="n">
        <v>5073.8</v>
      </c>
      <c r="L479" s="19" t="n">
        <v>0</v>
      </c>
      <c r="M479" s="19" t="n">
        <f aca="false">ABS(L479)</f>
        <v>0</v>
      </c>
      <c r="N479" s="18" t="str">
        <f aca="false">IF(L479=0,"Nil balance",IF(G479="AR file",IF(L479&gt;0,"Accounts Receivable","Customer Advances"),IF(L479&lt;0,"Accounts Payable","Supplier Advances")))</f>
        <v>Nil balance</v>
      </c>
      <c r="O479" s="18" t="str">
        <f aca="false">IF(L479=0,"Excluded",IF(Summary!$C$4="By ledger",IF(G479="AR file","Population 1","Population 2"),IF(L479&gt;0,"Population 1","Population 2")))</f>
        <v>Excluded</v>
      </c>
      <c r="P479" s="18" t="str">
        <f aca="false">IF(O479="Excluded","Excluded – nil closing balance",IF(M479&gt;Summary!$C$5,"Above Materiality","Below Materiality"))</f>
        <v>Excluded – nil closing balance</v>
      </c>
      <c r="Q479" s="20" t="str">
        <f aca="false">IF(P479="Below Materiality",T479,"")</f>
        <v/>
      </c>
      <c r="R479" s="21" t="str">
        <f aca="false">IF(P479="Above Materiality",COUNTIFS($O$2:$O$1092,O479,$P$2:$P$1092,"Above Materiality",$M$2:$M$1092,"&gt;"&amp;M479)+COUNTIFS($O$2:$O$1092,O479,$P$2:$P$1092,"Above Materiality",$M$2:$M$1092,M479,$A$2:$A$1092,"&lt;"&amp;A479)+1,"")</f>
        <v/>
      </c>
      <c r="S479" s="21" t="str">
        <f aca="false">IF(P479&lt;&gt;"Below Materiality","",IF(Summary!$C$9="Random",COUNTIFS($O$2:$O$1092,O479,$Q$2:$Q$1092,"&gt;"&amp;Q479)+1,COUNTIFS($O$2:$O$1092,O479,$P$2:$P$1092,"Below Materiality",$M$2:$M$1092,"&gt;"&amp;M479)+COUNTIFS($O$2:$O$1092,O479,$P$2:$P$1092,"Below Materiality",$M$2:$M$1092,M479,$A$2:$A$1092,"&lt;"&amp;A479)+1))</f>
        <v/>
      </c>
      <c r="T479" s="22"/>
      <c r="U479" s="21" t="str">
        <f aca="false">IF(R479="","",O479&amp;"|A|"&amp;R479)</f>
        <v/>
      </c>
      <c r="V479" s="21" t="str">
        <f aca="false">IF(S479="","",O479&amp;"|R|"&amp;S479)</f>
        <v/>
      </c>
    </row>
    <row r="480" customFormat="false" ht="15" hidden="false" customHeight="false" outlineLevel="0" collapsed="false">
      <c r="A480" s="18" t="n">
        <v>479</v>
      </c>
      <c r="B480" s="18"/>
      <c r="C480" s="18"/>
      <c r="D480" s="18"/>
      <c r="E480" s="18" t="s">
        <v>1007</v>
      </c>
      <c r="F480" s="18" t="s">
        <v>1008</v>
      </c>
      <c r="G480" s="18" t="s">
        <v>74</v>
      </c>
      <c r="H480" s="18" t="n">
        <v>246</v>
      </c>
      <c r="I480" s="19" t="n">
        <v>0</v>
      </c>
      <c r="J480" s="19" t="n">
        <v>38611.83</v>
      </c>
      <c r="K480" s="19" t="n">
        <v>38611.83</v>
      </c>
      <c r="L480" s="19" t="n">
        <v>0</v>
      </c>
      <c r="M480" s="19" t="n">
        <f aca="false">ABS(L480)</f>
        <v>0</v>
      </c>
      <c r="N480" s="18" t="str">
        <f aca="false">IF(L480=0,"Nil balance",IF(G480="AR file",IF(L480&gt;0,"Accounts Receivable","Customer Advances"),IF(L480&lt;0,"Accounts Payable","Supplier Advances")))</f>
        <v>Nil balance</v>
      </c>
      <c r="O480" s="18" t="str">
        <f aca="false">IF(L480=0,"Excluded",IF(Summary!$C$4="By ledger",IF(G480="AR file","Population 1","Population 2"),IF(L480&gt;0,"Population 1","Population 2")))</f>
        <v>Excluded</v>
      </c>
      <c r="P480" s="18" t="str">
        <f aca="false">IF(O480="Excluded","Excluded – nil closing balance",IF(M480&gt;Summary!$C$5,"Above Materiality","Below Materiality"))</f>
        <v>Excluded – nil closing balance</v>
      </c>
      <c r="Q480" s="20" t="str">
        <f aca="false">IF(P480="Below Materiality",T480,"")</f>
        <v/>
      </c>
      <c r="R480" s="21" t="str">
        <f aca="false">IF(P480="Above Materiality",COUNTIFS($O$2:$O$1092,O480,$P$2:$P$1092,"Above Materiality",$M$2:$M$1092,"&gt;"&amp;M480)+COUNTIFS($O$2:$O$1092,O480,$P$2:$P$1092,"Above Materiality",$M$2:$M$1092,M480,$A$2:$A$1092,"&lt;"&amp;A480)+1,"")</f>
        <v/>
      </c>
      <c r="S480" s="21" t="str">
        <f aca="false">IF(P480&lt;&gt;"Below Materiality","",IF(Summary!$C$9="Random",COUNTIFS($O$2:$O$1092,O480,$Q$2:$Q$1092,"&gt;"&amp;Q480)+1,COUNTIFS($O$2:$O$1092,O480,$P$2:$P$1092,"Below Materiality",$M$2:$M$1092,"&gt;"&amp;M480)+COUNTIFS($O$2:$O$1092,O480,$P$2:$P$1092,"Below Materiality",$M$2:$M$1092,M480,$A$2:$A$1092,"&lt;"&amp;A480)+1))</f>
        <v/>
      </c>
      <c r="T480" s="22"/>
      <c r="U480" s="21" t="str">
        <f aca="false">IF(R480="","",O480&amp;"|A|"&amp;R480)</f>
        <v/>
      </c>
      <c r="V480" s="21" t="str">
        <f aca="false">IF(S480="","",O480&amp;"|R|"&amp;S480)</f>
        <v/>
      </c>
    </row>
    <row r="481" customFormat="false" ht="15" hidden="false" customHeight="false" outlineLevel="0" collapsed="false">
      <c r="A481" s="18" t="n">
        <v>480</v>
      </c>
      <c r="B481" s="18"/>
      <c r="C481" s="18"/>
      <c r="D481" s="18"/>
      <c r="E481" s="18" t="s">
        <v>1009</v>
      </c>
      <c r="F481" s="18" t="s">
        <v>1010</v>
      </c>
      <c r="G481" s="18" t="s">
        <v>74</v>
      </c>
      <c r="H481" s="18" t="n">
        <v>247</v>
      </c>
      <c r="I481" s="19" t="n">
        <v>517.5</v>
      </c>
      <c r="J481" s="19" t="n">
        <v>0</v>
      </c>
      <c r="K481" s="19" t="n">
        <v>517.5</v>
      </c>
      <c r="L481" s="19" t="n">
        <v>0</v>
      </c>
      <c r="M481" s="19" t="n">
        <f aca="false">ABS(L481)</f>
        <v>0</v>
      </c>
      <c r="N481" s="18" t="str">
        <f aca="false">IF(L481=0,"Nil balance",IF(G481="AR file",IF(L481&gt;0,"Accounts Receivable","Customer Advances"),IF(L481&lt;0,"Accounts Payable","Supplier Advances")))</f>
        <v>Nil balance</v>
      </c>
      <c r="O481" s="18" t="str">
        <f aca="false">IF(L481=0,"Excluded",IF(Summary!$C$4="By ledger",IF(G481="AR file","Population 1","Population 2"),IF(L481&gt;0,"Population 1","Population 2")))</f>
        <v>Excluded</v>
      </c>
      <c r="P481" s="18" t="str">
        <f aca="false">IF(O481="Excluded","Excluded – nil closing balance",IF(M481&gt;Summary!$C$5,"Above Materiality","Below Materiality"))</f>
        <v>Excluded – nil closing balance</v>
      </c>
      <c r="Q481" s="20" t="str">
        <f aca="false">IF(P481="Below Materiality",T481,"")</f>
        <v/>
      </c>
      <c r="R481" s="21" t="str">
        <f aca="false">IF(P481="Above Materiality",COUNTIFS($O$2:$O$1092,O481,$P$2:$P$1092,"Above Materiality",$M$2:$M$1092,"&gt;"&amp;M481)+COUNTIFS($O$2:$O$1092,O481,$P$2:$P$1092,"Above Materiality",$M$2:$M$1092,M481,$A$2:$A$1092,"&lt;"&amp;A481)+1,"")</f>
        <v/>
      </c>
      <c r="S481" s="21" t="str">
        <f aca="false">IF(P481&lt;&gt;"Below Materiality","",IF(Summary!$C$9="Random",COUNTIFS($O$2:$O$1092,O481,$Q$2:$Q$1092,"&gt;"&amp;Q481)+1,COUNTIFS($O$2:$O$1092,O481,$P$2:$P$1092,"Below Materiality",$M$2:$M$1092,"&gt;"&amp;M481)+COUNTIFS($O$2:$O$1092,O481,$P$2:$P$1092,"Below Materiality",$M$2:$M$1092,M481,$A$2:$A$1092,"&lt;"&amp;A481)+1))</f>
        <v/>
      </c>
      <c r="T481" s="22"/>
      <c r="U481" s="21" t="str">
        <f aca="false">IF(R481="","",O481&amp;"|A|"&amp;R481)</f>
        <v/>
      </c>
      <c r="V481" s="21" t="str">
        <f aca="false">IF(S481="","",O481&amp;"|R|"&amp;S481)</f>
        <v/>
      </c>
    </row>
    <row r="482" customFormat="false" ht="15" hidden="false" customHeight="false" outlineLevel="0" collapsed="false">
      <c r="A482" s="18" t="n">
        <v>481</v>
      </c>
      <c r="B482" s="18"/>
      <c r="C482" s="18"/>
      <c r="D482" s="18"/>
      <c r="E482" s="18" t="s">
        <v>1011</v>
      </c>
      <c r="F482" s="18" t="s">
        <v>1012</v>
      </c>
      <c r="G482" s="18" t="s">
        <v>74</v>
      </c>
      <c r="H482" s="18" t="n">
        <v>248</v>
      </c>
      <c r="I482" s="19" t="n">
        <v>178</v>
      </c>
      <c r="J482" s="19" t="n">
        <v>12282.4</v>
      </c>
      <c r="K482" s="19" t="n">
        <v>12460.4</v>
      </c>
      <c r="L482" s="19" t="n">
        <v>0</v>
      </c>
      <c r="M482" s="19" t="n">
        <f aca="false">ABS(L482)</f>
        <v>0</v>
      </c>
      <c r="N482" s="18" t="str">
        <f aca="false">IF(L482=0,"Nil balance",IF(G482="AR file",IF(L482&gt;0,"Accounts Receivable","Customer Advances"),IF(L482&lt;0,"Accounts Payable","Supplier Advances")))</f>
        <v>Nil balance</v>
      </c>
      <c r="O482" s="18" t="str">
        <f aca="false">IF(L482=0,"Excluded",IF(Summary!$C$4="By ledger",IF(G482="AR file","Population 1","Population 2"),IF(L482&gt;0,"Population 1","Population 2")))</f>
        <v>Excluded</v>
      </c>
      <c r="P482" s="18" t="str">
        <f aca="false">IF(O482="Excluded","Excluded – nil closing balance",IF(M482&gt;Summary!$C$5,"Above Materiality","Below Materiality"))</f>
        <v>Excluded – nil closing balance</v>
      </c>
      <c r="Q482" s="20" t="str">
        <f aca="false">IF(P482="Below Materiality",T482,"")</f>
        <v/>
      </c>
      <c r="R482" s="21" t="str">
        <f aca="false">IF(P482="Above Materiality",COUNTIFS($O$2:$O$1092,O482,$P$2:$P$1092,"Above Materiality",$M$2:$M$1092,"&gt;"&amp;M482)+COUNTIFS($O$2:$O$1092,O482,$P$2:$P$1092,"Above Materiality",$M$2:$M$1092,M482,$A$2:$A$1092,"&lt;"&amp;A482)+1,"")</f>
        <v/>
      </c>
      <c r="S482" s="21" t="str">
        <f aca="false">IF(P482&lt;&gt;"Below Materiality","",IF(Summary!$C$9="Random",COUNTIFS($O$2:$O$1092,O482,$Q$2:$Q$1092,"&gt;"&amp;Q482)+1,COUNTIFS($O$2:$O$1092,O482,$P$2:$P$1092,"Below Materiality",$M$2:$M$1092,"&gt;"&amp;M482)+COUNTIFS($O$2:$O$1092,O482,$P$2:$P$1092,"Below Materiality",$M$2:$M$1092,M482,$A$2:$A$1092,"&lt;"&amp;A482)+1))</f>
        <v/>
      </c>
      <c r="T482" s="22"/>
      <c r="U482" s="21" t="str">
        <f aca="false">IF(R482="","",O482&amp;"|A|"&amp;R482)</f>
        <v/>
      </c>
      <c r="V482" s="21" t="str">
        <f aca="false">IF(S482="","",O482&amp;"|R|"&amp;S482)</f>
        <v/>
      </c>
    </row>
    <row r="483" customFormat="false" ht="15" hidden="false" customHeight="false" outlineLevel="0" collapsed="false">
      <c r="A483" s="18" t="n">
        <v>482</v>
      </c>
      <c r="B483" s="18"/>
      <c r="C483" s="18"/>
      <c r="D483" s="18"/>
      <c r="E483" s="18" t="s">
        <v>1013</v>
      </c>
      <c r="F483" s="18" t="s">
        <v>1014</v>
      </c>
      <c r="G483" s="18" t="s">
        <v>74</v>
      </c>
      <c r="H483" s="18" t="n">
        <v>249</v>
      </c>
      <c r="I483" s="19" t="n">
        <v>0</v>
      </c>
      <c r="J483" s="19" t="n">
        <v>7492.25</v>
      </c>
      <c r="K483" s="19" t="n">
        <v>7492.25</v>
      </c>
      <c r="L483" s="19" t="n">
        <v>0</v>
      </c>
      <c r="M483" s="19" t="n">
        <f aca="false">ABS(L483)</f>
        <v>0</v>
      </c>
      <c r="N483" s="18" t="str">
        <f aca="false">IF(L483=0,"Nil balance",IF(G483="AR file",IF(L483&gt;0,"Accounts Receivable","Customer Advances"),IF(L483&lt;0,"Accounts Payable","Supplier Advances")))</f>
        <v>Nil balance</v>
      </c>
      <c r="O483" s="18" t="str">
        <f aca="false">IF(L483=0,"Excluded",IF(Summary!$C$4="By ledger",IF(G483="AR file","Population 1","Population 2"),IF(L483&gt;0,"Population 1","Population 2")))</f>
        <v>Excluded</v>
      </c>
      <c r="P483" s="18" t="str">
        <f aca="false">IF(O483="Excluded","Excluded – nil closing balance",IF(M483&gt;Summary!$C$5,"Above Materiality","Below Materiality"))</f>
        <v>Excluded – nil closing balance</v>
      </c>
      <c r="Q483" s="20" t="str">
        <f aca="false">IF(P483="Below Materiality",T483,"")</f>
        <v/>
      </c>
      <c r="R483" s="21" t="str">
        <f aca="false">IF(P483="Above Materiality",COUNTIFS($O$2:$O$1092,O483,$P$2:$P$1092,"Above Materiality",$M$2:$M$1092,"&gt;"&amp;M483)+COUNTIFS($O$2:$O$1092,O483,$P$2:$P$1092,"Above Materiality",$M$2:$M$1092,M483,$A$2:$A$1092,"&lt;"&amp;A483)+1,"")</f>
        <v/>
      </c>
      <c r="S483" s="21" t="str">
        <f aca="false">IF(P483&lt;&gt;"Below Materiality","",IF(Summary!$C$9="Random",COUNTIFS($O$2:$O$1092,O483,$Q$2:$Q$1092,"&gt;"&amp;Q483)+1,COUNTIFS($O$2:$O$1092,O483,$P$2:$P$1092,"Below Materiality",$M$2:$M$1092,"&gt;"&amp;M483)+COUNTIFS($O$2:$O$1092,O483,$P$2:$P$1092,"Below Materiality",$M$2:$M$1092,M483,$A$2:$A$1092,"&lt;"&amp;A483)+1))</f>
        <v/>
      </c>
      <c r="T483" s="22"/>
      <c r="U483" s="21" t="str">
        <f aca="false">IF(R483="","",O483&amp;"|A|"&amp;R483)</f>
        <v/>
      </c>
      <c r="V483" s="21" t="str">
        <f aca="false">IF(S483="","",O483&amp;"|R|"&amp;S483)</f>
        <v/>
      </c>
    </row>
    <row r="484" customFormat="false" ht="15" hidden="false" customHeight="false" outlineLevel="0" collapsed="false">
      <c r="A484" s="18" t="n">
        <v>483</v>
      </c>
      <c r="B484" s="18"/>
      <c r="C484" s="18"/>
      <c r="D484" s="18"/>
      <c r="E484" s="18" t="s">
        <v>1015</v>
      </c>
      <c r="F484" s="18" t="s">
        <v>1016</v>
      </c>
      <c r="G484" s="18" t="s">
        <v>74</v>
      </c>
      <c r="H484" s="18" t="n">
        <v>250</v>
      </c>
      <c r="I484" s="19" t="n">
        <v>600.25</v>
      </c>
      <c r="J484" s="19" t="n">
        <v>0</v>
      </c>
      <c r="K484" s="19" t="n">
        <v>600.25</v>
      </c>
      <c r="L484" s="19" t="n">
        <v>0</v>
      </c>
      <c r="M484" s="19" t="n">
        <f aca="false">ABS(L484)</f>
        <v>0</v>
      </c>
      <c r="N484" s="18" t="str">
        <f aca="false">IF(L484=0,"Nil balance",IF(G484="AR file",IF(L484&gt;0,"Accounts Receivable","Customer Advances"),IF(L484&lt;0,"Accounts Payable","Supplier Advances")))</f>
        <v>Nil balance</v>
      </c>
      <c r="O484" s="18" t="str">
        <f aca="false">IF(L484=0,"Excluded",IF(Summary!$C$4="By ledger",IF(G484="AR file","Population 1","Population 2"),IF(L484&gt;0,"Population 1","Population 2")))</f>
        <v>Excluded</v>
      </c>
      <c r="P484" s="18" t="str">
        <f aca="false">IF(O484="Excluded","Excluded – nil closing balance",IF(M484&gt;Summary!$C$5,"Above Materiality","Below Materiality"))</f>
        <v>Excluded – nil closing balance</v>
      </c>
      <c r="Q484" s="20" t="str">
        <f aca="false">IF(P484="Below Materiality",T484,"")</f>
        <v/>
      </c>
      <c r="R484" s="21" t="str">
        <f aca="false">IF(P484="Above Materiality",COUNTIFS($O$2:$O$1092,O484,$P$2:$P$1092,"Above Materiality",$M$2:$M$1092,"&gt;"&amp;M484)+COUNTIFS($O$2:$O$1092,O484,$P$2:$P$1092,"Above Materiality",$M$2:$M$1092,M484,$A$2:$A$1092,"&lt;"&amp;A484)+1,"")</f>
        <v/>
      </c>
      <c r="S484" s="21" t="str">
        <f aca="false">IF(P484&lt;&gt;"Below Materiality","",IF(Summary!$C$9="Random",COUNTIFS($O$2:$O$1092,O484,$Q$2:$Q$1092,"&gt;"&amp;Q484)+1,COUNTIFS($O$2:$O$1092,O484,$P$2:$P$1092,"Below Materiality",$M$2:$M$1092,"&gt;"&amp;M484)+COUNTIFS($O$2:$O$1092,O484,$P$2:$P$1092,"Below Materiality",$M$2:$M$1092,M484,$A$2:$A$1092,"&lt;"&amp;A484)+1))</f>
        <v/>
      </c>
      <c r="T484" s="22"/>
      <c r="U484" s="21" t="str">
        <f aca="false">IF(R484="","",O484&amp;"|A|"&amp;R484)</f>
        <v/>
      </c>
      <c r="V484" s="21" t="str">
        <f aca="false">IF(S484="","",O484&amp;"|R|"&amp;S484)</f>
        <v/>
      </c>
    </row>
    <row r="485" customFormat="false" ht="15" hidden="false" customHeight="false" outlineLevel="0" collapsed="false">
      <c r="A485" s="18" t="n">
        <v>484</v>
      </c>
      <c r="B485" s="18"/>
      <c r="C485" s="18"/>
      <c r="D485" s="18"/>
      <c r="E485" s="18" t="s">
        <v>1017</v>
      </c>
      <c r="F485" s="18" t="s">
        <v>1018</v>
      </c>
      <c r="G485" s="18" t="s">
        <v>74</v>
      </c>
      <c r="H485" s="18" t="n">
        <v>251</v>
      </c>
      <c r="I485" s="19" t="n">
        <v>0</v>
      </c>
      <c r="J485" s="19" t="n">
        <v>8022.4</v>
      </c>
      <c r="K485" s="19" t="n">
        <v>8022.4</v>
      </c>
      <c r="L485" s="19" t="n">
        <v>0</v>
      </c>
      <c r="M485" s="19" t="n">
        <f aca="false">ABS(L485)</f>
        <v>0</v>
      </c>
      <c r="N485" s="18" t="str">
        <f aca="false">IF(L485=0,"Nil balance",IF(G485="AR file",IF(L485&gt;0,"Accounts Receivable","Customer Advances"),IF(L485&lt;0,"Accounts Payable","Supplier Advances")))</f>
        <v>Nil balance</v>
      </c>
      <c r="O485" s="18" t="str">
        <f aca="false">IF(L485=0,"Excluded",IF(Summary!$C$4="By ledger",IF(G485="AR file","Population 1","Population 2"),IF(L485&gt;0,"Population 1","Population 2")))</f>
        <v>Excluded</v>
      </c>
      <c r="P485" s="18" t="str">
        <f aca="false">IF(O485="Excluded","Excluded – nil closing balance",IF(M485&gt;Summary!$C$5,"Above Materiality","Below Materiality"))</f>
        <v>Excluded – nil closing balance</v>
      </c>
      <c r="Q485" s="20" t="str">
        <f aca="false">IF(P485="Below Materiality",T485,"")</f>
        <v/>
      </c>
      <c r="R485" s="21" t="str">
        <f aca="false">IF(P485="Above Materiality",COUNTIFS($O$2:$O$1092,O485,$P$2:$P$1092,"Above Materiality",$M$2:$M$1092,"&gt;"&amp;M485)+COUNTIFS($O$2:$O$1092,O485,$P$2:$P$1092,"Above Materiality",$M$2:$M$1092,M485,$A$2:$A$1092,"&lt;"&amp;A485)+1,"")</f>
        <v/>
      </c>
      <c r="S485" s="21" t="str">
        <f aca="false">IF(P485&lt;&gt;"Below Materiality","",IF(Summary!$C$9="Random",COUNTIFS($O$2:$O$1092,O485,$Q$2:$Q$1092,"&gt;"&amp;Q485)+1,COUNTIFS($O$2:$O$1092,O485,$P$2:$P$1092,"Below Materiality",$M$2:$M$1092,"&gt;"&amp;M485)+COUNTIFS($O$2:$O$1092,O485,$P$2:$P$1092,"Below Materiality",$M$2:$M$1092,M485,$A$2:$A$1092,"&lt;"&amp;A485)+1))</f>
        <v/>
      </c>
      <c r="T485" s="22"/>
      <c r="U485" s="21" t="str">
        <f aca="false">IF(R485="","",O485&amp;"|A|"&amp;R485)</f>
        <v/>
      </c>
      <c r="V485" s="21" t="str">
        <f aca="false">IF(S485="","",O485&amp;"|R|"&amp;S485)</f>
        <v/>
      </c>
    </row>
    <row r="486" customFormat="false" ht="15" hidden="false" customHeight="false" outlineLevel="0" collapsed="false">
      <c r="A486" s="18" t="n">
        <v>485</v>
      </c>
      <c r="B486" s="18"/>
      <c r="C486" s="18"/>
      <c r="D486" s="18"/>
      <c r="E486" s="18" t="s">
        <v>1019</v>
      </c>
      <c r="F486" s="18" t="s">
        <v>1020</v>
      </c>
      <c r="G486" s="18" t="s">
        <v>74</v>
      </c>
      <c r="H486" s="18" t="n">
        <v>252</v>
      </c>
      <c r="I486" s="19" t="n">
        <v>-6000</v>
      </c>
      <c r="J486" s="19" t="n">
        <v>6000</v>
      </c>
      <c r="K486" s="19" t="n">
        <v>0</v>
      </c>
      <c r="L486" s="19" t="n">
        <v>0</v>
      </c>
      <c r="M486" s="19" t="n">
        <f aca="false">ABS(L486)</f>
        <v>0</v>
      </c>
      <c r="N486" s="18" t="str">
        <f aca="false">IF(L486=0,"Nil balance",IF(G486="AR file",IF(L486&gt;0,"Accounts Receivable","Customer Advances"),IF(L486&lt;0,"Accounts Payable","Supplier Advances")))</f>
        <v>Nil balance</v>
      </c>
      <c r="O486" s="18" t="str">
        <f aca="false">IF(L486=0,"Excluded",IF(Summary!$C$4="By ledger",IF(G486="AR file","Population 1","Population 2"),IF(L486&gt;0,"Population 1","Population 2")))</f>
        <v>Excluded</v>
      </c>
      <c r="P486" s="18" t="str">
        <f aca="false">IF(O486="Excluded","Excluded – nil closing balance",IF(M486&gt;Summary!$C$5,"Above Materiality","Below Materiality"))</f>
        <v>Excluded – nil closing balance</v>
      </c>
      <c r="Q486" s="20" t="str">
        <f aca="false">IF(P486="Below Materiality",T486,"")</f>
        <v/>
      </c>
      <c r="R486" s="21" t="str">
        <f aca="false">IF(P486="Above Materiality",COUNTIFS($O$2:$O$1092,O486,$P$2:$P$1092,"Above Materiality",$M$2:$M$1092,"&gt;"&amp;M486)+COUNTIFS($O$2:$O$1092,O486,$P$2:$P$1092,"Above Materiality",$M$2:$M$1092,M486,$A$2:$A$1092,"&lt;"&amp;A486)+1,"")</f>
        <v/>
      </c>
      <c r="S486" s="21" t="str">
        <f aca="false">IF(P486&lt;&gt;"Below Materiality","",IF(Summary!$C$9="Random",COUNTIFS($O$2:$O$1092,O486,$Q$2:$Q$1092,"&gt;"&amp;Q486)+1,COUNTIFS($O$2:$O$1092,O486,$P$2:$P$1092,"Below Materiality",$M$2:$M$1092,"&gt;"&amp;M486)+COUNTIFS($O$2:$O$1092,O486,$P$2:$P$1092,"Below Materiality",$M$2:$M$1092,M486,$A$2:$A$1092,"&lt;"&amp;A486)+1))</f>
        <v/>
      </c>
      <c r="T486" s="22"/>
      <c r="U486" s="21" t="str">
        <f aca="false">IF(R486="","",O486&amp;"|A|"&amp;R486)</f>
        <v/>
      </c>
      <c r="V486" s="21" t="str">
        <f aca="false">IF(S486="","",O486&amp;"|R|"&amp;S486)</f>
        <v/>
      </c>
    </row>
    <row r="487" customFormat="false" ht="15" hidden="false" customHeight="false" outlineLevel="0" collapsed="false">
      <c r="A487" s="18" t="n">
        <v>486</v>
      </c>
      <c r="B487" s="18"/>
      <c r="C487" s="18"/>
      <c r="D487" s="18"/>
      <c r="E487" s="18" t="s">
        <v>1021</v>
      </c>
      <c r="F487" s="18" t="s">
        <v>1022</v>
      </c>
      <c r="G487" s="18" t="s">
        <v>74</v>
      </c>
      <c r="H487" s="18" t="n">
        <v>253</v>
      </c>
      <c r="I487" s="19" t="n">
        <v>0</v>
      </c>
      <c r="J487" s="19" t="n">
        <v>9660</v>
      </c>
      <c r="K487" s="19" t="n">
        <v>9660</v>
      </c>
      <c r="L487" s="19" t="n">
        <v>0</v>
      </c>
      <c r="M487" s="19" t="n">
        <f aca="false">ABS(L487)</f>
        <v>0</v>
      </c>
      <c r="N487" s="18" t="str">
        <f aca="false">IF(L487=0,"Nil balance",IF(G487="AR file",IF(L487&gt;0,"Accounts Receivable","Customer Advances"),IF(L487&lt;0,"Accounts Payable","Supplier Advances")))</f>
        <v>Nil balance</v>
      </c>
      <c r="O487" s="18" t="str">
        <f aca="false">IF(L487=0,"Excluded",IF(Summary!$C$4="By ledger",IF(G487="AR file","Population 1","Population 2"),IF(L487&gt;0,"Population 1","Population 2")))</f>
        <v>Excluded</v>
      </c>
      <c r="P487" s="18" t="str">
        <f aca="false">IF(O487="Excluded","Excluded – nil closing balance",IF(M487&gt;Summary!$C$5,"Above Materiality","Below Materiality"))</f>
        <v>Excluded – nil closing balance</v>
      </c>
      <c r="Q487" s="20" t="str">
        <f aca="false">IF(P487="Below Materiality",T487,"")</f>
        <v/>
      </c>
      <c r="R487" s="21" t="str">
        <f aca="false">IF(P487="Above Materiality",COUNTIFS($O$2:$O$1092,O487,$P$2:$P$1092,"Above Materiality",$M$2:$M$1092,"&gt;"&amp;M487)+COUNTIFS($O$2:$O$1092,O487,$P$2:$P$1092,"Above Materiality",$M$2:$M$1092,M487,$A$2:$A$1092,"&lt;"&amp;A487)+1,"")</f>
        <v/>
      </c>
      <c r="S487" s="21" t="str">
        <f aca="false">IF(P487&lt;&gt;"Below Materiality","",IF(Summary!$C$9="Random",COUNTIFS($O$2:$O$1092,O487,$Q$2:$Q$1092,"&gt;"&amp;Q487)+1,COUNTIFS($O$2:$O$1092,O487,$P$2:$P$1092,"Below Materiality",$M$2:$M$1092,"&gt;"&amp;M487)+COUNTIFS($O$2:$O$1092,O487,$P$2:$P$1092,"Below Materiality",$M$2:$M$1092,M487,$A$2:$A$1092,"&lt;"&amp;A487)+1))</f>
        <v/>
      </c>
      <c r="T487" s="22"/>
      <c r="U487" s="21" t="str">
        <f aca="false">IF(R487="","",O487&amp;"|A|"&amp;R487)</f>
        <v/>
      </c>
      <c r="V487" s="21" t="str">
        <f aca="false">IF(S487="","",O487&amp;"|R|"&amp;S487)</f>
        <v/>
      </c>
    </row>
    <row r="488" customFormat="false" ht="15" hidden="false" customHeight="false" outlineLevel="0" collapsed="false">
      <c r="A488" s="18" t="n">
        <v>487</v>
      </c>
      <c r="B488" s="18"/>
      <c r="C488" s="18"/>
      <c r="D488" s="18"/>
      <c r="E488" s="18" t="s">
        <v>1023</v>
      </c>
      <c r="F488" s="18" t="s">
        <v>1024</v>
      </c>
      <c r="G488" s="18" t="s">
        <v>74</v>
      </c>
      <c r="H488" s="18" t="n">
        <v>254</v>
      </c>
      <c r="I488" s="19" t="n">
        <v>0</v>
      </c>
      <c r="J488" s="19" t="n">
        <v>40606.5</v>
      </c>
      <c r="K488" s="19" t="n">
        <v>40606.5</v>
      </c>
      <c r="L488" s="19" t="n">
        <v>0</v>
      </c>
      <c r="M488" s="19" t="n">
        <f aca="false">ABS(L488)</f>
        <v>0</v>
      </c>
      <c r="N488" s="18" t="str">
        <f aca="false">IF(L488=0,"Nil balance",IF(G488="AR file",IF(L488&gt;0,"Accounts Receivable","Customer Advances"),IF(L488&lt;0,"Accounts Payable","Supplier Advances")))</f>
        <v>Nil balance</v>
      </c>
      <c r="O488" s="18" t="str">
        <f aca="false">IF(L488=0,"Excluded",IF(Summary!$C$4="By ledger",IF(G488="AR file","Population 1","Population 2"),IF(L488&gt;0,"Population 1","Population 2")))</f>
        <v>Excluded</v>
      </c>
      <c r="P488" s="18" t="str">
        <f aca="false">IF(O488="Excluded","Excluded – nil closing balance",IF(M488&gt;Summary!$C$5,"Above Materiality","Below Materiality"))</f>
        <v>Excluded – nil closing balance</v>
      </c>
      <c r="Q488" s="20" t="str">
        <f aca="false">IF(P488="Below Materiality",T488,"")</f>
        <v/>
      </c>
      <c r="R488" s="21" t="str">
        <f aca="false">IF(P488="Above Materiality",COUNTIFS($O$2:$O$1092,O488,$P$2:$P$1092,"Above Materiality",$M$2:$M$1092,"&gt;"&amp;M488)+COUNTIFS($O$2:$O$1092,O488,$P$2:$P$1092,"Above Materiality",$M$2:$M$1092,M488,$A$2:$A$1092,"&lt;"&amp;A488)+1,"")</f>
        <v/>
      </c>
      <c r="S488" s="21" t="str">
        <f aca="false">IF(P488&lt;&gt;"Below Materiality","",IF(Summary!$C$9="Random",COUNTIFS($O$2:$O$1092,O488,$Q$2:$Q$1092,"&gt;"&amp;Q488)+1,COUNTIFS($O$2:$O$1092,O488,$P$2:$P$1092,"Below Materiality",$M$2:$M$1092,"&gt;"&amp;M488)+COUNTIFS($O$2:$O$1092,O488,$P$2:$P$1092,"Below Materiality",$M$2:$M$1092,M488,$A$2:$A$1092,"&lt;"&amp;A488)+1))</f>
        <v/>
      </c>
      <c r="T488" s="22"/>
      <c r="U488" s="21" t="str">
        <f aca="false">IF(R488="","",O488&amp;"|A|"&amp;R488)</f>
        <v/>
      </c>
      <c r="V488" s="21" t="str">
        <f aca="false">IF(S488="","",O488&amp;"|R|"&amp;S488)</f>
        <v/>
      </c>
    </row>
    <row r="489" customFormat="false" ht="15" hidden="false" customHeight="false" outlineLevel="0" collapsed="false">
      <c r="A489" s="18" t="n">
        <v>488</v>
      </c>
      <c r="B489" s="18"/>
      <c r="C489" s="18"/>
      <c r="D489" s="18"/>
      <c r="E489" s="18" t="s">
        <v>1025</v>
      </c>
      <c r="F489" s="18" t="s">
        <v>838</v>
      </c>
      <c r="G489" s="18" t="s">
        <v>74</v>
      </c>
      <c r="H489" s="18" t="n">
        <v>255</v>
      </c>
      <c r="I489" s="19" t="n">
        <v>-0.5</v>
      </c>
      <c r="J489" s="19" t="n">
        <v>0.5</v>
      </c>
      <c r="K489" s="19" t="n">
        <v>0</v>
      </c>
      <c r="L489" s="19" t="n">
        <v>0</v>
      </c>
      <c r="M489" s="19" t="n">
        <f aca="false">ABS(L489)</f>
        <v>0</v>
      </c>
      <c r="N489" s="18" t="str">
        <f aca="false">IF(L489=0,"Nil balance",IF(G489="AR file",IF(L489&gt;0,"Accounts Receivable","Customer Advances"),IF(L489&lt;0,"Accounts Payable","Supplier Advances")))</f>
        <v>Nil balance</v>
      </c>
      <c r="O489" s="18" t="str">
        <f aca="false">IF(L489=0,"Excluded",IF(Summary!$C$4="By ledger",IF(G489="AR file","Population 1","Population 2"),IF(L489&gt;0,"Population 1","Population 2")))</f>
        <v>Excluded</v>
      </c>
      <c r="P489" s="18" t="str">
        <f aca="false">IF(O489="Excluded","Excluded – nil closing balance",IF(M489&gt;Summary!$C$5,"Above Materiality","Below Materiality"))</f>
        <v>Excluded – nil closing balance</v>
      </c>
      <c r="Q489" s="20" t="str">
        <f aca="false">IF(P489="Below Materiality",T489,"")</f>
        <v/>
      </c>
      <c r="R489" s="21" t="str">
        <f aca="false">IF(P489="Above Materiality",COUNTIFS($O$2:$O$1092,O489,$P$2:$P$1092,"Above Materiality",$M$2:$M$1092,"&gt;"&amp;M489)+COUNTIFS($O$2:$O$1092,O489,$P$2:$P$1092,"Above Materiality",$M$2:$M$1092,M489,$A$2:$A$1092,"&lt;"&amp;A489)+1,"")</f>
        <v/>
      </c>
      <c r="S489" s="21" t="str">
        <f aca="false">IF(P489&lt;&gt;"Below Materiality","",IF(Summary!$C$9="Random",COUNTIFS($O$2:$O$1092,O489,$Q$2:$Q$1092,"&gt;"&amp;Q489)+1,COUNTIFS($O$2:$O$1092,O489,$P$2:$P$1092,"Below Materiality",$M$2:$M$1092,"&gt;"&amp;M489)+COUNTIFS($O$2:$O$1092,O489,$P$2:$P$1092,"Below Materiality",$M$2:$M$1092,M489,$A$2:$A$1092,"&lt;"&amp;A489)+1))</f>
        <v/>
      </c>
      <c r="T489" s="22"/>
      <c r="U489" s="21" t="str">
        <f aca="false">IF(R489="","",O489&amp;"|A|"&amp;R489)</f>
        <v/>
      </c>
      <c r="V489" s="21" t="str">
        <f aca="false">IF(S489="","",O489&amp;"|R|"&amp;S489)</f>
        <v/>
      </c>
    </row>
    <row r="490" customFormat="false" ht="15" hidden="false" customHeight="false" outlineLevel="0" collapsed="false">
      <c r="A490" s="18" t="n">
        <v>489</v>
      </c>
      <c r="B490" s="18"/>
      <c r="C490" s="18"/>
      <c r="D490" s="18"/>
      <c r="E490" s="18" t="s">
        <v>1026</v>
      </c>
      <c r="F490" s="18" t="s">
        <v>1027</v>
      </c>
      <c r="G490" s="18" t="s">
        <v>74</v>
      </c>
      <c r="H490" s="18" t="n">
        <v>257</v>
      </c>
      <c r="I490" s="19" t="n">
        <v>0.5</v>
      </c>
      <c r="J490" s="19" t="n">
        <v>99.5</v>
      </c>
      <c r="K490" s="19" t="n">
        <v>100</v>
      </c>
      <c r="L490" s="19" t="n">
        <v>0</v>
      </c>
      <c r="M490" s="19" t="n">
        <f aca="false">ABS(L490)</f>
        <v>0</v>
      </c>
      <c r="N490" s="18" t="str">
        <f aca="false">IF(L490=0,"Nil balance",IF(G490="AR file",IF(L490&gt;0,"Accounts Receivable","Customer Advances"),IF(L490&lt;0,"Accounts Payable","Supplier Advances")))</f>
        <v>Nil balance</v>
      </c>
      <c r="O490" s="18" t="str">
        <f aca="false">IF(L490=0,"Excluded",IF(Summary!$C$4="By ledger",IF(G490="AR file","Population 1","Population 2"),IF(L490&gt;0,"Population 1","Population 2")))</f>
        <v>Excluded</v>
      </c>
      <c r="P490" s="18" t="str">
        <f aca="false">IF(O490="Excluded","Excluded – nil closing balance",IF(M490&gt;Summary!$C$5,"Above Materiality","Below Materiality"))</f>
        <v>Excluded – nil closing balance</v>
      </c>
      <c r="Q490" s="20" t="str">
        <f aca="false">IF(P490="Below Materiality",T490,"")</f>
        <v/>
      </c>
      <c r="R490" s="21" t="str">
        <f aca="false">IF(P490="Above Materiality",COUNTIFS($O$2:$O$1092,O490,$P$2:$P$1092,"Above Materiality",$M$2:$M$1092,"&gt;"&amp;M490)+COUNTIFS($O$2:$O$1092,O490,$P$2:$P$1092,"Above Materiality",$M$2:$M$1092,M490,$A$2:$A$1092,"&lt;"&amp;A490)+1,"")</f>
        <v/>
      </c>
      <c r="S490" s="21" t="str">
        <f aca="false">IF(P490&lt;&gt;"Below Materiality","",IF(Summary!$C$9="Random",COUNTIFS($O$2:$O$1092,O490,$Q$2:$Q$1092,"&gt;"&amp;Q490)+1,COUNTIFS($O$2:$O$1092,O490,$P$2:$P$1092,"Below Materiality",$M$2:$M$1092,"&gt;"&amp;M490)+COUNTIFS($O$2:$O$1092,O490,$P$2:$P$1092,"Below Materiality",$M$2:$M$1092,M490,$A$2:$A$1092,"&lt;"&amp;A490)+1))</f>
        <v/>
      </c>
      <c r="T490" s="22"/>
      <c r="U490" s="21" t="str">
        <f aca="false">IF(R490="","",O490&amp;"|A|"&amp;R490)</f>
        <v/>
      </c>
      <c r="V490" s="21" t="str">
        <f aca="false">IF(S490="","",O490&amp;"|R|"&amp;S490)</f>
        <v/>
      </c>
    </row>
    <row r="491" customFormat="false" ht="15" hidden="false" customHeight="false" outlineLevel="0" collapsed="false">
      <c r="A491" s="18" t="n">
        <v>490</v>
      </c>
      <c r="B491" s="18"/>
      <c r="C491" s="18"/>
      <c r="D491" s="18"/>
      <c r="E491" s="18" t="s">
        <v>1028</v>
      </c>
      <c r="F491" s="18" t="s">
        <v>828</v>
      </c>
      <c r="G491" s="18" t="s">
        <v>74</v>
      </c>
      <c r="H491" s="18" t="n">
        <v>258</v>
      </c>
      <c r="I491" s="19" t="n">
        <v>-500</v>
      </c>
      <c r="J491" s="19" t="n">
        <v>500</v>
      </c>
      <c r="K491" s="19" t="n">
        <v>0</v>
      </c>
      <c r="L491" s="19" t="n">
        <v>0</v>
      </c>
      <c r="M491" s="19" t="n">
        <f aca="false">ABS(L491)</f>
        <v>0</v>
      </c>
      <c r="N491" s="18" t="str">
        <f aca="false">IF(L491=0,"Nil balance",IF(G491="AR file",IF(L491&gt;0,"Accounts Receivable","Customer Advances"),IF(L491&lt;0,"Accounts Payable","Supplier Advances")))</f>
        <v>Nil balance</v>
      </c>
      <c r="O491" s="18" t="str">
        <f aca="false">IF(L491=0,"Excluded",IF(Summary!$C$4="By ledger",IF(G491="AR file","Population 1","Population 2"),IF(L491&gt;0,"Population 1","Population 2")))</f>
        <v>Excluded</v>
      </c>
      <c r="P491" s="18" t="str">
        <f aca="false">IF(O491="Excluded","Excluded – nil closing balance",IF(M491&gt;Summary!$C$5,"Above Materiality","Below Materiality"))</f>
        <v>Excluded – nil closing balance</v>
      </c>
      <c r="Q491" s="20" t="str">
        <f aca="false">IF(P491="Below Materiality",T491,"")</f>
        <v/>
      </c>
      <c r="R491" s="21" t="str">
        <f aca="false">IF(P491="Above Materiality",COUNTIFS($O$2:$O$1092,O491,$P$2:$P$1092,"Above Materiality",$M$2:$M$1092,"&gt;"&amp;M491)+COUNTIFS($O$2:$O$1092,O491,$P$2:$P$1092,"Above Materiality",$M$2:$M$1092,M491,$A$2:$A$1092,"&lt;"&amp;A491)+1,"")</f>
        <v/>
      </c>
      <c r="S491" s="21" t="str">
        <f aca="false">IF(P491&lt;&gt;"Below Materiality","",IF(Summary!$C$9="Random",COUNTIFS($O$2:$O$1092,O491,$Q$2:$Q$1092,"&gt;"&amp;Q491)+1,COUNTIFS($O$2:$O$1092,O491,$P$2:$P$1092,"Below Materiality",$M$2:$M$1092,"&gt;"&amp;M491)+COUNTIFS($O$2:$O$1092,O491,$P$2:$P$1092,"Below Materiality",$M$2:$M$1092,M491,$A$2:$A$1092,"&lt;"&amp;A491)+1))</f>
        <v/>
      </c>
      <c r="T491" s="22"/>
      <c r="U491" s="21" t="str">
        <f aca="false">IF(R491="","",O491&amp;"|A|"&amp;R491)</f>
        <v/>
      </c>
      <c r="V491" s="21" t="str">
        <f aca="false">IF(S491="","",O491&amp;"|R|"&amp;S491)</f>
        <v/>
      </c>
    </row>
    <row r="492" customFormat="false" ht="15" hidden="false" customHeight="false" outlineLevel="0" collapsed="false">
      <c r="A492" s="18" t="n">
        <v>491</v>
      </c>
      <c r="B492" s="18"/>
      <c r="C492" s="18"/>
      <c r="D492" s="18"/>
      <c r="E492" s="18" t="s">
        <v>1029</v>
      </c>
      <c r="F492" s="18" t="s">
        <v>1030</v>
      </c>
      <c r="G492" s="18" t="s">
        <v>74</v>
      </c>
      <c r="H492" s="18" t="n">
        <v>259</v>
      </c>
      <c r="I492" s="19" t="n">
        <v>0</v>
      </c>
      <c r="J492" s="19" t="n">
        <v>100.63</v>
      </c>
      <c r="K492" s="19" t="n">
        <v>100.63</v>
      </c>
      <c r="L492" s="19" t="n">
        <v>0</v>
      </c>
      <c r="M492" s="19" t="n">
        <f aca="false">ABS(L492)</f>
        <v>0</v>
      </c>
      <c r="N492" s="18" t="str">
        <f aca="false">IF(L492=0,"Nil balance",IF(G492="AR file",IF(L492&gt;0,"Accounts Receivable","Customer Advances"),IF(L492&lt;0,"Accounts Payable","Supplier Advances")))</f>
        <v>Nil balance</v>
      </c>
      <c r="O492" s="18" t="str">
        <f aca="false">IF(L492=0,"Excluded",IF(Summary!$C$4="By ledger",IF(G492="AR file","Population 1","Population 2"),IF(L492&gt;0,"Population 1","Population 2")))</f>
        <v>Excluded</v>
      </c>
      <c r="P492" s="18" t="str">
        <f aca="false">IF(O492="Excluded","Excluded – nil closing balance",IF(M492&gt;Summary!$C$5,"Above Materiality","Below Materiality"))</f>
        <v>Excluded – nil closing balance</v>
      </c>
      <c r="Q492" s="20" t="str">
        <f aca="false">IF(P492="Below Materiality",T492,"")</f>
        <v/>
      </c>
      <c r="R492" s="21" t="str">
        <f aca="false">IF(P492="Above Materiality",COUNTIFS($O$2:$O$1092,O492,$P$2:$P$1092,"Above Materiality",$M$2:$M$1092,"&gt;"&amp;M492)+COUNTIFS($O$2:$O$1092,O492,$P$2:$P$1092,"Above Materiality",$M$2:$M$1092,M492,$A$2:$A$1092,"&lt;"&amp;A492)+1,"")</f>
        <v/>
      </c>
      <c r="S492" s="21" t="str">
        <f aca="false">IF(P492&lt;&gt;"Below Materiality","",IF(Summary!$C$9="Random",COUNTIFS($O$2:$O$1092,O492,$Q$2:$Q$1092,"&gt;"&amp;Q492)+1,COUNTIFS($O$2:$O$1092,O492,$P$2:$P$1092,"Below Materiality",$M$2:$M$1092,"&gt;"&amp;M492)+COUNTIFS($O$2:$O$1092,O492,$P$2:$P$1092,"Below Materiality",$M$2:$M$1092,M492,$A$2:$A$1092,"&lt;"&amp;A492)+1))</f>
        <v/>
      </c>
      <c r="T492" s="22"/>
      <c r="U492" s="21" t="str">
        <f aca="false">IF(R492="","",O492&amp;"|A|"&amp;R492)</f>
        <v/>
      </c>
      <c r="V492" s="21" t="str">
        <f aca="false">IF(S492="","",O492&amp;"|R|"&amp;S492)</f>
        <v/>
      </c>
    </row>
    <row r="493" customFormat="false" ht="15" hidden="false" customHeight="false" outlineLevel="0" collapsed="false">
      <c r="A493" s="18" t="n">
        <v>492</v>
      </c>
      <c r="B493" s="18"/>
      <c r="C493" s="18"/>
      <c r="D493" s="18"/>
      <c r="E493" s="18" t="s">
        <v>1031</v>
      </c>
      <c r="F493" s="18" t="s">
        <v>1032</v>
      </c>
      <c r="G493" s="18" t="s">
        <v>74</v>
      </c>
      <c r="H493" s="18" t="n">
        <v>260</v>
      </c>
      <c r="I493" s="19" t="n">
        <v>0</v>
      </c>
      <c r="J493" s="19" t="n">
        <v>1195</v>
      </c>
      <c r="K493" s="19" t="n">
        <v>1195</v>
      </c>
      <c r="L493" s="19" t="n">
        <v>0</v>
      </c>
      <c r="M493" s="19" t="n">
        <f aca="false">ABS(L493)</f>
        <v>0</v>
      </c>
      <c r="N493" s="18" t="str">
        <f aca="false">IF(L493=0,"Nil balance",IF(G493="AR file",IF(L493&gt;0,"Accounts Receivable","Customer Advances"),IF(L493&lt;0,"Accounts Payable","Supplier Advances")))</f>
        <v>Nil balance</v>
      </c>
      <c r="O493" s="18" t="str">
        <f aca="false">IF(L493=0,"Excluded",IF(Summary!$C$4="By ledger",IF(G493="AR file","Population 1","Population 2"),IF(L493&gt;0,"Population 1","Population 2")))</f>
        <v>Excluded</v>
      </c>
      <c r="P493" s="18" t="str">
        <f aca="false">IF(O493="Excluded","Excluded – nil closing balance",IF(M493&gt;Summary!$C$5,"Above Materiality","Below Materiality"))</f>
        <v>Excluded – nil closing balance</v>
      </c>
      <c r="Q493" s="20" t="str">
        <f aca="false">IF(P493="Below Materiality",T493,"")</f>
        <v/>
      </c>
      <c r="R493" s="21" t="str">
        <f aca="false">IF(P493="Above Materiality",COUNTIFS($O$2:$O$1092,O493,$P$2:$P$1092,"Above Materiality",$M$2:$M$1092,"&gt;"&amp;M493)+COUNTIFS($O$2:$O$1092,O493,$P$2:$P$1092,"Above Materiality",$M$2:$M$1092,M493,$A$2:$A$1092,"&lt;"&amp;A493)+1,"")</f>
        <v/>
      </c>
      <c r="S493" s="21" t="str">
        <f aca="false">IF(P493&lt;&gt;"Below Materiality","",IF(Summary!$C$9="Random",COUNTIFS($O$2:$O$1092,O493,$Q$2:$Q$1092,"&gt;"&amp;Q493)+1,COUNTIFS($O$2:$O$1092,O493,$P$2:$P$1092,"Below Materiality",$M$2:$M$1092,"&gt;"&amp;M493)+COUNTIFS($O$2:$O$1092,O493,$P$2:$P$1092,"Below Materiality",$M$2:$M$1092,M493,$A$2:$A$1092,"&lt;"&amp;A493)+1))</f>
        <v/>
      </c>
      <c r="T493" s="22"/>
      <c r="U493" s="21" t="str">
        <f aca="false">IF(R493="","",O493&amp;"|A|"&amp;R493)</f>
        <v/>
      </c>
      <c r="V493" s="21" t="str">
        <f aca="false">IF(S493="","",O493&amp;"|R|"&amp;S493)</f>
        <v/>
      </c>
    </row>
    <row r="494" customFormat="false" ht="15" hidden="false" customHeight="false" outlineLevel="0" collapsed="false">
      <c r="A494" s="18" t="n">
        <v>493</v>
      </c>
      <c r="B494" s="18"/>
      <c r="C494" s="18"/>
      <c r="D494" s="18"/>
      <c r="E494" s="18" t="s">
        <v>1033</v>
      </c>
      <c r="F494" s="18" t="s">
        <v>1034</v>
      </c>
      <c r="G494" s="18" t="s">
        <v>74</v>
      </c>
      <c r="H494" s="18" t="n">
        <v>261</v>
      </c>
      <c r="I494" s="19" t="n">
        <v>0</v>
      </c>
      <c r="J494" s="19" t="n">
        <v>552</v>
      </c>
      <c r="K494" s="19" t="n">
        <v>552</v>
      </c>
      <c r="L494" s="19" t="n">
        <v>0</v>
      </c>
      <c r="M494" s="19" t="n">
        <f aca="false">ABS(L494)</f>
        <v>0</v>
      </c>
      <c r="N494" s="18" t="str">
        <f aca="false">IF(L494=0,"Nil balance",IF(G494="AR file",IF(L494&gt;0,"Accounts Receivable","Customer Advances"),IF(L494&lt;0,"Accounts Payable","Supplier Advances")))</f>
        <v>Nil balance</v>
      </c>
      <c r="O494" s="18" t="str">
        <f aca="false">IF(L494=0,"Excluded",IF(Summary!$C$4="By ledger",IF(G494="AR file","Population 1","Population 2"),IF(L494&gt;0,"Population 1","Population 2")))</f>
        <v>Excluded</v>
      </c>
      <c r="P494" s="18" t="str">
        <f aca="false">IF(O494="Excluded","Excluded – nil closing balance",IF(M494&gt;Summary!$C$5,"Above Materiality","Below Materiality"))</f>
        <v>Excluded – nil closing balance</v>
      </c>
      <c r="Q494" s="20" t="str">
        <f aca="false">IF(P494="Below Materiality",T494,"")</f>
        <v/>
      </c>
      <c r="R494" s="21" t="str">
        <f aca="false">IF(P494="Above Materiality",COUNTIFS($O$2:$O$1092,O494,$P$2:$P$1092,"Above Materiality",$M$2:$M$1092,"&gt;"&amp;M494)+COUNTIFS($O$2:$O$1092,O494,$P$2:$P$1092,"Above Materiality",$M$2:$M$1092,M494,$A$2:$A$1092,"&lt;"&amp;A494)+1,"")</f>
        <v/>
      </c>
      <c r="S494" s="21" t="str">
        <f aca="false">IF(P494&lt;&gt;"Below Materiality","",IF(Summary!$C$9="Random",COUNTIFS($O$2:$O$1092,O494,$Q$2:$Q$1092,"&gt;"&amp;Q494)+1,COUNTIFS($O$2:$O$1092,O494,$P$2:$P$1092,"Below Materiality",$M$2:$M$1092,"&gt;"&amp;M494)+COUNTIFS($O$2:$O$1092,O494,$P$2:$P$1092,"Below Materiality",$M$2:$M$1092,M494,$A$2:$A$1092,"&lt;"&amp;A494)+1))</f>
        <v/>
      </c>
      <c r="T494" s="22"/>
      <c r="U494" s="21" t="str">
        <f aca="false">IF(R494="","",O494&amp;"|A|"&amp;R494)</f>
        <v/>
      </c>
      <c r="V494" s="21" t="str">
        <f aca="false">IF(S494="","",O494&amp;"|R|"&amp;S494)</f>
        <v/>
      </c>
    </row>
    <row r="495" customFormat="false" ht="15" hidden="false" customHeight="false" outlineLevel="0" collapsed="false">
      <c r="A495" s="18" t="n">
        <v>494</v>
      </c>
      <c r="B495" s="18"/>
      <c r="C495" s="18"/>
      <c r="D495" s="18"/>
      <c r="E495" s="18" t="s">
        <v>1035</v>
      </c>
      <c r="F495" s="18" t="s">
        <v>1036</v>
      </c>
      <c r="G495" s="18" t="s">
        <v>74</v>
      </c>
      <c r="H495" s="18" t="n">
        <v>262</v>
      </c>
      <c r="I495" s="19" t="n">
        <v>0</v>
      </c>
      <c r="J495" s="19" t="n">
        <v>403.65</v>
      </c>
      <c r="K495" s="19" t="n">
        <v>403.65</v>
      </c>
      <c r="L495" s="19" t="n">
        <v>0</v>
      </c>
      <c r="M495" s="19" t="n">
        <f aca="false">ABS(L495)</f>
        <v>0</v>
      </c>
      <c r="N495" s="18" t="str">
        <f aca="false">IF(L495=0,"Nil balance",IF(G495="AR file",IF(L495&gt;0,"Accounts Receivable","Customer Advances"),IF(L495&lt;0,"Accounts Payable","Supplier Advances")))</f>
        <v>Nil balance</v>
      </c>
      <c r="O495" s="18" t="str">
        <f aca="false">IF(L495=0,"Excluded",IF(Summary!$C$4="By ledger",IF(G495="AR file","Population 1","Population 2"),IF(L495&gt;0,"Population 1","Population 2")))</f>
        <v>Excluded</v>
      </c>
      <c r="P495" s="18" t="str">
        <f aca="false">IF(O495="Excluded","Excluded – nil closing balance",IF(M495&gt;Summary!$C$5,"Above Materiality","Below Materiality"))</f>
        <v>Excluded – nil closing balance</v>
      </c>
      <c r="Q495" s="20" t="str">
        <f aca="false">IF(P495="Below Materiality",T495,"")</f>
        <v/>
      </c>
      <c r="R495" s="21" t="str">
        <f aca="false">IF(P495="Above Materiality",COUNTIFS($O$2:$O$1092,O495,$P$2:$P$1092,"Above Materiality",$M$2:$M$1092,"&gt;"&amp;M495)+COUNTIFS($O$2:$O$1092,O495,$P$2:$P$1092,"Above Materiality",$M$2:$M$1092,M495,$A$2:$A$1092,"&lt;"&amp;A495)+1,"")</f>
        <v/>
      </c>
      <c r="S495" s="21" t="str">
        <f aca="false">IF(P495&lt;&gt;"Below Materiality","",IF(Summary!$C$9="Random",COUNTIFS($O$2:$O$1092,O495,$Q$2:$Q$1092,"&gt;"&amp;Q495)+1,COUNTIFS($O$2:$O$1092,O495,$P$2:$P$1092,"Below Materiality",$M$2:$M$1092,"&gt;"&amp;M495)+COUNTIFS($O$2:$O$1092,O495,$P$2:$P$1092,"Below Materiality",$M$2:$M$1092,M495,$A$2:$A$1092,"&lt;"&amp;A495)+1))</f>
        <v/>
      </c>
      <c r="T495" s="22"/>
      <c r="U495" s="21" t="str">
        <f aca="false">IF(R495="","",O495&amp;"|A|"&amp;R495)</f>
        <v/>
      </c>
      <c r="V495" s="21" t="str">
        <f aca="false">IF(S495="","",O495&amp;"|R|"&amp;S495)</f>
        <v/>
      </c>
    </row>
    <row r="496" customFormat="false" ht="15" hidden="false" customHeight="false" outlineLevel="0" collapsed="false">
      <c r="A496" s="18" t="n">
        <v>495</v>
      </c>
      <c r="B496" s="18"/>
      <c r="C496" s="18"/>
      <c r="D496" s="18"/>
      <c r="E496" s="18" t="s">
        <v>1037</v>
      </c>
      <c r="F496" s="18" t="s">
        <v>1038</v>
      </c>
      <c r="G496" s="18" t="s">
        <v>74</v>
      </c>
      <c r="H496" s="18" t="n">
        <v>263</v>
      </c>
      <c r="I496" s="19" t="n">
        <v>0</v>
      </c>
      <c r="J496" s="19" t="n">
        <v>9927.51</v>
      </c>
      <c r="K496" s="19" t="n">
        <v>9927.51</v>
      </c>
      <c r="L496" s="19" t="n">
        <v>0</v>
      </c>
      <c r="M496" s="19" t="n">
        <f aca="false">ABS(L496)</f>
        <v>0</v>
      </c>
      <c r="N496" s="18" t="str">
        <f aca="false">IF(L496=0,"Nil balance",IF(G496="AR file",IF(L496&gt;0,"Accounts Receivable","Customer Advances"),IF(L496&lt;0,"Accounts Payable","Supplier Advances")))</f>
        <v>Nil balance</v>
      </c>
      <c r="O496" s="18" t="str">
        <f aca="false">IF(L496=0,"Excluded",IF(Summary!$C$4="By ledger",IF(G496="AR file","Population 1","Population 2"),IF(L496&gt;0,"Population 1","Population 2")))</f>
        <v>Excluded</v>
      </c>
      <c r="P496" s="18" t="str">
        <f aca="false">IF(O496="Excluded","Excluded – nil closing balance",IF(M496&gt;Summary!$C$5,"Above Materiality","Below Materiality"))</f>
        <v>Excluded – nil closing balance</v>
      </c>
      <c r="Q496" s="20" t="str">
        <f aca="false">IF(P496="Below Materiality",T496,"")</f>
        <v/>
      </c>
      <c r="R496" s="21" t="str">
        <f aca="false">IF(P496="Above Materiality",COUNTIFS($O$2:$O$1092,O496,$P$2:$P$1092,"Above Materiality",$M$2:$M$1092,"&gt;"&amp;M496)+COUNTIFS($O$2:$O$1092,O496,$P$2:$P$1092,"Above Materiality",$M$2:$M$1092,M496,$A$2:$A$1092,"&lt;"&amp;A496)+1,"")</f>
        <v/>
      </c>
      <c r="S496" s="21" t="str">
        <f aca="false">IF(P496&lt;&gt;"Below Materiality","",IF(Summary!$C$9="Random",COUNTIFS($O$2:$O$1092,O496,$Q$2:$Q$1092,"&gt;"&amp;Q496)+1,COUNTIFS($O$2:$O$1092,O496,$P$2:$P$1092,"Below Materiality",$M$2:$M$1092,"&gt;"&amp;M496)+COUNTIFS($O$2:$O$1092,O496,$P$2:$P$1092,"Below Materiality",$M$2:$M$1092,M496,$A$2:$A$1092,"&lt;"&amp;A496)+1))</f>
        <v/>
      </c>
      <c r="T496" s="22"/>
      <c r="U496" s="21" t="str">
        <f aca="false">IF(R496="","",O496&amp;"|A|"&amp;R496)</f>
        <v/>
      </c>
      <c r="V496" s="21" t="str">
        <f aca="false">IF(S496="","",O496&amp;"|R|"&amp;S496)</f>
        <v/>
      </c>
    </row>
    <row r="497" customFormat="false" ht="15" hidden="false" customHeight="false" outlineLevel="0" collapsed="false">
      <c r="A497" s="18" t="n">
        <v>496</v>
      </c>
      <c r="B497" s="18"/>
      <c r="C497" s="18"/>
      <c r="D497" s="18"/>
      <c r="E497" s="18" t="s">
        <v>1039</v>
      </c>
      <c r="F497" s="18" t="s">
        <v>1040</v>
      </c>
      <c r="G497" s="18" t="s">
        <v>74</v>
      </c>
      <c r="H497" s="18" t="n">
        <v>264</v>
      </c>
      <c r="I497" s="19" t="n">
        <v>0</v>
      </c>
      <c r="J497" s="19" t="n">
        <v>30590</v>
      </c>
      <c r="K497" s="19" t="n">
        <v>30590</v>
      </c>
      <c r="L497" s="19" t="n">
        <v>0</v>
      </c>
      <c r="M497" s="19" t="n">
        <f aca="false">ABS(L497)</f>
        <v>0</v>
      </c>
      <c r="N497" s="18" t="str">
        <f aca="false">IF(L497=0,"Nil balance",IF(G497="AR file",IF(L497&gt;0,"Accounts Receivable","Customer Advances"),IF(L497&lt;0,"Accounts Payable","Supplier Advances")))</f>
        <v>Nil balance</v>
      </c>
      <c r="O497" s="18" t="str">
        <f aca="false">IF(L497=0,"Excluded",IF(Summary!$C$4="By ledger",IF(G497="AR file","Population 1","Population 2"),IF(L497&gt;0,"Population 1","Population 2")))</f>
        <v>Excluded</v>
      </c>
      <c r="P497" s="18" t="str">
        <f aca="false">IF(O497="Excluded","Excluded – nil closing balance",IF(M497&gt;Summary!$C$5,"Above Materiality","Below Materiality"))</f>
        <v>Excluded – nil closing balance</v>
      </c>
      <c r="Q497" s="20" t="str">
        <f aca="false">IF(P497="Below Materiality",T497,"")</f>
        <v/>
      </c>
      <c r="R497" s="21" t="str">
        <f aca="false">IF(P497="Above Materiality",COUNTIFS($O$2:$O$1092,O497,$P$2:$P$1092,"Above Materiality",$M$2:$M$1092,"&gt;"&amp;M497)+COUNTIFS($O$2:$O$1092,O497,$P$2:$P$1092,"Above Materiality",$M$2:$M$1092,M497,$A$2:$A$1092,"&lt;"&amp;A497)+1,"")</f>
        <v/>
      </c>
      <c r="S497" s="21" t="str">
        <f aca="false">IF(P497&lt;&gt;"Below Materiality","",IF(Summary!$C$9="Random",COUNTIFS($O$2:$O$1092,O497,$Q$2:$Q$1092,"&gt;"&amp;Q497)+1,COUNTIFS($O$2:$O$1092,O497,$P$2:$P$1092,"Below Materiality",$M$2:$M$1092,"&gt;"&amp;M497)+COUNTIFS($O$2:$O$1092,O497,$P$2:$P$1092,"Below Materiality",$M$2:$M$1092,M497,$A$2:$A$1092,"&lt;"&amp;A497)+1))</f>
        <v/>
      </c>
      <c r="T497" s="22"/>
      <c r="U497" s="21" t="str">
        <f aca="false">IF(R497="","",O497&amp;"|A|"&amp;R497)</f>
        <v/>
      </c>
      <c r="V497" s="21" t="str">
        <f aca="false">IF(S497="","",O497&amp;"|R|"&amp;S497)</f>
        <v/>
      </c>
    </row>
    <row r="498" customFormat="false" ht="15" hidden="false" customHeight="false" outlineLevel="0" collapsed="false">
      <c r="A498" s="18" t="n">
        <v>497</v>
      </c>
      <c r="B498" s="18"/>
      <c r="C498" s="18"/>
      <c r="D498" s="18"/>
      <c r="E498" s="18" t="s">
        <v>1041</v>
      </c>
      <c r="F498" s="18" t="s">
        <v>474</v>
      </c>
      <c r="G498" s="18" t="s">
        <v>74</v>
      </c>
      <c r="H498" s="18" t="n">
        <v>265</v>
      </c>
      <c r="I498" s="19" t="n">
        <v>0</v>
      </c>
      <c r="J498" s="19" t="n">
        <v>115</v>
      </c>
      <c r="K498" s="19" t="n">
        <v>115</v>
      </c>
      <c r="L498" s="19" t="n">
        <v>0</v>
      </c>
      <c r="M498" s="19" t="n">
        <f aca="false">ABS(L498)</f>
        <v>0</v>
      </c>
      <c r="N498" s="18" t="str">
        <f aca="false">IF(L498=0,"Nil balance",IF(G498="AR file",IF(L498&gt;0,"Accounts Receivable","Customer Advances"),IF(L498&lt;0,"Accounts Payable","Supplier Advances")))</f>
        <v>Nil balance</v>
      </c>
      <c r="O498" s="18" t="str">
        <f aca="false">IF(L498=0,"Excluded",IF(Summary!$C$4="By ledger",IF(G498="AR file","Population 1","Population 2"),IF(L498&gt;0,"Population 1","Population 2")))</f>
        <v>Excluded</v>
      </c>
      <c r="P498" s="18" t="str">
        <f aca="false">IF(O498="Excluded","Excluded – nil closing balance",IF(M498&gt;Summary!$C$5,"Above Materiality","Below Materiality"))</f>
        <v>Excluded – nil closing balance</v>
      </c>
      <c r="Q498" s="20" t="str">
        <f aca="false">IF(P498="Below Materiality",T498,"")</f>
        <v/>
      </c>
      <c r="R498" s="21" t="str">
        <f aca="false">IF(P498="Above Materiality",COUNTIFS($O$2:$O$1092,O498,$P$2:$P$1092,"Above Materiality",$M$2:$M$1092,"&gt;"&amp;M498)+COUNTIFS($O$2:$O$1092,O498,$P$2:$P$1092,"Above Materiality",$M$2:$M$1092,M498,$A$2:$A$1092,"&lt;"&amp;A498)+1,"")</f>
        <v/>
      </c>
      <c r="S498" s="21" t="str">
        <f aca="false">IF(P498&lt;&gt;"Below Materiality","",IF(Summary!$C$9="Random",COUNTIFS($O$2:$O$1092,O498,$Q$2:$Q$1092,"&gt;"&amp;Q498)+1,COUNTIFS($O$2:$O$1092,O498,$P$2:$P$1092,"Below Materiality",$M$2:$M$1092,"&gt;"&amp;M498)+COUNTIFS($O$2:$O$1092,O498,$P$2:$P$1092,"Below Materiality",$M$2:$M$1092,M498,$A$2:$A$1092,"&lt;"&amp;A498)+1))</f>
        <v/>
      </c>
      <c r="T498" s="22"/>
      <c r="U498" s="21" t="str">
        <f aca="false">IF(R498="","",O498&amp;"|A|"&amp;R498)</f>
        <v/>
      </c>
      <c r="V498" s="21" t="str">
        <f aca="false">IF(S498="","",O498&amp;"|R|"&amp;S498)</f>
        <v/>
      </c>
    </row>
    <row r="499" customFormat="false" ht="15" hidden="false" customHeight="false" outlineLevel="0" collapsed="false">
      <c r="A499" s="18" t="n">
        <v>498</v>
      </c>
      <c r="B499" s="18"/>
      <c r="C499" s="18"/>
      <c r="D499" s="18"/>
      <c r="E499" s="18" t="s">
        <v>1042</v>
      </c>
      <c r="F499" s="18" t="s">
        <v>1043</v>
      </c>
      <c r="G499" s="18" t="s">
        <v>74</v>
      </c>
      <c r="H499" s="18" t="n">
        <v>266</v>
      </c>
      <c r="I499" s="19" t="n">
        <v>0</v>
      </c>
      <c r="J499" s="19" t="n">
        <v>19311.66</v>
      </c>
      <c r="K499" s="19" t="n">
        <v>19311.66</v>
      </c>
      <c r="L499" s="19" t="n">
        <v>0</v>
      </c>
      <c r="M499" s="19" t="n">
        <f aca="false">ABS(L499)</f>
        <v>0</v>
      </c>
      <c r="N499" s="18" t="str">
        <f aca="false">IF(L499=0,"Nil balance",IF(G499="AR file",IF(L499&gt;0,"Accounts Receivable","Customer Advances"),IF(L499&lt;0,"Accounts Payable","Supplier Advances")))</f>
        <v>Nil balance</v>
      </c>
      <c r="O499" s="18" t="str">
        <f aca="false">IF(L499=0,"Excluded",IF(Summary!$C$4="By ledger",IF(G499="AR file","Population 1","Population 2"),IF(L499&gt;0,"Population 1","Population 2")))</f>
        <v>Excluded</v>
      </c>
      <c r="P499" s="18" t="str">
        <f aca="false">IF(O499="Excluded","Excluded – nil closing balance",IF(M499&gt;Summary!$C$5,"Above Materiality","Below Materiality"))</f>
        <v>Excluded – nil closing balance</v>
      </c>
      <c r="Q499" s="20" t="str">
        <f aca="false">IF(P499="Below Materiality",T499,"")</f>
        <v/>
      </c>
      <c r="R499" s="21" t="str">
        <f aca="false">IF(P499="Above Materiality",COUNTIFS($O$2:$O$1092,O499,$P$2:$P$1092,"Above Materiality",$M$2:$M$1092,"&gt;"&amp;M499)+COUNTIFS($O$2:$O$1092,O499,$P$2:$P$1092,"Above Materiality",$M$2:$M$1092,M499,$A$2:$A$1092,"&lt;"&amp;A499)+1,"")</f>
        <v/>
      </c>
      <c r="S499" s="21" t="str">
        <f aca="false">IF(P499&lt;&gt;"Below Materiality","",IF(Summary!$C$9="Random",COUNTIFS($O$2:$O$1092,O499,$Q$2:$Q$1092,"&gt;"&amp;Q499)+1,COUNTIFS($O$2:$O$1092,O499,$P$2:$P$1092,"Below Materiality",$M$2:$M$1092,"&gt;"&amp;M499)+COUNTIFS($O$2:$O$1092,O499,$P$2:$P$1092,"Below Materiality",$M$2:$M$1092,M499,$A$2:$A$1092,"&lt;"&amp;A499)+1))</f>
        <v/>
      </c>
      <c r="T499" s="22"/>
      <c r="U499" s="21" t="str">
        <f aca="false">IF(R499="","",O499&amp;"|A|"&amp;R499)</f>
        <v/>
      </c>
      <c r="V499" s="21" t="str">
        <f aca="false">IF(S499="","",O499&amp;"|R|"&amp;S499)</f>
        <v/>
      </c>
    </row>
    <row r="500" customFormat="false" ht="15" hidden="false" customHeight="false" outlineLevel="0" collapsed="false">
      <c r="A500" s="18" t="n">
        <v>499</v>
      </c>
      <c r="B500" s="18"/>
      <c r="C500" s="18"/>
      <c r="D500" s="18"/>
      <c r="E500" s="18" t="s">
        <v>1044</v>
      </c>
      <c r="F500" s="18" t="s">
        <v>1045</v>
      </c>
      <c r="G500" s="18" t="s">
        <v>74</v>
      </c>
      <c r="H500" s="18" t="n">
        <v>267</v>
      </c>
      <c r="I500" s="19" t="n">
        <v>-1700</v>
      </c>
      <c r="J500" s="19" t="n">
        <v>1700</v>
      </c>
      <c r="K500" s="19" t="n">
        <v>0</v>
      </c>
      <c r="L500" s="19" t="n">
        <v>0</v>
      </c>
      <c r="M500" s="19" t="n">
        <f aca="false">ABS(L500)</f>
        <v>0</v>
      </c>
      <c r="N500" s="18" t="str">
        <f aca="false">IF(L500=0,"Nil balance",IF(G500="AR file",IF(L500&gt;0,"Accounts Receivable","Customer Advances"),IF(L500&lt;0,"Accounts Payable","Supplier Advances")))</f>
        <v>Nil balance</v>
      </c>
      <c r="O500" s="18" t="str">
        <f aca="false">IF(L500=0,"Excluded",IF(Summary!$C$4="By ledger",IF(G500="AR file","Population 1","Population 2"),IF(L500&gt;0,"Population 1","Population 2")))</f>
        <v>Excluded</v>
      </c>
      <c r="P500" s="18" t="str">
        <f aca="false">IF(O500="Excluded","Excluded – nil closing balance",IF(M500&gt;Summary!$C$5,"Above Materiality","Below Materiality"))</f>
        <v>Excluded – nil closing balance</v>
      </c>
      <c r="Q500" s="20" t="str">
        <f aca="false">IF(P500="Below Materiality",T500,"")</f>
        <v/>
      </c>
      <c r="R500" s="21" t="str">
        <f aca="false">IF(P500="Above Materiality",COUNTIFS($O$2:$O$1092,O500,$P$2:$P$1092,"Above Materiality",$M$2:$M$1092,"&gt;"&amp;M500)+COUNTIFS($O$2:$O$1092,O500,$P$2:$P$1092,"Above Materiality",$M$2:$M$1092,M500,$A$2:$A$1092,"&lt;"&amp;A500)+1,"")</f>
        <v/>
      </c>
      <c r="S500" s="21" t="str">
        <f aca="false">IF(P500&lt;&gt;"Below Materiality","",IF(Summary!$C$9="Random",COUNTIFS($O$2:$O$1092,O500,$Q$2:$Q$1092,"&gt;"&amp;Q500)+1,COUNTIFS($O$2:$O$1092,O500,$P$2:$P$1092,"Below Materiality",$M$2:$M$1092,"&gt;"&amp;M500)+COUNTIFS($O$2:$O$1092,O500,$P$2:$P$1092,"Below Materiality",$M$2:$M$1092,M500,$A$2:$A$1092,"&lt;"&amp;A500)+1))</f>
        <v/>
      </c>
      <c r="T500" s="22"/>
      <c r="U500" s="21" t="str">
        <f aca="false">IF(R500="","",O500&amp;"|A|"&amp;R500)</f>
        <v/>
      </c>
      <c r="V500" s="21" t="str">
        <f aca="false">IF(S500="","",O500&amp;"|R|"&amp;S500)</f>
        <v/>
      </c>
    </row>
    <row r="501" customFormat="false" ht="15" hidden="false" customHeight="false" outlineLevel="0" collapsed="false">
      <c r="A501" s="18" t="n">
        <v>500</v>
      </c>
      <c r="B501" s="18"/>
      <c r="C501" s="18"/>
      <c r="D501" s="18"/>
      <c r="E501" s="18" t="s">
        <v>1046</v>
      </c>
      <c r="F501" s="18" t="s">
        <v>1047</v>
      </c>
      <c r="G501" s="18" t="s">
        <v>74</v>
      </c>
      <c r="H501" s="18" t="n">
        <v>268</v>
      </c>
      <c r="I501" s="19" t="n">
        <v>0</v>
      </c>
      <c r="J501" s="19" t="n">
        <v>57.5</v>
      </c>
      <c r="K501" s="19" t="n">
        <v>57.5</v>
      </c>
      <c r="L501" s="19" t="n">
        <v>0</v>
      </c>
      <c r="M501" s="19" t="n">
        <f aca="false">ABS(L501)</f>
        <v>0</v>
      </c>
      <c r="N501" s="18" t="str">
        <f aca="false">IF(L501=0,"Nil balance",IF(G501="AR file",IF(L501&gt;0,"Accounts Receivable","Customer Advances"),IF(L501&lt;0,"Accounts Payable","Supplier Advances")))</f>
        <v>Nil balance</v>
      </c>
      <c r="O501" s="18" t="str">
        <f aca="false">IF(L501=0,"Excluded",IF(Summary!$C$4="By ledger",IF(G501="AR file","Population 1","Population 2"),IF(L501&gt;0,"Population 1","Population 2")))</f>
        <v>Excluded</v>
      </c>
      <c r="P501" s="18" t="str">
        <f aca="false">IF(O501="Excluded","Excluded – nil closing balance",IF(M501&gt;Summary!$C$5,"Above Materiality","Below Materiality"))</f>
        <v>Excluded – nil closing balance</v>
      </c>
      <c r="Q501" s="20" t="str">
        <f aca="false">IF(P501="Below Materiality",T501,"")</f>
        <v/>
      </c>
      <c r="R501" s="21" t="str">
        <f aca="false">IF(P501="Above Materiality",COUNTIFS($O$2:$O$1092,O501,$P$2:$P$1092,"Above Materiality",$M$2:$M$1092,"&gt;"&amp;M501)+COUNTIFS($O$2:$O$1092,O501,$P$2:$P$1092,"Above Materiality",$M$2:$M$1092,M501,$A$2:$A$1092,"&lt;"&amp;A501)+1,"")</f>
        <v/>
      </c>
      <c r="S501" s="21" t="str">
        <f aca="false">IF(P501&lt;&gt;"Below Materiality","",IF(Summary!$C$9="Random",COUNTIFS($O$2:$O$1092,O501,$Q$2:$Q$1092,"&gt;"&amp;Q501)+1,COUNTIFS($O$2:$O$1092,O501,$P$2:$P$1092,"Below Materiality",$M$2:$M$1092,"&gt;"&amp;M501)+COUNTIFS($O$2:$O$1092,O501,$P$2:$P$1092,"Below Materiality",$M$2:$M$1092,M501,$A$2:$A$1092,"&lt;"&amp;A501)+1))</f>
        <v/>
      </c>
      <c r="T501" s="22"/>
      <c r="U501" s="21" t="str">
        <f aca="false">IF(R501="","",O501&amp;"|A|"&amp;R501)</f>
        <v/>
      </c>
      <c r="V501" s="21" t="str">
        <f aca="false">IF(S501="","",O501&amp;"|R|"&amp;S501)</f>
        <v/>
      </c>
    </row>
    <row r="502" customFormat="false" ht="15" hidden="false" customHeight="false" outlineLevel="0" collapsed="false">
      <c r="A502" s="18" t="n">
        <v>501</v>
      </c>
      <c r="B502" s="18"/>
      <c r="C502" s="18"/>
      <c r="D502" s="18"/>
      <c r="E502" s="18" t="s">
        <v>1048</v>
      </c>
      <c r="F502" s="18" t="s">
        <v>1049</v>
      </c>
      <c r="G502" s="18" t="s">
        <v>74</v>
      </c>
      <c r="H502" s="18" t="n">
        <v>269</v>
      </c>
      <c r="I502" s="19" t="n">
        <v>0</v>
      </c>
      <c r="J502" s="19" t="n">
        <v>3390</v>
      </c>
      <c r="K502" s="19" t="n">
        <v>3390</v>
      </c>
      <c r="L502" s="19" t="n">
        <v>0</v>
      </c>
      <c r="M502" s="19" t="n">
        <f aca="false">ABS(L502)</f>
        <v>0</v>
      </c>
      <c r="N502" s="18" t="str">
        <f aca="false">IF(L502=0,"Nil balance",IF(G502="AR file",IF(L502&gt;0,"Accounts Receivable","Customer Advances"),IF(L502&lt;0,"Accounts Payable","Supplier Advances")))</f>
        <v>Nil balance</v>
      </c>
      <c r="O502" s="18" t="str">
        <f aca="false">IF(L502=0,"Excluded",IF(Summary!$C$4="By ledger",IF(G502="AR file","Population 1","Population 2"),IF(L502&gt;0,"Population 1","Population 2")))</f>
        <v>Excluded</v>
      </c>
      <c r="P502" s="18" t="str">
        <f aca="false">IF(O502="Excluded","Excluded – nil closing balance",IF(M502&gt;Summary!$C$5,"Above Materiality","Below Materiality"))</f>
        <v>Excluded – nil closing balance</v>
      </c>
      <c r="Q502" s="20" t="str">
        <f aca="false">IF(P502="Below Materiality",T502,"")</f>
        <v/>
      </c>
      <c r="R502" s="21" t="str">
        <f aca="false">IF(P502="Above Materiality",COUNTIFS($O$2:$O$1092,O502,$P$2:$P$1092,"Above Materiality",$M$2:$M$1092,"&gt;"&amp;M502)+COUNTIFS($O$2:$O$1092,O502,$P$2:$P$1092,"Above Materiality",$M$2:$M$1092,M502,$A$2:$A$1092,"&lt;"&amp;A502)+1,"")</f>
        <v/>
      </c>
      <c r="S502" s="21" t="str">
        <f aca="false">IF(P502&lt;&gt;"Below Materiality","",IF(Summary!$C$9="Random",COUNTIFS($O$2:$O$1092,O502,$Q$2:$Q$1092,"&gt;"&amp;Q502)+1,COUNTIFS($O$2:$O$1092,O502,$P$2:$P$1092,"Below Materiality",$M$2:$M$1092,"&gt;"&amp;M502)+COUNTIFS($O$2:$O$1092,O502,$P$2:$P$1092,"Below Materiality",$M$2:$M$1092,M502,$A$2:$A$1092,"&lt;"&amp;A502)+1))</f>
        <v/>
      </c>
      <c r="T502" s="22"/>
      <c r="U502" s="21" t="str">
        <f aca="false">IF(R502="","",O502&amp;"|A|"&amp;R502)</f>
        <v/>
      </c>
      <c r="V502" s="21" t="str">
        <f aca="false">IF(S502="","",O502&amp;"|R|"&amp;S502)</f>
        <v/>
      </c>
    </row>
    <row r="503" customFormat="false" ht="15" hidden="false" customHeight="false" outlineLevel="0" collapsed="false">
      <c r="A503" s="18" t="n">
        <v>502</v>
      </c>
      <c r="B503" s="18"/>
      <c r="C503" s="18"/>
      <c r="D503" s="18"/>
      <c r="E503" s="18" t="s">
        <v>1050</v>
      </c>
      <c r="F503" s="18" t="s">
        <v>1051</v>
      </c>
      <c r="G503" s="18" t="s">
        <v>74</v>
      </c>
      <c r="H503" s="18" t="n">
        <v>270</v>
      </c>
      <c r="I503" s="19" t="n">
        <v>345</v>
      </c>
      <c r="J503" s="19" t="n">
        <v>0</v>
      </c>
      <c r="K503" s="19" t="n">
        <v>345</v>
      </c>
      <c r="L503" s="19" t="n">
        <v>0</v>
      </c>
      <c r="M503" s="19" t="n">
        <f aca="false">ABS(L503)</f>
        <v>0</v>
      </c>
      <c r="N503" s="18" t="str">
        <f aca="false">IF(L503=0,"Nil balance",IF(G503="AR file",IF(L503&gt;0,"Accounts Receivable","Customer Advances"),IF(L503&lt;0,"Accounts Payable","Supplier Advances")))</f>
        <v>Nil balance</v>
      </c>
      <c r="O503" s="18" t="str">
        <f aca="false">IF(L503=0,"Excluded",IF(Summary!$C$4="By ledger",IF(G503="AR file","Population 1","Population 2"),IF(L503&gt;0,"Population 1","Population 2")))</f>
        <v>Excluded</v>
      </c>
      <c r="P503" s="18" t="str">
        <f aca="false">IF(O503="Excluded","Excluded – nil closing balance",IF(M503&gt;Summary!$C$5,"Above Materiality","Below Materiality"))</f>
        <v>Excluded – nil closing balance</v>
      </c>
      <c r="Q503" s="20" t="str">
        <f aca="false">IF(P503="Below Materiality",T503,"")</f>
        <v/>
      </c>
      <c r="R503" s="21" t="str">
        <f aca="false">IF(P503="Above Materiality",COUNTIFS($O$2:$O$1092,O503,$P$2:$P$1092,"Above Materiality",$M$2:$M$1092,"&gt;"&amp;M503)+COUNTIFS($O$2:$O$1092,O503,$P$2:$P$1092,"Above Materiality",$M$2:$M$1092,M503,$A$2:$A$1092,"&lt;"&amp;A503)+1,"")</f>
        <v/>
      </c>
      <c r="S503" s="21" t="str">
        <f aca="false">IF(P503&lt;&gt;"Below Materiality","",IF(Summary!$C$9="Random",COUNTIFS($O$2:$O$1092,O503,$Q$2:$Q$1092,"&gt;"&amp;Q503)+1,COUNTIFS($O$2:$O$1092,O503,$P$2:$P$1092,"Below Materiality",$M$2:$M$1092,"&gt;"&amp;M503)+COUNTIFS($O$2:$O$1092,O503,$P$2:$P$1092,"Below Materiality",$M$2:$M$1092,M503,$A$2:$A$1092,"&lt;"&amp;A503)+1))</f>
        <v/>
      </c>
      <c r="T503" s="22"/>
      <c r="U503" s="21" t="str">
        <f aca="false">IF(R503="","",O503&amp;"|A|"&amp;R503)</f>
        <v/>
      </c>
      <c r="V503" s="21" t="str">
        <f aca="false">IF(S503="","",O503&amp;"|R|"&amp;S503)</f>
        <v/>
      </c>
    </row>
    <row r="504" customFormat="false" ht="15" hidden="false" customHeight="false" outlineLevel="0" collapsed="false">
      <c r="A504" s="18" t="n">
        <v>503</v>
      </c>
      <c r="B504" s="18"/>
      <c r="C504" s="18"/>
      <c r="D504" s="18"/>
      <c r="E504" s="18" t="s">
        <v>1052</v>
      </c>
      <c r="F504" s="18" t="s">
        <v>1053</v>
      </c>
      <c r="G504" s="18" t="s">
        <v>74</v>
      </c>
      <c r="H504" s="18" t="n">
        <v>271</v>
      </c>
      <c r="I504" s="19" t="n">
        <v>-25</v>
      </c>
      <c r="J504" s="19" t="n">
        <v>270</v>
      </c>
      <c r="K504" s="19" t="n">
        <v>245</v>
      </c>
      <c r="L504" s="19" t="n">
        <v>0</v>
      </c>
      <c r="M504" s="19" t="n">
        <f aca="false">ABS(L504)</f>
        <v>0</v>
      </c>
      <c r="N504" s="18" t="str">
        <f aca="false">IF(L504=0,"Nil balance",IF(G504="AR file",IF(L504&gt;0,"Accounts Receivable","Customer Advances"),IF(L504&lt;0,"Accounts Payable","Supplier Advances")))</f>
        <v>Nil balance</v>
      </c>
      <c r="O504" s="18" t="str">
        <f aca="false">IF(L504=0,"Excluded",IF(Summary!$C$4="By ledger",IF(G504="AR file","Population 1","Population 2"),IF(L504&gt;0,"Population 1","Population 2")))</f>
        <v>Excluded</v>
      </c>
      <c r="P504" s="18" t="str">
        <f aca="false">IF(O504="Excluded","Excluded – nil closing balance",IF(M504&gt;Summary!$C$5,"Above Materiality","Below Materiality"))</f>
        <v>Excluded – nil closing balance</v>
      </c>
      <c r="Q504" s="20" t="str">
        <f aca="false">IF(P504="Below Materiality",T504,"")</f>
        <v/>
      </c>
      <c r="R504" s="21" t="str">
        <f aca="false">IF(P504="Above Materiality",COUNTIFS($O$2:$O$1092,O504,$P$2:$P$1092,"Above Materiality",$M$2:$M$1092,"&gt;"&amp;M504)+COUNTIFS($O$2:$O$1092,O504,$P$2:$P$1092,"Above Materiality",$M$2:$M$1092,M504,$A$2:$A$1092,"&lt;"&amp;A504)+1,"")</f>
        <v/>
      </c>
      <c r="S504" s="21" t="str">
        <f aca="false">IF(P504&lt;&gt;"Below Materiality","",IF(Summary!$C$9="Random",COUNTIFS($O$2:$O$1092,O504,$Q$2:$Q$1092,"&gt;"&amp;Q504)+1,COUNTIFS($O$2:$O$1092,O504,$P$2:$P$1092,"Below Materiality",$M$2:$M$1092,"&gt;"&amp;M504)+COUNTIFS($O$2:$O$1092,O504,$P$2:$P$1092,"Below Materiality",$M$2:$M$1092,M504,$A$2:$A$1092,"&lt;"&amp;A504)+1))</f>
        <v/>
      </c>
      <c r="T504" s="22"/>
      <c r="U504" s="21" t="str">
        <f aca="false">IF(R504="","",O504&amp;"|A|"&amp;R504)</f>
        <v/>
      </c>
      <c r="V504" s="21" t="str">
        <f aca="false">IF(S504="","",O504&amp;"|R|"&amp;S504)</f>
        <v/>
      </c>
    </row>
    <row r="505" customFormat="false" ht="15" hidden="false" customHeight="false" outlineLevel="0" collapsed="false">
      <c r="A505" s="18" t="n">
        <v>504</v>
      </c>
      <c r="B505" s="18"/>
      <c r="C505" s="18"/>
      <c r="D505" s="18"/>
      <c r="E505" s="18" t="s">
        <v>1054</v>
      </c>
      <c r="F505" s="18" t="s">
        <v>1055</v>
      </c>
      <c r="G505" s="18" t="s">
        <v>74</v>
      </c>
      <c r="H505" s="18" t="n">
        <v>272</v>
      </c>
      <c r="I505" s="19" t="n">
        <v>0.600000000000364</v>
      </c>
      <c r="J505" s="19" t="n">
        <v>2050.45</v>
      </c>
      <c r="K505" s="19" t="n">
        <v>2051.05</v>
      </c>
      <c r="L505" s="19" t="n">
        <v>0</v>
      </c>
      <c r="M505" s="19" t="n">
        <f aca="false">ABS(L505)</f>
        <v>0</v>
      </c>
      <c r="N505" s="18" t="str">
        <f aca="false">IF(L505=0,"Nil balance",IF(G505="AR file",IF(L505&gt;0,"Accounts Receivable","Customer Advances"),IF(L505&lt;0,"Accounts Payable","Supplier Advances")))</f>
        <v>Nil balance</v>
      </c>
      <c r="O505" s="18" t="str">
        <f aca="false">IF(L505=0,"Excluded",IF(Summary!$C$4="By ledger",IF(G505="AR file","Population 1","Population 2"),IF(L505&gt;0,"Population 1","Population 2")))</f>
        <v>Excluded</v>
      </c>
      <c r="P505" s="18" t="str">
        <f aca="false">IF(O505="Excluded","Excluded – nil closing balance",IF(M505&gt;Summary!$C$5,"Above Materiality","Below Materiality"))</f>
        <v>Excluded – nil closing balance</v>
      </c>
      <c r="Q505" s="20" t="str">
        <f aca="false">IF(P505="Below Materiality",T505,"")</f>
        <v/>
      </c>
      <c r="R505" s="21" t="str">
        <f aca="false">IF(P505="Above Materiality",COUNTIFS($O$2:$O$1092,O505,$P$2:$P$1092,"Above Materiality",$M$2:$M$1092,"&gt;"&amp;M505)+COUNTIFS($O$2:$O$1092,O505,$P$2:$P$1092,"Above Materiality",$M$2:$M$1092,M505,$A$2:$A$1092,"&lt;"&amp;A505)+1,"")</f>
        <v/>
      </c>
      <c r="S505" s="21" t="str">
        <f aca="false">IF(P505&lt;&gt;"Below Materiality","",IF(Summary!$C$9="Random",COUNTIFS($O$2:$O$1092,O505,$Q$2:$Q$1092,"&gt;"&amp;Q505)+1,COUNTIFS($O$2:$O$1092,O505,$P$2:$P$1092,"Below Materiality",$M$2:$M$1092,"&gt;"&amp;M505)+COUNTIFS($O$2:$O$1092,O505,$P$2:$P$1092,"Below Materiality",$M$2:$M$1092,M505,$A$2:$A$1092,"&lt;"&amp;A505)+1))</f>
        <v/>
      </c>
      <c r="T505" s="22"/>
      <c r="U505" s="21" t="str">
        <f aca="false">IF(R505="","",O505&amp;"|A|"&amp;R505)</f>
        <v/>
      </c>
      <c r="V505" s="21" t="str">
        <f aca="false">IF(S505="","",O505&amp;"|R|"&amp;S505)</f>
        <v/>
      </c>
    </row>
    <row r="506" customFormat="false" ht="15" hidden="false" customHeight="false" outlineLevel="0" collapsed="false">
      <c r="A506" s="18" t="n">
        <v>505</v>
      </c>
      <c r="B506" s="18"/>
      <c r="C506" s="18"/>
      <c r="D506" s="18"/>
      <c r="E506" s="18" t="s">
        <v>1056</v>
      </c>
      <c r="F506" s="18" t="s">
        <v>1057</v>
      </c>
      <c r="G506" s="18" t="s">
        <v>74</v>
      </c>
      <c r="H506" s="18" t="n">
        <v>273</v>
      </c>
      <c r="I506" s="19" t="n">
        <v>0</v>
      </c>
      <c r="J506" s="19" t="n">
        <v>3141.85</v>
      </c>
      <c r="K506" s="19" t="n">
        <v>3141.85</v>
      </c>
      <c r="L506" s="19" t="n">
        <v>0</v>
      </c>
      <c r="M506" s="19" t="n">
        <f aca="false">ABS(L506)</f>
        <v>0</v>
      </c>
      <c r="N506" s="18" t="str">
        <f aca="false">IF(L506=0,"Nil balance",IF(G506="AR file",IF(L506&gt;0,"Accounts Receivable","Customer Advances"),IF(L506&lt;0,"Accounts Payable","Supplier Advances")))</f>
        <v>Nil balance</v>
      </c>
      <c r="O506" s="18" t="str">
        <f aca="false">IF(L506=0,"Excluded",IF(Summary!$C$4="By ledger",IF(G506="AR file","Population 1","Population 2"),IF(L506&gt;0,"Population 1","Population 2")))</f>
        <v>Excluded</v>
      </c>
      <c r="P506" s="18" t="str">
        <f aca="false">IF(O506="Excluded","Excluded – nil closing balance",IF(M506&gt;Summary!$C$5,"Above Materiality","Below Materiality"))</f>
        <v>Excluded – nil closing balance</v>
      </c>
      <c r="Q506" s="20" t="str">
        <f aca="false">IF(P506="Below Materiality",T506,"")</f>
        <v/>
      </c>
      <c r="R506" s="21" t="str">
        <f aca="false">IF(P506="Above Materiality",COUNTIFS($O$2:$O$1092,O506,$P$2:$P$1092,"Above Materiality",$M$2:$M$1092,"&gt;"&amp;M506)+COUNTIFS($O$2:$O$1092,O506,$P$2:$P$1092,"Above Materiality",$M$2:$M$1092,M506,$A$2:$A$1092,"&lt;"&amp;A506)+1,"")</f>
        <v/>
      </c>
      <c r="S506" s="21" t="str">
        <f aca="false">IF(P506&lt;&gt;"Below Materiality","",IF(Summary!$C$9="Random",COUNTIFS($O$2:$O$1092,O506,$Q$2:$Q$1092,"&gt;"&amp;Q506)+1,COUNTIFS($O$2:$O$1092,O506,$P$2:$P$1092,"Below Materiality",$M$2:$M$1092,"&gt;"&amp;M506)+COUNTIFS($O$2:$O$1092,O506,$P$2:$P$1092,"Below Materiality",$M$2:$M$1092,M506,$A$2:$A$1092,"&lt;"&amp;A506)+1))</f>
        <v/>
      </c>
      <c r="T506" s="22"/>
      <c r="U506" s="21" t="str">
        <f aca="false">IF(R506="","",O506&amp;"|A|"&amp;R506)</f>
        <v/>
      </c>
      <c r="V506" s="21" t="str">
        <f aca="false">IF(S506="","",O506&amp;"|R|"&amp;S506)</f>
        <v/>
      </c>
    </row>
    <row r="507" customFormat="false" ht="15" hidden="false" customHeight="false" outlineLevel="0" collapsed="false">
      <c r="A507" s="18" t="n">
        <v>506</v>
      </c>
      <c r="B507" s="18"/>
      <c r="C507" s="18"/>
      <c r="D507" s="18"/>
      <c r="E507" s="18" t="s">
        <v>1058</v>
      </c>
      <c r="F507" s="18" t="s">
        <v>1059</v>
      </c>
      <c r="G507" s="18" t="s">
        <v>74</v>
      </c>
      <c r="H507" s="18" t="n">
        <v>274</v>
      </c>
      <c r="I507" s="19" t="n">
        <v>-8500</v>
      </c>
      <c r="J507" s="19" t="n">
        <v>8500</v>
      </c>
      <c r="K507" s="19" t="n">
        <v>0</v>
      </c>
      <c r="L507" s="19" t="n">
        <v>0</v>
      </c>
      <c r="M507" s="19" t="n">
        <f aca="false">ABS(L507)</f>
        <v>0</v>
      </c>
      <c r="N507" s="18" t="str">
        <f aca="false">IF(L507=0,"Nil balance",IF(G507="AR file",IF(L507&gt;0,"Accounts Receivable","Customer Advances"),IF(L507&lt;0,"Accounts Payable","Supplier Advances")))</f>
        <v>Nil balance</v>
      </c>
      <c r="O507" s="18" t="str">
        <f aca="false">IF(L507=0,"Excluded",IF(Summary!$C$4="By ledger",IF(G507="AR file","Population 1","Population 2"),IF(L507&gt;0,"Population 1","Population 2")))</f>
        <v>Excluded</v>
      </c>
      <c r="P507" s="18" t="str">
        <f aca="false">IF(O507="Excluded","Excluded – nil closing balance",IF(M507&gt;Summary!$C$5,"Above Materiality","Below Materiality"))</f>
        <v>Excluded – nil closing balance</v>
      </c>
      <c r="Q507" s="20" t="str">
        <f aca="false">IF(P507="Below Materiality",T507,"")</f>
        <v/>
      </c>
      <c r="R507" s="21" t="str">
        <f aca="false">IF(P507="Above Materiality",COUNTIFS($O$2:$O$1092,O507,$P$2:$P$1092,"Above Materiality",$M$2:$M$1092,"&gt;"&amp;M507)+COUNTIFS($O$2:$O$1092,O507,$P$2:$P$1092,"Above Materiality",$M$2:$M$1092,M507,$A$2:$A$1092,"&lt;"&amp;A507)+1,"")</f>
        <v/>
      </c>
      <c r="S507" s="21" t="str">
        <f aca="false">IF(P507&lt;&gt;"Below Materiality","",IF(Summary!$C$9="Random",COUNTIFS($O$2:$O$1092,O507,$Q$2:$Q$1092,"&gt;"&amp;Q507)+1,COUNTIFS($O$2:$O$1092,O507,$P$2:$P$1092,"Below Materiality",$M$2:$M$1092,"&gt;"&amp;M507)+COUNTIFS($O$2:$O$1092,O507,$P$2:$P$1092,"Below Materiality",$M$2:$M$1092,M507,$A$2:$A$1092,"&lt;"&amp;A507)+1))</f>
        <v/>
      </c>
      <c r="T507" s="22"/>
      <c r="U507" s="21" t="str">
        <f aca="false">IF(R507="","",O507&amp;"|A|"&amp;R507)</f>
        <v/>
      </c>
      <c r="V507" s="21" t="str">
        <f aca="false">IF(S507="","",O507&amp;"|R|"&amp;S507)</f>
        <v/>
      </c>
    </row>
    <row r="508" customFormat="false" ht="15" hidden="false" customHeight="false" outlineLevel="0" collapsed="false">
      <c r="A508" s="18" t="n">
        <v>507</v>
      </c>
      <c r="B508" s="18"/>
      <c r="C508" s="18"/>
      <c r="D508" s="18"/>
      <c r="E508" s="18" t="s">
        <v>1060</v>
      </c>
      <c r="F508" s="18" t="s">
        <v>1061</v>
      </c>
      <c r="G508" s="18" t="s">
        <v>74</v>
      </c>
      <c r="H508" s="18" t="n">
        <v>275</v>
      </c>
      <c r="I508" s="19" t="n">
        <v>0</v>
      </c>
      <c r="J508" s="19" t="n">
        <v>3605.25</v>
      </c>
      <c r="K508" s="19" t="n">
        <v>3605.25</v>
      </c>
      <c r="L508" s="19" t="n">
        <v>0</v>
      </c>
      <c r="M508" s="19" t="n">
        <f aca="false">ABS(L508)</f>
        <v>0</v>
      </c>
      <c r="N508" s="18" t="str">
        <f aca="false">IF(L508=0,"Nil balance",IF(G508="AR file",IF(L508&gt;0,"Accounts Receivable","Customer Advances"),IF(L508&lt;0,"Accounts Payable","Supplier Advances")))</f>
        <v>Nil balance</v>
      </c>
      <c r="O508" s="18" t="str">
        <f aca="false">IF(L508=0,"Excluded",IF(Summary!$C$4="By ledger",IF(G508="AR file","Population 1","Population 2"),IF(L508&gt;0,"Population 1","Population 2")))</f>
        <v>Excluded</v>
      </c>
      <c r="P508" s="18" t="str">
        <f aca="false">IF(O508="Excluded","Excluded – nil closing balance",IF(M508&gt;Summary!$C$5,"Above Materiality","Below Materiality"))</f>
        <v>Excluded – nil closing balance</v>
      </c>
      <c r="Q508" s="20" t="str">
        <f aca="false">IF(P508="Below Materiality",T508,"")</f>
        <v/>
      </c>
      <c r="R508" s="21" t="str">
        <f aca="false">IF(P508="Above Materiality",COUNTIFS($O$2:$O$1092,O508,$P$2:$P$1092,"Above Materiality",$M$2:$M$1092,"&gt;"&amp;M508)+COUNTIFS($O$2:$O$1092,O508,$P$2:$P$1092,"Above Materiality",$M$2:$M$1092,M508,$A$2:$A$1092,"&lt;"&amp;A508)+1,"")</f>
        <v/>
      </c>
      <c r="S508" s="21" t="str">
        <f aca="false">IF(P508&lt;&gt;"Below Materiality","",IF(Summary!$C$9="Random",COUNTIFS($O$2:$O$1092,O508,$Q$2:$Q$1092,"&gt;"&amp;Q508)+1,COUNTIFS($O$2:$O$1092,O508,$P$2:$P$1092,"Below Materiality",$M$2:$M$1092,"&gt;"&amp;M508)+COUNTIFS($O$2:$O$1092,O508,$P$2:$P$1092,"Below Materiality",$M$2:$M$1092,M508,$A$2:$A$1092,"&lt;"&amp;A508)+1))</f>
        <v/>
      </c>
      <c r="T508" s="22"/>
      <c r="U508" s="21" t="str">
        <f aca="false">IF(R508="","",O508&amp;"|A|"&amp;R508)</f>
        <v/>
      </c>
      <c r="V508" s="21" t="str">
        <f aca="false">IF(S508="","",O508&amp;"|R|"&amp;S508)</f>
        <v/>
      </c>
    </row>
    <row r="509" customFormat="false" ht="15" hidden="false" customHeight="false" outlineLevel="0" collapsed="false">
      <c r="A509" s="18" t="n">
        <v>508</v>
      </c>
      <c r="B509" s="18"/>
      <c r="C509" s="18"/>
      <c r="D509" s="18"/>
      <c r="E509" s="18" t="s">
        <v>1062</v>
      </c>
      <c r="F509" s="18" t="s">
        <v>1063</v>
      </c>
      <c r="G509" s="18" t="s">
        <v>74</v>
      </c>
      <c r="H509" s="18" t="n">
        <v>278</v>
      </c>
      <c r="I509" s="19" t="n">
        <v>0</v>
      </c>
      <c r="J509" s="19" t="n">
        <v>42297</v>
      </c>
      <c r="K509" s="19" t="n">
        <v>42297</v>
      </c>
      <c r="L509" s="19" t="n">
        <v>0</v>
      </c>
      <c r="M509" s="19" t="n">
        <f aca="false">ABS(L509)</f>
        <v>0</v>
      </c>
      <c r="N509" s="18" t="str">
        <f aca="false">IF(L509=0,"Nil balance",IF(G509="AR file",IF(L509&gt;0,"Accounts Receivable","Customer Advances"),IF(L509&lt;0,"Accounts Payable","Supplier Advances")))</f>
        <v>Nil balance</v>
      </c>
      <c r="O509" s="18" t="str">
        <f aca="false">IF(L509=0,"Excluded",IF(Summary!$C$4="By ledger",IF(G509="AR file","Population 1","Population 2"),IF(L509&gt;0,"Population 1","Population 2")))</f>
        <v>Excluded</v>
      </c>
      <c r="P509" s="18" t="str">
        <f aca="false">IF(O509="Excluded","Excluded – nil closing balance",IF(M509&gt;Summary!$C$5,"Above Materiality","Below Materiality"))</f>
        <v>Excluded – nil closing balance</v>
      </c>
      <c r="Q509" s="20" t="str">
        <f aca="false">IF(P509="Below Materiality",T509,"")</f>
        <v/>
      </c>
      <c r="R509" s="21" t="str">
        <f aca="false">IF(P509="Above Materiality",COUNTIFS($O$2:$O$1092,O509,$P$2:$P$1092,"Above Materiality",$M$2:$M$1092,"&gt;"&amp;M509)+COUNTIFS($O$2:$O$1092,O509,$P$2:$P$1092,"Above Materiality",$M$2:$M$1092,M509,$A$2:$A$1092,"&lt;"&amp;A509)+1,"")</f>
        <v/>
      </c>
      <c r="S509" s="21" t="str">
        <f aca="false">IF(P509&lt;&gt;"Below Materiality","",IF(Summary!$C$9="Random",COUNTIFS($O$2:$O$1092,O509,$Q$2:$Q$1092,"&gt;"&amp;Q509)+1,COUNTIFS($O$2:$O$1092,O509,$P$2:$P$1092,"Below Materiality",$M$2:$M$1092,"&gt;"&amp;M509)+COUNTIFS($O$2:$O$1092,O509,$P$2:$P$1092,"Below Materiality",$M$2:$M$1092,M509,$A$2:$A$1092,"&lt;"&amp;A509)+1))</f>
        <v/>
      </c>
      <c r="T509" s="22"/>
      <c r="U509" s="21" t="str">
        <f aca="false">IF(R509="","",O509&amp;"|A|"&amp;R509)</f>
        <v/>
      </c>
      <c r="V509" s="21" t="str">
        <f aca="false">IF(S509="","",O509&amp;"|R|"&amp;S509)</f>
        <v/>
      </c>
    </row>
    <row r="510" customFormat="false" ht="15" hidden="false" customHeight="false" outlineLevel="0" collapsed="false">
      <c r="A510" s="18" t="n">
        <v>509</v>
      </c>
      <c r="B510" s="18"/>
      <c r="C510" s="18"/>
      <c r="D510" s="18"/>
      <c r="E510" s="18" t="s">
        <v>1064</v>
      </c>
      <c r="F510" s="18" t="s">
        <v>417</v>
      </c>
      <c r="G510" s="18" t="s">
        <v>74</v>
      </c>
      <c r="H510" s="18" t="n">
        <v>279</v>
      </c>
      <c r="I510" s="19" t="n">
        <v>0</v>
      </c>
      <c r="J510" s="19" t="n">
        <v>276</v>
      </c>
      <c r="K510" s="19" t="n">
        <v>276</v>
      </c>
      <c r="L510" s="19" t="n">
        <v>0</v>
      </c>
      <c r="M510" s="19" t="n">
        <f aca="false">ABS(L510)</f>
        <v>0</v>
      </c>
      <c r="N510" s="18" t="str">
        <f aca="false">IF(L510=0,"Nil balance",IF(G510="AR file",IF(L510&gt;0,"Accounts Receivable","Customer Advances"),IF(L510&lt;0,"Accounts Payable","Supplier Advances")))</f>
        <v>Nil balance</v>
      </c>
      <c r="O510" s="18" t="str">
        <f aca="false">IF(L510=0,"Excluded",IF(Summary!$C$4="By ledger",IF(G510="AR file","Population 1","Population 2"),IF(L510&gt;0,"Population 1","Population 2")))</f>
        <v>Excluded</v>
      </c>
      <c r="P510" s="18" t="str">
        <f aca="false">IF(O510="Excluded","Excluded – nil closing balance",IF(M510&gt;Summary!$C$5,"Above Materiality","Below Materiality"))</f>
        <v>Excluded – nil closing balance</v>
      </c>
      <c r="Q510" s="20" t="str">
        <f aca="false">IF(P510="Below Materiality",T510,"")</f>
        <v/>
      </c>
      <c r="R510" s="21" t="str">
        <f aca="false">IF(P510="Above Materiality",COUNTIFS($O$2:$O$1092,O510,$P$2:$P$1092,"Above Materiality",$M$2:$M$1092,"&gt;"&amp;M510)+COUNTIFS($O$2:$O$1092,O510,$P$2:$P$1092,"Above Materiality",$M$2:$M$1092,M510,$A$2:$A$1092,"&lt;"&amp;A510)+1,"")</f>
        <v/>
      </c>
      <c r="S510" s="21" t="str">
        <f aca="false">IF(P510&lt;&gt;"Below Materiality","",IF(Summary!$C$9="Random",COUNTIFS($O$2:$O$1092,O510,$Q$2:$Q$1092,"&gt;"&amp;Q510)+1,COUNTIFS($O$2:$O$1092,O510,$P$2:$P$1092,"Below Materiality",$M$2:$M$1092,"&gt;"&amp;M510)+COUNTIFS($O$2:$O$1092,O510,$P$2:$P$1092,"Below Materiality",$M$2:$M$1092,M510,$A$2:$A$1092,"&lt;"&amp;A510)+1))</f>
        <v/>
      </c>
      <c r="T510" s="22"/>
      <c r="U510" s="21" t="str">
        <f aca="false">IF(R510="","",O510&amp;"|A|"&amp;R510)</f>
        <v/>
      </c>
      <c r="V510" s="21" t="str">
        <f aca="false">IF(S510="","",O510&amp;"|R|"&amp;S510)</f>
        <v/>
      </c>
    </row>
    <row r="511" customFormat="false" ht="15" hidden="false" customHeight="false" outlineLevel="0" collapsed="false">
      <c r="A511" s="18" t="n">
        <v>510</v>
      </c>
      <c r="B511" s="18"/>
      <c r="C511" s="18"/>
      <c r="D511" s="18"/>
      <c r="E511" s="18" t="s">
        <v>1065</v>
      </c>
      <c r="F511" s="18" t="s">
        <v>1066</v>
      </c>
      <c r="G511" s="18" t="s">
        <v>74</v>
      </c>
      <c r="H511" s="18" t="n">
        <v>280</v>
      </c>
      <c r="I511" s="19" t="n">
        <v>0</v>
      </c>
      <c r="J511" s="19" t="n">
        <v>3122</v>
      </c>
      <c r="K511" s="19" t="n">
        <v>3122</v>
      </c>
      <c r="L511" s="19" t="n">
        <v>0</v>
      </c>
      <c r="M511" s="19" t="n">
        <f aca="false">ABS(L511)</f>
        <v>0</v>
      </c>
      <c r="N511" s="18" t="str">
        <f aca="false">IF(L511=0,"Nil balance",IF(G511="AR file",IF(L511&gt;0,"Accounts Receivable","Customer Advances"),IF(L511&lt;0,"Accounts Payable","Supplier Advances")))</f>
        <v>Nil balance</v>
      </c>
      <c r="O511" s="18" t="str">
        <f aca="false">IF(L511=0,"Excluded",IF(Summary!$C$4="By ledger",IF(G511="AR file","Population 1","Population 2"),IF(L511&gt;0,"Population 1","Population 2")))</f>
        <v>Excluded</v>
      </c>
      <c r="P511" s="18" t="str">
        <f aca="false">IF(O511="Excluded","Excluded – nil closing balance",IF(M511&gt;Summary!$C$5,"Above Materiality","Below Materiality"))</f>
        <v>Excluded – nil closing balance</v>
      </c>
      <c r="Q511" s="20" t="str">
        <f aca="false">IF(P511="Below Materiality",T511,"")</f>
        <v/>
      </c>
      <c r="R511" s="21" t="str">
        <f aca="false">IF(P511="Above Materiality",COUNTIFS($O$2:$O$1092,O511,$P$2:$P$1092,"Above Materiality",$M$2:$M$1092,"&gt;"&amp;M511)+COUNTIFS($O$2:$O$1092,O511,$P$2:$P$1092,"Above Materiality",$M$2:$M$1092,M511,$A$2:$A$1092,"&lt;"&amp;A511)+1,"")</f>
        <v/>
      </c>
      <c r="S511" s="21" t="str">
        <f aca="false">IF(P511&lt;&gt;"Below Materiality","",IF(Summary!$C$9="Random",COUNTIFS($O$2:$O$1092,O511,$Q$2:$Q$1092,"&gt;"&amp;Q511)+1,COUNTIFS($O$2:$O$1092,O511,$P$2:$P$1092,"Below Materiality",$M$2:$M$1092,"&gt;"&amp;M511)+COUNTIFS($O$2:$O$1092,O511,$P$2:$P$1092,"Below Materiality",$M$2:$M$1092,M511,$A$2:$A$1092,"&lt;"&amp;A511)+1))</f>
        <v/>
      </c>
      <c r="T511" s="22"/>
      <c r="U511" s="21" t="str">
        <f aca="false">IF(R511="","",O511&amp;"|A|"&amp;R511)</f>
        <v/>
      </c>
      <c r="V511" s="21" t="str">
        <f aca="false">IF(S511="","",O511&amp;"|R|"&amp;S511)</f>
        <v/>
      </c>
    </row>
    <row r="512" customFormat="false" ht="15" hidden="false" customHeight="false" outlineLevel="0" collapsed="false">
      <c r="A512" s="18" t="n">
        <v>511</v>
      </c>
      <c r="B512" s="18"/>
      <c r="C512" s="18"/>
      <c r="D512" s="18"/>
      <c r="E512" s="18" t="s">
        <v>1067</v>
      </c>
      <c r="F512" s="18" t="s">
        <v>1068</v>
      </c>
      <c r="G512" s="18" t="s">
        <v>74</v>
      </c>
      <c r="H512" s="18" t="n">
        <v>281</v>
      </c>
      <c r="I512" s="19" t="n">
        <v>0</v>
      </c>
      <c r="J512" s="19" t="n">
        <v>300</v>
      </c>
      <c r="K512" s="19" t="n">
        <v>300</v>
      </c>
      <c r="L512" s="19" t="n">
        <v>0</v>
      </c>
      <c r="M512" s="19" t="n">
        <f aca="false">ABS(L512)</f>
        <v>0</v>
      </c>
      <c r="N512" s="18" t="str">
        <f aca="false">IF(L512=0,"Nil balance",IF(G512="AR file",IF(L512&gt;0,"Accounts Receivable","Customer Advances"),IF(L512&lt;0,"Accounts Payable","Supplier Advances")))</f>
        <v>Nil balance</v>
      </c>
      <c r="O512" s="18" t="str">
        <f aca="false">IF(L512=0,"Excluded",IF(Summary!$C$4="By ledger",IF(G512="AR file","Population 1","Population 2"),IF(L512&gt;0,"Population 1","Population 2")))</f>
        <v>Excluded</v>
      </c>
      <c r="P512" s="18" t="str">
        <f aca="false">IF(O512="Excluded","Excluded – nil closing balance",IF(M512&gt;Summary!$C$5,"Above Materiality","Below Materiality"))</f>
        <v>Excluded – nil closing balance</v>
      </c>
      <c r="Q512" s="20" t="str">
        <f aca="false">IF(P512="Below Materiality",T512,"")</f>
        <v/>
      </c>
      <c r="R512" s="21" t="str">
        <f aca="false">IF(P512="Above Materiality",COUNTIFS($O$2:$O$1092,O512,$P$2:$P$1092,"Above Materiality",$M$2:$M$1092,"&gt;"&amp;M512)+COUNTIFS($O$2:$O$1092,O512,$P$2:$P$1092,"Above Materiality",$M$2:$M$1092,M512,$A$2:$A$1092,"&lt;"&amp;A512)+1,"")</f>
        <v/>
      </c>
      <c r="S512" s="21" t="str">
        <f aca="false">IF(P512&lt;&gt;"Below Materiality","",IF(Summary!$C$9="Random",COUNTIFS($O$2:$O$1092,O512,$Q$2:$Q$1092,"&gt;"&amp;Q512)+1,COUNTIFS($O$2:$O$1092,O512,$P$2:$P$1092,"Below Materiality",$M$2:$M$1092,"&gt;"&amp;M512)+COUNTIFS($O$2:$O$1092,O512,$P$2:$P$1092,"Below Materiality",$M$2:$M$1092,M512,$A$2:$A$1092,"&lt;"&amp;A512)+1))</f>
        <v/>
      </c>
      <c r="T512" s="22"/>
      <c r="U512" s="21" t="str">
        <f aca="false">IF(R512="","",O512&amp;"|A|"&amp;R512)</f>
        <v/>
      </c>
      <c r="V512" s="21" t="str">
        <f aca="false">IF(S512="","",O512&amp;"|R|"&amp;S512)</f>
        <v/>
      </c>
    </row>
    <row r="513" customFormat="false" ht="15" hidden="false" customHeight="false" outlineLevel="0" collapsed="false">
      <c r="A513" s="18" t="n">
        <v>512</v>
      </c>
      <c r="B513" s="18"/>
      <c r="C513" s="18"/>
      <c r="D513" s="18"/>
      <c r="E513" s="18" t="s">
        <v>1069</v>
      </c>
      <c r="F513" s="18" t="s">
        <v>1070</v>
      </c>
      <c r="G513" s="18" t="s">
        <v>74</v>
      </c>
      <c r="H513" s="18" t="n">
        <v>282</v>
      </c>
      <c r="I513" s="19" t="n">
        <v>0</v>
      </c>
      <c r="J513" s="19" t="n">
        <v>46</v>
      </c>
      <c r="K513" s="19" t="n">
        <v>46</v>
      </c>
      <c r="L513" s="19" t="n">
        <v>0</v>
      </c>
      <c r="M513" s="19" t="n">
        <f aca="false">ABS(L513)</f>
        <v>0</v>
      </c>
      <c r="N513" s="18" t="str">
        <f aca="false">IF(L513=0,"Nil balance",IF(G513="AR file",IF(L513&gt;0,"Accounts Receivable","Customer Advances"),IF(L513&lt;0,"Accounts Payable","Supplier Advances")))</f>
        <v>Nil balance</v>
      </c>
      <c r="O513" s="18" t="str">
        <f aca="false">IF(L513=0,"Excluded",IF(Summary!$C$4="By ledger",IF(G513="AR file","Population 1","Population 2"),IF(L513&gt;0,"Population 1","Population 2")))</f>
        <v>Excluded</v>
      </c>
      <c r="P513" s="18" t="str">
        <f aca="false">IF(O513="Excluded","Excluded – nil closing balance",IF(M513&gt;Summary!$C$5,"Above Materiality","Below Materiality"))</f>
        <v>Excluded – nil closing balance</v>
      </c>
      <c r="Q513" s="20" t="str">
        <f aca="false">IF(P513="Below Materiality",T513,"")</f>
        <v/>
      </c>
      <c r="R513" s="21" t="str">
        <f aca="false">IF(P513="Above Materiality",COUNTIFS($O$2:$O$1092,O513,$P$2:$P$1092,"Above Materiality",$M$2:$M$1092,"&gt;"&amp;M513)+COUNTIFS($O$2:$O$1092,O513,$P$2:$P$1092,"Above Materiality",$M$2:$M$1092,M513,$A$2:$A$1092,"&lt;"&amp;A513)+1,"")</f>
        <v/>
      </c>
      <c r="S513" s="21" t="str">
        <f aca="false">IF(P513&lt;&gt;"Below Materiality","",IF(Summary!$C$9="Random",COUNTIFS($O$2:$O$1092,O513,$Q$2:$Q$1092,"&gt;"&amp;Q513)+1,COUNTIFS($O$2:$O$1092,O513,$P$2:$P$1092,"Below Materiality",$M$2:$M$1092,"&gt;"&amp;M513)+COUNTIFS($O$2:$O$1092,O513,$P$2:$P$1092,"Below Materiality",$M$2:$M$1092,M513,$A$2:$A$1092,"&lt;"&amp;A513)+1))</f>
        <v/>
      </c>
      <c r="T513" s="22"/>
      <c r="U513" s="21" t="str">
        <f aca="false">IF(R513="","",O513&amp;"|A|"&amp;R513)</f>
        <v/>
      </c>
      <c r="V513" s="21" t="str">
        <f aca="false">IF(S513="","",O513&amp;"|R|"&amp;S513)</f>
        <v/>
      </c>
    </row>
    <row r="514" customFormat="false" ht="15" hidden="false" customHeight="false" outlineLevel="0" collapsed="false">
      <c r="A514" s="18" t="n">
        <v>513</v>
      </c>
      <c r="B514" s="18"/>
      <c r="C514" s="18"/>
      <c r="D514" s="18"/>
      <c r="E514" s="18" t="s">
        <v>1071</v>
      </c>
      <c r="F514" s="18" t="s">
        <v>1072</v>
      </c>
      <c r="G514" s="18" t="s">
        <v>74</v>
      </c>
      <c r="H514" s="18" t="n">
        <v>283</v>
      </c>
      <c r="I514" s="19" t="n">
        <v>0</v>
      </c>
      <c r="J514" s="19" t="n">
        <v>1758.32</v>
      </c>
      <c r="K514" s="19" t="n">
        <v>1758.32</v>
      </c>
      <c r="L514" s="19" t="n">
        <v>0</v>
      </c>
      <c r="M514" s="19" t="n">
        <f aca="false">ABS(L514)</f>
        <v>0</v>
      </c>
      <c r="N514" s="18" t="str">
        <f aca="false">IF(L514=0,"Nil balance",IF(G514="AR file",IF(L514&gt;0,"Accounts Receivable","Customer Advances"),IF(L514&lt;0,"Accounts Payable","Supplier Advances")))</f>
        <v>Nil balance</v>
      </c>
      <c r="O514" s="18" t="str">
        <f aca="false">IF(L514=0,"Excluded",IF(Summary!$C$4="By ledger",IF(G514="AR file","Population 1","Population 2"),IF(L514&gt;0,"Population 1","Population 2")))</f>
        <v>Excluded</v>
      </c>
      <c r="P514" s="18" t="str">
        <f aca="false">IF(O514="Excluded","Excluded – nil closing balance",IF(M514&gt;Summary!$C$5,"Above Materiality","Below Materiality"))</f>
        <v>Excluded – nil closing balance</v>
      </c>
      <c r="Q514" s="20" t="str">
        <f aca="false">IF(P514="Below Materiality",T514,"")</f>
        <v/>
      </c>
      <c r="R514" s="21" t="str">
        <f aca="false">IF(P514="Above Materiality",COUNTIFS($O$2:$O$1092,O514,$P$2:$P$1092,"Above Materiality",$M$2:$M$1092,"&gt;"&amp;M514)+COUNTIFS($O$2:$O$1092,O514,$P$2:$P$1092,"Above Materiality",$M$2:$M$1092,M514,$A$2:$A$1092,"&lt;"&amp;A514)+1,"")</f>
        <v/>
      </c>
      <c r="S514" s="21" t="str">
        <f aca="false">IF(P514&lt;&gt;"Below Materiality","",IF(Summary!$C$9="Random",COUNTIFS($O$2:$O$1092,O514,$Q$2:$Q$1092,"&gt;"&amp;Q514)+1,COUNTIFS($O$2:$O$1092,O514,$P$2:$P$1092,"Below Materiality",$M$2:$M$1092,"&gt;"&amp;M514)+COUNTIFS($O$2:$O$1092,O514,$P$2:$P$1092,"Below Materiality",$M$2:$M$1092,M514,$A$2:$A$1092,"&lt;"&amp;A514)+1))</f>
        <v/>
      </c>
      <c r="T514" s="22"/>
      <c r="U514" s="21" t="str">
        <f aca="false">IF(R514="","",O514&amp;"|A|"&amp;R514)</f>
        <v/>
      </c>
      <c r="V514" s="21" t="str">
        <f aca="false">IF(S514="","",O514&amp;"|R|"&amp;S514)</f>
        <v/>
      </c>
    </row>
    <row r="515" customFormat="false" ht="15" hidden="false" customHeight="false" outlineLevel="0" collapsed="false">
      <c r="A515" s="18" t="n">
        <v>514</v>
      </c>
      <c r="B515" s="18"/>
      <c r="C515" s="18"/>
      <c r="D515" s="18"/>
      <c r="E515" s="18" t="s">
        <v>1073</v>
      </c>
      <c r="F515" s="18" t="s">
        <v>1074</v>
      </c>
      <c r="G515" s="18" t="s">
        <v>74</v>
      </c>
      <c r="H515" s="18" t="n">
        <v>284</v>
      </c>
      <c r="I515" s="19" t="n">
        <v>-1554</v>
      </c>
      <c r="J515" s="19" t="n">
        <v>9357.55</v>
      </c>
      <c r="K515" s="19" t="n">
        <v>7803.55</v>
      </c>
      <c r="L515" s="19" t="n">
        <v>0</v>
      </c>
      <c r="M515" s="19" t="n">
        <f aca="false">ABS(L515)</f>
        <v>0</v>
      </c>
      <c r="N515" s="18" t="str">
        <f aca="false">IF(L515=0,"Nil balance",IF(G515="AR file",IF(L515&gt;0,"Accounts Receivable","Customer Advances"),IF(L515&lt;0,"Accounts Payable","Supplier Advances")))</f>
        <v>Nil balance</v>
      </c>
      <c r="O515" s="18" t="str">
        <f aca="false">IF(L515=0,"Excluded",IF(Summary!$C$4="By ledger",IF(G515="AR file","Population 1","Population 2"),IF(L515&gt;0,"Population 1","Population 2")))</f>
        <v>Excluded</v>
      </c>
      <c r="P515" s="18" t="str">
        <f aca="false">IF(O515="Excluded","Excluded – nil closing balance",IF(M515&gt;Summary!$C$5,"Above Materiality","Below Materiality"))</f>
        <v>Excluded – nil closing balance</v>
      </c>
      <c r="Q515" s="20" t="str">
        <f aca="false">IF(P515="Below Materiality",T515,"")</f>
        <v/>
      </c>
      <c r="R515" s="21" t="str">
        <f aca="false">IF(P515="Above Materiality",COUNTIFS($O$2:$O$1092,O515,$P$2:$P$1092,"Above Materiality",$M$2:$M$1092,"&gt;"&amp;M515)+COUNTIFS($O$2:$O$1092,O515,$P$2:$P$1092,"Above Materiality",$M$2:$M$1092,M515,$A$2:$A$1092,"&lt;"&amp;A515)+1,"")</f>
        <v/>
      </c>
      <c r="S515" s="21" t="str">
        <f aca="false">IF(P515&lt;&gt;"Below Materiality","",IF(Summary!$C$9="Random",COUNTIFS($O$2:$O$1092,O515,$Q$2:$Q$1092,"&gt;"&amp;Q515)+1,COUNTIFS($O$2:$O$1092,O515,$P$2:$P$1092,"Below Materiality",$M$2:$M$1092,"&gt;"&amp;M515)+COUNTIFS($O$2:$O$1092,O515,$P$2:$P$1092,"Below Materiality",$M$2:$M$1092,M515,$A$2:$A$1092,"&lt;"&amp;A515)+1))</f>
        <v/>
      </c>
      <c r="T515" s="22"/>
      <c r="U515" s="21" t="str">
        <f aca="false">IF(R515="","",O515&amp;"|A|"&amp;R515)</f>
        <v/>
      </c>
      <c r="V515" s="21" t="str">
        <f aca="false">IF(S515="","",O515&amp;"|R|"&amp;S515)</f>
        <v/>
      </c>
    </row>
    <row r="516" customFormat="false" ht="15" hidden="false" customHeight="false" outlineLevel="0" collapsed="false">
      <c r="A516" s="18" t="n">
        <v>515</v>
      </c>
      <c r="B516" s="18"/>
      <c r="C516" s="18"/>
      <c r="D516" s="18"/>
      <c r="E516" s="18" t="s">
        <v>1075</v>
      </c>
      <c r="F516" s="18" t="s">
        <v>1076</v>
      </c>
      <c r="G516" s="18" t="s">
        <v>74</v>
      </c>
      <c r="H516" s="18" t="n">
        <v>287</v>
      </c>
      <c r="I516" s="19" t="n">
        <v>0</v>
      </c>
      <c r="J516" s="19" t="n">
        <v>414</v>
      </c>
      <c r="K516" s="19" t="n">
        <v>414</v>
      </c>
      <c r="L516" s="19" t="n">
        <v>0</v>
      </c>
      <c r="M516" s="19" t="n">
        <f aca="false">ABS(L516)</f>
        <v>0</v>
      </c>
      <c r="N516" s="18" t="str">
        <f aca="false">IF(L516=0,"Nil balance",IF(G516="AR file",IF(L516&gt;0,"Accounts Receivable","Customer Advances"),IF(L516&lt;0,"Accounts Payable","Supplier Advances")))</f>
        <v>Nil balance</v>
      </c>
      <c r="O516" s="18" t="str">
        <f aca="false">IF(L516=0,"Excluded",IF(Summary!$C$4="By ledger",IF(G516="AR file","Population 1","Population 2"),IF(L516&gt;0,"Population 1","Population 2")))</f>
        <v>Excluded</v>
      </c>
      <c r="P516" s="18" t="str">
        <f aca="false">IF(O516="Excluded","Excluded – nil closing balance",IF(M516&gt;Summary!$C$5,"Above Materiality","Below Materiality"))</f>
        <v>Excluded – nil closing balance</v>
      </c>
      <c r="Q516" s="20" t="str">
        <f aca="false">IF(P516="Below Materiality",T516,"")</f>
        <v/>
      </c>
      <c r="R516" s="21" t="str">
        <f aca="false">IF(P516="Above Materiality",COUNTIFS($O$2:$O$1092,O516,$P$2:$P$1092,"Above Materiality",$M$2:$M$1092,"&gt;"&amp;M516)+COUNTIFS($O$2:$O$1092,O516,$P$2:$P$1092,"Above Materiality",$M$2:$M$1092,M516,$A$2:$A$1092,"&lt;"&amp;A516)+1,"")</f>
        <v/>
      </c>
      <c r="S516" s="21" t="str">
        <f aca="false">IF(P516&lt;&gt;"Below Materiality","",IF(Summary!$C$9="Random",COUNTIFS($O$2:$O$1092,O516,$Q$2:$Q$1092,"&gt;"&amp;Q516)+1,COUNTIFS($O$2:$O$1092,O516,$P$2:$P$1092,"Below Materiality",$M$2:$M$1092,"&gt;"&amp;M516)+COUNTIFS($O$2:$O$1092,O516,$P$2:$P$1092,"Below Materiality",$M$2:$M$1092,M516,$A$2:$A$1092,"&lt;"&amp;A516)+1))</f>
        <v/>
      </c>
      <c r="T516" s="22"/>
      <c r="U516" s="21" t="str">
        <f aca="false">IF(R516="","",O516&amp;"|A|"&amp;R516)</f>
        <v/>
      </c>
      <c r="V516" s="21" t="str">
        <f aca="false">IF(S516="","",O516&amp;"|R|"&amp;S516)</f>
        <v/>
      </c>
    </row>
    <row r="517" customFormat="false" ht="15" hidden="false" customHeight="false" outlineLevel="0" collapsed="false">
      <c r="A517" s="18" t="n">
        <v>516</v>
      </c>
      <c r="B517" s="18"/>
      <c r="C517" s="18"/>
      <c r="D517" s="18"/>
      <c r="E517" s="18" t="s">
        <v>1077</v>
      </c>
      <c r="F517" s="18" t="s">
        <v>1076</v>
      </c>
      <c r="G517" s="18" t="s">
        <v>74</v>
      </c>
      <c r="H517" s="18" t="n">
        <v>288</v>
      </c>
      <c r="I517" s="19" t="n">
        <v>0</v>
      </c>
      <c r="J517" s="19" t="n">
        <v>414</v>
      </c>
      <c r="K517" s="19" t="n">
        <v>414</v>
      </c>
      <c r="L517" s="19" t="n">
        <v>0</v>
      </c>
      <c r="M517" s="19" t="n">
        <f aca="false">ABS(L517)</f>
        <v>0</v>
      </c>
      <c r="N517" s="18" t="str">
        <f aca="false">IF(L517=0,"Nil balance",IF(G517="AR file",IF(L517&gt;0,"Accounts Receivable","Customer Advances"),IF(L517&lt;0,"Accounts Payable","Supplier Advances")))</f>
        <v>Nil balance</v>
      </c>
      <c r="O517" s="18" t="str">
        <f aca="false">IF(L517=0,"Excluded",IF(Summary!$C$4="By ledger",IF(G517="AR file","Population 1","Population 2"),IF(L517&gt;0,"Population 1","Population 2")))</f>
        <v>Excluded</v>
      </c>
      <c r="P517" s="18" t="str">
        <f aca="false">IF(O517="Excluded","Excluded – nil closing balance",IF(M517&gt;Summary!$C$5,"Above Materiality","Below Materiality"))</f>
        <v>Excluded – nil closing balance</v>
      </c>
      <c r="Q517" s="20" t="str">
        <f aca="false">IF(P517="Below Materiality",T517,"")</f>
        <v/>
      </c>
      <c r="R517" s="21" t="str">
        <f aca="false">IF(P517="Above Materiality",COUNTIFS($O$2:$O$1092,O517,$P$2:$P$1092,"Above Materiality",$M$2:$M$1092,"&gt;"&amp;M517)+COUNTIFS($O$2:$O$1092,O517,$P$2:$P$1092,"Above Materiality",$M$2:$M$1092,M517,$A$2:$A$1092,"&lt;"&amp;A517)+1,"")</f>
        <v/>
      </c>
      <c r="S517" s="21" t="str">
        <f aca="false">IF(P517&lt;&gt;"Below Materiality","",IF(Summary!$C$9="Random",COUNTIFS($O$2:$O$1092,O517,$Q$2:$Q$1092,"&gt;"&amp;Q517)+1,COUNTIFS($O$2:$O$1092,O517,$P$2:$P$1092,"Below Materiality",$M$2:$M$1092,"&gt;"&amp;M517)+COUNTIFS($O$2:$O$1092,O517,$P$2:$P$1092,"Below Materiality",$M$2:$M$1092,M517,$A$2:$A$1092,"&lt;"&amp;A517)+1))</f>
        <v/>
      </c>
      <c r="T517" s="22"/>
      <c r="U517" s="21" t="str">
        <f aca="false">IF(R517="","",O517&amp;"|A|"&amp;R517)</f>
        <v/>
      </c>
      <c r="V517" s="21" t="str">
        <f aca="false">IF(S517="","",O517&amp;"|R|"&amp;S517)</f>
        <v/>
      </c>
    </row>
    <row r="518" customFormat="false" ht="15" hidden="false" customHeight="false" outlineLevel="0" collapsed="false">
      <c r="A518" s="18" t="n">
        <v>517</v>
      </c>
      <c r="B518" s="18"/>
      <c r="C518" s="18"/>
      <c r="D518" s="18"/>
      <c r="E518" s="18" t="s">
        <v>1078</v>
      </c>
      <c r="F518" s="18" t="s">
        <v>1079</v>
      </c>
      <c r="G518" s="18" t="s">
        <v>74</v>
      </c>
      <c r="H518" s="18" t="n">
        <v>289</v>
      </c>
      <c r="I518" s="19" t="n">
        <v>0</v>
      </c>
      <c r="J518" s="19" t="n">
        <v>172.5</v>
      </c>
      <c r="K518" s="19" t="n">
        <v>172.5</v>
      </c>
      <c r="L518" s="19" t="n">
        <v>0</v>
      </c>
      <c r="M518" s="19" t="n">
        <f aca="false">ABS(L518)</f>
        <v>0</v>
      </c>
      <c r="N518" s="18" t="str">
        <f aca="false">IF(L518=0,"Nil balance",IF(G518="AR file",IF(L518&gt;0,"Accounts Receivable","Customer Advances"),IF(L518&lt;0,"Accounts Payable","Supplier Advances")))</f>
        <v>Nil balance</v>
      </c>
      <c r="O518" s="18" t="str">
        <f aca="false">IF(L518=0,"Excluded",IF(Summary!$C$4="By ledger",IF(G518="AR file","Population 1","Population 2"),IF(L518&gt;0,"Population 1","Population 2")))</f>
        <v>Excluded</v>
      </c>
      <c r="P518" s="18" t="str">
        <f aca="false">IF(O518="Excluded","Excluded – nil closing balance",IF(M518&gt;Summary!$C$5,"Above Materiality","Below Materiality"))</f>
        <v>Excluded – nil closing balance</v>
      </c>
      <c r="Q518" s="20" t="str">
        <f aca="false">IF(P518="Below Materiality",T518,"")</f>
        <v/>
      </c>
      <c r="R518" s="21" t="str">
        <f aca="false">IF(P518="Above Materiality",COUNTIFS($O$2:$O$1092,O518,$P$2:$P$1092,"Above Materiality",$M$2:$M$1092,"&gt;"&amp;M518)+COUNTIFS($O$2:$O$1092,O518,$P$2:$P$1092,"Above Materiality",$M$2:$M$1092,M518,$A$2:$A$1092,"&lt;"&amp;A518)+1,"")</f>
        <v/>
      </c>
      <c r="S518" s="21" t="str">
        <f aca="false">IF(P518&lt;&gt;"Below Materiality","",IF(Summary!$C$9="Random",COUNTIFS($O$2:$O$1092,O518,$Q$2:$Q$1092,"&gt;"&amp;Q518)+1,COUNTIFS($O$2:$O$1092,O518,$P$2:$P$1092,"Below Materiality",$M$2:$M$1092,"&gt;"&amp;M518)+COUNTIFS($O$2:$O$1092,O518,$P$2:$P$1092,"Below Materiality",$M$2:$M$1092,M518,$A$2:$A$1092,"&lt;"&amp;A518)+1))</f>
        <v/>
      </c>
      <c r="T518" s="22"/>
      <c r="U518" s="21" t="str">
        <f aca="false">IF(R518="","",O518&amp;"|A|"&amp;R518)</f>
        <v/>
      </c>
      <c r="V518" s="21" t="str">
        <f aca="false">IF(S518="","",O518&amp;"|R|"&amp;S518)</f>
        <v/>
      </c>
    </row>
    <row r="519" customFormat="false" ht="15" hidden="false" customHeight="false" outlineLevel="0" collapsed="false">
      <c r="A519" s="18" t="n">
        <v>518</v>
      </c>
      <c r="B519" s="18"/>
      <c r="C519" s="18"/>
      <c r="D519" s="18"/>
      <c r="E519" s="18" t="s">
        <v>1080</v>
      </c>
      <c r="F519" s="18" t="s">
        <v>1081</v>
      </c>
      <c r="G519" s="18" t="s">
        <v>74</v>
      </c>
      <c r="H519" s="18" t="n">
        <v>290</v>
      </c>
      <c r="I519" s="19" t="n">
        <v>0</v>
      </c>
      <c r="J519" s="19" t="n">
        <v>391</v>
      </c>
      <c r="K519" s="19" t="n">
        <v>391</v>
      </c>
      <c r="L519" s="19" t="n">
        <v>0</v>
      </c>
      <c r="M519" s="19" t="n">
        <f aca="false">ABS(L519)</f>
        <v>0</v>
      </c>
      <c r="N519" s="18" t="str">
        <f aca="false">IF(L519=0,"Nil balance",IF(G519="AR file",IF(L519&gt;0,"Accounts Receivable","Customer Advances"),IF(L519&lt;0,"Accounts Payable","Supplier Advances")))</f>
        <v>Nil balance</v>
      </c>
      <c r="O519" s="18" t="str">
        <f aca="false">IF(L519=0,"Excluded",IF(Summary!$C$4="By ledger",IF(G519="AR file","Population 1","Population 2"),IF(L519&gt;0,"Population 1","Population 2")))</f>
        <v>Excluded</v>
      </c>
      <c r="P519" s="18" t="str">
        <f aca="false">IF(O519="Excluded","Excluded – nil closing balance",IF(M519&gt;Summary!$C$5,"Above Materiality","Below Materiality"))</f>
        <v>Excluded – nil closing balance</v>
      </c>
      <c r="Q519" s="20" t="str">
        <f aca="false">IF(P519="Below Materiality",T519,"")</f>
        <v/>
      </c>
      <c r="R519" s="21" t="str">
        <f aca="false">IF(P519="Above Materiality",COUNTIFS($O$2:$O$1092,O519,$P$2:$P$1092,"Above Materiality",$M$2:$M$1092,"&gt;"&amp;M519)+COUNTIFS($O$2:$O$1092,O519,$P$2:$P$1092,"Above Materiality",$M$2:$M$1092,M519,$A$2:$A$1092,"&lt;"&amp;A519)+1,"")</f>
        <v/>
      </c>
      <c r="S519" s="21" t="str">
        <f aca="false">IF(P519&lt;&gt;"Below Materiality","",IF(Summary!$C$9="Random",COUNTIFS($O$2:$O$1092,O519,$Q$2:$Q$1092,"&gt;"&amp;Q519)+1,COUNTIFS($O$2:$O$1092,O519,$P$2:$P$1092,"Below Materiality",$M$2:$M$1092,"&gt;"&amp;M519)+COUNTIFS($O$2:$O$1092,O519,$P$2:$P$1092,"Below Materiality",$M$2:$M$1092,M519,$A$2:$A$1092,"&lt;"&amp;A519)+1))</f>
        <v/>
      </c>
      <c r="T519" s="22"/>
      <c r="U519" s="21" t="str">
        <f aca="false">IF(R519="","",O519&amp;"|A|"&amp;R519)</f>
        <v/>
      </c>
      <c r="V519" s="21" t="str">
        <f aca="false">IF(S519="","",O519&amp;"|R|"&amp;S519)</f>
        <v/>
      </c>
    </row>
    <row r="520" customFormat="false" ht="15" hidden="false" customHeight="false" outlineLevel="0" collapsed="false">
      <c r="A520" s="18" t="n">
        <v>519</v>
      </c>
      <c r="B520" s="18"/>
      <c r="C520" s="18"/>
      <c r="D520" s="18"/>
      <c r="E520" s="18" t="s">
        <v>1082</v>
      </c>
      <c r="F520" s="18" t="s">
        <v>425</v>
      </c>
      <c r="G520" s="18" t="s">
        <v>74</v>
      </c>
      <c r="H520" s="18" t="n">
        <v>291</v>
      </c>
      <c r="I520" s="19" t="n">
        <v>0</v>
      </c>
      <c r="J520" s="19" t="n">
        <v>34.5</v>
      </c>
      <c r="K520" s="19" t="n">
        <v>34.5</v>
      </c>
      <c r="L520" s="19" t="n">
        <v>0</v>
      </c>
      <c r="M520" s="19" t="n">
        <f aca="false">ABS(L520)</f>
        <v>0</v>
      </c>
      <c r="N520" s="18" t="str">
        <f aca="false">IF(L520=0,"Nil balance",IF(G520="AR file",IF(L520&gt;0,"Accounts Receivable","Customer Advances"),IF(L520&lt;0,"Accounts Payable","Supplier Advances")))</f>
        <v>Nil balance</v>
      </c>
      <c r="O520" s="18" t="str">
        <f aca="false">IF(L520=0,"Excluded",IF(Summary!$C$4="By ledger",IF(G520="AR file","Population 1","Population 2"),IF(L520&gt;0,"Population 1","Population 2")))</f>
        <v>Excluded</v>
      </c>
      <c r="P520" s="18" t="str">
        <f aca="false">IF(O520="Excluded","Excluded – nil closing balance",IF(M520&gt;Summary!$C$5,"Above Materiality","Below Materiality"))</f>
        <v>Excluded – nil closing balance</v>
      </c>
      <c r="Q520" s="20" t="str">
        <f aca="false">IF(P520="Below Materiality",T520,"")</f>
        <v/>
      </c>
      <c r="R520" s="21" t="str">
        <f aca="false">IF(P520="Above Materiality",COUNTIFS($O$2:$O$1092,O520,$P$2:$P$1092,"Above Materiality",$M$2:$M$1092,"&gt;"&amp;M520)+COUNTIFS($O$2:$O$1092,O520,$P$2:$P$1092,"Above Materiality",$M$2:$M$1092,M520,$A$2:$A$1092,"&lt;"&amp;A520)+1,"")</f>
        <v/>
      </c>
      <c r="S520" s="21" t="str">
        <f aca="false">IF(P520&lt;&gt;"Below Materiality","",IF(Summary!$C$9="Random",COUNTIFS($O$2:$O$1092,O520,$Q$2:$Q$1092,"&gt;"&amp;Q520)+1,COUNTIFS($O$2:$O$1092,O520,$P$2:$P$1092,"Below Materiality",$M$2:$M$1092,"&gt;"&amp;M520)+COUNTIFS($O$2:$O$1092,O520,$P$2:$P$1092,"Below Materiality",$M$2:$M$1092,M520,$A$2:$A$1092,"&lt;"&amp;A520)+1))</f>
        <v/>
      </c>
      <c r="T520" s="22"/>
      <c r="U520" s="21" t="str">
        <f aca="false">IF(R520="","",O520&amp;"|A|"&amp;R520)</f>
        <v/>
      </c>
      <c r="V520" s="21" t="str">
        <f aca="false">IF(S520="","",O520&amp;"|R|"&amp;S520)</f>
        <v/>
      </c>
    </row>
    <row r="521" customFormat="false" ht="15" hidden="false" customHeight="false" outlineLevel="0" collapsed="false">
      <c r="A521" s="18" t="n">
        <v>520</v>
      </c>
      <c r="B521" s="18"/>
      <c r="C521" s="18"/>
      <c r="D521" s="18"/>
      <c r="E521" s="18" t="s">
        <v>1083</v>
      </c>
      <c r="F521" s="18" t="s">
        <v>540</v>
      </c>
      <c r="G521" s="18" t="s">
        <v>74</v>
      </c>
      <c r="H521" s="18" t="n">
        <v>292</v>
      </c>
      <c r="I521" s="19" t="n">
        <v>0</v>
      </c>
      <c r="J521" s="19" t="n">
        <v>345</v>
      </c>
      <c r="K521" s="19" t="n">
        <v>345</v>
      </c>
      <c r="L521" s="19" t="n">
        <v>0</v>
      </c>
      <c r="M521" s="19" t="n">
        <f aca="false">ABS(L521)</f>
        <v>0</v>
      </c>
      <c r="N521" s="18" t="str">
        <f aca="false">IF(L521=0,"Nil balance",IF(G521="AR file",IF(L521&gt;0,"Accounts Receivable","Customer Advances"),IF(L521&lt;0,"Accounts Payable","Supplier Advances")))</f>
        <v>Nil balance</v>
      </c>
      <c r="O521" s="18" t="str">
        <f aca="false">IF(L521=0,"Excluded",IF(Summary!$C$4="By ledger",IF(G521="AR file","Population 1","Population 2"),IF(L521&gt;0,"Population 1","Population 2")))</f>
        <v>Excluded</v>
      </c>
      <c r="P521" s="18" t="str">
        <f aca="false">IF(O521="Excluded","Excluded – nil closing balance",IF(M521&gt;Summary!$C$5,"Above Materiality","Below Materiality"))</f>
        <v>Excluded – nil closing balance</v>
      </c>
      <c r="Q521" s="20" t="str">
        <f aca="false">IF(P521="Below Materiality",T521,"")</f>
        <v/>
      </c>
      <c r="R521" s="21" t="str">
        <f aca="false">IF(P521="Above Materiality",COUNTIFS($O$2:$O$1092,O521,$P$2:$P$1092,"Above Materiality",$M$2:$M$1092,"&gt;"&amp;M521)+COUNTIFS($O$2:$O$1092,O521,$P$2:$P$1092,"Above Materiality",$M$2:$M$1092,M521,$A$2:$A$1092,"&lt;"&amp;A521)+1,"")</f>
        <v/>
      </c>
      <c r="S521" s="21" t="str">
        <f aca="false">IF(P521&lt;&gt;"Below Materiality","",IF(Summary!$C$9="Random",COUNTIFS($O$2:$O$1092,O521,$Q$2:$Q$1092,"&gt;"&amp;Q521)+1,COUNTIFS($O$2:$O$1092,O521,$P$2:$P$1092,"Below Materiality",$M$2:$M$1092,"&gt;"&amp;M521)+COUNTIFS($O$2:$O$1092,O521,$P$2:$P$1092,"Below Materiality",$M$2:$M$1092,M521,$A$2:$A$1092,"&lt;"&amp;A521)+1))</f>
        <v/>
      </c>
      <c r="T521" s="22"/>
      <c r="U521" s="21" t="str">
        <f aca="false">IF(R521="","",O521&amp;"|A|"&amp;R521)</f>
        <v/>
      </c>
      <c r="V521" s="21" t="str">
        <f aca="false">IF(S521="","",O521&amp;"|R|"&amp;S521)</f>
        <v/>
      </c>
    </row>
    <row r="522" customFormat="false" ht="15" hidden="false" customHeight="false" outlineLevel="0" collapsed="false">
      <c r="A522" s="18" t="n">
        <v>521</v>
      </c>
      <c r="B522" s="18"/>
      <c r="C522" s="18"/>
      <c r="D522" s="18"/>
      <c r="E522" s="18" t="s">
        <v>1084</v>
      </c>
      <c r="F522" s="18" t="s">
        <v>1085</v>
      </c>
      <c r="G522" s="18" t="s">
        <v>74</v>
      </c>
      <c r="H522" s="18" t="n">
        <v>293</v>
      </c>
      <c r="I522" s="19" t="n">
        <v>60.01</v>
      </c>
      <c r="J522" s="19" t="n">
        <v>0</v>
      </c>
      <c r="K522" s="19" t="n">
        <v>60.01</v>
      </c>
      <c r="L522" s="19" t="n">
        <v>0</v>
      </c>
      <c r="M522" s="19" t="n">
        <f aca="false">ABS(L522)</f>
        <v>0</v>
      </c>
      <c r="N522" s="18" t="str">
        <f aca="false">IF(L522=0,"Nil balance",IF(G522="AR file",IF(L522&gt;0,"Accounts Receivable","Customer Advances"),IF(L522&lt;0,"Accounts Payable","Supplier Advances")))</f>
        <v>Nil balance</v>
      </c>
      <c r="O522" s="18" t="str">
        <f aca="false">IF(L522=0,"Excluded",IF(Summary!$C$4="By ledger",IF(G522="AR file","Population 1","Population 2"),IF(L522&gt;0,"Population 1","Population 2")))</f>
        <v>Excluded</v>
      </c>
      <c r="P522" s="18" t="str">
        <f aca="false">IF(O522="Excluded","Excluded – nil closing balance",IF(M522&gt;Summary!$C$5,"Above Materiality","Below Materiality"))</f>
        <v>Excluded – nil closing balance</v>
      </c>
      <c r="Q522" s="20" t="str">
        <f aca="false">IF(P522="Below Materiality",T522,"")</f>
        <v/>
      </c>
      <c r="R522" s="21" t="str">
        <f aca="false">IF(P522="Above Materiality",COUNTIFS($O$2:$O$1092,O522,$P$2:$P$1092,"Above Materiality",$M$2:$M$1092,"&gt;"&amp;M522)+COUNTIFS($O$2:$O$1092,O522,$P$2:$P$1092,"Above Materiality",$M$2:$M$1092,M522,$A$2:$A$1092,"&lt;"&amp;A522)+1,"")</f>
        <v/>
      </c>
      <c r="S522" s="21" t="str">
        <f aca="false">IF(P522&lt;&gt;"Below Materiality","",IF(Summary!$C$9="Random",COUNTIFS($O$2:$O$1092,O522,$Q$2:$Q$1092,"&gt;"&amp;Q522)+1,COUNTIFS($O$2:$O$1092,O522,$P$2:$P$1092,"Below Materiality",$M$2:$M$1092,"&gt;"&amp;M522)+COUNTIFS($O$2:$O$1092,O522,$P$2:$P$1092,"Below Materiality",$M$2:$M$1092,M522,$A$2:$A$1092,"&lt;"&amp;A522)+1))</f>
        <v/>
      </c>
      <c r="T522" s="22"/>
      <c r="U522" s="21" t="str">
        <f aca="false">IF(R522="","",O522&amp;"|A|"&amp;R522)</f>
        <v/>
      </c>
      <c r="V522" s="21" t="str">
        <f aca="false">IF(S522="","",O522&amp;"|R|"&amp;S522)</f>
        <v/>
      </c>
    </row>
    <row r="523" customFormat="false" ht="15" hidden="false" customHeight="false" outlineLevel="0" collapsed="false">
      <c r="A523" s="18" t="n">
        <v>522</v>
      </c>
      <c r="B523" s="18"/>
      <c r="C523" s="18"/>
      <c r="D523" s="18"/>
      <c r="E523" s="18" t="s">
        <v>1086</v>
      </c>
      <c r="F523" s="18" t="s">
        <v>886</v>
      </c>
      <c r="G523" s="18" t="s">
        <v>74</v>
      </c>
      <c r="H523" s="18" t="n">
        <v>294</v>
      </c>
      <c r="I523" s="19" t="n">
        <v>0</v>
      </c>
      <c r="J523" s="19" t="n">
        <v>30</v>
      </c>
      <c r="K523" s="19" t="n">
        <v>30</v>
      </c>
      <c r="L523" s="19" t="n">
        <v>0</v>
      </c>
      <c r="M523" s="19" t="n">
        <f aca="false">ABS(L523)</f>
        <v>0</v>
      </c>
      <c r="N523" s="18" t="str">
        <f aca="false">IF(L523=0,"Nil balance",IF(G523="AR file",IF(L523&gt;0,"Accounts Receivable","Customer Advances"),IF(L523&lt;0,"Accounts Payable","Supplier Advances")))</f>
        <v>Nil balance</v>
      </c>
      <c r="O523" s="18" t="str">
        <f aca="false">IF(L523=0,"Excluded",IF(Summary!$C$4="By ledger",IF(G523="AR file","Population 1","Population 2"),IF(L523&gt;0,"Population 1","Population 2")))</f>
        <v>Excluded</v>
      </c>
      <c r="P523" s="18" t="str">
        <f aca="false">IF(O523="Excluded","Excluded – nil closing balance",IF(M523&gt;Summary!$C$5,"Above Materiality","Below Materiality"))</f>
        <v>Excluded – nil closing balance</v>
      </c>
      <c r="Q523" s="20" t="str">
        <f aca="false">IF(P523="Below Materiality",T523,"")</f>
        <v/>
      </c>
      <c r="R523" s="21" t="str">
        <f aca="false">IF(P523="Above Materiality",COUNTIFS($O$2:$O$1092,O523,$P$2:$P$1092,"Above Materiality",$M$2:$M$1092,"&gt;"&amp;M523)+COUNTIFS($O$2:$O$1092,O523,$P$2:$P$1092,"Above Materiality",$M$2:$M$1092,M523,$A$2:$A$1092,"&lt;"&amp;A523)+1,"")</f>
        <v/>
      </c>
      <c r="S523" s="21" t="str">
        <f aca="false">IF(P523&lt;&gt;"Below Materiality","",IF(Summary!$C$9="Random",COUNTIFS($O$2:$O$1092,O523,$Q$2:$Q$1092,"&gt;"&amp;Q523)+1,COUNTIFS($O$2:$O$1092,O523,$P$2:$P$1092,"Below Materiality",$M$2:$M$1092,"&gt;"&amp;M523)+COUNTIFS($O$2:$O$1092,O523,$P$2:$P$1092,"Below Materiality",$M$2:$M$1092,M523,$A$2:$A$1092,"&lt;"&amp;A523)+1))</f>
        <v/>
      </c>
      <c r="T523" s="22"/>
      <c r="U523" s="21" t="str">
        <f aca="false">IF(R523="","",O523&amp;"|A|"&amp;R523)</f>
        <v/>
      </c>
      <c r="V523" s="21" t="str">
        <f aca="false">IF(S523="","",O523&amp;"|R|"&amp;S523)</f>
        <v/>
      </c>
    </row>
    <row r="524" customFormat="false" ht="15" hidden="false" customHeight="false" outlineLevel="0" collapsed="false">
      <c r="A524" s="18" t="n">
        <v>523</v>
      </c>
      <c r="B524" s="18"/>
      <c r="C524" s="18"/>
      <c r="D524" s="18"/>
      <c r="E524" s="18" t="s">
        <v>1087</v>
      </c>
      <c r="F524" s="18" t="s">
        <v>425</v>
      </c>
      <c r="G524" s="18" t="s">
        <v>74</v>
      </c>
      <c r="H524" s="18" t="n">
        <v>295</v>
      </c>
      <c r="I524" s="19" t="n">
        <v>0</v>
      </c>
      <c r="J524" s="19" t="n">
        <v>34.5</v>
      </c>
      <c r="K524" s="19" t="n">
        <v>34.5</v>
      </c>
      <c r="L524" s="19" t="n">
        <v>0</v>
      </c>
      <c r="M524" s="19" t="n">
        <f aca="false">ABS(L524)</f>
        <v>0</v>
      </c>
      <c r="N524" s="18" t="str">
        <f aca="false">IF(L524=0,"Nil balance",IF(G524="AR file",IF(L524&gt;0,"Accounts Receivable","Customer Advances"),IF(L524&lt;0,"Accounts Payable","Supplier Advances")))</f>
        <v>Nil balance</v>
      </c>
      <c r="O524" s="18" t="str">
        <f aca="false">IF(L524=0,"Excluded",IF(Summary!$C$4="By ledger",IF(G524="AR file","Population 1","Population 2"),IF(L524&gt;0,"Population 1","Population 2")))</f>
        <v>Excluded</v>
      </c>
      <c r="P524" s="18" t="str">
        <f aca="false">IF(O524="Excluded","Excluded – nil closing balance",IF(M524&gt;Summary!$C$5,"Above Materiality","Below Materiality"))</f>
        <v>Excluded – nil closing balance</v>
      </c>
      <c r="Q524" s="20" t="str">
        <f aca="false">IF(P524="Below Materiality",T524,"")</f>
        <v/>
      </c>
      <c r="R524" s="21" t="str">
        <f aca="false">IF(P524="Above Materiality",COUNTIFS($O$2:$O$1092,O524,$P$2:$P$1092,"Above Materiality",$M$2:$M$1092,"&gt;"&amp;M524)+COUNTIFS($O$2:$O$1092,O524,$P$2:$P$1092,"Above Materiality",$M$2:$M$1092,M524,$A$2:$A$1092,"&lt;"&amp;A524)+1,"")</f>
        <v/>
      </c>
      <c r="S524" s="21" t="str">
        <f aca="false">IF(P524&lt;&gt;"Below Materiality","",IF(Summary!$C$9="Random",COUNTIFS($O$2:$O$1092,O524,$Q$2:$Q$1092,"&gt;"&amp;Q524)+1,COUNTIFS($O$2:$O$1092,O524,$P$2:$P$1092,"Below Materiality",$M$2:$M$1092,"&gt;"&amp;M524)+COUNTIFS($O$2:$O$1092,O524,$P$2:$P$1092,"Below Materiality",$M$2:$M$1092,M524,$A$2:$A$1092,"&lt;"&amp;A524)+1))</f>
        <v/>
      </c>
      <c r="T524" s="22"/>
      <c r="U524" s="21" t="str">
        <f aca="false">IF(R524="","",O524&amp;"|A|"&amp;R524)</f>
        <v/>
      </c>
      <c r="V524" s="21" t="str">
        <f aca="false">IF(S524="","",O524&amp;"|R|"&amp;S524)</f>
        <v/>
      </c>
    </row>
    <row r="525" customFormat="false" ht="15" hidden="false" customHeight="false" outlineLevel="0" collapsed="false">
      <c r="A525" s="18" t="n">
        <v>524</v>
      </c>
      <c r="B525" s="18"/>
      <c r="C525" s="18"/>
      <c r="D525" s="18"/>
      <c r="E525" s="18" t="s">
        <v>1088</v>
      </c>
      <c r="F525" s="18" t="s">
        <v>1089</v>
      </c>
      <c r="G525" s="18" t="s">
        <v>74</v>
      </c>
      <c r="H525" s="18" t="n">
        <v>296</v>
      </c>
      <c r="I525" s="19" t="n">
        <v>-150</v>
      </c>
      <c r="J525" s="19" t="n">
        <v>21514.2</v>
      </c>
      <c r="K525" s="19" t="n">
        <v>21364.2</v>
      </c>
      <c r="L525" s="19" t="n">
        <v>0</v>
      </c>
      <c r="M525" s="19" t="n">
        <f aca="false">ABS(L525)</f>
        <v>0</v>
      </c>
      <c r="N525" s="18" t="str">
        <f aca="false">IF(L525=0,"Nil balance",IF(G525="AR file",IF(L525&gt;0,"Accounts Receivable","Customer Advances"),IF(L525&lt;0,"Accounts Payable","Supplier Advances")))</f>
        <v>Nil balance</v>
      </c>
      <c r="O525" s="18" t="str">
        <f aca="false">IF(L525=0,"Excluded",IF(Summary!$C$4="By ledger",IF(G525="AR file","Population 1","Population 2"),IF(L525&gt;0,"Population 1","Population 2")))</f>
        <v>Excluded</v>
      </c>
      <c r="P525" s="18" t="str">
        <f aca="false">IF(O525="Excluded","Excluded – nil closing balance",IF(M525&gt;Summary!$C$5,"Above Materiality","Below Materiality"))</f>
        <v>Excluded – nil closing balance</v>
      </c>
      <c r="Q525" s="20" t="str">
        <f aca="false">IF(P525="Below Materiality",T525,"")</f>
        <v/>
      </c>
      <c r="R525" s="21" t="str">
        <f aca="false">IF(P525="Above Materiality",COUNTIFS($O$2:$O$1092,O525,$P$2:$P$1092,"Above Materiality",$M$2:$M$1092,"&gt;"&amp;M525)+COUNTIFS($O$2:$O$1092,O525,$P$2:$P$1092,"Above Materiality",$M$2:$M$1092,M525,$A$2:$A$1092,"&lt;"&amp;A525)+1,"")</f>
        <v/>
      </c>
      <c r="S525" s="21" t="str">
        <f aca="false">IF(P525&lt;&gt;"Below Materiality","",IF(Summary!$C$9="Random",COUNTIFS($O$2:$O$1092,O525,$Q$2:$Q$1092,"&gt;"&amp;Q525)+1,COUNTIFS($O$2:$O$1092,O525,$P$2:$P$1092,"Below Materiality",$M$2:$M$1092,"&gt;"&amp;M525)+COUNTIFS($O$2:$O$1092,O525,$P$2:$P$1092,"Below Materiality",$M$2:$M$1092,M525,$A$2:$A$1092,"&lt;"&amp;A525)+1))</f>
        <v/>
      </c>
      <c r="T525" s="22"/>
      <c r="U525" s="21" t="str">
        <f aca="false">IF(R525="","",O525&amp;"|A|"&amp;R525)</f>
        <v/>
      </c>
      <c r="V525" s="21" t="str">
        <f aca="false">IF(S525="","",O525&amp;"|R|"&amp;S525)</f>
        <v/>
      </c>
    </row>
    <row r="526" customFormat="false" ht="15" hidden="false" customHeight="false" outlineLevel="0" collapsed="false">
      <c r="A526" s="18" t="n">
        <v>525</v>
      </c>
      <c r="B526" s="18"/>
      <c r="C526" s="18"/>
      <c r="D526" s="18"/>
      <c r="E526" s="18" t="s">
        <v>1090</v>
      </c>
      <c r="F526" s="18" t="s">
        <v>1091</v>
      </c>
      <c r="G526" s="18" t="s">
        <v>74</v>
      </c>
      <c r="H526" s="18" t="n">
        <v>297</v>
      </c>
      <c r="I526" s="19" t="n">
        <v>-400</v>
      </c>
      <c r="J526" s="19" t="n">
        <v>400</v>
      </c>
      <c r="K526" s="19" t="n">
        <v>0</v>
      </c>
      <c r="L526" s="19" t="n">
        <v>0</v>
      </c>
      <c r="M526" s="19" t="n">
        <f aca="false">ABS(L526)</f>
        <v>0</v>
      </c>
      <c r="N526" s="18" t="str">
        <f aca="false">IF(L526=0,"Nil balance",IF(G526="AR file",IF(L526&gt;0,"Accounts Receivable","Customer Advances"),IF(L526&lt;0,"Accounts Payable","Supplier Advances")))</f>
        <v>Nil balance</v>
      </c>
      <c r="O526" s="18" t="str">
        <f aca="false">IF(L526=0,"Excluded",IF(Summary!$C$4="By ledger",IF(G526="AR file","Population 1","Population 2"),IF(L526&gt;0,"Population 1","Population 2")))</f>
        <v>Excluded</v>
      </c>
      <c r="P526" s="18" t="str">
        <f aca="false">IF(O526="Excluded","Excluded – nil closing balance",IF(M526&gt;Summary!$C$5,"Above Materiality","Below Materiality"))</f>
        <v>Excluded – nil closing balance</v>
      </c>
      <c r="Q526" s="20" t="str">
        <f aca="false">IF(P526="Below Materiality",T526,"")</f>
        <v/>
      </c>
      <c r="R526" s="21" t="str">
        <f aca="false">IF(P526="Above Materiality",COUNTIFS($O$2:$O$1092,O526,$P$2:$P$1092,"Above Materiality",$M$2:$M$1092,"&gt;"&amp;M526)+COUNTIFS($O$2:$O$1092,O526,$P$2:$P$1092,"Above Materiality",$M$2:$M$1092,M526,$A$2:$A$1092,"&lt;"&amp;A526)+1,"")</f>
        <v/>
      </c>
      <c r="S526" s="21" t="str">
        <f aca="false">IF(P526&lt;&gt;"Below Materiality","",IF(Summary!$C$9="Random",COUNTIFS($O$2:$O$1092,O526,$Q$2:$Q$1092,"&gt;"&amp;Q526)+1,COUNTIFS($O$2:$O$1092,O526,$P$2:$P$1092,"Below Materiality",$M$2:$M$1092,"&gt;"&amp;M526)+COUNTIFS($O$2:$O$1092,O526,$P$2:$P$1092,"Below Materiality",$M$2:$M$1092,M526,$A$2:$A$1092,"&lt;"&amp;A526)+1))</f>
        <v/>
      </c>
      <c r="T526" s="22"/>
      <c r="U526" s="21" t="str">
        <f aca="false">IF(R526="","",O526&amp;"|A|"&amp;R526)</f>
        <v/>
      </c>
      <c r="V526" s="21" t="str">
        <f aca="false">IF(S526="","",O526&amp;"|R|"&amp;S526)</f>
        <v/>
      </c>
    </row>
    <row r="527" customFormat="false" ht="15" hidden="false" customHeight="false" outlineLevel="0" collapsed="false">
      <c r="A527" s="18" t="n">
        <v>526</v>
      </c>
      <c r="B527" s="18"/>
      <c r="C527" s="18"/>
      <c r="D527" s="18"/>
      <c r="E527" s="18" t="s">
        <v>1092</v>
      </c>
      <c r="F527" s="18" t="s">
        <v>1093</v>
      </c>
      <c r="G527" s="18" t="s">
        <v>74</v>
      </c>
      <c r="H527" s="18" t="n">
        <v>298</v>
      </c>
      <c r="I527" s="19" t="n">
        <v>975</v>
      </c>
      <c r="J527" s="19" t="n">
        <v>0</v>
      </c>
      <c r="K527" s="19" t="n">
        <v>975</v>
      </c>
      <c r="L527" s="19" t="n">
        <v>0</v>
      </c>
      <c r="M527" s="19" t="n">
        <f aca="false">ABS(L527)</f>
        <v>0</v>
      </c>
      <c r="N527" s="18" t="str">
        <f aca="false">IF(L527=0,"Nil balance",IF(G527="AR file",IF(L527&gt;0,"Accounts Receivable","Customer Advances"),IF(L527&lt;0,"Accounts Payable","Supplier Advances")))</f>
        <v>Nil balance</v>
      </c>
      <c r="O527" s="18" t="str">
        <f aca="false">IF(L527=0,"Excluded",IF(Summary!$C$4="By ledger",IF(G527="AR file","Population 1","Population 2"),IF(L527&gt;0,"Population 1","Population 2")))</f>
        <v>Excluded</v>
      </c>
      <c r="P527" s="18" t="str">
        <f aca="false">IF(O527="Excluded","Excluded – nil closing balance",IF(M527&gt;Summary!$C$5,"Above Materiality","Below Materiality"))</f>
        <v>Excluded – nil closing balance</v>
      </c>
      <c r="Q527" s="20" t="str">
        <f aca="false">IF(P527="Below Materiality",T527,"")</f>
        <v/>
      </c>
      <c r="R527" s="21" t="str">
        <f aca="false">IF(P527="Above Materiality",COUNTIFS($O$2:$O$1092,O527,$P$2:$P$1092,"Above Materiality",$M$2:$M$1092,"&gt;"&amp;M527)+COUNTIFS($O$2:$O$1092,O527,$P$2:$P$1092,"Above Materiality",$M$2:$M$1092,M527,$A$2:$A$1092,"&lt;"&amp;A527)+1,"")</f>
        <v/>
      </c>
      <c r="S527" s="21" t="str">
        <f aca="false">IF(P527&lt;&gt;"Below Materiality","",IF(Summary!$C$9="Random",COUNTIFS($O$2:$O$1092,O527,$Q$2:$Q$1092,"&gt;"&amp;Q527)+1,COUNTIFS($O$2:$O$1092,O527,$P$2:$P$1092,"Below Materiality",$M$2:$M$1092,"&gt;"&amp;M527)+COUNTIFS($O$2:$O$1092,O527,$P$2:$P$1092,"Below Materiality",$M$2:$M$1092,M527,$A$2:$A$1092,"&lt;"&amp;A527)+1))</f>
        <v/>
      </c>
      <c r="T527" s="22"/>
      <c r="U527" s="21" t="str">
        <f aca="false">IF(R527="","",O527&amp;"|A|"&amp;R527)</f>
        <v/>
      </c>
      <c r="V527" s="21" t="str">
        <f aca="false">IF(S527="","",O527&amp;"|R|"&amp;S527)</f>
        <v/>
      </c>
    </row>
    <row r="528" customFormat="false" ht="15" hidden="false" customHeight="false" outlineLevel="0" collapsed="false">
      <c r="A528" s="18" t="n">
        <v>527</v>
      </c>
      <c r="B528" s="18"/>
      <c r="C528" s="18"/>
      <c r="D528" s="18"/>
      <c r="E528" s="18" t="s">
        <v>1094</v>
      </c>
      <c r="F528" s="18" t="s">
        <v>1095</v>
      </c>
      <c r="G528" s="18" t="s">
        <v>74</v>
      </c>
      <c r="H528" s="18" t="n">
        <v>299</v>
      </c>
      <c r="I528" s="19" t="n">
        <v>0</v>
      </c>
      <c r="J528" s="19" t="n">
        <v>5364.75</v>
      </c>
      <c r="K528" s="19" t="n">
        <v>5364.75</v>
      </c>
      <c r="L528" s="19" t="n">
        <v>0</v>
      </c>
      <c r="M528" s="19" t="n">
        <f aca="false">ABS(L528)</f>
        <v>0</v>
      </c>
      <c r="N528" s="18" t="str">
        <f aca="false">IF(L528=0,"Nil balance",IF(G528="AR file",IF(L528&gt;0,"Accounts Receivable","Customer Advances"),IF(L528&lt;0,"Accounts Payable","Supplier Advances")))</f>
        <v>Nil balance</v>
      </c>
      <c r="O528" s="18" t="str">
        <f aca="false">IF(L528=0,"Excluded",IF(Summary!$C$4="By ledger",IF(G528="AR file","Population 1","Population 2"),IF(L528&gt;0,"Population 1","Population 2")))</f>
        <v>Excluded</v>
      </c>
      <c r="P528" s="18" t="str">
        <f aca="false">IF(O528="Excluded","Excluded – nil closing balance",IF(M528&gt;Summary!$C$5,"Above Materiality","Below Materiality"))</f>
        <v>Excluded – nil closing balance</v>
      </c>
      <c r="Q528" s="20" t="str">
        <f aca="false">IF(P528="Below Materiality",T528,"")</f>
        <v/>
      </c>
      <c r="R528" s="21" t="str">
        <f aca="false">IF(P528="Above Materiality",COUNTIFS($O$2:$O$1092,O528,$P$2:$P$1092,"Above Materiality",$M$2:$M$1092,"&gt;"&amp;M528)+COUNTIFS($O$2:$O$1092,O528,$P$2:$P$1092,"Above Materiality",$M$2:$M$1092,M528,$A$2:$A$1092,"&lt;"&amp;A528)+1,"")</f>
        <v/>
      </c>
      <c r="S528" s="21" t="str">
        <f aca="false">IF(P528&lt;&gt;"Below Materiality","",IF(Summary!$C$9="Random",COUNTIFS($O$2:$O$1092,O528,$Q$2:$Q$1092,"&gt;"&amp;Q528)+1,COUNTIFS($O$2:$O$1092,O528,$P$2:$P$1092,"Below Materiality",$M$2:$M$1092,"&gt;"&amp;M528)+COUNTIFS($O$2:$O$1092,O528,$P$2:$P$1092,"Below Materiality",$M$2:$M$1092,M528,$A$2:$A$1092,"&lt;"&amp;A528)+1))</f>
        <v/>
      </c>
      <c r="T528" s="22"/>
      <c r="U528" s="21" t="str">
        <f aca="false">IF(R528="","",O528&amp;"|A|"&amp;R528)</f>
        <v/>
      </c>
      <c r="V528" s="21" t="str">
        <f aca="false">IF(S528="","",O528&amp;"|R|"&amp;S528)</f>
        <v/>
      </c>
    </row>
    <row r="529" customFormat="false" ht="15" hidden="false" customHeight="false" outlineLevel="0" collapsed="false">
      <c r="A529" s="18" t="n">
        <v>528</v>
      </c>
      <c r="B529" s="18"/>
      <c r="C529" s="18"/>
      <c r="D529" s="18"/>
      <c r="E529" s="18" t="s">
        <v>1096</v>
      </c>
      <c r="F529" s="18" t="s">
        <v>1097</v>
      </c>
      <c r="G529" s="18" t="s">
        <v>74</v>
      </c>
      <c r="H529" s="18" t="n">
        <v>300</v>
      </c>
      <c r="I529" s="19" t="n">
        <v>0</v>
      </c>
      <c r="J529" s="19" t="n">
        <v>2208</v>
      </c>
      <c r="K529" s="19" t="n">
        <v>2208</v>
      </c>
      <c r="L529" s="19" t="n">
        <v>0</v>
      </c>
      <c r="M529" s="19" t="n">
        <f aca="false">ABS(L529)</f>
        <v>0</v>
      </c>
      <c r="N529" s="18" t="str">
        <f aca="false">IF(L529=0,"Nil balance",IF(G529="AR file",IF(L529&gt;0,"Accounts Receivable","Customer Advances"),IF(L529&lt;0,"Accounts Payable","Supplier Advances")))</f>
        <v>Nil balance</v>
      </c>
      <c r="O529" s="18" t="str">
        <f aca="false">IF(L529=0,"Excluded",IF(Summary!$C$4="By ledger",IF(G529="AR file","Population 1","Population 2"),IF(L529&gt;0,"Population 1","Population 2")))</f>
        <v>Excluded</v>
      </c>
      <c r="P529" s="18" t="str">
        <f aca="false">IF(O529="Excluded","Excluded – nil closing balance",IF(M529&gt;Summary!$C$5,"Above Materiality","Below Materiality"))</f>
        <v>Excluded – nil closing balance</v>
      </c>
      <c r="Q529" s="20" t="str">
        <f aca="false">IF(P529="Below Materiality",T529,"")</f>
        <v/>
      </c>
      <c r="R529" s="21" t="str">
        <f aca="false">IF(P529="Above Materiality",COUNTIFS($O$2:$O$1092,O529,$P$2:$P$1092,"Above Materiality",$M$2:$M$1092,"&gt;"&amp;M529)+COUNTIFS($O$2:$O$1092,O529,$P$2:$P$1092,"Above Materiality",$M$2:$M$1092,M529,$A$2:$A$1092,"&lt;"&amp;A529)+1,"")</f>
        <v/>
      </c>
      <c r="S529" s="21" t="str">
        <f aca="false">IF(P529&lt;&gt;"Below Materiality","",IF(Summary!$C$9="Random",COUNTIFS($O$2:$O$1092,O529,$Q$2:$Q$1092,"&gt;"&amp;Q529)+1,COUNTIFS($O$2:$O$1092,O529,$P$2:$P$1092,"Below Materiality",$M$2:$M$1092,"&gt;"&amp;M529)+COUNTIFS($O$2:$O$1092,O529,$P$2:$P$1092,"Below Materiality",$M$2:$M$1092,M529,$A$2:$A$1092,"&lt;"&amp;A529)+1))</f>
        <v/>
      </c>
      <c r="T529" s="22"/>
      <c r="U529" s="21" t="str">
        <f aca="false">IF(R529="","",O529&amp;"|A|"&amp;R529)</f>
        <v/>
      </c>
      <c r="V529" s="21" t="str">
        <f aca="false">IF(S529="","",O529&amp;"|R|"&amp;S529)</f>
        <v/>
      </c>
    </row>
    <row r="530" customFormat="false" ht="15" hidden="false" customHeight="false" outlineLevel="0" collapsed="false">
      <c r="A530" s="18" t="n">
        <v>529</v>
      </c>
      <c r="B530" s="18"/>
      <c r="C530" s="18"/>
      <c r="D530" s="18"/>
      <c r="E530" s="18" t="s">
        <v>1098</v>
      </c>
      <c r="F530" s="18" t="s">
        <v>1099</v>
      </c>
      <c r="G530" s="18" t="s">
        <v>74</v>
      </c>
      <c r="H530" s="18" t="n">
        <v>302</v>
      </c>
      <c r="I530" s="19" t="n">
        <v>187.05</v>
      </c>
      <c r="J530" s="19" t="n">
        <v>200</v>
      </c>
      <c r="K530" s="19" t="n">
        <v>387.05</v>
      </c>
      <c r="L530" s="19" t="n">
        <v>0</v>
      </c>
      <c r="M530" s="19" t="n">
        <f aca="false">ABS(L530)</f>
        <v>0</v>
      </c>
      <c r="N530" s="18" t="str">
        <f aca="false">IF(L530=0,"Nil balance",IF(G530="AR file",IF(L530&gt;0,"Accounts Receivable","Customer Advances"),IF(L530&lt;0,"Accounts Payable","Supplier Advances")))</f>
        <v>Nil balance</v>
      </c>
      <c r="O530" s="18" t="str">
        <f aca="false">IF(L530=0,"Excluded",IF(Summary!$C$4="By ledger",IF(G530="AR file","Population 1","Population 2"),IF(L530&gt;0,"Population 1","Population 2")))</f>
        <v>Excluded</v>
      </c>
      <c r="P530" s="18" t="str">
        <f aca="false">IF(O530="Excluded","Excluded – nil closing balance",IF(M530&gt;Summary!$C$5,"Above Materiality","Below Materiality"))</f>
        <v>Excluded – nil closing balance</v>
      </c>
      <c r="Q530" s="20" t="str">
        <f aca="false">IF(P530="Below Materiality",T530,"")</f>
        <v/>
      </c>
      <c r="R530" s="21" t="str">
        <f aca="false">IF(P530="Above Materiality",COUNTIFS($O$2:$O$1092,O530,$P$2:$P$1092,"Above Materiality",$M$2:$M$1092,"&gt;"&amp;M530)+COUNTIFS($O$2:$O$1092,O530,$P$2:$P$1092,"Above Materiality",$M$2:$M$1092,M530,$A$2:$A$1092,"&lt;"&amp;A530)+1,"")</f>
        <v/>
      </c>
      <c r="S530" s="21" t="str">
        <f aca="false">IF(P530&lt;&gt;"Below Materiality","",IF(Summary!$C$9="Random",COUNTIFS($O$2:$O$1092,O530,$Q$2:$Q$1092,"&gt;"&amp;Q530)+1,COUNTIFS($O$2:$O$1092,O530,$P$2:$P$1092,"Below Materiality",$M$2:$M$1092,"&gt;"&amp;M530)+COUNTIFS($O$2:$O$1092,O530,$P$2:$P$1092,"Below Materiality",$M$2:$M$1092,M530,$A$2:$A$1092,"&lt;"&amp;A530)+1))</f>
        <v/>
      </c>
      <c r="T530" s="22"/>
      <c r="U530" s="21" t="str">
        <f aca="false">IF(R530="","",O530&amp;"|A|"&amp;R530)</f>
        <v/>
      </c>
      <c r="V530" s="21" t="str">
        <f aca="false">IF(S530="","",O530&amp;"|R|"&amp;S530)</f>
        <v/>
      </c>
    </row>
    <row r="531" customFormat="false" ht="15" hidden="false" customHeight="false" outlineLevel="0" collapsed="false">
      <c r="A531" s="18" t="n">
        <v>530</v>
      </c>
      <c r="B531" s="18"/>
      <c r="C531" s="18"/>
      <c r="D531" s="18"/>
      <c r="E531" s="18" t="s">
        <v>1100</v>
      </c>
      <c r="F531" s="18" t="s">
        <v>1101</v>
      </c>
      <c r="G531" s="18" t="s">
        <v>74</v>
      </c>
      <c r="H531" s="18" t="n">
        <v>303</v>
      </c>
      <c r="I531" s="19" t="n">
        <v>0</v>
      </c>
      <c r="J531" s="19" t="n">
        <v>1745.2</v>
      </c>
      <c r="K531" s="19" t="n">
        <v>1745.2</v>
      </c>
      <c r="L531" s="19" t="n">
        <v>0</v>
      </c>
      <c r="M531" s="19" t="n">
        <f aca="false">ABS(L531)</f>
        <v>0</v>
      </c>
      <c r="N531" s="18" t="str">
        <f aca="false">IF(L531=0,"Nil balance",IF(G531="AR file",IF(L531&gt;0,"Accounts Receivable","Customer Advances"),IF(L531&lt;0,"Accounts Payable","Supplier Advances")))</f>
        <v>Nil balance</v>
      </c>
      <c r="O531" s="18" t="str">
        <f aca="false">IF(L531=0,"Excluded",IF(Summary!$C$4="By ledger",IF(G531="AR file","Population 1","Population 2"),IF(L531&gt;0,"Population 1","Population 2")))</f>
        <v>Excluded</v>
      </c>
      <c r="P531" s="18" t="str">
        <f aca="false">IF(O531="Excluded","Excluded – nil closing balance",IF(M531&gt;Summary!$C$5,"Above Materiality","Below Materiality"))</f>
        <v>Excluded – nil closing balance</v>
      </c>
      <c r="Q531" s="20" t="str">
        <f aca="false">IF(P531="Below Materiality",T531,"")</f>
        <v/>
      </c>
      <c r="R531" s="21" t="str">
        <f aca="false">IF(P531="Above Materiality",COUNTIFS($O$2:$O$1092,O531,$P$2:$P$1092,"Above Materiality",$M$2:$M$1092,"&gt;"&amp;M531)+COUNTIFS($O$2:$O$1092,O531,$P$2:$P$1092,"Above Materiality",$M$2:$M$1092,M531,$A$2:$A$1092,"&lt;"&amp;A531)+1,"")</f>
        <v/>
      </c>
      <c r="S531" s="21" t="str">
        <f aca="false">IF(P531&lt;&gt;"Below Materiality","",IF(Summary!$C$9="Random",COUNTIFS($O$2:$O$1092,O531,$Q$2:$Q$1092,"&gt;"&amp;Q531)+1,COUNTIFS($O$2:$O$1092,O531,$P$2:$P$1092,"Below Materiality",$M$2:$M$1092,"&gt;"&amp;M531)+COUNTIFS($O$2:$O$1092,O531,$P$2:$P$1092,"Below Materiality",$M$2:$M$1092,M531,$A$2:$A$1092,"&lt;"&amp;A531)+1))</f>
        <v/>
      </c>
      <c r="T531" s="22"/>
      <c r="U531" s="21" t="str">
        <f aca="false">IF(R531="","",O531&amp;"|A|"&amp;R531)</f>
        <v/>
      </c>
      <c r="V531" s="21" t="str">
        <f aca="false">IF(S531="","",O531&amp;"|R|"&amp;S531)</f>
        <v/>
      </c>
    </row>
    <row r="532" customFormat="false" ht="15" hidden="false" customHeight="false" outlineLevel="0" collapsed="false">
      <c r="A532" s="18" t="n">
        <v>531</v>
      </c>
      <c r="B532" s="18"/>
      <c r="C532" s="18"/>
      <c r="D532" s="18"/>
      <c r="E532" s="18" t="s">
        <v>1102</v>
      </c>
      <c r="F532" s="18" t="s">
        <v>1103</v>
      </c>
      <c r="G532" s="18" t="s">
        <v>74</v>
      </c>
      <c r="H532" s="18" t="n">
        <v>304</v>
      </c>
      <c r="I532" s="19" t="n">
        <v>0</v>
      </c>
      <c r="J532" s="19" t="n">
        <v>207</v>
      </c>
      <c r="K532" s="19" t="n">
        <v>207</v>
      </c>
      <c r="L532" s="19" t="n">
        <v>0</v>
      </c>
      <c r="M532" s="19" t="n">
        <f aca="false">ABS(L532)</f>
        <v>0</v>
      </c>
      <c r="N532" s="18" t="str">
        <f aca="false">IF(L532=0,"Nil balance",IF(G532="AR file",IF(L532&gt;0,"Accounts Receivable","Customer Advances"),IF(L532&lt;0,"Accounts Payable","Supplier Advances")))</f>
        <v>Nil balance</v>
      </c>
      <c r="O532" s="18" t="str">
        <f aca="false">IF(L532=0,"Excluded",IF(Summary!$C$4="By ledger",IF(G532="AR file","Population 1","Population 2"),IF(L532&gt;0,"Population 1","Population 2")))</f>
        <v>Excluded</v>
      </c>
      <c r="P532" s="18" t="str">
        <f aca="false">IF(O532="Excluded","Excluded – nil closing balance",IF(M532&gt;Summary!$C$5,"Above Materiality","Below Materiality"))</f>
        <v>Excluded – nil closing balance</v>
      </c>
      <c r="Q532" s="20" t="str">
        <f aca="false">IF(P532="Below Materiality",T532,"")</f>
        <v/>
      </c>
      <c r="R532" s="21" t="str">
        <f aca="false">IF(P532="Above Materiality",COUNTIFS($O$2:$O$1092,O532,$P$2:$P$1092,"Above Materiality",$M$2:$M$1092,"&gt;"&amp;M532)+COUNTIFS($O$2:$O$1092,O532,$P$2:$P$1092,"Above Materiality",$M$2:$M$1092,M532,$A$2:$A$1092,"&lt;"&amp;A532)+1,"")</f>
        <v/>
      </c>
      <c r="S532" s="21" t="str">
        <f aca="false">IF(P532&lt;&gt;"Below Materiality","",IF(Summary!$C$9="Random",COUNTIFS($O$2:$O$1092,O532,$Q$2:$Q$1092,"&gt;"&amp;Q532)+1,COUNTIFS($O$2:$O$1092,O532,$P$2:$P$1092,"Below Materiality",$M$2:$M$1092,"&gt;"&amp;M532)+COUNTIFS($O$2:$O$1092,O532,$P$2:$P$1092,"Below Materiality",$M$2:$M$1092,M532,$A$2:$A$1092,"&lt;"&amp;A532)+1))</f>
        <v/>
      </c>
      <c r="T532" s="22"/>
      <c r="U532" s="21" t="str">
        <f aca="false">IF(R532="","",O532&amp;"|A|"&amp;R532)</f>
        <v/>
      </c>
      <c r="V532" s="21" t="str">
        <f aca="false">IF(S532="","",O532&amp;"|R|"&amp;S532)</f>
        <v/>
      </c>
    </row>
    <row r="533" customFormat="false" ht="15" hidden="false" customHeight="false" outlineLevel="0" collapsed="false">
      <c r="A533" s="18" t="n">
        <v>532</v>
      </c>
      <c r="B533" s="18"/>
      <c r="C533" s="18"/>
      <c r="D533" s="18"/>
      <c r="E533" s="18" t="s">
        <v>1104</v>
      </c>
      <c r="F533" s="18" t="s">
        <v>1105</v>
      </c>
      <c r="G533" s="18" t="s">
        <v>74</v>
      </c>
      <c r="H533" s="18" t="n">
        <v>305</v>
      </c>
      <c r="I533" s="19" t="n">
        <v>0</v>
      </c>
      <c r="J533" s="19" t="n">
        <v>98.9</v>
      </c>
      <c r="K533" s="19" t="n">
        <v>98.9</v>
      </c>
      <c r="L533" s="19" t="n">
        <v>0</v>
      </c>
      <c r="M533" s="19" t="n">
        <f aca="false">ABS(L533)</f>
        <v>0</v>
      </c>
      <c r="N533" s="18" t="str">
        <f aca="false">IF(L533=0,"Nil balance",IF(G533="AR file",IF(L533&gt;0,"Accounts Receivable","Customer Advances"),IF(L533&lt;0,"Accounts Payable","Supplier Advances")))</f>
        <v>Nil balance</v>
      </c>
      <c r="O533" s="18" t="str">
        <f aca="false">IF(L533=0,"Excluded",IF(Summary!$C$4="By ledger",IF(G533="AR file","Population 1","Population 2"),IF(L533&gt;0,"Population 1","Population 2")))</f>
        <v>Excluded</v>
      </c>
      <c r="P533" s="18" t="str">
        <f aca="false">IF(O533="Excluded","Excluded – nil closing balance",IF(M533&gt;Summary!$C$5,"Above Materiality","Below Materiality"))</f>
        <v>Excluded – nil closing balance</v>
      </c>
      <c r="Q533" s="20" t="str">
        <f aca="false">IF(P533="Below Materiality",T533,"")</f>
        <v/>
      </c>
      <c r="R533" s="21" t="str">
        <f aca="false">IF(P533="Above Materiality",COUNTIFS($O$2:$O$1092,O533,$P$2:$P$1092,"Above Materiality",$M$2:$M$1092,"&gt;"&amp;M533)+COUNTIFS($O$2:$O$1092,O533,$P$2:$P$1092,"Above Materiality",$M$2:$M$1092,M533,$A$2:$A$1092,"&lt;"&amp;A533)+1,"")</f>
        <v/>
      </c>
      <c r="S533" s="21" t="str">
        <f aca="false">IF(P533&lt;&gt;"Below Materiality","",IF(Summary!$C$9="Random",COUNTIFS($O$2:$O$1092,O533,$Q$2:$Q$1092,"&gt;"&amp;Q533)+1,COUNTIFS($O$2:$O$1092,O533,$P$2:$P$1092,"Below Materiality",$M$2:$M$1092,"&gt;"&amp;M533)+COUNTIFS($O$2:$O$1092,O533,$P$2:$P$1092,"Below Materiality",$M$2:$M$1092,M533,$A$2:$A$1092,"&lt;"&amp;A533)+1))</f>
        <v/>
      </c>
      <c r="T533" s="22"/>
      <c r="U533" s="21" t="str">
        <f aca="false">IF(R533="","",O533&amp;"|A|"&amp;R533)</f>
        <v/>
      </c>
      <c r="V533" s="21" t="str">
        <f aca="false">IF(S533="","",O533&amp;"|R|"&amp;S533)</f>
        <v/>
      </c>
    </row>
    <row r="534" customFormat="false" ht="15" hidden="false" customHeight="false" outlineLevel="0" collapsed="false">
      <c r="A534" s="18" t="n">
        <v>533</v>
      </c>
      <c r="B534" s="18"/>
      <c r="C534" s="18"/>
      <c r="D534" s="18"/>
      <c r="E534" s="18" t="s">
        <v>1106</v>
      </c>
      <c r="F534" s="18" t="s">
        <v>828</v>
      </c>
      <c r="G534" s="18" t="s">
        <v>74</v>
      </c>
      <c r="H534" s="18" t="n">
        <v>306</v>
      </c>
      <c r="I534" s="19" t="n">
        <v>-500</v>
      </c>
      <c r="J534" s="19" t="n">
        <v>500</v>
      </c>
      <c r="K534" s="19" t="n">
        <v>0</v>
      </c>
      <c r="L534" s="19" t="n">
        <v>0</v>
      </c>
      <c r="M534" s="19" t="n">
        <f aca="false">ABS(L534)</f>
        <v>0</v>
      </c>
      <c r="N534" s="18" t="str">
        <f aca="false">IF(L534=0,"Nil balance",IF(G534="AR file",IF(L534&gt;0,"Accounts Receivable","Customer Advances"),IF(L534&lt;0,"Accounts Payable","Supplier Advances")))</f>
        <v>Nil balance</v>
      </c>
      <c r="O534" s="18" t="str">
        <f aca="false">IF(L534=0,"Excluded",IF(Summary!$C$4="By ledger",IF(G534="AR file","Population 1","Population 2"),IF(L534&gt;0,"Population 1","Population 2")))</f>
        <v>Excluded</v>
      </c>
      <c r="P534" s="18" t="str">
        <f aca="false">IF(O534="Excluded","Excluded – nil closing balance",IF(M534&gt;Summary!$C$5,"Above Materiality","Below Materiality"))</f>
        <v>Excluded – nil closing balance</v>
      </c>
      <c r="Q534" s="20" t="str">
        <f aca="false">IF(P534="Below Materiality",T534,"")</f>
        <v/>
      </c>
      <c r="R534" s="21" t="str">
        <f aca="false">IF(P534="Above Materiality",COUNTIFS($O$2:$O$1092,O534,$P$2:$P$1092,"Above Materiality",$M$2:$M$1092,"&gt;"&amp;M534)+COUNTIFS($O$2:$O$1092,O534,$P$2:$P$1092,"Above Materiality",$M$2:$M$1092,M534,$A$2:$A$1092,"&lt;"&amp;A534)+1,"")</f>
        <v/>
      </c>
      <c r="S534" s="21" t="str">
        <f aca="false">IF(P534&lt;&gt;"Below Materiality","",IF(Summary!$C$9="Random",COUNTIFS($O$2:$O$1092,O534,$Q$2:$Q$1092,"&gt;"&amp;Q534)+1,COUNTIFS($O$2:$O$1092,O534,$P$2:$P$1092,"Below Materiality",$M$2:$M$1092,"&gt;"&amp;M534)+COUNTIFS($O$2:$O$1092,O534,$P$2:$P$1092,"Below Materiality",$M$2:$M$1092,M534,$A$2:$A$1092,"&lt;"&amp;A534)+1))</f>
        <v/>
      </c>
      <c r="T534" s="22"/>
      <c r="U534" s="21" t="str">
        <f aca="false">IF(R534="","",O534&amp;"|A|"&amp;R534)</f>
        <v/>
      </c>
      <c r="V534" s="21" t="str">
        <f aca="false">IF(S534="","",O534&amp;"|R|"&amp;S534)</f>
        <v/>
      </c>
    </row>
    <row r="535" customFormat="false" ht="15" hidden="false" customHeight="false" outlineLevel="0" collapsed="false">
      <c r="A535" s="18" t="n">
        <v>534</v>
      </c>
      <c r="B535" s="18"/>
      <c r="C535" s="18"/>
      <c r="D535" s="18"/>
      <c r="E535" s="18" t="s">
        <v>1107</v>
      </c>
      <c r="F535" s="18" t="s">
        <v>1108</v>
      </c>
      <c r="G535" s="18" t="s">
        <v>74</v>
      </c>
      <c r="H535" s="18" t="n">
        <v>307</v>
      </c>
      <c r="I535" s="19" t="n">
        <v>0</v>
      </c>
      <c r="J535" s="19" t="n">
        <v>2276</v>
      </c>
      <c r="K535" s="19" t="n">
        <v>2276</v>
      </c>
      <c r="L535" s="19" t="n">
        <v>0</v>
      </c>
      <c r="M535" s="19" t="n">
        <f aca="false">ABS(L535)</f>
        <v>0</v>
      </c>
      <c r="N535" s="18" t="str">
        <f aca="false">IF(L535=0,"Nil balance",IF(G535="AR file",IF(L535&gt;0,"Accounts Receivable","Customer Advances"),IF(L535&lt;0,"Accounts Payable","Supplier Advances")))</f>
        <v>Nil balance</v>
      </c>
      <c r="O535" s="18" t="str">
        <f aca="false">IF(L535=0,"Excluded",IF(Summary!$C$4="By ledger",IF(G535="AR file","Population 1","Population 2"),IF(L535&gt;0,"Population 1","Population 2")))</f>
        <v>Excluded</v>
      </c>
      <c r="P535" s="18" t="str">
        <f aca="false">IF(O535="Excluded","Excluded – nil closing balance",IF(M535&gt;Summary!$C$5,"Above Materiality","Below Materiality"))</f>
        <v>Excluded – nil closing balance</v>
      </c>
      <c r="Q535" s="20" t="str">
        <f aca="false">IF(P535="Below Materiality",T535,"")</f>
        <v/>
      </c>
      <c r="R535" s="21" t="str">
        <f aca="false">IF(P535="Above Materiality",COUNTIFS($O$2:$O$1092,O535,$P$2:$P$1092,"Above Materiality",$M$2:$M$1092,"&gt;"&amp;M535)+COUNTIFS($O$2:$O$1092,O535,$P$2:$P$1092,"Above Materiality",$M$2:$M$1092,M535,$A$2:$A$1092,"&lt;"&amp;A535)+1,"")</f>
        <v/>
      </c>
      <c r="S535" s="21" t="str">
        <f aca="false">IF(P535&lt;&gt;"Below Materiality","",IF(Summary!$C$9="Random",COUNTIFS($O$2:$O$1092,O535,$Q$2:$Q$1092,"&gt;"&amp;Q535)+1,COUNTIFS($O$2:$O$1092,O535,$P$2:$P$1092,"Below Materiality",$M$2:$M$1092,"&gt;"&amp;M535)+COUNTIFS($O$2:$O$1092,O535,$P$2:$P$1092,"Below Materiality",$M$2:$M$1092,M535,$A$2:$A$1092,"&lt;"&amp;A535)+1))</f>
        <v/>
      </c>
      <c r="T535" s="22"/>
      <c r="U535" s="21" t="str">
        <f aca="false">IF(R535="","",O535&amp;"|A|"&amp;R535)</f>
        <v/>
      </c>
      <c r="V535" s="21" t="str">
        <f aca="false">IF(S535="","",O535&amp;"|R|"&amp;S535)</f>
        <v/>
      </c>
    </row>
    <row r="536" customFormat="false" ht="15" hidden="false" customHeight="false" outlineLevel="0" collapsed="false">
      <c r="A536" s="18" t="n">
        <v>535</v>
      </c>
      <c r="B536" s="18"/>
      <c r="C536" s="18"/>
      <c r="D536" s="18"/>
      <c r="E536" s="18" t="s">
        <v>1109</v>
      </c>
      <c r="F536" s="18" t="s">
        <v>1110</v>
      </c>
      <c r="G536" s="18" t="s">
        <v>74</v>
      </c>
      <c r="H536" s="18" t="n">
        <v>308</v>
      </c>
      <c r="I536" s="19" t="n">
        <v>0</v>
      </c>
      <c r="J536" s="19" t="n">
        <v>874</v>
      </c>
      <c r="K536" s="19" t="n">
        <v>874</v>
      </c>
      <c r="L536" s="19" t="n">
        <v>0</v>
      </c>
      <c r="M536" s="19" t="n">
        <f aca="false">ABS(L536)</f>
        <v>0</v>
      </c>
      <c r="N536" s="18" t="str">
        <f aca="false">IF(L536=0,"Nil balance",IF(G536="AR file",IF(L536&gt;0,"Accounts Receivable","Customer Advances"),IF(L536&lt;0,"Accounts Payable","Supplier Advances")))</f>
        <v>Nil balance</v>
      </c>
      <c r="O536" s="18" t="str">
        <f aca="false">IF(L536=0,"Excluded",IF(Summary!$C$4="By ledger",IF(G536="AR file","Population 1","Population 2"),IF(L536&gt;0,"Population 1","Population 2")))</f>
        <v>Excluded</v>
      </c>
      <c r="P536" s="18" t="str">
        <f aca="false">IF(O536="Excluded","Excluded – nil closing balance",IF(M536&gt;Summary!$C$5,"Above Materiality","Below Materiality"))</f>
        <v>Excluded – nil closing balance</v>
      </c>
      <c r="Q536" s="20" t="str">
        <f aca="false">IF(P536="Below Materiality",T536,"")</f>
        <v/>
      </c>
      <c r="R536" s="21" t="str">
        <f aca="false">IF(P536="Above Materiality",COUNTIFS($O$2:$O$1092,O536,$P$2:$P$1092,"Above Materiality",$M$2:$M$1092,"&gt;"&amp;M536)+COUNTIFS($O$2:$O$1092,O536,$P$2:$P$1092,"Above Materiality",$M$2:$M$1092,M536,$A$2:$A$1092,"&lt;"&amp;A536)+1,"")</f>
        <v/>
      </c>
      <c r="S536" s="21" t="str">
        <f aca="false">IF(P536&lt;&gt;"Below Materiality","",IF(Summary!$C$9="Random",COUNTIFS($O$2:$O$1092,O536,$Q$2:$Q$1092,"&gt;"&amp;Q536)+1,COUNTIFS($O$2:$O$1092,O536,$P$2:$P$1092,"Below Materiality",$M$2:$M$1092,"&gt;"&amp;M536)+COUNTIFS($O$2:$O$1092,O536,$P$2:$P$1092,"Below Materiality",$M$2:$M$1092,M536,$A$2:$A$1092,"&lt;"&amp;A536)+1))</f>
        <v/>
      </c>
      <c r="T536" s="22"/>
      <c r="U536" s="21" t="str">
        <f aca="false">IF(R536="","",O536&amp;"|A|"&amp;R536)</f>
        <v/>
      </c>
      <c r="V536" s="21" t="str">
        <f aca="false">IF(S536="","",O536&amp;"|R|"&amp;S536)</f>
        <v/>
      </c>
    </row>
    <row r="537" customFormat="false" ht="15" hidden="false" customHeight="false" outlineLevel="0" collapsed="false">
      <c r="A537" s="18" t="n">
        <v>536</v>
      </c>
      <c r="B537" s="18"/>
      <c r="C537" s="18"/>
      <c r="D537" s="18"/>
      <c r="E537" s="18" t="s">
        <v>1111</v>
      </c>
      <c r="F537" s="18" t="s">
        <v>1112</v>
      </c>
      <c r="G537" s="18" t="s">
        <v>74</v>
      </c>
      <c r="H537" s="18" t="n">
        <v>309</v>
      </c>
      <c r="I537" s="19" t="n">
        <v>0</v>
      </c>
      <c r="J537" s="19" t="n">
        <v>12282</v>
      </c>
      <c r="K537" s="19" t="n">
        <v>12282</v>
      </c>
      <c r="L537" s="19" t="n">
        <v>0</v>
      </c>
      <c r="M537" s="19" t="n">
        <f aca="false">ABS(L537)</f>
        <v>0</v>
      </c>
      <c r="N537" s="18" t="str">
        <f aca="false">IF(L537=0,"Nil balance",IF(G537="AR file",IF(L537&gt;0,"Accounts Receivable","Customer Advances"),IF(L537&lt;0,"Accounts Payable","Supplier Advances")))</f>
        <v>Nil balance</v>
      </c>
      <c r="O537" s="18" t="str">
        <f aca="false">IF(L537=0,"Excluded",IF(Summary!$C$4="By ledger",IF(G537="AR file","Population 1","Population 2"),IF(L537&gt;0,"Population 1","Population 2")))</f>
        <v>Excluded</v>
      </c>
      <c r="P537" s="18" t="str">
        <f aca="false">IF(O537="Excluded","Excluded – nil closing balance",IF(M537&gt;Summary!$C$5,"Above Materiality","Below Materiality"))</f>
        <v>Excluded – nil closing balance</v>
      </c>
      <c r="Q537" s="20" t="str">
        <f aca="false">IF(P537="Below Materiality",T537,"")</f>
        <v/>
      </c>
      <c r="R537" s="21" t="str">
        <f aca="false">IF(P537="Above Materiality",COUNTIFS($O$2:$O$1092,O537,$P$2:$P$1092,"Above Materiality",$M$2:$M$1092,"&gt;"&amp;M537)+COUNTIFS($O$2:$O$1092,O537,$P$2:$P$1092,"Above Materiality",$M$2:$M$1092,M537,$A$2:$A$1092,"&lt;"&amp;A537)+1,"")</f>
        <v/>
      </c>
      <c r="S537" s="21" t="str">
        <f aca="false">IF(P537&lt;&gt;"Below Materiality","",IF(Summary!$C$9="Random",COUNTIFS($O$2:$O$1092,O537,$Q$2:$Q$1092,"&gt;"&amp;Q537)+1,COUNTIFS($O$2:$O$1092,O537,$P$2:$P$1092,"Below Materiality",$M$2:$M$1092,"&gt;"&amp;M537)+COUNTIFS($O$2:$O$1092,O537,$P$2:$P$1092,"Below Materiality",$M$2:$M$1092,M537,$A$2:$A$1092,"&lt;"&amp;A537)+1))</f>
        <v/>
      </c>
      <c r="T537" s="22"/>
      <c r="U537" s="21" t="str">
        <f aca="false">IF(R537="","",O537&amp;"|A|"&amp;R537)</f>
        <v/>
      </c>
      <c r="V537" s="21" t="str">
        <f aca="false">IF(S537="","",O537&amp;"|R|"&amp;S537)</f>
        <v/>
      </c>
    </row>
    <row r="538" customFormat="false" ht="15" hidden="false" customHeight="false" outlineLevel="0" collapsed="false">
      <c r="A538" s="18" t="n">
        <v>537</v>
      </c>
      <c r="B538" s="18"/>
      <c r="C538" s="18"/>
      <c r="D538" s="18"/>
      <c r="E538" s="18" t="s">
        <v>1113</v>
      </c>
      <c r="F538" s="18" t="s">
        <v>795</v>
      </c>
      <c r="G538" s="18" t="s">
        <v>74</v>
      </c>
      <c r="H538" s="18" t="n">
        <v>310</v>
      </c>
      <c r="I538" s="19" t="n">
        <v>-100</v>
      </c>
      <c r="J538" s="19" t="n">
        <v>100</v>
      </c>
      <c r="K538" s="19" t="n">
        <v>0</v>
      </c>
      <c r="L538" s="19" t="n">
        <v>0</v>
      </c>
      <c r="M538" s="19" t="n">
        <f aca="false">ABS(L538)</f>
        <v>0</v>
      </c>
      <c r="N538" s="18" t="str">
        <f aca="false">IF(L538=0,"Nil balance",IF(G538="AR file",IF(L538&gt;0,"Accounts Receivable","Customer Advances"),IF(L538&lt;0,"Accounts Payable","Supplier Advances")))</f>
        <v>Nil balance</v>
      </c>
      <c r="O538" s="18" t="str">
        <f aca="false">IF(L538=0,"Excluded",IF(Summary!$C$4="By ledger",IF(G538="AR file","Population 1","Population 2"),IF(L538&gt;0,"Population 1","Population 2")))</f>
        <v>Excluded</v>
      </c>
      <c r="P538" s="18" t="str">
        <f aca="false">IF(O538="Excluded","Excluded – nil closing balance",IF(M538&gt;Summary!$C$5,"Above Materiality","Below Materiality"))</f>
        <v>Excluded – nil closing balance</v>
      </c>
      <c r="Q538" s="20" t="str">
        <f aca="false">IF(P538="Below Materiality",T538,"")</f>
        <v/>
      </c>
      <c r="R538" s="21" t="str">
        <f aca="false">IF(P538="Above Materiality",COUNTIFS($O$2:$O$1092,O538,$P$2:$P$1092,"Above Materiality",$M$2:$M$1092,"&gt;"&amp;M538)+COUNTIFS($O$2:$O$1092,O538,$P$2:$P$1092,"Above Materiality",$M$2:$M$1092,M538,$A$2:$A$1092,"&lt;"&amp;A538)+1,"")</f>
        <v/>
      </c>
      <c r="S538" s="21" t="str">
        <f aca="false">IF(P538&lt;&gt;"Below Materiality","",IF(Summary!$C$9="Random",COUNTIFS($O$2:$O$1092,O538,$Q$2:$Q$1092,"&gt;"&amp;Q538)+1,COUNTIFS($O$2:$O$1092,O538,$P$2:$P$1092,"Below Materiality",$M$2:$M$1092,"&gt;"&amp;M538)+COUNTIFS($O$2:$O$1092,O538,$P$2:$P$1092,"Below Materiality",$M$2:$M$1092,M538,$A$2:$A$1092,"&lt;"&amp;A538)+1))</f>
        <v/>
      </c>
      <c r="T538" s="22"/>
      <c r="U538" s="21" t="str">
        <f aca="false">IF(R538="","",O538&amp;"|A|"&amp;R538)</f>
        <v/>
      </c>
      <c r="V538" s="21" t="str">
        <f aca="false">IF(S538="","",O538&amp;"|R|"&amp;S538)</f>
        <v/>
      </c>
    </row>
    <row r="539" customFormat="false" ht="15" hidden="false" customHeight="false" outlineLevel="0" collapsed="false">
      <c r="A539" s="18" t="n">
        <v>538</v>
      </c>
      <c r="B539" s="18"/>
      <c r="C539" s="18"/>
      <c r="D539" s="18"/>
      <c r="E539" s="18" t="s">
        <v>1114</v>
      </c>
      <c r="F539" s="18" t="s">
        <v>1115</v>
      </c>
      <c r="G539" s="18" t="s">
        <v>74</v>
      </c>
      <c r="H539" s="18" t="n">
        <v>311</v>
      </c>
      <c r="I539" s="19" t="n">
        <v>0</v>
      </c>
      <c r="J539" s="19" t="n">
        <v>4054</v>
      </c>
      <c r="K539" s="19" t="n">
        <v>4054</v>
      </c>
      <c r="L539" s="19" t="n">
        <v>0</v>
      </c>
      <c r="M539" s="19" t="n">
        <f aca="false">ABS(L539)</f>
        <v>0</v>
      </c>
      <c r="N539" s="18" t="str">
        <f aca="false">IF(L539=0,"Nil balance",IF(G539="AR file",IF(L539&gt;0,"Accounts Receivable","Customer Advances"),IF(L539&lt;0,"Accounts Payable","Supplier Advances")))</f>
        <v>Nil balance</v>
      </c>
      <c r="O539" s="18" t="str">
        <f aca="false">IF(L539=0,"Excluded",IF(Summary!$C$4="By ledger",IF(G539="AR file","Population 1","Population 2"),IF(L539&gt;0,"Population 1","Population 2")))</f>
        <v>Excluded</v>
      </c>
      <c r="P539" s="18" t="str">
        <f aca="false">IF(O539="Excluded","Excluded – nil closing balance",IF(M539&gt;Summary!$C$5,"Above Materiality","Below Materiality"))</f>
        <v>Excluded – nil closing balance</v>
      </c>
      <c r="Q539" s="20" t="str">
        <f aca="false">IF(P539="Below Materiality",T539,"")</f>
        <v/>
      </c>
      <c r="R539" s="21" t="str">
        <f aca="false">IF(P539="Above Materiality",COUNTIFS($O$2:$O$1092,O539,$P$2:$P$1092,"Above Materiality",$M$2:$M$1092,"&gt;"&amp;M539)+COUNTIFS($O$2:$O$1092,O539,$P$2:$P$1092,"Above Materiality",$M$2:$M$1092,M539,$A$2:$A$1092,"&lt;"&amp;A539)+1,"")</f>
        <v/>
      </c>
      <c r="S539" s="21" t="str">
        <f aca="false">IF(P539&lt;&gt;"Below Materiality","",IF(Summary!$C$9="Random",COUNTIFS($O$2:$O$1092,O539,$Q$2:$Q$1092,"&gt;"&amp;Q539)+1,COUNTIFS($O$2:$O$1092,O539,$P$2:$P$1092,"Below Materiality",$M$2:$M$1092,"&gt;"&amp;M539)+COUNTIFS($O$2:$O$1092,O539,$P$2:$P$1092,"Below Materiality",$M$2:$M$1092,M539,$A$2:$A$1092,"&lt;"&amp;A539)+1))</f>
        <v/>
      </c>
      <c r="T539" s="22"/>
      <c r="U539" s="21" t="str">
        <f aca="false">IF(R539="","",O539&amp;"|A|"&amp;R539)</f>
        <v/>
      </c>
      <c r="V539" s="21" t="str">
        <f aca="false">IF(S539="","",O539&amp;"|R|"&amp;S539)</f>
        <v/>
      </c>
    </row>
    <row r="540" customFormat="false" ht="15" hidden="false" customHeight="false" outlineLevel="0" collapsed="false">
      <c r="A540" s="18" t="n">
        <v>539</v>
      </c>
      <c r="B540" s="18"/>
      <c r="C540" s="18"/>
      <c r="D540" s="18"/>
      <c r="E540" s="18" t="s">
        <v>1116</v>
      </c>
      <c r="F540" s="18" t="s">
        <v>1117</v>
      </c>
      <c r="G540" s="18" t="s">
        <v>74</v>
      </c>
      <c r="H540" s="18" t="n">
        <v>312</v>
      </c>
      <c r="I540" s="19" t="n">
        <v>-50</v>
      </c>
      <c r="J540" s="19" t="n">
        <v>50</v>
      </c>
      <c r="K540" s="19" t="n">
        <v>0</v>
      </c>
      <c r="L540" s="19" t="n">
        <v>0</v>
      </c>
      <c r="M540" s="19" t="n">
        <f aca="false">ABS(L540)</f>
        <v>0</v>
      </c>
      <c r="N540" s="18" t="str">
        <f aca="false">IF(L540=0,"Nil balance",IF(G540="AR file",IF(L540&gt;0,"Accounts Receivable","Customer Advances"),IF(L540&lt;0,"Accounts Payable","Supplier Advances")))</f>
        <v>Nil balance</v>
      </c>
      <c r="O540" s="18" t="str">
        <f aca="false">IF(L540=0,"Excluded",IF(Summary!$C$4="By ledger",IF(G540="AR file","Population 1","Population 2"),IF(L540&gt;0,"Population 1","Population 2")))</f>
        <v>Excluded</v>
      </c>
      <c r="P540" s="18" t="str">
        <f aca="false">IF(O540="Excluded","Excluded – nil closing balance",IF(M540&gt;Summary!$C$5,"Above Materiality","Below Materiality"))</f>
        <v>Excluded – nil closing balance</v>
      </c>
      <c r="Q540" s="20" t="str">
        <f aca="false">IF(P540="Below Materiality",T540,"")</f>
        <v/>
      </c>
      <c r="R540" s="21" t="str">
        <f aca="false">IF(P540="Above Materiality",COUNTIFS($O$2:$O$1092,O540,$P$2:$P$1092,"Above Materiality",$M$2:$M$1092,"&gt;"&amp;M540)+COUNTIFS($O$2:$O$1092,O540,$P$2:$P$1092,"Above Materiality",$M$2:$M$1092,M540,$A$2:$A$1092,"&lt;"&amp;A540)+1,"")</f>
        <v/>
      </c>
      <c r="S540" s="21" t="str">
        <f aca="false">IF(P540&lt;&gt;"Below Materiality","",IF(Summary!$C$9="Random",COUNTIFS($O$2:$O$1092,O540,$Q$2:$Q$1092,"&gt;"&amp;Q540)+1,COUNTIFS($O$2:$O$1092,O540,$P$2:$P$1092,"Below Materiality",$M$2:$M$1092,"&gt;"&amp;M540)+COUNTIFS($O$2:$O$1092,O540,$P$2:$P$1092,"Below Materiality",$M$2:$M$1092,M540,$A$2:$A$1092,"&lt;"&amp;A540)+1))</f>
        <v/>
      </c>
      <c r="T540" s="22"/>
      <c r="U540" s="21" t="str">
        <f aca="false">IF(R540="","",O540&amp;"|A|"&amp;R540)</f>
        <v/>
      </c>
      <c r="V540" s="21" t="str">
        <f aca="false">IF(S540="","",O540&amp;"|R|"&amp;S540)</f>
        <v/>
      </c>
    </row>
    <row r="541" customFormat="false" ht="15" hidden="false" customHeight="false" outlineLevel="0" collapsed="false">
      <c r="A541" s="18" t="n">
        <v>540</v>
      </c>
      <c r="B541" s="18"/>
      <c r="C541" s="18"/>
      <c r="D541" s="18"/>
      <c r="E541" s="18" t="s">
        <v>1118</v>
      </c>
      <c r="F541" s="18" t="s">
        <v>425</v>
      </c>
      <c r="G541" s="18" t="s">
        <v>74</v>
      </c>
      <c r="H541" s="18" t="n">
        <v>313</v>
      </c>
      <c r="I541" s="19" t="n">
        <v>0</v>
      </c>
      <c r="J541" s="19" t="n">
        <v>34.5</v>
      </c>
      <c r="K541" s="19" t="n">
        <v>34.5</v>
      </c>
      <c r="L541" s="19" t="n">
        <v>0</v>
      </c>
      <c r="M541" s="19" t="n">
        <f aca="false">ABS(L541)</f>
        <v>0</v>
      </c>
      <c r="N541" s="18" t="str">
        <f aca="false">IF(L541=0,"Nil balance",IF(G541="AR file",IF(L541&gt;0,"Accounts Receivable","Customer Advances"),IF(L541&lt;0,"Accounts Payable","Supplier Advances")))</f>
        <v>Nil balance</v>
      </c>
      <c r="O541" s="18" t="str">
        <f aca="false">IF(L541=0,"Excluded",IF(Summary!$C$4="By ledger",IF(G541="AR file","Population 1","Population 2"),IF(L541&gt;0,"Population 1","Population 2")))</f>
        <v>Excluded</v>
      </c>
      <c r="P541" s="18" t="str">
        <f aca="false">IF(O541="Excluded","Excluded – nil closing balance",IF(M541&gt;Summary!$C$5,"Above Materiality","Below Materiality"))</f>
        <v>Excluded – nil closing balance</v>
      </c>
      <c r="Q541" s="20" t="str">
        <f aca="false">IF(P541="Below Materiality",T541,"")</f>
        <v/>
      </c>
      <c r="R541" s="21" t="str">
        <f aca="false">IF(P541="Above Materiality",COUNTIFS($O$2:$O$1092,O541,$P$2:$P$1092,"Above Materiality",$M$2:$M$1092,"&gt;"&amp;M541)+COUNTIFS($O$2:$O$1092,O541,$P$2:$P$1092,"Above Materiality",$M$2:$M$1092,M541,$A$2:$A$1092,"&lt;"&amp;A541)+1,"")</f>
        <v/>
      </c>
      <c r="S541" s="21" t="str">
        <f aca="false">IF(P541&lt;&gt;"Below Materiality","",IF(Summary!$C$9="Random",COUNTIFS($O$2:$O$1092,O541,$Q$2:$Q$1092,"&gt;"&amp;Q541)+1,COUNTIFS($O$2:$O$1092,O541,$P$2:$P$1092,"Below Materiality",$M$2:$M$1092,"&gt;"&amp;M541)+COUNTIFS($O$2:$O$1092,O541,$P$2:$P$1092,"Below Materiality",$M$2:$M$1092,M541,$A$2:$A$1092,"&lt;"&amp;A541)+1))</f>
        <v/>
      </c>
      <c r="T541" s="22"/>
      <c r="U541" s="21" t="str">
        <f aca="false">IF(R541="","",O541&amp;"|A|"&amp;R541)</f>
        <v/>
      </c>
      <c r="V541" s="21" t="str">
        <f aca="false">IF(S541="","",O541&amp;"|R|"&amp;S541)</f>
        <v/>
      </c>
    </row>
    <row r="542" customFormat="false" ht="15" hidden="false" customHeight="false" outlineLevel="0" collapsed="false">
      <c r="A542" s="18" t="n">
        <v>541</v>
      </c>
      <c r="B542" s="18"/>
      <c r="C542" s="18"/>
      <c r="D542" s="18"/>
      <c r="E542" s="18" t="s">
        <v>1119</v>
      </c>
      <c r="F542" s="18" t="s">
        <v>1120</v>
      </c>
      <c r="G542" s="18" t="s">
        <v>74</v>
      </c>
      <c r="H542" s="18" t="n">
        <v>314</v>
      </c>
      <c r="I542" s="19" t="n">
        <v>0</v>
      </c>
      <c r="J542" s="19" t="n">
        <v>960.25</v>
      </c>
      <c r="K542" s="19" t="n">
        <v>960.25</v>
      </c>
      <c r="L542" s="19" t="n">
        <v>0</v>
      </c>
      <c r="M542" s="19" t="n">
        <f aca="false">ABS(L542)</f>
        <v>0</v>
      </c>
      <c r="N542" s="18" t="str">
        <f aca="false">IF(L542=0,"Nil balance",IF(G542="AR file",IF(L542&gt;0,"Accounts Receivable","Customer Advances"),IF(L542&lt;0,"Accounts Payable","Supplier Advances")))</f>
        <v>Nil balance</v>
      </c>
      <c r="O542" s="18" t="str">
        <f aca="false">IF(L542=0,"Excluded",IF(Summary!$C$4="By ledger",IF(G542="AR file","Population 1","Population 2"),IF(L542&gt;0,"Population 1","Population 2")))</f>
        <v>Excluded</v>
      </c>
      <c r="P542" s="18" t="str">
        <f aca="false">IF(O542="Excluded","Excluded – nil closing balance",IF(M542&gt;Summary!$C$5,"Above Materiality","Below Materiality"))</f>
        <v>Excluded – nil closing balance</v>
      </c>
      <c r="Q542" s="20" t="str">
        <f aca="false">IF(P542="Below Materiality",T542,"")</f>
        <v/>
      </c>
      <c r="R542" s="21" t="str">
        <f aca="false">IF(P542="Above Materiality",COUNTIFS($O$2:$O$1092,O542,$P$2:$P$1092,"Above Materiality",$M$2:$M$1092,"&gt;"&amp;M542)+COUNTIFS($O$2:$O$1092,O542,$P$2:$P$1092,"Above Materiality",$M$2:$M$1092,M542,$A$2:$A$1092,"&lt;"&amp;A542)+1,"")</f>
        <v/>
      </c>
      <c r="S542" s="21" t="str">
        <f aca="false">IF(P542&lt;&gt;"Below Materiality","",IF(Summary!$C$9="Random",COUNTIFS($O$2:$O$1092,O542,$Q$2:$Q$1092,"&gt;"&amp;Q542)+1,COUNTIFS($O$2:$O$1092,O542,$P$2:$P$1092,"Below Materiality",$M$2:$M$1092,"&gt;"&amp;M542)+COUNTIFS($O$2:$O$1092,O542,$P$2:$P$1092,"Below Materiality",$M$2:$M$1092,M542,$A$2:$A$1092,"&lt;"&amp;A542)+1))</f>
        <v/>
      </c>
      <c r="T542" s="22"/>
      <c r="U542" s="21" t="str">
        <f aca="false">IF(R542="","",O542&amp;"|A|"&amp;R542)</f>
        <v/>
      </c>
      <c r="V542" s="21" t="str">
        <f aca="false">IF(S542="","",O542&amp;"|R|"&amp;S542)</f>
        <v/>
      </c>
    </row>
    <row r="543" customFormat="false" ht="15" hidden="false" customHeight="false" outlineLevel="0" collapsed="false">
      <c r="A543" s="18" t="n">
        <v>542</v>
      </c>
      <c r="B543" s="18"/>
      <c r="C543" s="18"/>
      <c r="D543" s="18"/>
      <c r="E543" s="18" t="s">
        <v>1121</v>
      </c>
      <c r="F543" s="18" t="s">
        <v>1122</v>
      </c>
      <c r="G543" s="18" t="s">
        <v>74</v>
      </c>
      <c r="H543" s="18" t="n">
        <v>315</v>
      </c>
      <c r="I543" s="19" t="n">
        <v>1173.5</v>
      </c>
      <c r="J543" s="19" t="n">
        <v>0</v>
      </c>
      <c r="K543" s="19" t="n">
        <v>1173.5</v>
      </c>
      <c r="L543" s="19" t="n">
        <v>0</v>
      </c>
      <c r="M543" s="19" t="n">
        <f aca="false">ABS(L543)</f>
        <v>0</v>
      </c>
      <c r="N543" s="18" t="str">
        <f aca="false">IF(L543=0,"Nil balance",IF(G543="AR file",IF(L543&gt;0,"Accounts Receivable","Customer Advances"),IF(L543&lt;0,"Accounts Payable","Supplier Advances")))</f>
        <v>Nil balance</v>
      </c>
      <c r="O543" s="18" t="str">
        <f aca="false">IF(L543=0,"Excluded",IF(Summary!$C$4="By ledger",IF(G543="AR file","Population 1","Population 2"),IF(L543&gt;0,"Population 1","Population 2")))</f>
        <v>Excluded</v>
      </c>
      <c r="P543" s="18" t="str">
        <f aca="false">IF(O543="Excluded","Excluded – nil closing balance",IF(M543&gt;Summary!$C$5,"Above Materiality","Below Materiality"))</f>
        <v>Excluded – nil closing balance</v>
      </c>
      <c r="Q543" s="20" t="str">
        <f aca="false">IF(P543="Below Materiality",T543,"")</f>
        <v/>
      </c>
      <c r="R543" s="21" t="str">
        <f aca="false">IF(P543="Above Materiality",COUNTIFS($O$2:$O$1092,O543,$P$2:$P$1092,"Above Materiality",$M$2:$M$1092,"&gt;"&amp;M543)+COUNTIFS($O$2:$O$1092,O543,$P$2:$P$1092,"Above Materiality",$M$2:$M$1092,M543,$A$2:$A$1092,"&lt;"&amp;A543)+1,"")</f>
        <v/>
      </c>
      <c r="S543" s="21" t="str">
        <f aca="false">IF(P543&lt;&gt;"Below Materiality","",IF(Summary!$C$9="Random",COUNTIFS($O$2:$O$1092,O543,$Q$2:$Q$1092,"&gt;"&amp;Q543)+1,COUNTIFS($O$2:$O$1092,O543,$P$2:$P$1092,"Below Materiality",$M$2:$M$1092,"&gt;"&amp;M543)+COUNTIFS($O$2:$O$1092,O543,$P$2:$P$1092,"Below Materiality",$M$2:$M$1092,M543,$A$2:$A$1092,"&lt;"&amp;A543)+1))</f>
        <v/>
      </c>
      <c r="T543" s="22"/>
      <c r="U543" s="21" t="str">
        <f aca="false">IF(R543="","",O543&amp;"|A|"&amp;R543)</f>
        <v/>
      </c>
      <c r="V543" s="21" t="str">
        <f aca="false">IF(S543="","",O543&amp;"|R|"&amp;S543)</f>
        <v/>
      </c>
    </row>
    <row r="544" customFormat="false" ht="15" hidden="false" customHeight="false" outlineLevel="0" collapsed="false">
      <c r="A544" s="18" t="n">
        <v>543</v>
      </c>
      <c r="B544" s="18"/>
      <c r="C544" s="18"/>
      <c r="D544" s="18"/>
      <c r="E544" s="18" t="s">
        <v>1123</v>
      </c>
      <c r="F544" s="18" t="s">
        <v>795</v>
      </c>
      <c r="G544" s="18" t="s">
        <v>74</v>
      </c>
      <c r="H544" s="18" t="n">
        <v>316</v>
      </c>
      <c r="I544" s="19" t="n">
        <v>-100</v>
      </c>
      <c r="J544" s="19" t="n">
        <v>100</v>
      </c>
      <c r="K544" s="19" t="n">
        <v>0</v>
      </c>
      <c r="L544" s="19" t="n">
        <v>0</v>
      </c>
      <c r="M544" s="19" t="n">
        <f aca="false">ABS(L544)</f>
        <v>0</v>
      </c>
      <c r="N544" s="18" t="str">
        <f aca="false">IF(L544=0,"Nil balance",IF(G544="AR file",IF(L544&gt;0,"Accounts Receivable","Customer Advances"),IF(L544&lt;0,"Accounts Payable","Supplier Advances")))</f>
        <v>Nil balance</v>
      </c>
      <c r="O544" s="18" t="str">
        <f aca="false">IF(L544=0,"Excluded",IF(Summary!$C$4="By ledger",IF(G544="AR file","Population 1","Population 2"),IF(L544&gt;0,"Population 1","Population 2")))</f>
        <v>Excluded</v>
      </c>
      <c r="P544" s="18" t="str">
        <f aca="false">IF(O544="Excluded","Excluded – nil closing balance",IF(M544&gt;Summary!$C$5,"Above Materiality","Below Materiality"))</f>
        <v>Excluded – nil closing balance</v>
      </c>
      <c r="Q544" s="20" t="str">
        <f aca="false">IF(P544="Below Materiality",T544,"")</f>
        <v/>
      </c>
      <c r="R544" s="21" t="str">
        <f aca="false">IF(P544="Above Materiality",COUNTIFS($O$2:$O$1092,O544,$P$2:$P$1092,"Above Materiality",$M$2:$M$1092,"&gt;"&amp;M544)+COUNTIFS($O$2:$O$1092,O544,$P$2:$P$1092,"Above Materiality",$M$2:$M$1092,M544,$A$2:$A$1092,"&lt;"&amp;A544)+1,"")</f>
        <v/>
      </c>
      <c r="S544" s="21" t="str">
        <f aca="false">IF(P544&lt;&gt;"Below Materiality","",IF(Summary!$C$9="Random",COUNTIFS($O$2:$O$1092,O544,$Q$2:$Q$1092,"&gt;"&amp;Q544)+1,COUNTIFS($O$2:$O$1092,O544,$P$2:$P$1092,"Below Materiality",$M$2:$M$1092,"&gt;"&amp;M544)+COUNTIFS($O$2:$O$1092,O544,$P$2:$P$1092,"Below Materiality",$M$2:$M$1092,M544,$A$2:$A$1092,"&lt;"&amp;A544)+1))</f>
        <v/>
      </c>
      <c r="T544" s="22"/>
      <c r="U544" s="21" t="str">
        <f aca="false">IF(R544="","",O544&amp;"|A|"&amp;R544)</f>
        <v/>
      </c>
      <c r="V544" s="21" t="str">
        <f aca="false">IF(S544="","",O544&amp;"|R|"&amp;S544)</f>
        <v/>
      </c>
    </row>
    <row r="545" customFormat="false" ht="15" hidden="false" customHeight="false" outlineLevel="0" collapsed="false">
      <c r="A545" s="18" t="n">
        <v>544</v>
      </c>
      <c r="B545" s="18"/>
      <c r="C545" s="18"/>
      <c r="D545" s="18"/>
      <c r="E545" s="18" t="s">
        <v>1124</v>
      </c>
      <c r="F545" s="18" t="s">
        <v>1125</v>
      </c>
      <c r="G545" s="18" t="s">
        <v>74</v>
      </c>
      <c r="H545" s="18" t="n">
        <v>317</v>
      </c>
      <c r="I545" s="19" t="n">
        <v>2035.5</v>
      </c>
      <c r="J545" s="19" t="n">
        <v>0</v>
      </c>
      <c r="K545" s="19" t="n">
        <v>2035.5</v>
      </c>
      <c r="L545" s="19" t="n">
        <v>0</v>
      </c>
      <c r="M545" s="19" t="n">
        <f aca="false">ABS(L545)</f>
        <v>0</v>
      </c>
      <c r="N545" s="18" t="str">
        <f aca="false">IF(L545=0,"Nil balance",IF(G545="AR file",IF(L545&gt;0,"Accounts Receivable","Customer Advances"),IF(L545&lt;0,"Accounts Payable","Supplier Advances")))</f>
        <v>Nil balance</v>
      </c>
      <c r="O545" s="18" t="str">
        <f aca="false">IF(L545=0,"Excluded",IF(Summary!$C$4="By ledger",IF(G545="AR file","Population 1","Population 2"),IF(L545&gt;0,"Population 1","Population 2")))</f>
        <v>Excluded</v>
      </c>
      <c r="P545" s="18" t="str">
        <f aca="false">IF(O545="Excluded","Excluded – nil closing balance",IF(M545&gt;Summary!$C$5,"Above Materiality","Below Materiality"))</f>
        <v>Excluded – nil closing balance</v>
      </c>
      <c r="Q545" s="20" t="str">
        <f aca="false">IF(P545="Below Materiality",T545,"")</f>
        <v/>
      </c>
      <c r="R545" s="21" t="str">
        <f aca="false">IF(P545="Above Materiality",COUNTIFS($O$2:$O$1092,O545,$P$2:$P$1092,"Above Materiality",$M$2:$M$1092,"&gt;"&amp;M545)+COUNTIFS($O$2:$O$1092,O545,$P$2:$P$1092,"Above Materiality",$M$2:$M$1092,M545,$A$2:$A$1092,"&lt;"&amp;A545)+1,"")</f>
        <v/>
      </c>
      <c r="S545" s="21" t="str">
        <f aca="false">IF(P545&lt;&gt;"Below Materiality","",IF(Summary!$C$9="Random",COUNTIFS($O$2:$O$1092,O545,$Q$2:$Q$1092,"&gt;"&amp;Q545)+1,COUNTIFS($O$2:$O$1092,O545,$P$2:$P$1092,"Below Materiality",$M$2:$M$1092,"&gt;"&amp;M545)+COUNTIFS($O$2:$O$1092,O545,$P$2:$P$1092,"Below Materiality",$M$2:$M$1092,M545,$A$2:$A$1092,"&lt;"&amp;A545)+1))</f>
        <v/>
      </c>
      <c r="T545" s="22"/>
      <c r="U545" s="21" t="str">
        <f aca="false">IF(R545="","",O545&amp;"|A|"&amp;R545)</f>
        <v/>
      </c>
      <c r="V545" s="21" t="str">
        <f aca="false">IF(S545="","",O545&amp;"|R|"&amp;S545)</f>
        <v/>
      </c>
    </row>
    <row r="546" customFormat="false" ht="15" hidden="false" customHeight="false" outlineLevel="0" collapsed="false">
      <c r="A546" s="18" t="n">
        <v>545</v>
      </c>
      <c r="B546" s="18"/>
      <c r="C546" s="18"/>
      <c r="D546" s="18"/>
      <c r="E546" s="18" t="s">
        <v>1126</v>
      </c>
      <c r="F546" s="18" t="s">
        <v>1127</v>
      </c>
      <c r="G546" s="18" t="s">
        <v>74</v>
      </c>
      <c r="H546" s="18" t="n">
        <v>318</v>
      </c>
      <c r="I546" s="19" t="n">
        <v>0</v>
      </c>
      <c r="J546" s="19" t="n">
        <v>8308.75</v>
      </c>
      <c r="K546" s="19" t="n">
        <v>8308.75</v>
      </c>
      <c r="L546" s="19" t="n">
        <v>0</v>
      </c>
      <c r="M546" s="19" t="n">
        <f aca="false">ABS(L546)</f>
        <v>0</v>
      </c>
      <c r="N546" s="18" t="str">
        <f aca="false">IF(L546=0,"Nil balance",IF(G546="AR file",IF(L546&gt;0,"Accounts Receivable","Customer Advances"),IF(L546&lt;0,"Accounts Payable","Supplier Advances")))</f>
        <v>Nil balance</v>
      </c>
      <c r="O546" s="18" t="str">
        <f aca="false">IF(L546=0,"Excluded",IF(Summary!$C$4="By ledger",IF(G546="AR file","Population 1","Population 2"),IF(L546&gt;0,"Population 1","Population 2")))</f>
        <v>Excluded</v>
      </c>
      <c r="P546" s="18" t="str">
        <f aca="false">IF(O546="Excluded","Excluded – nil closing balance",IF(M546&gt;Summary!$C$5,"Above Materiality","Below Materiality"))</f>
        <v>Excluded – nil closing balance</v>
      </c>
      <c r="Q546" s="20" t="str">
        <f aca="false">IF(P546="Below Materiality",T546,"")</f>
        <v/>
      </c>
      <c r="R546" s="21" t="str">
        <f aca="false">IF(P546="Above Materiality",COUNTIFS($O$2:$O$1092,O546,$P$2:$P$1092,"Above Materiality",$M$2:$M$1092,"&gt;"&amp;M546)+COUNTIFS($O$2:$O$1092,O546,$P$2:$P$1092,"Above Materiality",$M$2:$M$1092,M546,$A$2:$A$1092,"&lt;"&amp;A546)+1,"")</f>
        <v/>
      </c>
      <c r="S546" s="21" t="str">
        <f aca="false">IF(P546&lt;&gt;"Below Materiality","",IF(Summary!$C$9="Random",COUNTIFS($O$2:$O$1092,O546,$Q$2:$Q$1092,"&gt;"&amp;Q546)+1,COUNTIFS($O$2:$O$1092,O546,$P$2:$P$1092,"Below Materiality",$M$2:$M$1092,"&gt;"&amp;M546)+COUNTIFS($O$2:$O$1092,O546,$P$2:$P$1092,"Below Materiality",$M$2:$M$1092,M546,$A$2:$A$1092,"&lt;"&amp;A546)+1))</f>
        <v/>
      </c>
      <c r="T546" s="22"/>
      <c r="U546" s="21" t="str">
        <f aca="false">IF(R546="","",O546&amp;"|A|"&amp;R546)</f>
        <v/>
      </c>
      <c r="V546" s="21" t="str">
        <f aca="false">IF(S546="","",O546&amp;"|R|"&amp;S546)</f>
        <v/>
      </c>
    </row>
    <row r="547" customFormat="false" ht="15" hidden="false" customHeight="false" outlineLevel="0" collapsed="false">
      <c r="A547" s="18" t="n">
        <v>546</v>
      </c>
      <c r="B547" s="18"/>
      <c r="C547" s="18"/>
      <c r="D547" s="18"/>
      <c r="E547" s="18" t="s">
        <v>1128</v>
      </c>
      <c r="F547" s="18" t="s">
        <v>1129</v>
      </c>
      <c r="G547" s="18" t="s">
        <v>74</v>
      </c>
      <c r="H547" s="18" t="n">
        <v>319</v>
      </c>
      <c r="I547" s="19" t="n">
        <v>0</v>
      </c>
      <c r="J547" s="19" t="n">
        <v>5429.8</v>
      </c>
      <c r="K547" s="19" t="n">
        <v>5429.8</v>
      </c>
      <c r="L547" s="19" t="n">
        <v>0</v>
      </c>
      <c r="M547" s="19" t="n">
        <f aca="false">ABS(L547)</f>
        <v>0</v>
      </c>
      <c r="N547" s="18" t="str">
        <f aca="false">IF(L547=0,"Nil balance",IF(G547="AR file",IF(L547&gt;0,"Accounts Receivable","Customer Advances"),IF(L547&lt;0,"Accounts Payable","Supplier Advances")))</f>
        <v>Nil balance</v>
      </c>
      <c r="O547" s="18" t="str">
        <f aca="false">IF(L547=0,"Excluded",IF(Summary!$C$4="By ledger",IF(G547="AR file","Population 1","Population 2"),IF(L547&gt;0,"Population 1","Population 2")))</f>
        <v>Excluded</v>
      </c>
      <c r="P547" s="18" t="str">
        <f aca="false">IF(O547="Excluded","Excluded – nil closing balance",IF(M547&gt;Summary!$C$5,"Above Materiality","Below Materiality"))</f>
        <v>Excluded – nil closing balance</v>
      </c>
      <c r="Q547" s="20" t="str">
        <f aca="false">IF(P547="Below Materiality",T547,"")</f>
        <v/>
      </c>
      <c r="R547" s="21" t="str">
        <f aca="false">IF(P547="Above Materiality",COUNTIFS($O$2:$O$1092,O547,$P$2:$P$1092,"Above Materiality",$M$2:$M$1092,"&gt;"&amp;M547)+COUNTIFS($O$2:$O$1092,O547,$P$2:$P$1092,"Above Materiality",$M$2:$M$1092,M547,$A$2:$A$1092,"&lt;"&amp;A547)+1,"")</f>
        <v/>
      </c>
      <c r="S547" s="21" t="str">
        <f aca="false">IF(P547&lt;&gt;"Below Materiality","",IF(Summary!$C$9="Random",COUNTIFS($O$2:$O$1092,O547,$Q$2:$Q$1092,"&gt;"&amp;Q547)+1,COUNTIFS($O$2:$O$1092,O547,$P$2:$P$1092,"Below Materiality",$M$2:$M$1092,"&gt;"&amp;M547)+COUNTIFS($O$2:$O$1092,O547,$P$2:$P$1092,"Below Materiality",$M$2:$M$1092,M547,$A$2:$A$1092,"&lt;"&amp;A547)+1))</f>
        <v/>
      </c>
      <c r="T547" s="22"/>
      <c r="U547" s="21" t="str">
        <f aca="false">IF(R547="","",O547&amp;"|A|"&amp;R547)</f>
        <v/>
      </c>
      <c r="V547" s="21" t="str">
        <f aca="false">IF(S547="","",O547&amp;"|R|"&amp;S547)</f>
        <v/>
      </c>
    </row>
    <row r="548" customFormat="false" ht="15" hidden="false" customHeight="false" outlineLevel="0" collapsed="false">
      <c r="A548" s="18" t="n">
        <v>547</v>
      </c>
      <c r="B548" s="18"/>
      <c r="C548" s="18"/>
      <c r="D548" s="18"/>
      <c r="E548" s="18" t="s">
        <v>1130</v>
      </c>
      <c r="F548" s="18" t="s">
        <v>1131</v>
      </c>
      <c r="G548" s="18" t="s">
        <v>74</v>
      </c>
      <c r="H548" s="18" t="n">
        <v>320</v>
      </c>
      <c r="I548" s="19" t="n">
        <v>0</v>
      </c>
      <c r="J548" s="19" t="n">
        <v>717.25</v>
      </c>
      <c r="K548" s="19" t="n">
        <v>717.25</v>
      </c>
      <c r="L548" s="19" t="n">
        <v>0</v>
      </c>
      <c r="M548" s="19" t="n">
        <f aca="false">ABS(L548)</f>
        <v>0</v>
      </c>
      <c r="N548" s="18" t="str">
        <f aca="false">IF(L548=0,"Nil balance",IF(G548="AR file",IF(L548&gt;0,"Accounts Receivable","Customer Advances"),IF(L548&lt;0,"Accounts Payable","Supplier Advances")))</f>
        <v>Nil balance</v>
      </c>
      <c r="O548" s="18" t="str">
        <f aca="false">IF(L548=0,"Excluded",IF(Summary!$C$4="By ledger",IF(G548="AR file","Population 1","Population 2"),IF(L548&gt;0,"Population 1","Population 2")))</f>
        <v>Excluded</v>
      </c>
      <c r="P548" s="18" t="str">
        <f aca="false">IF(O548="Excluded","Excluded – nil closing balance",IF(M548&gt;Summary!$C$5,"Above Materiality","Below Materiality"))</f>
        <v>Excluded – nil closing balance</v>
      </c>
      <c r="Q548" s="20" t="str">
        <f aca="false">IF(P548="Below Materiality",T548,"")</f>
        <v/>
      </c>
      <c r="R548" s="21" t="str">
        <f aca="false">IF(P548="Above Materiality",COUNTIFS($O$2:$O$1092,O548,$P$2:$P$1092,"Above Materiality",$M$2:$M$1092,"&gt;"&amp;M548)+COUNTIFS($O$2:$O$1092,O548,$P$2:$P$1092,"Above Materiality",$M$2:$M$1092,M548,$A$2:$A$1092,"&lt;"&amp;A548)+1,"")</f>
        <v/>
      </c>
      <c r="S548" s="21" t="str">
        <f aca="false">IF(P548&lt;&gt;"Below Materiality","",IF(Summary!$C$9="Random",COUNTIFS($O$2:$O$1092,O548,$Q$2:$Q$1092,"&gt;"&amp;Q548)+1,COUNTIFS($O$2:$O$1092,O548,$P$2:$P$1092,"Below Materiality",$M$2:$M$1092,"&gt;"&amp;M548)+COUNTIFS($O$2:$O$1092,O548,$P$2:$P$1092,"Below Materiality",$M$2:$M$1092,M548,$A$2:$A$1092,"&lt;"&amp;A548)+1))</f>
        <v/>
      </c>
      <c r="T548" s="22"/>
      <c r="U548" s="21" t="str">
        <f aca="false">IF(R548="","",O548&amp;"|A|"&amp;R548)</f>
        <v/>
      </c>
      <c r="V548" s="21" t="str">
        <f aca="false">IF(S548="","",O548&amp;"|R|"&amp;S548)</f>
        <v/>
      </c>
    </row>
    <row r="549" customFormat="false" ht="15" hidden="false" customHeight="false" outlineLevel="0" collapsed="false">
      <c r="A549" s="18" t="n">
        <v>548</v>
      </c>
      <c r="B549" s="18"/>
      <c r="C549" s="18"/>
      <c r="D549" s="18"/>
      <c r="E549" s="18" t="s">
        <v>1132</v>
      </c>
      <c r="F549" s="18" t="s">
        <v>1133</v>
      </c>
      <c r="G549" s="18" t="s">
        <v>74</v>
      </c>
      <c r="H549" s="18" t="n">
        <v>321</v>
      </c>
      <c r="I549" s="19" t="n">
        <v>0</v>
      </c>
      <c r="J549" s="19" t="n">
        <v>285</v>
      </c>
      <c r="K549" s="19" t="n">
        <v>285</v>
      </c>
      <c r="L549" s="19" t="n">
        <v>0</v>
      </c>
      <c r="M549" s="19" t="n">
        <f aca="false">ABS(L549)</f>
        <v>0</v>
      </c>
      <c r="N549" s="18" t="str">
        <f aca="false">IF(L549=0,"Nil balance",IF(G549="AR file",IF(L549&gt;0,"Accounts Receivable","Customer Advances"),IF(L549&lt;0,"Accounts Payable","Supplier Advances")))</f>
        <v>Nil balance</v>
      </c>
      <c r="O549" s="18" t="str">
        <f aca="false">IF(L549=0,"Excluded",IF(Summary!$C$4="By ledger",IF(G549="AR file","Population 1","Population 2"),IF(L549&gt;0,"Population 1","Population 2")))</f>
        <v>Excluded</v>
      </c>
      <c r="P549" s="18" t="str">
        <f aca="false">IF(O549="Excluded","Excluded – nil closing balance",IF(M549&gt;Summary!$C$5,"Above Materiality","Below Materiality"))</f>
        <v>Excluded – nil closing balance</v>
      </c>
      <c r="Q549" s="20" t="str">
        <f aca="false">IF(P549="Below Materiality",T549,"")</f>
        <v/>
      </c>
      <c r="R549" s="21" t="str">
        <f aca="false">IF(P549="Above Materiality",COUNTIFS($O$2:$O$1092,O549,$P$2:$P$1092,"Above Materiality",$M$2:$M$1092,"&gt;"&amp;M549)+COUNTIFS($O$2:$O$1092,O549,$P$2:$P$1092,"Above Materiality",$M$2:$M$1092,M549,$A$2:$A$1092,"&lt;"&amp;A549)+1,"")</f>
        <v/>
      </c>
      <c r="S549" s="21" t="str">
        <f aca="false">IF(P549&lt;&gt;"Below Materiality","",IF(Summary!$C$9="Random",COUNTIFS($O$2:$O$1092,O549,$Q$2:$Q$1092,"&gt;"&amp;Q549)+1,COUNTIFS($O$2:$O$1092,O549,$P$2:$P$1092,"Below Materiality",$M$2:$M$1092,"&gt;"&amp;M549)+COUNTIFS($O$2:$O$1092,O549,$P$2:$P$1092,"Below Materiality",$M$2:$M$1092,M549,$A$2:$A$1092,"&lt;"&amp;A549)+1))</f>
        <v/>
      </c>
      <c r="T549" s="22"/>
      <c r="U549" s="21" t="str">
        <f aca="false">IF(R549="","",O549&amp;"|A|"&amp;R549)</f>
        <v/>
      </c>
      <c r="V549" s="21" t="str">
        <f aca="false">IF(S549="","",O549&amp;"|R|"&amp;S549)</f>
        <v/>
      </c>
    </row>
    <row r="550" customFormat="false" ht="15" hidden="false" customHeight="false" outlineLevel="0" collapsed="false">
      <c r="A550" s="18" t="n">
        <v>549</v>
      </c>
      <c r="B550" s="18"/>
      <c r="C550" s="18"/>
      <c r="D550" s="18"/>
      <c r="E550" s="18" t="s">
        <v>1134</v>
      </c>
      <c r="F550" s="18" t="s">
        <v>1135</v>
      </c>
      <c r="G550" s="18" t="s">
        <v>74</v>
      </c>
      <c r="H550" s="18" t="n">
        <v>322</v>
      </c>
      <c r="I550" s="19" t="n">
        <v>100</v>
      </c>
      <c r="J550" s="19" t="n">
        <v>1550.2</v>
      </c>
      <c r="K550" s="19" t="n">
        <v>1650.2</v>
      </c>
      <c r="L550" s="19" t="n">
        <v>0</v>
      </c>
      <c r="M550" s="19" t="n">
        <f aca="false">ABS(L550)</f>
        <v>0</v>
      </c>
      <c r="N550" s="18" t="str">
        <f aca="false">IF(L550=0,"Nil balance",IF(G550="AR file",IF(L550&gt;0,"Accounts Receivable","Customer Advances"),IF(L550&lt;0,"Accounts Payable","Supplier Advances")))</f>
        <v>Nil balance</v>
      </c>
      <c r="O550" s="18" t="str">
        <f aca="false">IF(L550=0,"Excluded",IF(Summary!$C$4="By ledger",IF(G550="AR file","Population 1","Population 2"),IF(L550&gt;0,"Population 1","Population 2")))</f>
        <v>Excluded</v>
      </c>
      <c r="P550" s="18" t="str">
        <f aca="false">IF(O550="Excluded","Excluded – nil closing balance",IF(M550&gt;Summary!$C$5,"Above Materiality","Below Materiality"))</f>
        <v>Excluded – nil closing balance</v>
      </c>
      <c r="Q550" s="20" t="str">
        <f aca="false">IF(P550="Below Materiality",T550,"")</f>
        <v/>
      </c>
      <c r="R550" s="21" t="str">
        <f aca="false">IF(P550="Above Materiality",COUNTIFS($O$2:$O$1092,O550,$P$2:$P$1092,"Above Materiality",$M$2:$M$1092,"&gt;"&amp;M550)+COUNTIFS($O$2:$O$1092,O550,$P$2:$P$1092,"Above Materiality",$M$2:$M$1092,M550,$A$2:$A$1092,"&lt;"&amp;A550)+1,"")</f>
        <v/>
      </c>
      <c r="S550" s="21" t="str">
        <f aca="false">IF(P550&lt;&gt;"Below Materiality","",IF(Summary!$C$9="Random",COUNTIFS($O$2:$O$1092,O550,$Q$2:$Q$1092,"&gt;"&amp;Q550)+1,COUNTIFS($O$2:$O$1092,O550,$P$2:$P$1092,"Below Materiality",$M$2:$M$1092,"&gt;"&amp;M550)+COUNTIFS($O$2:$O$1092,O550,$P$2:$P$1092,"Below Materiality",$M$2:$M$1092,M550,$A$2:$A$1092,"&lt;"&amp;A550)+1))</f>
        <v/>
      </c>
      <c r="T550" s="22"/>
      <c r="U550" s="21" t="str">
        <f aca="false">IF(R550="","",O550&amp;"|A|"&amp;R550)</f>
        <v/>
      </c>
      <c r="V550" s="21" t="str">
        <f aca="false">IF(S550="","",O550&amp;"|R|"&amp;S550)</f>
        <v/>
      </c>
    </row>
    <row r="551" customFormat="false" ht="15" hidden="false" customHeight="false" outlineLevel="0" collapsed="false">
      <c r="A551" s="18" t="n">
        <v>550</v>
      </c>
      <c r="B551" s="18"/>
      <c r="C551" s="18"/>
      <c r="D551" s="18"/>
      <c r="E551" s="18" t="s">
        <v>1136</v>
      </c>
      <c r="F551" s="18" t="s">
        <v>1137</v>
      </c>
      <c r="G551" s="18" t="s">
        <v>74</v>
      </c>
      <c r="H551" s="18" t="n">
        <v>325</v>
      </c>
      <c r="I551" s="19" t="n">
        <v>292</v>
      </c>
      <c r="J551" s="19" t="n">
        <v>0</v>
      </c>
      <c r="K551" s="19" t="n">
        <v>292</v>
      </c>
      <c r="L551" s="19" t="n">
        <v>0</v>
      </c>
      <c r="M551" s="19" t="n">
        <f aca="false">ABS(L551)</f>
        <v>0</v>
      </c>
      <c r="N551" s="18" t="str">
        <f aca="false">IF(L551=0,"Nil balance",IF(G551="AR file",IF(L551&gt;0,"Accounts Receivable","Customer Advances"),IF(L551&lt;0,"Accounts Payable","Supplier Advances")))</f>
        <v>Nil balance</v>
      </c>
      <c r="O551" s="18" t="str">
        <f aca="false">IF(L551=0,"Excluded",IF(Summary!$C$4="By ledger",IF(G551="AR file","Population 1","Population 2"),IF(L551&gt;0,"Population 1","Population 2")))</f>
        <v>Excluded</v>
      </c>
      <c r="P551" s="18" t="str">
        <f aca="false">IF(O551="Excluded","Excluded – nil closing balance",IF(M551&gt;Summary!$C$5,"Above Materiality","Below Materiality"))</f>
        <v>Excluded – nil closing balance</v>
      </c>
      <c r="Q551" s="20" t="str">
        <f aca="false">IF(P551="Below Materiality",T551,"")</f>
        <v/>
      </c>
      <c r="R551" s="21" t="str">
        <f aca="false">IF(P551="Above Materiality",COUNTIFS($O$2:$O$1092,O551,$P$2:$P$1092,"Above Materiality",$M$2:$M$1092,"&gt;"&amp;M551)+COUNTIFS($O$2:$O$1092,O551,$P$2:$P$1092,"Above Materiality",$M$2:$M$1092,M551,$A$2:$A$1092,"&lt;"&amp;A551)+1,"")</f>
        <v/>
      </c>
      <c r="S551" s="21" t="str">
        <f aca="false">IF(P551&lt;&gt;"Below Materiality","",IF(Summary!$C$9="Random",COUNTIFS($O$2:$O$1092,O551,$Q$2:$Q$1092,"&gt;"&amp;Q551)+1,COUNTIFS($O$2:$O$1092,O551,$P$2:$P$1092,"Below Materiality",$M$2:$M$1092,"&gt;"&amp;M551)+COUNTIFS($O$2:$O$1092,O551,$P$2:$P$1092,"Below Materiality",$M$2:$M$1092,M551,$A$2:$A$1092,"&lt;"&amp;A551)+1))</f>
        <v/>
      </c>
      <c r="T551" s="22"/>
      <c r="U551" s="21" t="str">
        <f aca="false">IF(R551="","",O551&amp;"|A|"&amp;R551)</f>
        <v/>
      </c>
      <c r="V551" s="21" t="str">
        <f aca="false">IF(S551="","",O551&amp;"|R|"&amp;S551)</f>
        <v/>
      </c>
    </row>
    <row r="552" customFormat="false" ht="15" hidden="false" customHeight="false" outlineLevel="0" collapsed="false">
      <c r="A552" s="18" t="n">
        <v>551</v>
      </c>
      <c r="B552" s="18"/>
      <c r="C552" s="18"/>
      <c r="D552" s="18"/>
      <c r="E552" s="18" t="s">
        <v>1138</v>
      </c>
      <c r="F552" s="18" t="s">
        <v>1139</v>
      </c>
      <c r="G552" s="18" t="s">
        <v>74</v>
      </c>
      <c r="H552" s="18" t="n">
        <v>326</v>
      </c>
      <c r="I552" s="19" t="n">
        <v>0</v>
      </c>
      <c r="J552" s="19" t="n">
        <v>2597.5</v>
      </c>
      <c r="K552" s="19" t="n">
        <v>2597.5</v>
      </c>
      <c r="L552" s="19" t="n">
        <v>0</v>
      </c>
      <c r="M552" s="19" t="n">
        <f aca="false">ABS(L552)</f>
        <v>0</v>
      </c>
      <c r="N552" s="18" t="str">
        <f aca="false">IF(L552=0,"Nil balance",IF(G552="AR file",IF(L552&gt;0,"Accounts Receivable","Customer Advances"),IF(L552&lt;0,"Accounts Payable","Supplier Advances")))</f>
        <v>Nil balance</v>
      </c>
      <c r="O552" s="18" t="str">
        <f aca="false">IF(L552=0,"Excluded",IF(Summary!$C$4="By ledger",IF(G552="AR file","Population 1","Population 2"),IF(L552&gt;0,"Population 1","Population 2")))</f>
        <v>Excluded</v>
      </c>
      <c r="P552" s="18" t="str">
        <f aca="false">IF(O552="Excluded","Excluded – nil closing balance",IF(M552&gt;Summary!$C$5,"Above Materiality","Below Materiality"))</f>
        <v>Excluded – nil closing balance</v>
      </c>
      <c r="Q552" s="20" t="str">
        <f aca="false">IF(P552="Below Materiality",T552,"")</f>
        <v/>
      </c>
      <c r="R552" s="21" t="str">
        <f aca="false">IF(P552="Above Materiality",COUNTIFS($O$2:$O$1092,O552,$P$2:$P$1092,"Above Materiality",$M$2:$M$1092,"&gt;"&amp;M552)+COUNTIFS($O$2:$O$1092,O552,$P$2:$P$1092,"Above Materiality",$M$2:$M$1092,M552,$A$2:$A$1092,"&lt;"&amp;A552)+1,"")</f>
        <v/>
      </c>
      <c r="S552" s="21" t="str">
        <f aca="false">IF(P552&lt;&gt;"Below Materiality","",IF(Summary!$C$9="Random",COUNTIFS($O$2:$O$1092,O552,$Q$2:$Q$1092,"&gt;"&amp;Q552)+1,COUNTIFS($O$2:$O$1092,O552,$P$2:$P$1092,"Below Materiality",$M$2:$M$1092,"&gt;"&amp;M552)+COUNTIFS($O$2:$O$1092,O552,$P$2:$P$1092,"Below Materiality",$M$2:$M$1092,M552,$A$2:$A$1092,"&lt;"&amp;A552)+1))</f>
        <v/>
      </c>
      <c r="T552" s="22"/>
      <c r="U552" s="21" t="str">
        <f aca="false">IF(R552="","",O552&amp;"|A|"&amp;R552)</f>
        <v/>
      </c>
      <c r="V552" s="21" t="str">
        <f aca="false">IF(S552="","",O552&amp;"|R|"&amp;S552)</f>
        <v/>
      </c>
    </row>
    <row r="553" customFormat="false" ht="15" hidden="false" customHeight="false" outlineLevel="0" collapsed="false">
      <c r="A553" s="18" t="n">
        <v>552</v>
      </c>
      <c r="B553" s="18"/>
      <c r="C553" s="18"/>
      <c r="D553" s="18"/>
      <c r="E553" s="18" t="s">
        <v>1140</v>
      </c>
      <c r="F553" s="18" t="s">
        <v>1141</v>
      </c>
      <c r="G553" s="18" t="s">
        <v>74</v>
      </c>
      <c r="H553" s="18" t="n">
        <v>327</v>
      </c>
      <c r="I553" s="19" t="n">
        <v>0</v>
      </c>
      <c r="J553" s="19" t="n">
        <v>10465</v>
      </c>
      <c r="K553" s="19" t="n">
        <v>10465</v>
      </c>
      <c r="L553" s="19" t="n">
        <v>0</v>
      </c>
      <c r="M553" s="19" t="n">
        <f aca="false">ABS(L553)</f>
        <v>0</v>
      </c>
      <c r="N553" s="18" t="str">
        <f aca="false">IF(L553=0,"Nil balance",IF(G553="AR file",IF(L553&gt;0,"Accounts Receivable","Customer Advances"),IF(L553&lt;0,"Accounts Payable","Supplier Advances")))</f>
        <v>Nil balance</v>
      </c>
      <c r="O553" s="18" t="str">
        <f aca="false">IF(L553=0,"Excluded",IF(Summary!$C$4="By ledger",IF(G553="AR file","Population 1","Population 2"),IF(L553&gt;0,"Population 1","Population 2")))</f>
        <v>Excluded</v>
      </c>
      <c r="P553" s="18" t="str">
        <f aca="false">IF(O553="Excluded","Excluded – nil closing balance",IF(M553&gt;Summary!$C$5,"Above Materiality","Below Materiality"))</f>
        <v>Excluded – nil closing balance</v>
      </c>
      <c r="Q553" s="20" t="str">
        <f aca="false">IF(P553="Below Materiality",T553,"")</f>
        <v/>
      </c>
      <c r="R553" s="21" t="str">
        <f aca="false">IF(P553="Above Materiality",COUNTIFS($O$2:$O$1092,O553,$P$2:$P$1092,"Above Materiality",$M$2:$M$1092,"&gt;"&amp;M553)+COUNTIFS($O$2:$O$1092,O553,$P$2:$P$1092,"Above Materiality",$M$2:$M$1092,M553,$A$2:$A$1092,"&lt;"&amp;A553)+1,"")</f>
        <v/>
      </c>
      <c r="S553" s="21" t="str">
        <f aca="false">IF(P553&lt;&gt;"Below Materiality","",IF(Summary!$C$9="Random",COUNTIFS($O$2:$O$1092,O553,$Q$2:$Q$1092,"&gt;"&amp;Q553)+1,COUNTIFS($O$2:$O$1092,O553,$P$2:$P$1092,"Below Materiality",$M$2:$M$1092,"&gt;"&amp;M553)+COUNTIFS($O$2:$O$1092,O553,$P$2:$P$1092,"Below Materiality",$M$2:$M$1092,M553,$A$2:$A$1092,"&lt;"&amp;A553)+1))</f>
        <v/>
      </c>
      <c r="T553" s="22"/>
      <c r="U553" s="21" t="str">
        <f aca="false">IF(R553="","",O553&amp;"|A|"&amp;R553)</f>
        <v/>
      </c>
      <c r="V553" s="21" t="str">
        <f aca="false">IF(S553="","",O553&amp;"|R|"&amp;S553)</f>
        <v/>
      </c>
    </row>
    <row r="554" customFormat="false" ht="15" hidden="false" customHeight="false" outlineLevel="0" collapsed="false">
      <c r="A554" s="18" t="n">
        <v>553</v>
      </c>
      <c r="B554" s="18"/>
      <c r="C554" s="18"/>
      <c r="D554" s="18"/>
      <c r="E554" s="18" t="s">
        <v>1142</v>
      </c>
      <c r="F554" s="18" t="s">
        <v>575</v>
      </c>
      <c r="G554" s="18" t="s">
        <v>74</v>
      </c>
      <c r="H554" s="18" t="n">
        <v>328</v>
      </c>
      <c r="I554" s="19" t="n">
        <v>0</v>
      </c>
      <c r="J554" s="19" t="n">
        <v>9775</v>
      </c>
      <c r="K554" s="19" t="n">
        <v>9775</v>
      </c>
      <c r="L554" s="19" t="n">
        <v>0</v>
      </c>
      <c r="M554" s="19" t="n">
        <f aca="false">ABS(L554)</f>
        <v>0</v>
      </c>
      <c r="N554" s="18" t="str">
        <f aca="false">IF(L554=0,"Nil balance",IF(G554="AR file",IF(L554&gt;0,"Accounts Receivable","Customer Advances"),IF(L554&lt;0,"Accounts Payable","Supplier Advances")))</f>
        <v>Nil balance</v>
      </c>
      <c r="O554" s="18" t="str">
        <f aca="false">IF(L554=0,"Excluded",IF(Summary!$C$4="By ledger",IF(G554="AR file","Population 1","Population 2"),IF(L554&gt;0,"Population 1","Population 2")))</f>
        <v>Excluded</v>
      </c>
      <c r="P554" s="18" t="str">
        <f aca="false">IF(O554="Excluded","Excluded – nil closing balance",IF(M554&gt;Summary!$C$5,"Above Materiality","Below Materiality"))</f>
        <v>Excluded – nil closing balance</v>
      </c>
      <c r="Q554" s="20" t="str">
        <f aca="false">IF(P554="Below Materiality",T554,"")</f>
        <v/>
      </c>
      <c r="R554" s="21" t="str">
        <f aca="false">IF(P554="Above Materiality",COUNTIFS($O$2:$O$1092,O554,$P$2:$P$1092,"Above Materiality",$M$2:$M$1092,"&gt;"&amp;M554)+COUNTIFS($O$2:$O$1092,O554,$P$2:$P$1092,"Above Materiality",$M$2:$M$1092,M554,$A$2:$A$1092,"&lt;"&amp;A554)+1,"")</f>
        <v/>
      </c>
      <c r="S554" s="21" t="str">
        <f aca="false">IF(P554&lt;&gt;"Below Materiality","",IF(Summary!$C$9="Random",COUNTIFS($O$2:$O$1092,O554,$Q$2:$Q$1092,"&gt;"&amp;Q554)+1,COUNTIFS($O$2:$O$1092,O554,$P$2:$P$1092,"Below Materiality",$M$2:$M$1092,"&gt;"&amp;M554)+COUNTIFS($O$2:$O$1092,O554,$P$2:$P$1092,"Below Materiality",$M$2:$M$1092,M554,$A$2:$A$1092,"&lt;"&amp;A554)+1))</f>
        <v/>
      </c>
      <c r="T554" s="22"/>
      <c r="U554" s="21" t="str">
        <f aca="false">IF(R554="","",O554&amp;"|A|"&amp;R554)</f>
        <v/>
      </c>
      <c r="V554" s="21" t="str">
        <f aca="false">IF(S554="","",O554&amp;"|R|"&amp;S554)</f>
        <v/>
      </c>
    </row>
    <row r="555" customFormat="false" ht="15" hidden="false" customHeight="false" outlineLevel="0" collapsed="false">
      <c r="A555" s="18" t="n">
        <v>554</v>
      </c>
      <c r="B555" s="18"/>
      <c r="C555" s="18"/>
      <c r="D555" s="18"/>
      <c r="E555" s="18" t="s">
        <v>1143</v>
      </c>
      <c r="F555" s="18" t="s">
        <v>1144</v>
      </c>
      <c r="G555" s="18" t="s">
        <v>74</v>
      </c>
      <c r="H555" s="18" t="n">
        <v>329</v>
      </c>
      <c r="I555" s="19" t="n">
        <v>0</v>
      </c>
      <c r="J555" s="19" t="n">
        <v>184</v>
      </c>
      <c r="K555" s="19" t="n">
        <v>184</v>
      </c>
      <c r="L555" s="19" t="n">
        <v>0</v>
      </c>
      <c r="M555" s="19" t="n">
        <f aca="false">ABS(L555)</f>
        <v>0</v>
      </c>
      <c r="N555" s="18" t="str">
        <f aca="false">IF(L555=0,"Nil balance",IF(G555="AR file",IF(L555&gt;0,"Accounts Receivable","Customer Advances"),IF(L555&lt;0,"Accounts Payable","Supplier Advances")))</f>
        <v>Nil balance</v>
      </c>
      <c r="O555" s="18" t="str">
        <f aca="false">IF(L555=0,"Excluded",IF(Summary!$C$4="By ledger",IF(G555="AR file","Population 1","Population 2"),IF(L555&gt;0,"Population 1","Population 2")))</f>
        <v>Excluded</v>
      </c>
      <c r="P555" s="18" t="str">
        <f aca="false">IF(O555="Excluded","Excluded – nil closing balance",IF(M555&gt;Summary!$C$5,"Above Materiality","Below Materiality"))</f>
        <v>Excluded – nil closing balance</v>
      </c>
      <c r="Q555" s="20" t="str">
        <f aca="false">IF(P555="Below Materiality",T555,"")</f>
        <v/>
      </c>
      <c r="R555" s="21" t="str">
        <f aca="false">IF(P555="Above Materiality",COUNTIFS($O$2:$O$1092,O555,$P$2:$P$1092,"Above Materiality",$M$2:$M$1092,"&gt;"&amp;M555)+COUNTIFS($O$2:$O$1092,O555,$P$2:$P$1092,"Above Materiality",$M$2:$M$1092,M555,$A$2:$A$1092,"&lt;"&amp;A555)+1,"")</f>
        <v/>
      </c>
      <c r="S555" s="21" t="str">
        <f aca="false">IF(P555&lt;&gt;"Below Materiality","",IF(Summary!$C$9="Random",COUNTIFS($O$2:$O$1092,O555,$Q$2:$Q$1092,"&gt;"&amp;Q555)+1,COUNTIFS($O$2:$O$1092,O555,$P$2:$P$1092,"Below Materiality",$M$2:$M$1092,"&gt;"&amp;M555)+COUNTIFS($O$2:$O$1092,O555,$P$2:$P$1092,"Below Materiality",$M$2:$M$1092,M555,$A$2:$A$1092,"&lt;"&amp;A555)+1))</f>
        <v/>
      </c>
      <c r="T555" s="22"/>
      <c r="U555" s="21" t="str">
        <f aca="false">IF(R555="","",O555&amp;"|A|"&amp;R555)</f>
        <v/>
      </c>
      <c r="V555" s="21" t="str">
        <f aca="false">IF(S555="","",O555&amp;"|R|"&amp;S555)</f>
        <v/>
      </c>
    </row>
    <row r="556" customFormat="false" ht="15" hidden="false" customHeight="false" outlineLevel="0" collapsed="false">
      <c r="A556" s="18" t="n">
        <v>555</v>
      </c>
      <c r="B556" s="18"/>
      <c r="C556" s="18"/>
      <c r="D556" s="18"/>
      <c r="E556" s="18" t="s">
        <v>1145</v>
      </c>
      <c r="F556" s="18" t="s">
        <v>1144</v>
      </c>
      <c r="G556" s="18" t="s">
        <v>74</v>
      </c>
      <c r="H556" s="18" t="n">
        <v>330</v>
      </c>
      <c r="I556" s="19" t="n">
        <v>0</v>
      </c>
      <c r="J556" s="19" t="n">
        <v>184</v>
      </c>
      <c r="K556" s="19" t="n">
        <v>184</v>
      </c>
      <c r="L556" s="19" t="n">
        <v>0</v>
      </c>
      <c r="M556" s="19" t="n">
        <f aca="false">ABS(L556)</f>
        <v>0</v>
      </c>
      <c r="N556" s="18" t="str">
        <f aca="false">IF(L556=0,"Nil balance",IF(G556="AR file",IF(L556&gt;0,"Accounts Receivable","Customer Advances"),IF(L556&lt;0,"Accounts Payable","Supplier Advances")))</f>
        <v>Nil balance</v>
      </c>
      <c r="O556" s="18" t="str">
        <f aca="false">IF(L556=0,"Excluded",IF(Summary!$C$4="By ledger",IF(G556="AR file","Population 1","Population 2"),IF(L556&gt;0,"Population 1","Population 2")))</f>
        <v>Excluded</v>
      </c>
      <c r="P556" s="18" t="str">
        <f aca="false">IF(O556="Excluded","Excluded – nil closing balance",IF(M556&gt;Summary!$C$5,"Above Materiality","Below Materiality"))</f>
        <v>Excluded – nil closing balance</v>
      </c>
      <c r="Q556" s="20" t="str">
        <f aca="false">IF(P556="Below Materiality",T556,"")</f>
        <v/>
      </c>
      <c r="R556" s="21" t="str">
        <f aca="false">IF(P556="Above Materiality",COUNTIFS($O$2:$O$1092,O556,$P$2:$P$1092,"Above Materiality",$M$2:$M$1092,"&gt;"&amp;M556)+COUNTIFS($O$2:$O$1092,O556,$P$2:$P$1092,"Above Materiality",$M$2:$M$1092,M556,$A$2:$A$1092,"&lt;"&amp;A556)+1,"")</f>
        <v/>
      </c>
      <c r="S556" s="21" t="str">
        <f aca="false">IF(P556&lt;&gt;"Below Materiality","",IF(Summary!$C$9="Random",COUNTIFS($O$2:$O$1092,O556,$Q$2:$Q$1092,"&gt;"&amp;Q556)+1,COUNTIFS($O$2:$O$1092,O556,$P$2:$P$1092,"Below Materiality",$M$2:$M$1092,"&gt;"&amp;M556)+COUNTIFS($O$2:$O$1092,O556,$P$2:$P$1092,"Below Materiality",$M$2:$M$1092,M556,$A$2:$A$1092,"&lt;"&amp;A556)+1))</f>
        <v/>
      </c>
      <c r="T556" s="22"/>
      <c r="U556" s="21" t="str">
        <f aca="false">IF(R556="","",O556&amp;"|A|"&amp;R556)</f>
        <v/>
      </c>
      <c r="V556" s="21" t="str">
        <f aca="false">IF(S556="","",O556&amp;"|R|"&amp;S556)</f>
        <v/>
      </c>
    </row>
    <row r="557" customFormat="false" ht="15" hidden="false" customHeight="false" outlineLevel="0" collapsed="false">
      <c r="A557" s="18" t="n">
        <v>556</v>
      </c>
      <c r="B557" s="18"/>
      <c r="C557" s="18"/>
      <c r="D557" s="18"/>
      <c r="E557" s="18" t="s">
        <v>1146</v>
      </c>
      <c r="F557" s="18" t="s">
        <v>1147</v>
      </c>
      <c r="G557" s="18" t="s">
        <v>74</v>
      </c>
      <c r="H557" s="18" t="n">
        <v>331</v>
      </c>
      <c r="I557" s="19" t="n">
        <v>0</v>
      </c>
      <c r="J557" s="19" t="n">
        <v>422</v>
      </c>
      <c r="K557" s="19" t="n">
        <v>422</v>
      </c>
      <c r="L557" s="19" t="n">
        <v>0</v>
      </c>
      <c r="M557" s="19" t="n">
        <f aca="false">ABS(L557)</f>
        <v>0</v>
      </c>
      <c r="N557" s="18" t="str">
        <f aca="false">IF(L557=0,"Nil balance",IF(G557="AR file",IF(L557&gt;0,"Accounts Receivable","Customer Advances"),IF(L557&lt;0,"Accounts Payable","Supplier Advances")))</f>
        <v>Nil balance</v>
      </c>
      <c r="O557" s="18" t="str">
        <f aca="false">IF(L557=0,"Excluded",IF(Summary!$C$4="By ledger",IF(G557="AR file","Population 1","Population 2"),IF(L557&gt;0,"Population 1","Population 2")))</f>
        <v>Excluded</v>
      </c>
      <c r="P557" s="18" t="str">
        <f aca="false">IF(O557="Excluded","Excluded – nil closing balance",IF(M557&gt;Summary!$C$5,"Above Materiality","Below Materiality"))</f>
        <v>Excluded – nil closing balance</v>
      </c>
      <c r="Q557" s="20" t="str">
        <f aca="false">IF(P557="Below Materiality",T557,"")</f>
        <v/>
      </c>
      <c r="R557" s="21" t="str">
        <f aca="false">IF(P557="Above Materiality",COUNTIFS($O$2:$O$1092,O557,$P$2:$P$1092,"Above Materiality",$M$2:$M$1092,"&gt;"&amp;M557)+COUNTIFS($O$2:$O$1092,O557,$P$2:$P$1092,"Above Materiality",$M$2:$M$1092,M557,$A$2:$A$1092,"&lt;"&amp;A557)+1,"")</f>
        <v/>
      </c>
      <c r="S557" s="21" t="str">
        <f aca="false">IF(P557&lt;&gt;"Below Materiality","",IF(Summary!$C$9="Random",COUNTIFS($O$2:$O$1092,O557,$Q$2:$Q$1092,"&gt;"&amp;Q557)+1,COUNTIFS($O$2:$O$1092,O557,$P$2:$P$1092,"Below Materiality",$M$2:$M$1092,"&gt;"&amp;M557)+COUNTIFS($O$2:$O$1092,O557,$P$2:$P$1092,"Below Materiality",$M$2:$M$1092,M557,$A$2:$A$1092,"&lt;"&amp;A557)+1))</f>
        <v/>
      </c>
      <c r="T557" s="22"/>
      <c r="U557" s="21" t="str">
        <f aca="false">IF(R557="","",O557&amp;"|A|"&amp;R557)</f>
        <v/>
      </c>
      <c r="V557" s="21" t="str">
        <f aca="false">IF(S557="","",O557&amp;"|R|"&amp;S557)</f>
        <v/>
      </c>
    </row>
    <row r="558" customFormat="false" ht="15" hidden="false" customHeight="false" outlineLevel="0" collapsed="false">
      <c r="A558" s="18" t="n">
        <v>557</v>
      </c>
      <c r="B558" s="18"/>
      <c r="C558" s="18"/>
      <c r="D558" s="18"/>
      <c r="E558" s="18" t="s">
        <v>1148</v>
      </c>
      <c r="F558" s="18" t="s">
        <v>1149</v>
      </c>
      <c r="G558" s="18" t="s">
        <v>74</v>
      </c>
      <c r="H558" s="18" t="n">
        <v>332</v>
      </c>
      <c r="I558" s="19" t="n">
        <v>0</v>
      </c>
      <c r="J558" s="19" t="n">
        <v>36359.19</v>
      </c>
      <c r="K558" s="19" t="n">
        <v>36359.19</v>
      </c>
      <c r="L558" s="19" t="n">
        <v>0</v>
      </c>
      <c r="M558" s="19" t="n">
        <f aca="false">ABS(L558)</f>
        <v>0</v>
      </c>
      <c r="N558" s="18" t="str">
        <f aca="false">IF(L558=0,"Nil balance",IF(G558="AR file",IF(L558&gt;0,"Accounts Receivable","Customer Advances"),IF(L558&lt;0,"Accounts Payable","Supplier Advances")))</f>
        <v>Nil balance</v>
      </c>
      <c r="O558" s="18" t="str">
        <f aca="false">IF(L558=0,"Excluded",IF(Summary!$C$4="By ledger",IF(G558="AR file","Population 1","Population 2"),IF(L558&gt;0,"Population 1","Population 2")))</f>
        <v>Excluded</v>
      </c>
      <c r="P558" s="18" t="str">
        <f aca="false">IF(O558="Excluded","Excluded – nil closing balance",IF(M558&gt;Summary!$C$5,"Above Materiality","Below Materiality"))</f>
        <v>Excluded – nil closing balance</v>
      </c>
      <c r="Q558" s="20" t="str">
        <f aca="false">IF(P558="Below Materiality",T558,"")</f>
        <v/>
      </c>
      <c r="R558" s="21" t="str">
        <f aca="false">IF(P558="Above Materiality",COUNTIFS($O$2:$O$1092,O558,$P$2:$P$1092,"Above Materiality",$M$2:$M$1092,"&gt;"&amp;M558)+COUNTIFS($O$2:$O$1092,O558,$P$2:$P$1092,"Above Materiality",$M$2:$M$1092,M558,$A$2:$A$1092,"&lt;"&amp;A558)+1,"")</f>
        <v/>
      </c>
      <c r="S558" s="21" t="str">
        <f aca="false">IF(P558&lt;&gt;"Below Materiality","",IF(Summary!$C$9="Random",COUNTIFS($O$2:$O$1092,O558,$Q$2:$Q$1092,"&gt;"&amp;Q558)+1,COUNTIFS($O$2:$O$1092,O558,$P$2:$P$1092,"Below Materiality",$M$2:$M$1092,"&gt;"&amp;M558)+COUNTIFS($O$2:$O$1092,O558,$P$2:$P$1092,"Below Materiality",$M$2:$M$1092,M558,$A$2:$A$1092,"&lt;"&amp;A558)+1))</f>
        <v/>
      </c>
      <c r="T558" s="22"/>
      <c r="U558" s="21" t="str">
        <f aca="false">IF(R558="","",O558&amp;"|A|"&amp;R558)</f>
        <v/>
      </c>
      <c r="V558" s="21" t="str">
        <f aca="false">IF(S558="","",O558&amp;"|R|"&amp;S558)</f>
        <v/>
      </c>
    </row>
    <row r="559" customFormat="false" ht="15" hidden="false" customHeight="false" outlineLevel="0" collapsed="false">
      <c r="A559" s="18" t="n">
        <v>558</v>
      </c>
      <c r="B559" s="18"/>
      <c r="C559" s="18"/>
      <c r="D559" s="18"/>
      <c r="E559" s="18" t="s">
        <v>1150</v>
      </c>
      <c r="F559" s="18" t="s">
        <v>1151</v>
      </c>
      <c r="G559" s="18" t="s">
        <v>74</v>
      </c>
      <c r="H559" s="18" t="n">
        <v>333</v>
      </c>
      <c r="I559" s="19" t="n">
        <v>0</v>
      </c>
      <c r="J559" s="19" t="n">
        <v>523.25</v>
      </c>
      <c r="K559" s="19" t="n">
        <v>523.25</v>
      </c>
      <c r="L559" s="19" t="n">
        <v>0</v>
      </c>
      <c r="M559" s="19" t="n">
        <f aca="false">ABS(L559)</f>
        <v>0</v>
      </c>
      <c r="N559" s="18" t="str">
        <f aca="false">IF(L559=0,"Nil balance",IF(G559="AR file",IF(L559&gt;0,"Accounts Receivable","Customer Advances"),IF(L559&lt;0,"Accounts Payable","Supplier Advances")))</f>
        <v>Nil balance</v>
      </c>
      <c r="O559" s="18" t="str">
        <f aca="false">IF(L559=0,"Excluded",IF(Summary!$C$4="By ledger",IF(G559="AR file","Population 1","Population 2"),IF(L559&gt;0,"Population 1","Population 2")))</f>
        <v>Excluded</v>
      </c>
      <c r="P559" s="18" t="str">
        <f aca="false">IF(O559="Excluded","Excluded – nil closing balance",IF(M559&gt;Summary!$C$5,"Above Materiality","Below Materiality"))</f>
        <v>Excluded – nil closing balance</v>
      </c>
      <c r="Q559" s="20" t="str">
        <f aca="false">IF(P559="Below Materiality",T559,"")</f>
        <v/>
      </c>
      <c r="R559" s="21" t="str">
        <f aca="false">IF(P559="Above Materiality",COUNTIFS($O$2:$O$1092,O559,$P$2:$P$1092,"Above Materiality",$M$2:$M$1092,"&gt;"&amp;M559)+COUNTIFS($O$2:$O$1092,O559,$P$2:$P$1092,"Above Materiality",$M$2:$M$1092,M559,$A$2:$A$1092,"&lt;"&amp;A559)+1,"")</f>
        <v/>
      </c>
      <c r="S559" s="21" t="str">
        <f aca="false">IF(P559&lt;&gt;"Below Materiality","",IF(Summary!$C$9="Random",COUNTIFS($O$2:$O$1092,O559,$Q$2:$Q$1092,"&gt;"&amp;Q559)+1,COUNTIFS($O$2:$O$1092,O559,$P$2:$P$1092,"Below Materiality",$M$2:$M$1092,"&gt;"&amp;M559)+COUNTIFS($O$2:$O$1092,O559,$P$2:$P$1092,"Below Materiality",$M$2:$M$1092,M559,$A$2:$A$1092,"&lt;"&amp;A559)+1))</f>
        <v/>
      </c>
      <c r="T559" s="22"/>
      <c r="U559" s="21" t="str">
        <f aca="false">IF(R559="","",O559&amp;"|A|"&amp;R559)</f>
        <v/>
      </c>
      <c r="V559" s="21" t="str">
        <f aca="false">IF(S559="","",O559&amp;"|R|"&amp;S559)</f>
        <v/>
      </c>
    </row>
    <row r="560" customFormat="false" ht="15" hidden="false" customHeight="false" outlineLevel="0" collapsed="false">
      <c r="A560" s="18" t="n">
        <v>559</v>
      </c>
      <c r="B560" s="18"/>
      <c r="C560" s="18"/>
      <c r="D560" s="18"/>
      <c r="E560" s="18" t="s">
        <v>1152</v>
      </c>
      <c r="F560" s="18" t="s">
        <v>1153</v>
      </c>
      <c r="G560" s="18" t="s">
        <v>74</v>
      </c>
      <c r="H560" s="18" t="n">
        <v>334</v>
      </c>
      <c r="I560" s="19" t="n">
        <v>0</v>
      </c>
      <c r="J560" s="19" t="n">
        <v>136.85</v>
      </c>
      <c r="K560" s="19" t="n">
        <v>136.85</v>
      </c>
      <c r="L560" s="19" t="n">
        <v>0</v>
      </c>
      <c r="M560" s="19" t="n">
        <f aca="false">ABS(L560)</f>
        <v>0</v>
      </c>
      <c r="N560" s="18" t="str">
        <f aca="false">IF(L560=0,"Nil balance",IF(G560="AR file",IF(L560&gt;0,"Accounts Receivable","Customer Advances"),IF(L560&lt;0,"Accounts Payable","Supplier Advances")))</f>
        <v>Nil balance</v>
      </c>
      <c r="O560" s="18" t="str">
        <f aca="false">IF(L560=0,"Excluded",IF(Summary!$C$4="By ledger",IF(G560="AR file","Population 1","Population 2"),IF(L560&gt;0,"Population 1","Population 2")))</f>
        <v>Excluded</v>
      </c>
      <c r="P560" s="18" t="str">
        <f aca="false">IF(O560="Excluded","Excluded – nil closing balance",IF(M560&gt;Summary!$C$5,"Above Materiality","Below Materiality"))</f>
        <v>Excluded – nil closing balance</v>
      </c>
      <c r="Q560" s="20" t="str">
        <f aca="false">IF(P560="Below Materiality",T560,"")</f>
        <v/>
      </c>
      <c r="R560" s="21" t="str">
        <f aca="false">IF(P560="Above Materiality",COUNTIFS($O$2:$O$1092,O560,$P$2:$P$1092,"Above Materiality",$M$2:$M$1092,"&gt;"&amp;M560)+COUNTIFS($O$2:$O$1092,O560,$P$2:$P$1092,"Above Materiality",$M$2:$M$1092,M560,$A$2:$A$1092,"&lt;"&amp;A560)+1,"")</f>
        <v/>
      </c>
      <c r="S560" s="21" t="str">
        <f aca="false">IF(P560&lt;&gt;"Below Materiality","",IF(Summary!$C$9="Random",COUNTIFS($O$2:$O$1092,O560,$Q$2:$Q$1092,"&gt;"&amp;Q560)+1,COUNTIFS($O$2:$O$1092,O560,$P$2:$P$1092,"Below Materiality",$M$2:$M$1092,"&gt;"&amp;M560)+COUNTIFS($O$2:$O$1092,O560,$P$2:$P$1092,"Below Materiality",$M$2:$M$1092,M560,$A$2:$A$1092,"&lt;"&amp;A560)+1))</f>
        <v/>
      </c>
      <c r="T560" s="22"/>
      <c r="U560" s="21" t="str">
        <f aca="false">IF(R560="","",O560&amp;"|A|"&amp;R560)</f>
        <v/>
      </c>
      <c r="V560" s="21" t="str">
        <f aca="false">IF(S560="","",O560&amp;"|R|"&amp;S560)</f>
        <v/>
      </c>
    </row>
    <row r="561" customFormat="false" ht="15" hidden="false" customHeight="false" outlineLevel="0" collapsed="false">
      <c r="A561" s="18" t="n">
        <v>560</v>
      </c>
      <c r="B561" s="18"/>
      <c r="C561" s="18"/>
      <c r="D561" s="18"/>
      <c r="E561" s="18" t="s">
        <v>1154</v>
      </c>
      <c r="F561" s="18" t="s">
        <v>1155</v>
      </c>
      <c r="G561" s="18" t="s">
        <v>74</v>
      </c>
      <c r="H561" s="18" t="n">
        <v>335</v>
      </c>
      <c r="I561" s="19" t="n">
        <v>0</v>
      </c>
      <c r="J561" s="19" t="n">
        <v>2426.5</v>
      </c>
      <c r="K561" s="19" t="n">
        <v>2426.5</v>
      </c>
      <c r="L561" s="19" t="n">
        <v>0</v>
      </c>
      <c r="M561" s="19" t="n">
        <f aca="false">ABS(L561)</f>
        <v>0</v>
      </c>
      <c r="N561" s="18" t="str">
        <f aca="false">IF(L561=0,"Nil balance",IF(G561="AR file",IF(L561&gt;0,"Accounts Receivable","Customer Advances"),IF(L561&lt;0,"Accounts Payable","Supplier Advances")))</f>
        <v>Nil balance</v>
      </c>
      <c r="O561" s="18" t="str">
        <f aca="false">IF(L561=0,"Excluded",IF(Summary!$C$4="By ledger",IF(G561="AR file","Population 1","Population 2"),IF(L561&gt;0,"Population 1","Population 2")))</f>
        <v>Excluded</v>
      </c>
      <c r="P561" s="18" t="str">
        <f aca="false">IF(O561="Excluded","Excluded – nil closing balance",IF(M561&gt;Summary!$C$5,"Above Materiality","Below Materiality"))</f>
        <v>Excluded – nil closing balance</v>
      </c>
      <c r="Q561" s="20" t="str">
        <f aca="false">IF(P561="Below Materiality",T561,"")</f>
        <v/>
      </c>
      <c r="R561" s="21" t="str">
        <f aca="false">IF(P561="Above Materiality",COUNTIFS($O$2:$O$1092,O561,$P$2:$P$1092,"Above Materiality",$M$2:$M$1092,"&gt;"&amp;M561)+COUNTIFS($O$2:$O$1092,O561,$P$2:$P$1092,"Above Materiality",$M$2:$M$1092,M561,$A$2:$A$1092,"&lt;"&amp;A561)+1,"")</f>
        <v/>
      </c>
      <c r="S561" s="21" t="str">
        <f aca="false">IF(P561&lt;&gt;"Below Materiality","",IF(Summary!$C$9="Random",COUNTIFS($O$2:$O$1092,O561,$Q$2:$Q$1092,"&gt;"&amp;Q561)+1,COUNTIFS($O$2:$O$1092,O561,$P$2:$P$1092,"Below Materiality",$M$2:$M$1092,"&gt;"&amp;M561)+COUNTIFS($O$2:$O$1092,O561,$P$2:$P$1092,"Below Materiality",$M$2:$M$1092,M561,$A$2:$A$1092,"&lt;"&amp;A561)+1))</f>
        <v/>
      </c>
      <c r="T561" s="22"/>
      <c r="U561" s="21" t="str">
        <f aca="false">IF(R561="","",O561&amp;"|A|"&amp;R561)</f>
        <v/>
      </c>
      <c r="V561" s="21" t="str">
        <f aca="false">IF(S561="","",O561&amp;"|R|"&amp;S561)</f>
        <v/>
      </c>
    </row>
    <row r="562" customFormat="false" ht="15" hidden="false" customHeight="false" outlineLevel="0" collapsed="false">
      <c r="A562" s="18" t="n">
        <v>561</v>
      </c>
      <c r="B562" s="18"/>
      <c r="C562" s="18"/>
      <c r="D562" s="18"/>
      <c r="E562" s="18" t="s">
        <v>1156</v>
      </c>
      <c r="F562" s="18" t="s">
        <v>1157</v>
      </c>
      <c r="G562" s="18" t="s">
        <v>74</v>
      </c>
      <c r="H562" s="18" t="n">
        <v>336</v>
      </c>
      <c r="I562" s="19" t="n">
        <v>0</v>
      </c>
      <c r="J562" s="19" t="n">
        <v>1104</v>
      </c>
      <c r="K562" s="19" t="n">
        <v>1104</v>
      </c>
      <c r="L562" s="19" t="n">
        <v>0</v>
      </c>
      <c r="M562" s="19" t="n">
        <f aca="false">ABS(L562)</f>
        <v>0</v>
      </c>
      <c r="N562" s="18" t="str">
        <f aca="false">IF(L562=0,"Nil balance",IF(G562="AR file",IF(L562&gt;0,"Accounts Receivable","Customer Advances"),IF(L562&lt;0,"Accounts Payable","Supplier Advances")))</f>
        <v>Nil balance</v>
      </c>
      <c r="O562" s="18" t="str">
        <f aca="false">IF(L562=0,"Excluded",IF(Summary!$C$4="By ledger",IF(G562="AR file","Population 1","Population 2"),IF(L562&gt;0,"Population 1","Population 2")))</f>
        <v>Excluded</v>
      </c>
      <c r="P562" s="18" t="str">
        <f aca="false">IF(O562="Excluded","Excluded – nil closing balance",IF(M562&gt;Summary!$C$5,"Above Materiality","Below Materiality"))</f>
        <v>Excluded – nil closing balance</v>
      </c>
      <c r="Q562" s="20" t="str">
        <f aca="false">IF(P562="Below Materiality",T562,"")</f>
        <v/>
      </c>
      <c r="R562" s="21" t="str">
        <f aca="false">IF(P562="Above Materiality",COUNTIFS($O$2:$O$1092,O562,$P$2:$P$1092,"Above Materiality",$M$2:$M$1092,"&gt;"&amp;M562)+COUNTIFS($O$2:$O$1092,O562,$P$2:$P$1092,"Above Materiality",$M$2:$M$1092,M562,$A$2:$A$1092,"&lt;"&amp;A562)+1,"")</f>
        <v/>
      </c>
      <c r="S562" s="21" t="str">
        <f aca="false">IF(P562&lt;&gt;"Below Materiality","",IF(Summary!$C$9="Random",COUNTIFS($O$2:$O$1092,O562,$Q$2:$Q$1092,"&gt;"&amp;Q562)+1,COUNTIFS($O$2:$O$1092,O562,$P$2:$P$1092,"Below Materiality",$M$2:$M$1092,"&gt;"&amp;M562)+COUNTIFS($O$2:$O$1092,O562,$P$2:$P$1092,"Below Materiality",$M$2:$M$1092,M562,$A$2:$A$1092,"&lt;"&amp;A562)+1))</f>
        <v/>
      </c>
      <c r="T562" s="22"/>
      <c r="U562" s="21" t="str">
        <f aca="false">IF(R562="","",O562&amp;"|A|"&amp;R562)</f>
        <v/>
      </c>
      <c r="V562" s="21" t="str">
        <f aca="false">IF(S562="","",O562&amp;"|R|"&amp;S562)</f>
        <v/>
      </c>
    </row>
    <row r="563" customFormat="false" ht="15" hidden="false" customHeight="false" outlineLevel="0" collapsed="false">
      <c r="A563" s="18" t="n">
        <v>562</v>
      </c>
      <c r="B563" s="18"/>
      <c r="C563" s="18"/>
      <c r="D563" s="18"/>
      <c r="E563" s="18" t="s">
        <v>1158</v>
      </c>
      <c r="F563" s="18" t="s">
        <v>1159</v>
      </c>
      <c r="G563" s="18" t="s">
        <v>74</v>
      </c>
      <c r="H563" s="18" t="n">
        <v>337</v>
      </c>
      <c r="I563" s="19" t="n">
        <v>0</v>
      </c>
      <c r="J563" s="19" t="n">
        <v>69</v>
      </c>
      <c r="K563" s="19" t="n">
        <v>69</v>
      </c>
      <c r="L563" s="19" t="n">
        <v>0</v>
      </c>
      <c r="M563" s="19" t="n">
        <f aca="false">ABS(L563)</f>
        <v>0</v>
      </c>
      <c r="N563" s="18" t="str">
        <f aca="false">IF(L563=0,"Nil balance",IF(G563="AR file",IF(L563&gt;0,"Accounts Receivable","Customer Advances"),IF(L563&lt;0,"Accounts Payable","Supplier Advances")))</f>
        <v>Nil balance</v>
      </c>
      <c r="O563" s="18" t="str">
        <f aca="false">IF(L563=0,"Excluded",IF(Summary!$C$4="By ledger",IF(G563="AR file","Population 1","Population 2"),IF(L563&gt;0,"Population 1","Population 2")))</f>
        <v>Excluded</v>
      </c>
      <c r="P563" s="18" t="str">
        <f aca="false">IF(O563="Excluded","Excluded – nil closing balance",IF(M563&gt;Summary!$C$5,"Above Materiality","Below Materiality"))</f>
        <v>Excluded – nil closing balance</v>
      </c>
      <c r="Q563" s="20" t="str">
        <f aca="false">IF(P563="Below Materiality",T563,"")</f>
        <v/>
      </c>
      <c r="R563" s="21" t="str">
        <f aca="false">IF(P563="Above Materiality",COUNTIFS($O$2:$O$1092,O563,$P$2:$P$1092,"Above Materiality",$M$2:$M$1092,"&gt;"&amp;M563)+COUNTIFS($O$2:$O$1092,O563,$P$2:$P$1092,"Above Materiality",$M$2:$M$1092,M563,$A$2:$A$1092,"&lt;"&amp;A563)+1,"")</f>
        <v/>
      </c>
      <c r="S563" s="21" t="str">
        <f aca="false">IF(P563&lt;&gt;"Below Materiality","",IF(Summary!$C$9="Random",COUNTIFS($O$2:$O$1092,O563,$Q$2:$Q$1092,"&gt;"&amp;Q563)+1,COUNTIFS($O$2:$O$1092,O563,$P$2:$P$1092,"Below Materiality",$M$2:$M$1092,"&gt;"&amp;M563)+COUNTIFS($O$2:$O$1092,O563,$P$2:$P$1092,"Below Materiality",$M$2:$M$1092,M563,$A$2:$A$1092,"&lt;"&amp;A563)+1))</f>
        <v/>
      </c>
      <c r="T563" s="22"/>
      <c r="U563" s="21" t="str">
        <f aca="false">IF(R563="","",O563&amp;"|A|"&amp;R563)</f>
        <v/>
      </c>
      <c r="V563" s="21" t="str">
        <f aca="false">IF(S563="","",O563&amp;"|R|"&amp;S563)</f>
        <v/>
      </c>
    </row>
    <row r="564" customFormat="false" ht="15" hidden="false" customHeight="false" outlineLevel="0" collapsed="false">
      <c r="A564" s="18" t="n">
        <v>563</v>
      </c>
      <c r="B564" s="18"/>
      <c r="C564" s="18"/>
      <c r="D564" s="18"/>
      <c r="E564" s="18" t="s">
        <v>1160</v>
      </c>
      <c r="F564" s="18" t="s">
        <v>1161</v>
      </c>
      <c r="G564" s="18" t="s">
        <v>74</v>
      </c>
      <c r="H564" s="18" t="n">
        <v>338</v>
      </c>
      <c r="I564" s="19" t="n">
        <v>1437.5</v>
      </c>
      <c r="J564" s="19" t="n">
        <v>0</v>
      </c>
      <c r="K564" s="19" t="n">
        <v>1437.5</v>
      </c>
      <c r="L564" s="19" t="n">
        <v>0</v>
      </c>
      <c r="M564" s="19" t="n">
        <f aca="false">ABS(L564)</f>
        <v>0</v>
      </c>
      <c r="N564" s="18" t="str">
        <f aca="false">IF(L564=0,"Nil balance",IF(G564="AR file",IF(L564&gt;0,"Accounts Receivable","Customer Advances"),IF(L564&lt;0,"Accounts Payable","Supplier Advances")))</f>
        <v>Nil balance</v>
      </c>
      <c r="O564" s="18" t="str">
        <f aca="false">IF(L564=0,"Excluded",IF(Summary!$C$4="By ledger",IF(G564="AR file","Population 1","Population 2"),IF(L564&gt;0,"Population 1","Population 2")))</f>
        <v>Excluded</v>
      </c>
      <c r="P564" s="18" t="str">
        <f aca="false">IF(O564="Excluded","Excluded – nil closing balance",IF(M564&gt;Summary!$C$5,"Above Materiality","Below Materiality"))</f>
        <v>Excluded – nil closing balance</v>
      </c>
      <c r="Q564" s="20" t="str">
        <f aca="false">IF(P564="Below Materiality",T564,"")</f>
        <v/>
      </c>
      <c r="R564" s="21" t="str">
        <f aca="false">IF(P564="Above Materiality",COUNTIFS($O$2:$O$1092,O564,$P$2:$P$1092,"Above Materiality",$M$2:$M$1092,"&gt;"&amp;M564)+COUNTIFS($O$2:$O$1092,O564,$P$2:$P$1092,"Above Materiality",$M$2:$M$1092,M564,$A$2:$A$1092,"&lt;"&amp;A564)+1,"")</f>
        <v/>
      </c>
      <c r="S564" s="21" t="str">
        <f aca="false">IF(P564&lt;&gt;"Below Materiality","",IF(Summary!$C$9="Random",COUNTIFS($O$2:$O$1092,O564,$Q$2:$Q$1092,"&gt;"&amp;Q564)+1,COUNTIFS($O$2:$O$1092,O564,$P$2:$P$1092,"Below Materiality",$M$2:$M$1092,"&gt;"&amp;M564)+COUNTIFS($O$2:$O$1092,O564,$P$2:$P$1092,"Below Materiality",$M$2:$M$1092,M564,$A$2:$A$1092,"&lt;"&amp;A564)+1))</f>
        <v/>
      </c>
      <c r="T564" s="22"/>
      <c r="U564" s="21" t="str">
        <f aca="false">IF(R564="","",O564&amp;"|A|"&amp;R564)</f>
        <v/>
      </c>
      <c r="V564" s="21" t="str">
        <f aca="false">IF(S564="","",O564&amp;"|R|"&amp;S564)</f>
        <v/>
      </c>
    </row>
    <row r="565" customFormat="false" ht="15" hidden="false" customHeight="false" outlineLevel="0" collapsed="false">
      <c r="A565" s="18" t="n">
        <v>564</v>
      </c>
      <c r="B565" s="18"/>
      <c r="C565" s="18"/>
      <c r="D565" s="18"/>
      <c r="E565" s="18" t="s">
        <v>1162</v>
      </c>
      <c r="F565" s="18" t="s">
        <v>1163</v>
      </c>
      <c r="G565" s="18" t="s">
        <v>74</v>
      </c>
      <c r="H565" s="18" t="n">
        <v>339</v>
      </c>
      <c r="I565" s="19" t="n">
        <v>0</v>
      </c>
      <c r="J565" s="19" t="n">
        <v>696</v>
      </c>
      <c r="K565" s="19" t="n">
        <v>696</v>
      </c>
      <c r="L565" s="19" t="n">
        <v>0</v>
      </c>
      <c r="M565" s="19" t="n">
        <f aca="false">ABS(L565)</f>
        <v>0</v>
      </c>
      <c r="N565" s="18" t="str">
        <f aca="false">IF(L565=0,"Nil balance",IF(G565="AR file",IF(L565&gt;0,"Accounts Receivable","Customer Advances"),IF(L565&lt;0,"Accounts Payable","Supplier Advances")))</f>
        <v>Nil balance</v>
      </c>
      <c r="O565" s="18" t="str">
        <f aca="false">IF(L565=0,"Excluded",IF(Summary!$C$4="By ledger",IF(G565="AR file","Population 1","Population 2"),IF(L565&gt;0,"Population 1","Population 2")))</f>
        <v>Excluded</v>
      </c>
      <c r="P565" s="18" t="str">
        <f aca="false">IF(O565="Excluded","Excluded – nil closing balance",IF(M565&gt;Summary!$C$5,"Above Materiality","Below Materiality"))</f>
        <v>Excluded – nil closing balance</v>
      </c>
      <c r="Q565" s="20" t="str">
        <f aca="false">IF(P565="Below Materiality",T565,"")</f>
        <v/>
      </c>
      <c r="R565" s="21" t="str">
        <f aca="false">IF(P565="Above Materiality",COUNTIFS($O$2:$O$1092,O565,$P$2:$P$1092,"Above Materiality",$M$2:$M$1092,"&gt;"&amp;M565)+COUNTIFS($O$2:$O$1092,O565,$P$2:$P$1092,"Above Materiality",$M$2:$M$1092,M565,$A$2:$A$1092,"&lt;"&amp;A565)+1,"")</f>
        <v/>
      </c>
      <c r="S565" s="21" t="str">
        <f aca="false">IF(P565&lt;&gt;"Below Materiality","",IF(Summary!$C$9="Random",COUNTIFS($O$2:$O$1092,O565,$Q$2:$Q$1092,"&gt;"&amp;Q565)+1,COUNTIFS($O$2:$O$1092,O565,$P$2:$P$1092,"Below Materiality",$M$2:$M$1092,"&gt;"&amp;M565)+COUNTIFS($O$2:$O$1092,O565,$P$2:$P$1092,"Below Materiality",$M$2:$M$1092,M565,$A$2:$A$1092,"&lt;"&amp;A565)+1))</f>
        <v/>
      </c>
      <c r="T565" s="22"/>
      <c r="U565" s="21" t="str">
        <f aca="false">IF(R565="","",O565&amp;"|A|"&amp;R565)</f>
        <v/>
      </c>
      <c r="V565" s="21" t="str">
        <f aca="false">IF(S565="","",O565&amp;"|R|"&amp;S565)</f>
        <v/>
      </c>
    </row>
    <row r="566" customFormat="false" ht="15" hidden="false" customHeight="false" outlineLevel="0" collapsed="false">
      <c r="A566" s="18" t="n">
        <v>565</v>
      </c>
      <c r="B566" s="18"/>
      <c r="C566" s="18"/>
      <c r="D566" s="18"/>
      <c r="E566" s="18" t="s">
        <v>1164</v>
      </c>
      <c r="F566" s="18" t="s">
        <v>1165</v>
      </c>
      <c r="G566" s="18" t="s">
        <v>74</v>
      </c>
      <c r="H566" s="18" t="n">
        <v>340</v>
      </c>
      <c r="I566" s="19" t="n">
        <v>0</v>
      </c>
      <c r="J566" s="19" t="n">
        <v>1078</v>
      </c>
      <c r="K566" s="19" t="n">
        <v>1078</v>
      </c>
      <c r="L566" s="19" t="n">
        <v>0</v>
      </c>
      <c r="M566" s="19" t="n">
        <f aca="false">ABS(L566)</f>
        <v>0</v>
      </c>
      <c r="N566" s="18" t="str">
        <f aca="false">IF(L566=0,"Nil balance",IF(G566="AR file",IF(L566&gt;0,"Accounts Receivable","Customer Advances"),IF(L566&lt;0,"Accounts Payable","Supplier Advances")))</f>
        <v>Nil balance</v>
      </c>
      <c r="O566" s="18" t="str">
        <f aca="false">IF(L566=0,"Excluded",IF(Summary!$C$4="By ledger",IF(G566="AR file","Population 1","Population 2"),IF(L566&gt;0,"Population 1","Population 2")))</f>
        <v>Excluded</v>
      </c>
      <c r="P566" s="18" t="str">
        <f aca="false">IF(O566="Excluded","Excluded – nil closing balance",IF(M566&gt;Summary!$C$5,"Above Materiality","Below Materiality"))</f>
        <v>Excluded – nil closing balance</v>
      </c>
      <c r="Q566" s="20" t="str">
        <f aca="false">IF(P566="Below Materiality",T566,"")</f>
        <v/>
      </c>
      <c r="R566" s="21" t="str">
        <f aca="false">IF(P566="Above Materiality",COUNTIFS($O$2:$O$1092,O566,$P$2:$P$1092,"Above Materiality",$M$2:$M$1092,"&gt;"&amp;M566)+COUNTIFS($O$2:$O$1092,O566,$P$2:$P$1092,"Above Materiality",$M$2:$M$1092,M566,$A$2:$A$1092,"&lt;"&amp;A566)+1,"")</f>
        <v/>
      </c>
      <c r="S566" s="21" t="str">
        <f aca="false">IF(P566&lt;&gt;"Below Materiality","",IF(Summary!$C$9="Random",COUNTIFS($O$2:$O$1092,O566,$Q$2:$Q$1092,"&gt;"&amp;Q566)+1,COUNTIFS($O$2:$O$1092,O566,$P$2:$P$1092,"Below Materiality",$M$2:$M$1092,"&gt;"&amp;M566)+COUNTIFS($O$2:$O$1092,O566,$P$2:$P$1092,"Below Materiality",$M$2:$M$1092,M566,$A$2:$A$1092,"&lt;"&amp;A566)+1))</f>
        <v/>
      </c>
      <c r="T566" s="22"/>
      <c r="U566" s="21" t="str">
        <f aca="false">IF(R566="","",O566&amp;"|A|"&amp;R566)</f>
        <v/>
      </c>
      <c r="V566" s="21" t="str">
        <f aca="false">IF(S566="","",O566&amp;"|R|"&amp;S566)</f>
        <v/>
      </c>
    </row>
    <row r="567" customFormat="false" ht="15" hidden="false" customHeight="false" outlineLevel="0" collapsed="false">
      <c r="A567" s="18" t="n">
        <v>566</v>
      </c>
      <c r="B567" s="18"/>
      <c r="C567" s="18"/>
      <c r="D567" s="18"/>
      <c r="E567" s="18" t="s">
        <v>1166</v>
      </c>
      <c r="F567" s="18" t="s">
        <v>1167</v>
      </c>
      <c r="G567" s="18" t="s">
        <v>74</v>
      </c>
      <c r="H567" s="18" t="n">
        <v>341</v>
      </c>
      <c r="I567" s="19" t="n">
        <v>13226.15</v>
      </c>
      <c r="J567" s="19" t="n">
        <v>16519.75</v>
      </c>
      <c r="K567" s="19" t="n">
        <v>29745.9</v>
      </c>
      <c r="L567" s="19" t="n">
        <v>0</v>
      </c>
      <c r="M567" s="19" t="n">
        <f aca="false">ABS(L567)</f>
        <v>0</v>
      </c>
      <c r="N567" s="18" t="str">
        <f aca="false">IF(L567=0,"Nil balance",IF(G567="AR file",IF(L567&gt;0,"Accounts Receivable","Customer Advances"),IF(L567&lt;0,"Accounts Payable","Supplier Advances")))</f>
        <v>Nil balance</v>
      </c>
      <c r="O567" s="18" t="str">
        <f aca="false">IF(L567=0,"Excluded",IF(Summary!$C$4="By ledger",IF(G567="AR file","Population 1","Population 2"),IF(L567&gt;0,"Population 1","Population 2")))</f>
        <v>Excluded</v>
      </c>
      <c r="P567" s="18" t="str">
        <f aca="false">IF(O567="Excluded","Excluded – nil closing balance",IF(M567&gt;Summary!$C$5,"Above Materiality","Below Materiality"))</f>
        <v>Excluded – nil closing balance</v>
      </c>
      <c r="Q567" s="20" t="str">
        <f aca="false">IF(P567="Below Materiality",T567,"")</f>
        <v/>
      </c>
      <c r="R567" s="21" t="str">
        <f aca="false">IF(P567="Above Materiality",COUNTIFS($O$2:$O$1092,O567,$P$2:$P$1092,"Above Materiality",$M$2:$M$1092,"&gt;"&amp;M567)+COUNTIFS($O$2:$O$1092,O567,$P$2:$P$1092,"Above Materiality",$M$2:$M$1092,M567,$A$2:$A$1092,"&lt;"&amp;A567)+1,"")</f>
        <v/>
      </c>
      <c r="S567" s="21" t="str">
        <f aca="false">IF(P567&lt;&gt;"Below Materiality","",IF(Summary!$C$9="Random",COUNTIFS($O$2:$O$1092,O567,$Q$2:$Q$1092,"&gt;"&amp;Q567)+1,COUNTIFS($O$2:$O$1092,O567,$P$2:$P$1092,"Below Materiality",$M$2:$M$1092,"&gt;"&amp;M567)+COUNTIFS($O$2:$O$1092,O567,$P$2:$P$1092,"Below Materiality",$M$2:$M$1092,M567,$A$2:$A$1092,"&lt;"&amp;A567)+1))</f>
        <v/>
      </c>
      <c r="T567" s="22"/>
      <c r="U567" s="21" t="str">
        <f aca="false">IF(R567="","",O567&amp;"|A|"&amp;R567)</f>
        <v/>
      </c>
      <c r="V567" s="21" t="str">
        <f aca="false">IF(S567="","",O567&amp;"|R|"&amp;S567)</f>
        <v/>
      </c>
    </row>
    <row r="568" customFormat="false" ht="15" hidden="false" customHeight="false" outlineLevel="0" collapsed="false">
      <c r="A568" s="18" t="n">
        <v>567</v>
      </c>
      <c r="B568" s="18"/>
      <c r="C568" s="18"/>
      <c r="D568" s="18"/>
      <c r="E568" s="18" t="s">
        <v>1168</v>
      </c>
      <c r="F568" s="18" t="s">
        <v>1169</v>
      </c>
      <c r="G568" s="18" t="s">
        <v>74</v>
      </c>
      <c r="H568" s="18" t="n">
        <v>342</v>
      </c>
      <c r="I568" s="19" t="n">
        <v>0</v>
      </c>
      <c r="J568" s="19" t="n">
        <v>11339</v>
      </c>
      <c r="K568" s="19" t="n">
        <v>11339</v>
      </c>
      <c r="L568" s="19" t="n">
        <v>0</v>
      </c>
      <c r="M568" s="19" t="n">
        <f aca="false">ABS(L568)</f>
        <v>0</v>
      </c>
      <c r="N568" s="18" t="str">
        <f aca="false">IF(L568=0,"Nil balance",IF(G568="AR file",IF(L568&gt;0,"Accounts Receivable","Customer Advances"),IF(L568&lt;0,"Accounts Payable","Supplier Advances")))</f>
        <v>Nil balance</v>
      </c>
      <c r="O568" s="18" t="str">
        <f aca="false">IF(L568=0,"Excluded",IF(Summary!$C$4="By ledger",IF(G568="AR file","Population 1","Population 2"),IF(L568&gt;0,"Population 1","Population 2")))</f>
        <v>Excluded</v>
      </c>
      <c r="P568" s="18" t="str">
        <f aca="false">IF(O568="Excluded","Excluded – nil closing balance",IF(M568&gt;Summary!$C$5,"Above Materiality","Below Materiality"))</f>
        <v>Excluded – nil closing balance</v>
      </c>
      <c r="Q568" s="20" t="str">
        <f aca="false">IF(P568="Below Materiality",T568,"")</f>
        <v/>
      </c>
      <c r="R568" s="21" t="str">
        <f aca="false">IF(P568="Above Materiality",COUNTIFS($O$2:$O$1092,O568,$P$2:$P$1092,"Above Materiality",$M$2:$M$1092,"&gt;"&amp;M568)+COUNTIFS($O$2:$O$1092,O568,$P$2:$P$1092,"Above Materiality",$M$2:$M$1092,M568,$A$2:$A$1092,"&lt;"&amp;A568)+1,"")</f>
        <v/>
      </c>
      <c r="S568" s="21" t="str">
        <f aca="false">IF(P568&lt;&gt;"Below Materiality","",IF(Summary!$C$9="Random",COUNTIFS($O$2:$O$1092,O568,$Q$2:$Q$1092,"&gt;"&amp;Q568)+1,COUNTIFS($O$2:$O$1092,O568,$P$2:$P$1092,"Below Materiality",$M$2:$M$1092,"&gt;"&amp;M568)+COUNTIFS($O$2:$O$1092,O568,$P$2:$P$1092,"Below Materiality",$M$2:$M$1092,M568,$A$2:$A$1092,"&lt;"&amp;A568)+1))</f>
        <v/>
      </c>
      <c r="T568" s="22"/>
      <c r="U568" s="21" t="str">
        <f aca="false">IF(R568="","",O568&amp;"|A|"&amp;R568)</f>
        <v/>
      </c>
      <c r="V568" s="21" t="str">
        <f aca="false">IF(S568="","",O568&amp;"|R|"&amp;S568)</f>
        <v/>
      </c>
    </row>
    <row r="569" customFormat="false" ht="15" hidden="false" customHeight="false" outlineLevel="0" collapsed="false">
      <c r="A569" s="18" t="n">
        <v>568</v>
      </c>
      <c r="B569" s="18"/>
      <c r="C569" s="18"/>
      <c r="D569" s="18"/>
      <c r="E569" s="18" t="s">
        <v>1170</v>
      </c>
      <c r="F569" s="18" t="s">
        <v>1171</v>
      </c>
      <c r="G569" s="18" t="s">
        <v>74</v>
      </c>
      <c r="H569" s="18" t="n">
        <v>343</v>
      </c>
      <c r="I569" s="19" t="n">
        <v>0</v>
      </c>
      <c r="J569" s="19" t="n">
        <v>1000</v>
      </c>
      <c r="K569" s="19" t="n">
        <v>1000</v>
      </c>
      <c r="L569" s="19" t="n">
        <v>0</v>
      </c>
      <c r="M569" s="19" t="n">
        <f aca="false">ABS(L569)</f>
        <v>0</v>
      </c>
      <c r="N569" s="18" t="str">
        <f aca="false">IF(L569=0,"Nil balance",IF(G569="AR file",IF(L569&gt;0,"Accounts Receivable","Customer Advances"),IF(L569&lt;0,"Accounts Payable","Supplier Advances")))</f>
        <v>Nil balance</v>
      </c>
      <c r="O569" s="18" t="str">
        <f aca="false">IF(L569=0,"Excluded",IF(Summary!$C$4="By ledger",IF(G569="AR file","Population 1","Population 2"),IF(L569&gt;0,"Population 1","Population 2")))</f>
        <v>Excluded</v>
      </c>
      <c r="P569" s="18" t="str">
        <f aca="false">IF(O569="Excluded","Excluded – nil closing balance",IF(M569&gt;Summary!$C$5,"Above Materiality","Below Materiality"))</f>
        <v>Excluded – nil closing balance</v>
      </c>
      <c r="Q569" s="20" t="str">
        <f aca="false">IF(P569="Below Materiality",T569,"")</f>
        <v/>
      </c>
      <c r="R569" s="21" t="str">
        <f aca="false">IF(P569="Above Materiality",COUNTIFS($O$2:$O$1092,O569,$P$2:$P$1092,"Above Materiality",$M$2:$M$1092,"&gt;"&amp;M569)+COUNTIFS($O$2:$O$1092,O569,$P$2:$P$1092,"Above Materiality",$M$2:$M$1092,M569,$A$2:$A$1092,"&lt;"&amp;A569)+1,"")</f>
        <v/>
      </c>
      <c r="S569" s="21" t="str">
        <f aca="false">IF(P569&lt;&gt;"Below Materiality","",IF(Summary!$C$9="Random",COUNTIFS($O$2:$O$1092,O569,$Q$2:$Q$1092,"&gt;"&amp;Q569)+1,COUNTIFS($O$2:$O$1092,O569,$P$2:$P$1092,"Below Materiality",$M$2:$M$1092,"&gt;"&amp;M569)+COUNTIFS($O$2:$O$1092,O569,$P$2:$P$1092,"Below Materiality",$M$2:$M$1092,M569,$A$2:$A$1092,"&lt;"&amp;A569)+1))</f>
        <v/>
      </c>
      <c r="T569" s="22"/>
      <c r="U569" s="21" t="str">
        <f aca="false">IF(R569="","",O569&amp;"|A|"&amp;R569)</f>
        <v/>
      </c>
      <c r="V569" s="21" t="str">
        <f aca="false">IF(S569="","",O569&amp;"|R|"&amp;S569)</f>
        <v/>
      </c>
    </row>
    <row r="570" customFormat="false" ht="15" hidden="false" customHeight="false" outlineLevel="0" collapsed="false">
      <c r="A570" s="18" t="n">
        <v>569</v>
      </c>
      <c r="B570" s="18"/>
      <c r="C570" s="18"/>
      <c r="D570" s="18"/>
      <c r="E570" s="18" t="s">
        <v>1172</v>
      </c>
      <c r="F570" s="18" t="s">
        <v>1173</v>
      </c>
      <c r="G570" s="18" t="s">
        <v>74</v>
      </c>
      <c r="H570" s="18" t="n">
        <v>344</v>
      </c>
      <c r="I570" s="19" t="n">
        <v>0</v>
      </c>
      <c r="J570" s="19" t="n">
        <v>151.8</v>
      </c>
      <c r="K570" s="19" t="n">
        <v>151.8</v>
      </c>
      <c r="L570" s="19" t="n">
        <v>0</v>
      </c>
      <c r="M570" s="19" t="n">
        <f aca="false">ABS(L570)</f>
        <v>0</v>
      </c>
      <c r="N570" s="18" t="str">
        <f aca="false">IF(L570=0,"Nil balance",IF(G570="AR file",IF(L570&gt;0,"Accounts Receivable","Customer Advances"),IF(L570&lt;0,"Accounts Payable","Supplier Advances")))</f>
        <v>Nil balance</v>
      </c>
      <c r="O570" s="18" t="str">
        <f aca="false">IF(L570=0,"Excluded",IF(Summary!$C$4="By ledger",IF(G570="AR file","Population 1","Population 2"),IF(L570&gt;0,"Population 1","Population 2")))</f>
        <v>Excluded</v>
      </c>
      <c r="P570" s="18" t="str">
        <f aca="false">IF(O570="Excluded","Excluded – nil closing balance",IF(M570&gt;Summary!$C$5,"Above Materiality","Below Materiality"))</f>
        <v>Excluded – nil closing balance</v>
      </c>
      <c r="Q570" s="20" t="str">
        <f aca="false">IF(P570="Below Materiality",T570,"")</f>
        <v/>
      </c>
      <c r="R570" s="21" t="str">
        <f aca="false">IF(P570="Above Materiality",COUNTIFS($O$2:$O$1092,O570,$P$2:$P$1092,"Above Materiality",$M$2:$M$1092,"&gt;"&amp;M570)+COUNTIFS($O$2:$O$1092,O570,$P$2:$P$1092,"Above Materiality",$M$2:$M$1092,M570,$A$2:$A$1092,"&lt;"&amp;A570)+1,"")</f>
        <v/>
      </c>
      <c r="S570" s="21" t="str">
        <f aca="false">IF(P570&lt;&gt;"Below Materiality","",IF(Summary!$C$9="Random",COUNTIFS($O$2:$O$1092,O570,$Q$2:$Q$1092,"&gt;"&amp;Q570)+1,COUNTIFS($O$2:$O$1092,O570,$P$2:$P$1092,"Below Materiality",$M$2:$M$1092,"&gt;"&amp;M570)+COUNTIFS($O$2:$O$1092,O570,$P$2:$P$1092,"Below Materiality",$M$2:$M$1092,M570,$A$2:$A$1092,"&lt;"&amp;A570)+1))</f>
        <v/>
      </c>
      <c r="T570" s="22"/>
      <c r="U570" s="21" t="str">
        <f aca="false">IF(R570="","",O570&amp;"|A|"&amp;R570)</f>
        <v/>
      </c>
      <c r="V570" s="21" t="str">
        <f aca="false">IF(S570="","",O570&amp;"|R|"&amp;S570)</f>
        <v/>
      </c>
    </row>
    <row r="571" customFormat="false" ht="15" hidden="false" customHeight="false" outlineLevel="0" collapsed="false">
      <c r="A571" s="18" t="n">
        <v>570</v>
      </c>
      <c r="B571" s="18"/>
      <c r="C571" s="18"/>
      <c r="D571" s="18"/>
      <c r="E571" s="18" t="s">
        <v>1174</v>
      </c>
      <c r="F571" s="18" t="s">
        <v>795</v>
      </c>
      <c r="G571" s="18" t="s">
        <v>74</v>
      </c>
      <c r="H571" s="18" t="n">
        <v>345</v>
      </c>
      <c r="I571" s="19" t="n">
        <v>-100</v>
      </c>
      <c r="J571" s="19" t="n">
        <v>100</v>
      </c>
      <c r="K571" s="19" t="n">
        <v>0</v>
      </c>
      <c r="L571" s="19" t="n">
        <v>0</v>
      </c>
      <c r="M571" s="19" t="n">
        <f aca="false">ABS(L571)</f>
        <v>0</v>
      </c>
      <c r="N571" s="18" t="str">
        <f aca="false">IF(L571=0,"Nil balance",IF(G571="AR file",IF(L571&gt;0,"Accounts Receivable","Customer Advances"),IF(L571&lt;0,"Accounts Payable","Supplier Advances")))</f>
        <v>Nil balance</v>
      </c>
      <c r="O571" s="18" t="str">
        <f aca="false">IF(L571=0,"Excluded",IF(Summary!$C$4="By ledger",IF(G571="AR file","Population 1","Population 2"),IF(L571&gt;0,"Population 1","Population 2")))</f>
        <v>Excluded</v>
      </c>
      <c r="P571" s="18" t="str">
        <f aca="false">IF(O571="Excluded","Excluded – nil closing balance",IF(M571&gt;Summary!$C$5,"Above Materiality","Below Materiality"))</f>
        <v>Excluded – nil closing balance</v>
      </c>
      <c r="Q571" s="20" t="str">
        <f aca="false">IF(P571="Below Materiality",T571,"")</f>
        <v/>
      </c>
      <c r="R571" s="21" t="str">
        <f aca="false">IF(P571="Above Materiality",COUNTIFS($O$2:$O$1092,O571,$P$2:$P$1092,"Above Materiality",$M$2:$M$1092,"&gt;"&amp;M571)+COUNTIFS($O$2:$O$1092,O571,$P$2:$P$1092,"Above Materiality",$M$2:$M$1092,M571,$A$2:$A$1092,"&lt;"&amp;A571)+1,"")</f>
        <v/>
      </c>
      <c r="S571" s="21" t="str">
        <f aca="false">IF(P571&lt;&gt;"Below Materiality","",IF(Summary!$C$9="Random",COUNTIFS($O$2:$O$1092,O571,$Q$2:$Q$1092,"&gt;"&amp;Q571)+1,COUNTIFS($O$2:$O$1092,O571,$P$2:$P$1092,"Below Materiality",$M$2:$M$1092,"&gt;"&amp;M571)+COUNTIFS($O$2:$O$1092,O571,$P$2:$P$1092,"Below Materiality",$M$2:$M$1092,M571,$A$2:$A$1092,"&lt;"&amp;A571)+1))</f>
        <v/>
      </c>
      <c r="T571" s="22"/>
      <c r="U571" s="21" t="str">
        <f aca="false">IF(R571="","",O571&amp;"|A|"&amp;R571)</f>
        <v/>
      </c>
      <c r="V571" s="21" t="str">
        <f aca="false">IF(S571="","",O571&amp;"|R|"&amp;S571)</f>
        <v/>
      </c>
    </row>
    <row r="572" customFormat="false" ht="15" hidden="false" customHeight="false" outlineLevel="0" collapsed="false">
      <c r="A572" s="18" t="n">
        <v>571</v>
      </c>
      <c r="B572" s="18"/>
      <c r="C572" s="18"/>
      <c r="D572" s="18"/>
      <c r="E572" s="18" t="s">
        <v>1175</v>
      </c>
      <c r="F572" s="18" t="s">
        <v>1176</v>
      </c>
      <c r="G572" s="18" t="s">
        <v>74</v>
      </c>
      <c r="H572" s="18" t="n">
        <v>346</v>
      </c>
      <c r="I572" s="19" t="n">
        <v>2219.5</v>
      </c>
      <c r="J572" s="19" t="n">
        <v>241.5</v>
      </c>
      <c r="K572" s="19" t="n">
        <v>2461</v>
      </c>
      <c r="L572" s="19" t="n">
        <v>0</v>
      </c>
      <c r="M572" s="19" t="n">
        <f aca="false">ABS(L572)</f>
        <v>0</v>
      </c>
      <c r="N572" s="18" t="str">
        <f aca="false">IF(L572=0,"Nil balance",IF(G572="AR file",IF(L572&gt;0,"Accounts Receivable","Customer Advances"),IF(L572&lt;0,"Accounts Payable","Supplier Advances")))</f>
        <v>Nil balance</v>
      </c>
      <c r="O572" s="18" t="str">
        <f aca="false">IF(L572=0,"Excluded",IF(Summary!$C$4="By ledger",IF(G572="AR file","Population 1","Population 2"),IF(L572&gt;0,"Population 1","Population 2")))</f>
        <v>Excluded</v>
      </c>
      <c r="P572" s="18" t="str">
        <f aca="false">IF(O572="Excluded","Excluded – nil closing balance",IF(M572&gt;Summary!$C$5,"Above Materiality","Below Materiality"))</f>
        <v>Excluded – nil closing balance</v>
      </c>
      <c r="Q572" s="20" t="str">
        <f aca="false">IF(P572="Below Materiality",T572,"")</f>
        <v/>
      </c>
      <c r="R572" s="21" t="str">
        <f aca="false">IF(P572="Above Materiality",COUNTIFS($O$2:$O$1092,O572,$P$2:$P$1092,"Above Materiality",$M$2:$M$1092,"&gt;"&amp;M572)+COUNTIFS($O$2:$O$1092,O572,$P$2:$P$1092,"Above Materiality",$M$2:$M$1092,M572,$A$2:$A$1092,"&lt;"&amp;A572)+1,"")</f>
        <v/>
      </c>
      <c r="S572" s="21" t="str">
        <f aca="false">IF(P572&lt;&gt;"Below Materiality","",IF(Summary!$C$9="Random",COUNTIFS($O$2:$O$1092,O572,$Q$2:$Q$1092,"&gt;"&amp;Q572)+1,COUNTIFS($O$2:$O$1092,O572,$P$2:$P$1092,"Below Materiality",$M$2:$M$1092,"&gt;"&amp;M572)+COUNTIFS($O$2:$O$1092,O572,$P$2:$P$1092,"Below Materiality",$M$2:$M$1092,M572,$A$2:$A$1092,"&lt;"&amp;A572)+1))</f>
        <v/>
      </c>
      <c r="T572" s="22"/>
      <c r="U572" s="21" t="str">
        <f aca="false">IF(R572="","",O572&amp;"|A|"&amp;R572)</f>
        <v/>
      </c>
      <c r="V572" s="21" t="str">
        <f aca="false">IF(S572="","",O572&amp;"|R|"&amp;S572)</f>
        <v/>
      </c>
    </row>
    <row r="573" customFormat="false" ht="15" hidden="false" customHeight="false" outlineLevel="0" collapsed="false">
      <c r="A573" s="18" t="n">
        <v>572</v>
      </c>
      <c r="B573" s="18"/>
      <c r="C573" s="18"/>
      <c r="D573" s="18"/>
      <c r="E573" s="18" t="s">
        <v>1177</v>
      </c>
      <c r="F573" s="18" t="s">
        <v>1178</v>
      </c>
      <c r="G573" s="18" t="s">
        <v>74</v>
      </c>
      <c r="H573" s="18" t="n">
        <v>347</v>
      </c>
      <c r="I573" s="19" t="n">
        <v>0</v>
      </c>
      <c r="J573" s="19" t="n">
        <v>5675.25</v>
      </c>
      <c r="K573" s="19" t="n">
        <v>5675.25</v>
      </c>
      <c r="L573" s="19" t="n">
        <v>0</v>
      </c>
      <c r="M573" s="19" t="n">
        <f aca="false">ABS(L573)</f>
        <v>0</v>
      </c>
      <c r="N573" s="18" t="str">
        <f aca="false">IF(L573=0,"Nil balance",IF(G573="AR file",IF(L573&gt;0,"Accounts Receivable","Customer Advances"),IF(L573&lt;0,"Accounts Payable","Supplier Advances")))</f>
        <v>Nil balance</v>
      </c>
      <c r="O573" s="18" t="str">
        <f aca="false">IF(L573=0,"Excluded",IF(Summary!$C$4="By ledger",IF(G573="AR file","Population 1","Population 2"),IF(L573&gt;0,"Population 1","Population 2")))</f>
        <v>Excluded</v>
      </c>
      <c r="P573" s="18" t="str">
        <f aca="false">IF(O573="Excluded","Excluded – nil closing balance",IF(M573&gt;Summary!$C$5,"Above Materiality","Below Materiality"))</f>
        <v>Excluded – nil closing balance</v>
      </c>
      <c r="Q573" s="20" t="str">
        <f aca="false">IF(P573="Below Materiality",T573,"")</f>
        <v/>
      </c>
      <c r="R573" s="21" t="str">
        <f aca="false">IF(P573="Above Materiality",COUNTIFS($O$2:$O$1092,O573,$P$2:$P$1092,"Above Materiality",$M$2:$M$1092,"&gt;"&amp;M573)+COUNTIFS($O$2:$O$1092,O573,$P$2:$P$1092,"Above Materiality",$M$2:$M$1092,M573,$A$2:$A$1092,"&lt;"&amp;A573)+1,"")</f>
        <v/>
      </c>
      <c r="S573" s="21" t="str">
        <f aca="false">IF(P573&lt;&gt;"Below Materiality","",IF(Summary!$C$9="Random",COUNTIFS($O$2:$O$1092,O573,$Q$2:$Q$1092,"&gt;"&amp;Q573)+1,COUNTIFS($O$2:$O$1092,O573,$P$2:$P$1092,"Below Materiality",$M$2:$M$1092,"&gt;"&amp;M573)+COUNTIFS($O$2:$O$1092,O573,$P$2:$P$1092,"Below Materiality",$M$2:$M$1092,M573,$A$2:$A$1092,"&lt;"&amp;A573)+1))</f>
        <v/>
      </c>
      <c r="T573" s="22"/>
      <c r="U573" s="21" t="str">
        <f aca="false">IF(R573="","",O573&amp;"|A|"&amp;R573)</f>
        <v/>
      </c>
      <c r="V573" s="21" t="str">
        <f aca="false">IF(S573="","",O573&amp;"|R|"&amp;S573)</f>
        <v/>
      </c>
    </row>
    <row r="574" customFormat="false" ht="15" hidden="false" customHeight="false" outlineLevel="0" collapsed="false">
      <c r="A574" s="18" t="n">
        <v>573</v>
      </c>
      <c r="B574" s="18"/>
      <c r="C574" s="18"/>
      <c r="D574" s="18"/>
      <c r="E574" s="18" t="s">
        <v>1179</v>
      </c>
      <c r="F574" s="18" t="s">
        <v>910</v>
      </c>
      <c r="G574" s="18" t="s">
        <v>74</v>
      </c>
      <c r="H574" s="18" t="n">
        <v>348</v>
      </c>
      <c r="I574" s="19" t="n">
        <v>50</v>
      </c>
      <c r="J574" s="19" t="n">
        <v>0</v>
      </c>
      <c r="K574" s="19" t="n">
        <v>50</v>
      </c>
      <c r="L574" s="19" t="n">
        <v>0</v>
      </c>
      <c r="M574" s="19" t="n">
        <f aca="false">ABS(L574)</f>
        <v>0</v>
      </c>
      <c r="N574" s="18" t="str">
        <f aca="false">IF(L574=0,"Nil balance",IF(G574="AR file",IF(L574&gt;0,"Accounts Receivable","Customer Advances"),IF(L574&lt;0,"Accounts Payable","Supplier Advances")))</f>
        <v>Nil balance</v>
      </c>
      <c r="O574" s="18" t="str">
        <f aca="false">IF(L574=0,"Excluded",IF(Summary!$C$4="By ledger",IF(G574="AR file","Population 1","Population 2"),IF(L574&gt;0,"Population 1","Population 2")))</f>
        <v>Excluded</v>
      </c>
      <c r="P574" s="18" t="str">
        <f aca="false">IF(O574="Excluded","Excluded – nil closing balance",IF(M574&gt;Summary!$C$5,"Above Materiality","Below Materiality"))</f>
        <v>Excluded – nil closing balance</v>
      </c>
      <c r="Q574" s="20" t="str">
        <f aca="false">IF(P574="Below Materiality",T574,"")</f>
        <v/>
      </c>
      <c r="R574" s="21" t="str">
        <f aca="false">IF(P574="Above Materiality",COUNTIFS($O$2:$O$1092,O574,$P$2:$P$1092,"Above Materiality",$M$2:$M$1092,"&gt;"&amp;M574)+COUNTIFS($O$2:$O$1092,O574,$P$2:$P$1092,"Above Materiality",$M$2:$M$1092,M574,$A$2:$A$1092,"&lt;"&amp;A574)+1,"")</f>
        <v/>
      </c>
      <c r="S574" s="21" t="str">
        <f aca="false">IF(P574&lt;&gt;"Below Materiality","",IF(Summary!$C$9="Random",COUNTIFS($O$2:$O$1092,O574,$Q$2:$Q$1092,"&gt;"&amp;Q574)+1,COUNTIFS($O$2:$O$1092,O574,$P$2:$P$1092,"Below Materiality",$M$2:$M$1092,"&gt;"&amp;M574)+COUNTIFS($O$2:$O$1092,O574,$P$2:$P$1092,"Below Materiality",$M$2:$M$1092,M574,$A$2:$A$1092,"&lt;"&amp;A574)+1))</f>
        <v/>
      </c>
      <c r="T574" s="22"/>
      <c r="U574" s="21" t="str">
        <f aca="false">IF(R574="","",O574&amp;"|A|"&amp;R574)</f>
        <v/>
      </c>
      <c r="V574" s="21" t="str">
        <f aca="false">IF(S574="","",O574&amp;"|R|"&amp;S574)</f>
        <v/>
      </c>
    </row>
    <row r="575" customFormat="false" ht="15" hidden="false" customHeight="false" outlineLevel="0" collapsed="false">
      <c r="A575" s="18" t="n">
        <v>574</v>
      </c>
      <c r="B575" s="18"/>
      <c r="C575" s="18"/>
      <c r="D575" s="18"/>
      <c r="E575" s="18" t="s">
        <v>1180</v>
      </c>
      <c r="F575" s="18" t="s">
        <v>795</v>
      </c>
      <c r="G575" s="18" t="s">
        <v>74</v>
      </c>
      <c r="H575" s="18" t="n">
        <v>349</v>
      </c>
      <c r="I575" s="19" t="n">
        <v>-100</v>
      </c>
      <c r="J575" s="19" t="n">
        <v>100</v>
      </c>
      <c r="K575" s="19" t="n">
        <v>0</v>
      </c>
      <c r="L575" s="19" t="n">
        <v>0</v>
      </c>
      <c r="M575" s="19" t="n">
        <f aca="false">ABS(L575)</f>
        <v>0</v>
      </c>
      <c r="N575" s="18" t="str">
        <f aca="false">IF(L575=0,"Nil balance",IF(G575="AR file",IF(L575&gt;0,"Accounts Receivable","Customer Advances"),IF(L575&lt;0,"Accounts Payable","Supplier Advances")))</f>
        <v>Nil balance</v>
      </c>
      <c r="O575" s="18" t="str">
        <f aca="false">IF(L575=0,"Excluded",IF(Summary!$C$4="By ledger",IF(G575="AR file","Population 1","Population 2"),IF(L575&gt;0,"Population 1","Population 2")))</f>
        <v>Excluded</v>
      </c>
      <c r="P575" s="18" t="str">
        <f aca="false">IF(O575="Excluded","Excluded – nil closing balance",IF(M575&gt;Summary!$C$5,"Above Materiality","Below Materiality"))</f>
        <v>Excluded – nil closing balance</v>
      </c>
      <c r="Q575" s="20" t="str">
        <f aca="false">IF(P575="Below Materiality",T575,"")</f>
        <v/>
      </c>
      <c r="R575" s="21" t="str">
        <f aca="false">IF(P575="Above Materiality",COUNTIFS($O$2:$O$1092,O575,$P$2:$P$1092,"Above Materiality",$M$2:$M$1092,"&gt;"&amp;M575)+COUNTIFS($O$2:$O$1092,O575,$P$2:$P$1092,"Above Materiality",$M$2:$M$1092,M575,$A$2:$A$1092,"&lt;"&amp;A575)+1,"")</f>
        <v/>
      </c>
      <c r="S575" s="21" t="str">
        <f aca="false">IF(P575&lt;&gt;"Below Materiality","",IF(Summary!$C$9="Random",COUNTIFS($O$2:$O$1092,O575,$Q$2:$Q$1092,"&gt;"&amp;Q575)+1,COUNTIFS($O$2:$O$1092,O575,$P$2:$P$1092,"Below Materiality",$M$2:$M$1092,"&gt;"&amp;M575)+COUNTIFS($O$2:$O$1092,O575,$P$2:$P$1092,"Below Materiality",$M$2:$M$1092,M575,$A$2:$A$1092,"&lt;"&amp;A575)+1))</f>
        <v/>
      </c>
      <c r="T575" s="22"/>
      <c r="U575" s="21" t="str">
        <f aca="false">IF(R575="","",O575&amp;"|A|"&amp;R575)</f>
        <v/>
      </c>
      <c r="V575" s="21" t="str">
        <f aca="false">IF(S575="","",O575&amp;"|R|"&amp;S575)</f>
        <v/>
      </c>
    </row>
    <row r="576" customFormat="false" ht="15" hidden="false" customHeight="false" outlineLevel="0" collapsed="false">
      <c r="A576" s="18" t="n">
        <v>575</v>
      </c>
      <c r="B576" s="18"/>
      <c r="C576" s="18"/>
      <c r="D576" s="18"/>
      <c r="E576" s="18" t="s">
        <v>1181</v>
      </c>
      <c r="F576" s="18" t="s">
        <v>1182</v>
      </c>
      <c r="G576" s="18" t="s">
        <v>74</v>
      </c>
      <c r="H576" s="18" t="n">
        <v>350</v>
      </c>
      <c r="I576" s="19" t="n">
        <v>0</v>
      </c>
      <c r="J576" s="19" t="n">
        <v>7245</v>
      </c>
      <c r="K576" s="19" t="n">
        <v>7245</v>
      </c>
      <c r="L576" s="19" t="n">
        <v>0</v>
      </c>
      <c r="M576" s="19" t="n">
        <f aca="false">ABS(L576)</f>
        <v>0</v>
      </c>
      <c r="N576" s="18" t="str">
        <f aca="false">IF(L576=0,"Nil balance",IF(G576="AR file",IF(L576&gt;0,"Accounts Receivable","Customer Advances"),IF(L576&lt;0,"Accounts Payable","Supplier Advances")))</f>
        <v>Nil balance</v>
      </c>
      <c r="O576" s="18" t="str">
        <f aca="false">IF(L576=0,"Excluded",IF(Summary!$C$4="By ledger",IF(G576="AR file","Population 1","Population 2"),IF(L576&gt;0,"Population 1","Population 2")))</f>
        <v>Excluded</v>
      </c>
      <c r="P576" s="18" t="str">
        <f aca="false">IF(O576="Excluded","Excluded – nil closing balance",IF(M576&gt;Summary!$C$5,"Above Materiality","Below Materiality"))</f>
        <v>Excluded – nil closing balance</v>
      </c>
      <c r="Q576" s="20" t="str">
        <f aca="false">IF(P576="Below Materiality",T576,"")</f>
        <v/>
      </c>
      <c r="R576" s="21" t="str">
        <f aca="false">IF(P576="Above Materiality",COUNTIFS($O$2:$O$1092,O576,$P$2:$P$1092,"Above Materiality",$M$2:$M$1092,"&gt;"&amp;M576)+COUNTIFS($O$2:$O$1092,O576,$P$2:$P$1092,"Above Materiality",$M$2:$M$1092,M576,$A$2:$A$1092,"&lt;"&amp;A576)+1,"")</f>
        <v/>
      </c>
      <c r="S576" s="21" t="str">
        <f aca="false">IF(P576&lt;&gt;"Below Materiality","",IF(Summary!$C$9="Random",COUNTIFS($O$2:$O$1092,O576,$Q$2:$Q$1092,"&gt;"&amp;Q576)+1,COUNTIFS($O$2:$O$1092,O576,$P$2:$P$1092,"Below Materiality",$M$2:$M$1092,"&gt;"&amp;M576)+COUNTIFS($O$2:$O$1092,O576,$P$2:$P$1092,"Below Materiality",$M$2:$M$1092,M576,$A$2:$A$1092,"&lt;"&amp;A576)+1))</f>
        <v/>
      </c>
      <c r="T576" s="22"/>
      <c r="U576" s="21" t="str">
        <f aca="false">IF(R576="","",O576&amp;"|A|"&amp;R576)</f>
        <v/>
      </c>
      <c r="V576" s="21" t="str">
        <f aca="false">IF(S576="","",O576&amp;"|R|"&amp;S576)</f>
        <v/>
      </c>
    </row>
    <row r="577" customFormat="false" ht="15" hidden="false" customHeight="false" outlineLevel="0" collapsed="false">
      <c r="A577" s="18" t="n">
        <v>576</v>
      </c>
      <c r="B577" s="18"/>
      <c r="C577" s="18"/>
      <c r="D577" s="18"/>
      <c r="E577" s="18" t="s">
        <v>1183</v>
      </c>
      <c r="F577" s="18" t="s">
        <v>1184</v>
      </c>
      <c r="G577" s="18" t="s">
        <v>74</v>
      </c>
      <c r="H577" s="18" t="n">
        <v>351</v>
      </c>
      <c r="I577" s="19" t="n">
        <v>0</v>
      </c>
      <c r="J577" s="19" t="n">
        <v>1029</v>
      </c>
      <c r="K577" s="19" t="n">
        <v>1029</v>
      </c>
      <c r="L577" s="19" t="n">
        <v>0</v>
      </c>
      <c r="M577" s="19" t="n">
        <f aca="false">ABS(L577)</f>
        <v>0</v>
      </c>
      <c r="N577" s="18" t="str">
        <f aca="false">IF(L577=0,"Nil balance",IF(G577="AR file",IF(L577&gt;0,"Accounts Receivable","Customer Advances"),IF(L577&lt;0,"Accounts Payable","Supplier Advances")))</f>
        <v>Nil balance</v>
      </c>
      <c r="O577" s="18" t="str">
        <f aca="false">IF(L577=0,"Excluded",IF(Summary!$C$4="By ledger",IF(G577="AR file","Population 1","Population 2"),IF(L577&gt;0,"Population 1","Population 2")))</f>
        <v>Excluded</v>
      </c>
      <c r="P577" s="18" t="str">
        <f aca="false">IF(O577="Excluded","Excluded – nil closing balance",IF(M577&gt;Summary!$C$5,"Above Materiality","Below Materiality"))</f>
        <v>Excluded – nil closing balance</v>
      </c>
      <c r="Q577" s="20" t="str">
        <f aca="false">IF(P577="Below Materiality",T577,"")</f>
        <v/>
      </c>
      <c r="R577" s="21" t="str">
        <f aca="false">IF(P577="Above Materiality",COUNTIFS($O$2:$O$1092,O577,$P$2:$P$1092,"Above Materiality",$M$2:$M$1092,"&gt;"&amp;M577)+COUNTIFS($O$2:$O$1092,O577,$P$2:$P$1092,"Above Materiality",$M$2:$M$1092,M577,$A$2:$A$1092,"&lt;"&amp;A577)+1,"")</f>
        <v/>
      </c>
      <c r="S577" s="21" t="str">
        <f aca="false">IF(P577&lt;&gt;"Below Materiality","",IF(Summary!$C$9="Random",COUNTIFS($O$2:$O$1092,O577,$Q$2:$Q$1092,"&gt;"&amp;Q577)+1,COUNTIFS($O$2:$O$1092,O577,$P$2:$P$1092,"Below Materiality",$M$2:$M$1092,"&gt;"&amp;M577)+COUNTIFS($O$2:$O$1092,O577,$P$2:$P$1092,"Below Materiality",$M$2:$M$1092,M577,$A$2:$A$1092,"&lt;"&amp;A577)+1))</f>
        <v/>
      </c>
      <c r="T577" s="22"/>
      <c r="U577" s="21" t="str">
        <f aca="false">IF(R577="","",O577&amp;"|A|"&amp;R577)</f>
        <v/>
      </c>
      <c r="V577" s="21" t="str">
        <f aca="false">IF(S577="","",O577&amp;"|R|"&amp;S577)</f>
        <v/>
      </c>
    </row>
    <row r="578" customFormat="false" ht="15" hidden="false" customHeight="false" outlineLevel="0" collapsed="false">
      <c r="A578" s="18" t="n">
        <v>577</v>
      </c>
      <c r="B578" s="18"/>
      <c r="C578" s="18"/>
      <c r="D578" s="18"/>
      <c r="E578" s="18" t="s">
        <v>1185</v>
      </c>
      <c r="F578" s="18" t="s">
        <v>1186</v>
      </c>
      <c r="G578" s="18" t="s">
        <v>74</v>
      </c>
      <c r="H578" s="18" t="n">
        <v>353</v>
      </c>
      <c r="I578" s="19" t="n">
        <v>0</v>
      </c>
      <c r="J578" s="19" t="n">
        <v>1201.75</v>
      </c>
      <c r="K578" s="19" t="n">
        <v>1201.75</v>
      </c>
      <c r="L578" s="19" t="n">
        <v>0</v>
      </c>
      <c r="M578" s="19" t="n">
        <f aca="false">ABS(L578)</f>
        <v>0</v>
      </c>
      <c r="N578" s="18" t="str">
        <f aca="false">IF(L578=0,"Nil balance",IF(G578="AR file",IF(L578&gt;0,"Accounts Receivable","Customer Advances"),IF(L578&lt;0,"Accounts Payable","Supplier Advances")))</f>
        <v>Nil balance</v>
      </c>
      <c r="O578" s="18" t="str">
        <f aca="false">IF(L578=0,"Excluded",IF(Summary!$C$4="By ledger",IF(G578="AR file","Population 1","Population 2"),IF(L578&gt;0,"Population 1","Population 2")))</f>
        <v>Excluded</v>
      </c>
      <c r="P578" s="18" t="str">
        <f aca="false">IF(O578="Excluded","Excluded – nil closing balance",IF(M578&gt;Summary!$C$5,"Above Materiality","Below Materiality"))</f>
        <v>Excluded – nil closing balance</v>
      </c>
      <c r="Q578" s="20" t="str">
        <f aca="false">IF(P578="Below Materiality",T578,"")</f>
        <v/>
      </c>
      <c r="R578" s="21" t="str">
        <f aca="false">IF(P578="Above Materiality",COUNTIFS($O$2:$O$1092,O578,$P$2:$P$1092,"Above Materiality",$M$2:$M$1092,"&gt;"&amp;M578)+COUNTIFS($O$2:$O$1092,O578,$P$2:$P$1092,"Above Materiality",$M$2:$M$1092,M578,$A$2:$A$1092,"&lt;"&amp;A578)+1,"")</f>
        <v/>
      </c>
      <c r="S578" s="21" t="str">
        <f aca="false">IF(P578&lt;&gt;"Below Materiality","",IF(Summary!$C$9="Random",COUNTIFS($O$2:$O$1092,O578,$Q$2:$Q$1092,"&gt;"&amp;Q578)+1,COUNTIFS($O$2:$O$1092,O578,$P$2:$P$1092,"Below Materiality",$M$2:$M$1092,"&gt;"&amp;M578)+COUNTIFS($O$2:$O$1092,O578,$P$2:$P$1092,"Below Materiality",$M$2:$M$1092,M578,$A$2:$A$1092,"&lt;"&amp;A578)+1))</f>
        <v/>
      </c>
      <c r="T578" s="22"/>
      <c r="U578" s="21" t="str">
        <f aca="false">IF(R578="","",O578&amp;"|A|"&amp;R578)</f>
        <v/>
      </c>
      <c r="V578" s="21" t="str">
        <f aca="false">IF(S578="","",O578&amp;"|R|"&amp;S578)</f>
        <v/>
      </c>
    </row>
    <row r="579" customFormat="false" ht="15" hidden="false" customHeight="false" outlineLevel="0" collapsed="false">
      <c r="A579" s="18" t="n">
        <v>578</v>
      </c>
      <c r="B579" s="18"/>
      <c r="C579" s="18"/>
      <c r="D579" s="18"/>
      <c r="E579" s="18" t="s">
        <v>1187</v>
      </c>
      <c r="F579" s="18" t="s">
        <v>1188</v>
      </c>
      <c r="G579" s="18" t="s">
        <v>74</v>
      </c>
      <c r="H579" s="18" t="n">
        <v>354</v>
      </c>
      <c r="I579" s="19" t="n">
        <v>-90</v>
      </c>
      <c r="J579" s="19" t="n">
        <v>90</v>
      </c>
      <c r="K579" s="19" t="n">
        <v>0</v>
      </c>
      <c r="L579" s="19" t="n">
        <v>0</v>
      </c>
      <c r="M579" s="19" t="n">
        <f aca="false">ABS(L579)</f>
        <v>0</v>
      </c>
      <c r="N579" s="18" t="str">
        <f aca="false">IF(L579=0,"Nil balance",IF(G579="AR file",IF(L579&gt;0,"Accounts Receivable","Customer Advances"),IF(L579&lt;0,"Accounts Payable","Supplier Advances")))</f>
        <v>Nil balance</v>
      </c>
      <c r="O579" s="18" t="str">
        <f aca="false">IF(L579=0,"Excluded",IF(Summary!$C$4="By ledger",IF(G579="AR file","Population 1","Population 2"),IF(L579&gt;0,"Population 1","Population 2")))</f>
        <v>Excluded</v>
      </c>
      <c r="P579" s="18" t="str">
        <f aca="false">IF(O579="Excluded","Excluded – nil closing balance",IF(M579&gt;Summary!$C$5,"Above Materiality","Below Materiality"))</f>
        <v>Excluded – nil closing balance</v>
      </c>
      <c r="Q579" s="20" t="str">
        <f aca="false">IF(P579="Below Materiality",T579,"")</f>
        <v/>
      </c>
      <c r="R579" s="21" t="str">
        <f aca="false">IF(P579="Above Materiality",COUNTIFS($O$2:$O$1092,O579,$P$2:$P$1092,"Above Materiality",$M$2:$M$1092,"&gt;"&amp;M579)+COUNTIFS($O$2:$O$1092,O579,$P$2:$P$1092,"Above Materiality",$M$2:$M$1092,M579,$A$2:$A$1092,"&lt;"&amp;A579)+1,"")</f>
        <v/>
      </c>
      <c r="S579" s="21" t="str">
        <f aca="false">IF(P579&lt;&gt;"Below Materiality","",IF(Summary!$C$9="Random",COUNTIFS($O$2:$O$1092,O579,$Q$2:$Q$1092,"&gt;"&amp;Q579)+1,COUNTIFS($O$2:$O$1092,O579,$P$2:$P$1092,"Below Materiality",$M$2:$M$1092,"&gt;"&amp;M579)+COUNTIFS($O$2:$O$1092,O579,$P$2:$P$1092,"Below Materiality",$M$2:$M$1092,M579,$A$2:$A$1092,"&lt;"&amp;A579)+1))</f>
        <v/>
      </c>
      <c r="T579" s="22"/>
      <c r="U579" s="21" t="str">
        <f aca="false">IF(R579="","",O579&amp;"|A|"&amp;R579)</f>
        <v/>
      </c>
      <c r="V579" s="21" t="str">
        <f aca="false">IF(S579="","",O579&amp;"|R|"&amp;S579)</f>
        <v/>
      </c>
    </row>
    <row r="580" customFormat="false" ht="15" hidden="false" customHeight="false" outlineLevel="0" collapsed="false">
      <c r="A580" s="18" t="n">
        <v>579</v>
      </c>
      <c r="B580" s="18"/>
      <c r="C580" s="18"/>
      <c r="D580" s="18"/>
      <c r="E580" s="18" t="s">
        <v>1189</v>
      </c>
      <c r="F580" s="18" t="s">
        <v>1190</v>
      </c>
      <c r="G580" s="18" t="s">
        <v>74</v>
      </c>
      <c r="H580" s="18" t="n">
        <v>355</v>
      </c>
      <c r="I580" s="19" t="n">
        <v>0</v>
      </c>
      <c r="J580" s="19" t="n">
        <v>253</v>
      </c>
      <c r="K580" s="19" t="n">
        <v>253</v>
      </c>
      <c r="L580" s="19" t="n">
        <v>0</v>
      </c>
      <c r="M580" s="19" t="n">
        <f aca="false">ABS(L580)</f>
        <v>0</v>
      </c>
      <c r="N580" s="18" t="str">
        <f aca="false">IF(L580=0,"Nil balance",IF(G580="AR file",IF(L580&gt;0,"Accounts Receivable","Customer Advances"),IF(L580&lt;0,"Accounts Payable","Supplier Advances")))</f>
        <v>Nil balance</v>
      </c>
      <c r="O580" s="18" t="str">
        <f aca="false">IF(L580=0,"Excluded",IF(Summary!$C$4="By ledger",IF(G580="AR file","Population 1","Population 2"),IF(L580&gt;0,"Population 1","Population 2")))</f>
        <v>Excluded</v>
      </c>
      <c r="P580" s="18" t="str">
        <f aca="false">IF(O580="Excluded","Excluded – nil closing balance",IF(M580&gt;Summary!$C$5,"Above Materiality","Below Materiality"))</f>
        <v>Excluded – nil closing balance</v>
      </c>
      <c r="Q580" s="20" t="str">
        <f aca="false">IF(P580="Below Materiality",T580,"")</f>
        <v/>
      </c>
      <c r="R580" s="21" t="str">
        <f aca="false">IF(P580="Above Materiality",COUNTIFS($O$2:$O$1092,O580,$P$2:$P$1092,"Above Materiality",$M$2:$M$1092,"&gt;"&amp;M580)+COUNTIFS($O$2:$O$1092,O580,$P$2:$P$1092,"Above Materiality",$M$2:$M$1092,M580,$A$2:$A$1092,"&lt;"&amp;A580)+1,"")</f>
        <v/>
      </c>
      <c r="S580" s="21" t="str">
        <f aca="false">IF(P580&lt;&gt;"Below Materiality","",IF(Summary!$C$9="Random",COUNTIFS($O$2:$O$1092,O580,$Q$2:$Q$1092,"&gt;"&amp;Q580)+1,COUNTIFS($O$2:$O$1092,O580,$P$2:$P$1092,"Below Materiality",$M$2:$M$1092,"&gt;"&amp;M580)+COUNTIFS($O$2:$O$1092,O580,$P$2:$P$1092,"Below Materiality",$M$2:$M$1092,M580,$A$2:$A$1092,"&lt;"&amp;A580)+1))</f>
        <v/>
      </c>
      <c r="T580" s="22"/>
      <c r="U580" s="21" t="str">
        <f aca="false">IF(R580="","",O580&amp;"|A|"&amp;R580)</f>
        <v/>
      </c>
      <c r="V580" s="21" t="str">
        <f aca="false">IF(S580="","",O580&amp;"|R|"&amp;S580)</f>
        <v/>
      </c>
    </row>
    <row r="581" customFormat="false" ht="15" hidden="false" customHeight="false" outlineLevel="0" collapsed="false">
      <c r="A581" s="18" t="n">
        <v>580</v>
      </c>
      <c r="B581" s="18"/>
      <c r="C581" s="18"/>
      <c r="D581" s="18"/>
      <c r="E581" s="18" t="s">
        <v>1191</v>
      </c>
      <c r="F581" s="18" t="s">
        <v>1192</v>
      </c>
      <c r="G581" s="18" t="s">
        <v>74</v>
      </c>
      <c r="H581" s="18" t="n">
        <v>356</v>
      </c>
      <c r="I581" s="19" t="n">
        <v>483</v>
      </c>
      <c r="J581" s="19" t="n">
        <v>0</v>
      </c>
      <c r="K581" s="19" t="n">
        <v>483</v>
      </c>
      <c r="L581" s="19" t="n">
        <v>0</v>
      </c>
      <c r="M581" s="19" t="n">
        <f aca="false">ABS(L581)</f>
        <v>0</v>
      </c>
      <c r="N581" s="18" t="str">
        <f aca="false">IF(L581=0,"Nil balance",IF(G581="AR file",IF(L581&gt;0,"Accounts Receivable","Customer Advances"),IF(L581&lt;0,"Accounts Payable","Supplier Advances")))</f>
        <v>Nil balance</v>
      </c>
      <c r="O581" s="18" t="str">
        <f aca="false">IF(L581=0,"Excluded",IF(Summary!$C$4="By ledger",IF(G581="AR file","Population 1","Population 2"),IF(L581&gt;0,"Population 1","Population 2")))</f>
        <v>Excluded</v>
      </c>
      <c r="P581" s="18" t="str">
        <f aca="false">IF(O581="Excluded","Excluded – nil closing balance",IF(M581&gt;Summary!$C$5,"Above Materiality","Below Materiality"))</f>
        <v>Excluded – nil closing balance</v>
      </c>
      <c r="Q581" s="20" t="str">
        <f aca="false">IF(P581="Below Materiality",T581,"")</f>
        <v/>
      </c>
      <c r="R581" s="21" t="str">
        <f aca="false">IF(P581="Above Materiality",COUNTIFS($O$2:$O$1092,O581,$P$2:$P$1092,"Above Materiality",$M$2:$M$1092,"&gt;"&amp;M581)+COUNTIFS($O$2:$O$1092,O581,$P$2:$P$1092,"Above Materiality",$M$2:$M$1092,M581,$A$2:$A$1092,"&lt;"&amp;A581)+1,"")</f>
        <v/>
      </c>
      <c r="S581" s="21" t="str">
        <f aca="false">IF(P581&lt;&gt;"Below Materiality","",IF(Summary!$C$9="Random",COUNTIFS($O$2:$O$1092,O581,$Q$2:$Q$1092,"&gt;"&amp;Q581)+1,COUNTIFS($O$2:$O$1092,O581,$P$2:$P$1092,"Below Materiality",$M$2:$M$1092,"&gt;"&amp;M581)+COUNTIFS($O$2:$O$1092,O581,$P$2:$P$1092,"Below Materiality",$M$2:$M$1092,M581,$A$2:$A$1092,"&lt;"&amp;A581)+1))</f>
        <v/>
      </c>
      <c r="T581" s="22"/>
      <c r="U581" s="21" t="str">
        <f aca="false">IF(R581="","",O581&amp;"|A|"&amp;R581)</f>
        <v/>
      </c>
      <c r="V581" s="21" t="str">
        <f aca="false">IF(S581="","",O581&amp;"|R|"&amp;S581)</f>
        <v/>
      </c>
    </row>
    <row r="582" customFormat="false" ht="15" hidden="false" customHeight="false" outlineLevel="0" collapsed="false">
      <c r="A582" s="18" t="n">
        <v>581</v>
      </c>
      <c r="B582" s="18"/>
      <c r="C582" s="18"/>
      <c r="D582" s="18"/>
      <c r="E582" s="18" t="s">
        <v>1193</v>
      </c>
      <c r="F582" s="18" t="s">
        <v>768</v>
      </c>
      <c r="G582" s="18" t="s">
        <v>74</v>
      </c>
      <c r="H582" s="18" t="n">
        <v>357</v>
      </c>
      <c r="I582" s="19" t="n">
        <v>-1000</v>
      </c>
      <c r="J582" s="19" t="n">
        <v>1000</v>
      </c>
      <c r="K582" s="19" t="n">
        <v>0</v>
      </c>
      <c r="L582" s="19" t="n">
        <v>0</v>
      </c>
      <c r="M582" s="19" t="n">
        <f aca="false">ABS(L582)</f>
        <v>0</v>
      </c>
      <c r="N582" s="18" t="str">
        <f aca="false">IF(L582=0,"Nil balance",IF(G582="AR file",IF(L582&gt;0,"Accounts Receivable","Customer Advances"),IF(L582&lt;0,"Accounts Payable","Supplier Advances")))</f>
        <v>Nil balance</v>
      </c>
      <c r="O582" s="18" t="str">
        <f aca="false">IF(L582=0,"Excluded",IF(Summary!$C$4="By ledger",IF(G582="AR file","Population 1","Population 2"),IF(L582&gt;0,"Population 1","Population 2")))</f>
        <v>Excluded</v>
      </c>
      <c r="P582" s="18" t="str">
        <f aca="false">IF(O582="Excluded","Excluded – nil closing balance",IF(M582&gt;Summary!$C$5,"Above Materiality","Below Materiality"))</f>
        <v>Excluded – nil closing balance</v>
      </c>
      <c r="Q582" s="20" t="str">
        <f aca="false">IF(P582="Below Materiality",T582,"")</f>
        <v/>
      </c>
      <c r="R582" s="21" t="str">
        <f aca="false">IF(P582="Above Materiality",COUNTIFS($O$2:$O$1092,O582,$P$2:$P$1092,"Above Materiality",$M$2:$M$1092,"&gt;"&amp;M582)+COUNTIFS($O$2:$O$1092,O582,$P$2:$P$1092,"Above Materiality",$M$2:$M$1092,M582,$A$2:$A$1092,"&lt;"&amp;A582)+1,"")</f>
        <v/>
      </c>
      <c r="S582" s="21" t="str">
        <f aca="false">IF(P582&lt;&gt;"Below Materiality","",IF(Summary!$C$9="Random",COUNTIFS($O$2:$O$1092,O582,$Q$2:$Q$1092,"&gt;"&amp;Q582)+1,COUNTIFS($O$2:$O$1092,O582,$P$2:$P$1092,"Below Materiality",$M$2:$M$1092,"&gt;"&amp;M582)+COUNTIFS($O$2:$O$1092,O582,$P$2:$P$1092,"Below Materiality",$M$2:$M$1092,M582,$A$2:$A$1092,"&lt;"&amp;A582)+1))</f>
        <v/>
      </c>
      <c r="T582" s="22"/>
      <c r="U582" s="21" t="str">
        <f aca="false">IF(R582="","",O582&amp;"|A|"&amp;R582)</f>
        <v/>
      </c>
      <c r="V582" s="21" t="str">
        <f aca="false">IF(S582="","",O582&amp;"|R|"&amp;S582)</f>
        <v/>
      </c>
    </row>
    <row r="583" customFormat="false" ht="15" hidden="false" customHeight="false" outlineLevel="0" collapsed="false">
      <c r="A583" s="18" t="n">
        <v>582</v>
      </c>
      <c r="B583" s="18"/>
      <c r="C583" s="18"/>
      <c r="D583" s="18"/>
      <c r="E583" s="18" t="s">
        <v>1194</v>
      </c>
      <c r="F583" s="18" t="s">
        <v>474</v>
      </c>
      <c r="G583" s="18" t="s">
        <v>74</v>
      </c>
      <c r="H583" s="18" t="n">
        <v>358</v>
      </c>
      <c r="I583" s="19" t="n">
        <v>0</v>
      </c>
      <c r="J583" s="19" t="n">
        <v>115</v>
      </c>
      <c r="K583" s="19" t="n">
        <v>115</v>
      </c>
      <c r="L583" s="19" t="n">
        <v>0</v>
      </c>
      <c r="M583" s="19" t="n">
        <f aca="false">ABS(L583)</f>
        <v>0</v>
      </c>
      <c r="N583" s="18" t="str">
        <f aca="false">IF(L583=0,"Nil balance",IF(G583="AR file",IF(L583&gt;0,"Accounts Receivable","Customer Advances"),IF(L583&lt;0,"Accounts Payable","Supplier Advances")))</f>
        <v>Nil balance</v>
      </c>
      <c r="O583" s="18" t="str">
        <f aca="false">IF(L583=0,"Excluded",IF(Summary!$C$4="By ledger",IF(G583="AR file","Population 1","Population 2"),IF(L583&gt;0,"Population 1","Population 2")))</f>
        <v>Excluded</v>
      </c>
      <c r="P583" s="18" t="str">
        <f aca="false">IF(O583="Excluded","Excluded – nil closing balance",IF(M583&gt;Summary!$C$5,"Above Materiality","Below Materiality"))</f>
        <v>Excluded – nil closing balance</v>
      </c>
      <c r="Q583" s="20" t="str">
        <f aca="false">IF(P583="Below Materiality",T583,"")</f>
        <v/>
      </c>
      <c r="R583" s="21" t="str">
        <f aca="false">IF(P583="Above Materiality",COUNTIFS($O$2:$O$1092,O583,$P$2:$P$1092,"Above Materiality",$M$2:$M$1092,"&gt;"&amp;M583)+COUNTIFS($O$2:$O$1092,O583,$P$2:$P$1092,"Above Materiality",$M$2:$M$1092,M583,$A$2:$A$1092,"&lt;"&amp;A583)+1,"")</f>
        <v/>
      </c>
      <c r="S583" s="21" t="str">
        <f aca="false">IF(P583&lt;&gt;"Below Materiality","",IF(Summary!$C$9="Random",COUNTIFS($O$2:$O$1092,O583,$Q$2:$Q$1092,"&gt;"&amp;Q583)+1,COUNTIFS($O$2:$O$1092,O583,$P$2:$P$1092,"Below Materiality",$M$2:$M$1092,"&gt;"&amp;M583)+COUNTIFS($O$2:$O$1092,O583,$P$2:$P$1092,"Below Materiality",$M$2:$M$1092,M583,$A$2:$A$1092,"&lt;"&amp;A583)+1))</f>
        <v/>
      </c>
      <c r="T583" s="22"/>
      <c r="U583" s="21" t="str">
        <f aca="false">IF(R583="","",O583&amp;"|A|"&amp;R583)</f>
        <v/>
      </c>
      <c r="V583" s="21" t="str">
        <f aca="false">IF(S583="","",O583&amp;"|R|"&amp;S583)</f>
        <v/>
      </c>
    </row>
    <row r="584" customFormat="false" ht="15" hidden="false" customHeight="false" outlineLevel="0" collapsed="false">
      <c r="A584" s="18" t="n">
        <v>583</v>
      </c>
      <c r="B584" s="18"/>
      <c r="C584" s="18"/>
      <c r="D584" s="18"/>
      <c r="E584" s="18" t="s">
        <v>1195</v>
      </c>
      <c r="F584" s="18" t="s">
        <v>1196</v>
      </c>
      <c r="G584" s="18" t="s">
        <v>74</v>
      </c>
      <c r="H584" s="18" t="n">
        <v>359</v>
      </c>
      <c r="I584" s="19" t="n">
        <v>1</v>
      </c>
      <c r="J584" s="19" t="n">
        <v>0</v>
      </c>
      <c r="K584" s="19" t="n">
        <v>1</v>
      </c>
      <c r="L584" s="19" t="n">
        <v>0</v>
      </c>
      <c r="M584" s="19" t="n">
        <f aca="false">ABS(L584)</f>
        <v>0</v>
      </c>
      <c r="N584" s="18" t="str">
        <f aca="false">IF(L584=0,"Nil balance",IF(G584="AR file",IF(L584&gt;0,"Accounts Receivable","Customer Advances"),IF(L584&lt;0,"Accounts Payable","Supplier Advances")))</f>
        <v>Nil balance</v>
      </c>
      <c r="O584" s="18" t="str">
        <f aca="false">IF(L584=0,"Excluded",IF(Summary!$C$4="By ledger",IF(G584="AR file","Population 1","Population 2"),IF(L584&gt;0,"Population 1","Population 2")))</f>
        <v>Excluded</v>
      </c>
      <c r="P584" s="18" t="str">
        <f aca="false">IF(O584="Excluded","Excluded – nil closing balance",IF(M584&gt;Summary!$C$5,"Above Materiality","Below Materiality"))</f>
        <v>Excluded – nil closing balance</v>
      </c>
      <c r="Q584" s="20" t="str">
        <f aca="false">IF(P584="Below Materiality",T584,"")</f>
        <v/>
      </c>
      <c r="R584" s="21" t="str">
        <f aca="false">IF(P584="Above Materiality",COUNTIFS($O$2:$O$1092,O584,$P$2:$P$1092,"Above Materiality",$M$2:$M$1092,"&gt;"&amp;M584)+COUNTIFS($O$2:$O$1092,O584,$P$2:$P$1092,"Above Materiality",$M$2:$M$1092,M584,$A$2:$A$1092,"&lt;"&amp;A584)+1,"")</f>
        <v/>
      </c>
      <c r="S584" s="21" t="str">
        <f aca="false">IF(P584&lt;&gt;"Below Materiality","",IF(Summary!$C$9="Random",COUNTIFS($O$2:$O$1092,O584,$Q$2:$Q$1092,"&gt;"&amp;Q584)+1,COUNTIFS($O$2:$O$1092,O584,$P$2:$P$1092,"Below Materiality",$M$2:$M$1092,"&gt;"&amp;M584)+COUNTIFS($O$2:$O$1092,O584,$P$2:$P$1092,"Below Materiality",$M$2:$M$1092,M584,$A$2:$A$1092,"&lt;"&amp;A584)+1))</f>
        <v/>
      </c>
      <c r="T584" s="22"/>
      <c r="U584" s="21" t="str">
        <f aca="false">IF(R584="","",O584&amp;"|A|"&amp;R584)</f>
        <v/>
      </c>
      <c r="V584" s="21" t="str">
        <f aca="false">IF(S584="","",O584&amp;"|R|"&amp;S584)</f>
        <v/>
      </c>
    </row>
    <row r="585" customFormat="false" ht="15" hidden="false" customHeight="false" outlineLevel="0" collapsed="false">
      <c r="A585" s="18" t="n">
        <v>584</v>
      </c>
      <c r="B585" s="18"/>
      <c r="C585" s="18"/>
      <c r="D585" s="18"/>
      <c r="E585" s="18" t="s">
        <v>1197</v>
      </c>
      <c r="F585" s="18" t="s">
        <v>1198</v>
      </c>
      <c r="G585" s="18" t="s">
        <v>74</v>
      </c>
      <c r="H585" s="18" t="n">
        <v>360</v>
      </c>
      <c r="I585" s="19" t="n">
        <v>0</v>
      </c>
      <c r="J585" s="19" t="n">
        <v>53751</v>
      </c>
      <c r="K585" s="19" t="n">
        <v>53751</v>
      </c>
      <c r="L585" s="19" t="n">
        <v>0</v>
      </c>
      <c r="M585" s="19" t="n">
        <f aca="false">ABS(L585)</f>
        <v>0</v>
      </c>
      <c r="N585" s="18" t="str">
        <f aca="false">IF(L585=0,"Nil balance",IF(G585="AR file",IF(L585&gt;0,"Accounts Receivable","Customer Advances"),IF(L585&lt;0,"Accounts Payable","Supplier Advances")))</f>
        <v>Nil balance</v>
      </c>
      <c r="O585" s="18" t="str">
        <f aca="false">IF(L585=0,"Excluded",IF(Summary!$C$4="By ledger",IF(G585="AR file","Population 1","Population 2"),IF(L585&gt;0,"Population 1","Population 2")))</f>
        <v>Excluded</v>
      </c>
      <c r="P585" s="18" t="str">
        <f aca="false">IF(O585="Excluded","Excluded – nil closing balance",IF(M585&gt;Summary!$C$5,"Above Materiality","Below Materiality"))</f>
        <v>Excluded – nil closing balance</v>
      </c>
      <c r="Q585" s="20" t="str">
        <f aca="false">IF(P585="Below Materiality",T585,"")</f>
        <v/>
      </c>
      <c r="R585" s="21" t="str">
        <f aca="false">IF(P585="Above Materiality",COUNTIFS($O$2:$O$1092,O585,$P$2:$P$1092,"Above Materiality",$M$2:$M$1092,"&gt;"&amp;M585)+COUNTIFS($O$2:$O$1092,O585,$P$2:$P$1092,"Above Materiality",$M$2:$M$1092,M585,$A$2:$A$1092,"&lt;"&amp;A585)+1,"")</f>
        <v/>
      </c>
      <c r="S585" s="21" t="str">
        <f aca="false">IF(P585&lt;&gt;"Below Materiality","",IF(Summary!$C$9="Random",COUNTIFS($O$2:$O$1092,O585,$Q$2:$Q$1092,"&gt;"&amp;Q585)+1,COUNTIFS($O$2:$O$1092,O585,$P$2:$P$1092,"Below Materiality",$M$2:$M$1092,"&gt;"&amp;M585)+COUNTIFS($O$2:$O$1092,O585,$P$2:$P$1092,"Below Materiality",$M$2:$M$1092,M585,$A$2:$A$1092,"&lt;"&amp;A585)+1))</f>
        <v/>
      </c>
      <c r="T585" s="22"/>
      <c r="U585" s="21" t="str">
        <f aca="false">IF(R585="","",O585&amp;"|A|"&amp;R585)</f>
        <v/>
      </c>
      <c r="V585" s="21" t="str">
        <f aca="false">IF(S585="","",O585&amp;"|R|"&amp;S585)</f>
        <v/>
      </c>
    </row>
    <row r="586" customFormat="false" ht="15" hidden="false" customHeight="false" outlineLevel="0" collapsed="false">
      <c r="A586" s="18" t="n">
        <v>585</v>
      </c>
      <c r="B586" s="18"/>
      <c r="C586" s="18"/>
      <c r="D586" s="18"/>
      <c r="E586" s="18" t="s">
        <v>1199</v>
      </c>
      <c r="F586" s="18" t="s">
        <v>474</v>
      </c>
      <c r="G586" s="18" t="s">
        <v>74</v>
      </c>
      <c r="H586" s="18" t="n">
        <v>361</v>
      </c>
      <c r="I586" s="19" t="n">
        <v>0</v>
      </c>
      <c r="J586" s="19" t="n">
        <v>115</v>
      </c>
      <c r="K586" s="19" t="n">
        <v>115</v>
      </c>
      <c r="L586" s="19" t="n">
        <v>0</v>
      </c>
      <c r="M586" s="19" t="n">
        <f aca="false">ABS(L586)</f>
        <v>0</v>
      </c>
      <c r="N586" s="18" t="str">
        <f aca="false">IF(L586=0,"Nil balance",IF(G586="AR file",IF(L586&gt;0,"Accounts Receivable","Customer Advances"),IF(L586&lt;0,"Accounts Payable","Supplier Advances")))</f>
        <v>Nil balance</v>
      </c>
      <c r="O586" s="18" t="str">
        <f aca="false">IF(L586=0,"Excluded",IF(Summary!$C$4="By ledger",IF(G586="AR file","Population 1","Population 2"),IF(L586&gt;0,"Population 1","Population 2")))</f>
        <v>Excluded</v>
      </c>
      <c r="P586" s="18" t="str">
        <f aca="false">IF(O586="Excluded","Excluded – nil closing balance",IF(M586&gt;Summary!$C$5,"Above Materiality","Below Materiality"))</f>
        <v>Excluded – nil closing balance</v>
      </c>
      <c r="Q586" s="20" t="str">
        <f aca="false">IF(P586="Below Materiality",T586,"")</f>
        <v/>
      </c>
      <c r="R586" s="21" t="str">
        <f aca="false">IF(P586="Above Materiality",COUNTIFS($O$2:$O$1092,O586,$P$2:$P$1092,"Above Materiality",$M$2:$M$1092,"&gt;"&amp;M586)+COUNTIFS($O$2:$O$1092,O586,$P$2:$P$1092,"Above Materiality",$M$2:$M$1092,M586,$A$2:$A$1092,"&lt;"&amp;A586)+1,"")</f>
        <v/>
      </c>
      <c r="S586" s="21" t="str">
        <f aca="false">IF(P586&lt;&gt;"Below Materiality","",IF(Summary!$C$9="Random",COUNTIFS($O$2:$O$1092,O586,$Q$2:$Q$1092,"&gt;"&amp;Q586)+1,COUNTIFS($O$2:$O$1092,O586,$P$2:$P$1092,"Below Materiality",$M$2:$M$1092,"&gt;"&amp;M586)+COUNTIFS($O$2:$O$1092,O586,$P$2:$P$1092,"Below Materiality",$M$2:$M$1092,M586,$A$2:$A$1092,"&lt;"&amp;A586)+1))</f>
        <v/>
      </c>
      <c r="T586" s="22"/>
      <c r="U586" s="21" t="str">
        <f aca="false">IF(R586="","",O586&amp;"|A|"&amp;R586)</f>
        <v/>
      </c>
      <c r="V586" s="21" t="str">
        <f aca="false">IF(S586="","",O586&amp;"|R|"&amp;S586)</f>
        <v/>
      </c>
    </row>
    <row r="587" customFormat="false" ht="15" hidden="false" customHeight="false" outlineLevel="0" collapsed="false">
      <c r="A587" s="18" t="n">
        <v>586</v>
      </c>
      <c r="B587" s="18"/>
      <c r="C587" s="18"/>
      <c r="D587" s="18"/>
      <c r="E587" s="18" t="s">
        <v>1200</v>
      </c>
      <c r="F587" s="18" t="s">
        <v>1201</v>
      </c>
      <c r="G587" s="18" t="s">
        <v>74</v>
      </c>
      <c r="H587" s="18" t="n">
        <v>362</v>
      </c>
      <c r="I587" s="19" t="n">
        <v>0</v>
      </c>
      <c r="J587" s="19" t="n">
        <v>18980.01</v>
      </c>
      <c r="K587" s="19" t="n">
        <v>18980.01</v>
      </c>
      <c r="L587" s="19" t="n">
        <v>0</v>
      </c>
      <c r="M587" s="19" t="n">
        <f aca="false">ABS(L587)</f>
        <v>0</v>
      </c>
      <c r="N587" s="18" t="str">
        <f aca="false">IF(L587=0,"Nil balance",IF(G587="AR file",IF(L587&gt;0,"Accounts Receivable","Customer Advances"),IF(L587&lt;0,"Accounts Payable","Supplier Advances")))</f>
        <v>Nil balance</v>
      </c>
      <c r="O587" s="18" t="str">
        <f aca="false">IF(L587=0,"Excluded",IF(Summary!$C$4="By ledger",IF(G587="AR file","Population 1","Population 2"),IF(L587&gt;0,"Population 1","Population 2")))</f>
        <v>Excluded</v>
      </c>
      <c r="P587" s="18" t="str">
        <f aca="false">IF(O587="Excluded","Excluded – nil closing balance",IF(M587&gt;Summary!$C$5,"Above Materiality","Below Materiality"))</f>
        <v>Excluded – nil closing balance</v>
      </c>
      <c r="Q587" s="20" t="str">
        <f aca="false">IF(P587="Below Materiality",T587,"")</f>
        <v/>
      </c>
      <c r="R587" s="21" t="str">
        <f aca="false">IF(P587="Above Materiality",COUNTIFS($O$2:$O$1092,O587,$P$2:$P$1092,"Above Materiality",$M$2:$M$1092,"&gt;"&amp;M587)+COUNTIFS($O$2:$O$1092,O587,$P$2:$P$1092,"Above Materiality",$M$2:$M$1092,M587,$A$2:$A$1092,"&lt;"&amp;A587)+1,"")</f>
        <v/>
      </c>
      <c r="S587" s="21" t="str">
        <f aca="false">IF(P587&lt;&gt;"Below Materiality","",IF(Summary!$C$9="Random",COUNTIFS($O$2:$O$1092,O587,$Q$2:$Q$1092,"&gt;"&amp;Q587)+1,COUNTIFS($O$2:$O$1092,O587,$P$2:$P$1092,"Below Materiality",$M$2:$M$1092,"&gt;"&amp;M587)+COUNTIFS($O$2:$O$1092,O587,$P$2:$P$1092,"Below Materiality",$M$2:$M$1092,M587,$A$2:$A$1092,"&lt;"&amp;A587)+1))</f>
        <v/>
      </c>
      <c r="T587" s="22"/>
      <c r="U587" s="21" t="str">
        <f aca="false">IF(R587="","",O587&amp;"|A|"&amp;R587)</f>
        <v/>
      </c>
      <c r="V587" s="21" t="str">
        <f aca="false">IF(S587="","",O587&amp;"|R|"&amp;S587)</f>
        <v/>
      </c>
    </row>
    <row r="588" customFormat="false" ht="15" hidden="false" customHeight="false" outlineLevel="0" collapsed="false">
      <c r="A588" s="18" t="n">
        <v>587</v>
      </c>
      <c r="B588" s="18"/>
      <c r="C588" s="18"/>
      <c r="D588" s="18"/>
      <c r="E588" s="18" t="s">
        <v>1202</v>
      </c>
      <c r="F588" s="18" t="s">
        <v>1203</v>
      </c>
      <c r="G588" s="18" t="s">
        <v>74</v>
      </c>
      <c r="H588" s="18" t="n">
        <v>364</v>
      </c>
      <c r="I588" s="19" t="n">
        <v>0</v>
      </c>
      <c r="J588" s="19" t="n">
        <v>320</v>
      </c>
      <c r="K588" s="19" t="n">
        <v>320</v>
      </c>
      <c r="L588" s="19" t="n">
        <v>0</v>
      </c>
      <c r="M588" s="19" t="n">
        <f aca="false">ABS(L588)</f>
        <v>0</v>
      </c>
      <c r="N588" s="18" t="str">
        <f aca="false">IF(L588=0,"Nil balance",IF(G588="AR file",IF(L588&gt;0,"Accounts Receivable","Customer Advances"),IF(L588&lt;0,"Accounts Payable","Supplier Advances")))</f>
        <v>Nil balance</v>
      </c>
      <c r="O588" s="18" t="str">
        <f aca="false">IF(L588=0,"Excluded",IF(Summary!$C$4="By ledger",IF(G588="AR file","Population 1","Population 2"),IF(L588&gt;0,"Population 1","Population 2")))</f>
        <v>Excluded</v>
      </c>
      <c r="P588" s="18" t="str">
        <f aca="false">IF(O588="Excluded","Excluded – nil closing balance",IF(M588&gt;Summary!$C$5,"Above Materiality","Below Materiality"))</f>
        <v>Excluded – nil closing balance</v>
      </c>
      <c r="Q588" s="20" t="str">
        <f aca="false">IF(P588="Below Materiality",T588,"")</f>
        <v/>
      </c>
      <c r="R588" s="21" t="str">
        <f aca="false">IF(P588="Above Materiality",COUNTIFS($O$2:$O$1092,O588,$P$2:$P$1092,"Above Materiality",$M$2:$M$1092,"&gt;"&amp;M588)+COUNTIFS($O$2:$O$1092,O588,$P$2:$P$1092,"Above Materiality",$M$2:$M$1092,M588,$A$2:$A$1092,"&lt;"&amp;A588)+1,"")</f>
        <v/>
      </c>
      <c r="S588" s="21" t="str">
        <f aca="false">IF(P588&lt;&gt;"Below Materiality","",IF(Summary!$C$9="Random",COUNTIFS($O$2:$O$1092,O588,$Q$2:$Q$1092,"&gt;"&amp;Q588)+1,COUNTIFS($O$2:$O$1092,O588,$P$2:$P$1092,"Below Materiality",$M$2:$M$1092,"&gt;"&amp;M588)+COUNTIFS($O$2:$O$1092,O588,$P$2:$P$1092,"Below Materiality",$M$2:$M$1092,M588,$A$2:$A$1092,"&lt;"&amp;A588)+1))</f>
        <v/>
      </c>
      <c r="T588" s="22"/>
      <c r="U588" s="21" t="str">
        <f aca="false">IF(R588="","",O588&amp;"|A|"&amp;R588)</f>
        <v/>
      </c>
      <c r="V588" s="21" t="str">
        <f aca="false">IF(S588="","",O588&amp;"|R|"&amp;S588)</f>
        <v/>
      </c>
    </row>
    <row r="589" customFormat="false" ht="15" hidden="false" customHeight="false" outlineLevel="0" collapsed="false">
      <c r="A589" s="18" t="n">
        <v>588</v>
      </c>
      <c r="B589" s="18"/>
      <c r="C589" s="18"/>
      <c r="D589" s="18"/>
      <c r="E589" s="18" t="s">
        <v>1204</v>
      </c>
      <c r="F589" s="18" t="s">
        <v>1205</v>
      </c>
      <c r="G589" s="18" t="s">
        <v>74</v>
      </c>
      <c r="H589" s="18" t="n">
        <v>365</v>
      </c>
      <c r="I589" s="19" t="n">
        <v>0</v>
      </c>
      <c r="J589" s="19" t="n">
        <v>4400</v>
      </c>
      <c r="K589" s="19" t="n">
        <v>4400</v>
      </c>
      <c r="L589" s="19" t="n">
        <v>0</v>
      </c>
      <c r="M589" s="19" t="n">
        <f aca="false">ABS(L589)</f>
        <v>0</v>
      </c>
      <c r="N589" s="18" t="str">
        <f aca="false">IF(L589=0,"Nil balance",IF(G589="AR file",IF(L589&gt;0,"Accounts Receivable","Customer Advances"),IF(L589&lt;0,"Accounts Payable","Supplier Advances")))</f>
        <v>Nil balance</v>
      </c>
      <c r="O589" s="18" t="str">
        <f aca="false">IF(L589=0,"Excluded",IF(Summary!$C$4="By ledger",IF(G589="AR file","Population 1","Population 2"),IF(L589&gt;0,"Population 1","Population 2")))</f>
        <v>Excluded</v>
      </c>
      <c r="P589" s="18" t="str">
        <f aca="false">IF(O589="Excluded","Excluded – nil closing balance",IF(M589&gt;Summary!$C$5,"Above Materiality","Below Materiality"))</f>
        <v>Excluded – nil closing balance</v>
      </c>
      <c r="Q589" s="20" t="str">
        <f aca="false">IF(P589="Below Materiality",T589,"")</f>
        <v/>
      </c>
      <c r="R589" s="21" t="str">
        <f aca="false">IF(P589="Above Materiality",COUNTIFS($O$2:$O$1092,O589,$P$2:$P$1092,"Above Materiality",$M$2:$M$1092,"&gt;"&amp;M589)+COUNTIFS($O$2:$O$1092,O589,$P$2:$P$1092,"Above Materiality",$M$2:$M$1092,M589,$A$2:$A$1092,"&lt;"&amp;A589)+1,"")</f>
        <v/>
      </c>
      <c r="S589" s="21" t="str">
        <f aca="false">IF(P589&lt;&gt;"Below Materiality","",IF(Summary!$C$9="Random",COUNTIFS($O$2:$O$1092,O589,$Q$2:$Q$1092,"&gt;"&amp;Q589)+1,COUNTIFS($O$2:$O$1092,O589,$P$2:$P$1092,"Below Materiality",$M$2:$M$1092,"&gt;"&amp;M589)+COUNTIFS($O$2:$O$1092,O589,$P$2:$P$1092,"Below Materiality",$M$2:$M$1092,M589,$A$2:$A$1092,"&lt;"&amp;A589)+1))</f>
        <v/>
      </c>
      <c r="T589" s="22"/>
      <c r="U589" s="21" t="str">
        <f aca="false">IF(R589="","",O589&amp;"|A|"&amp;R589)</f>
        <v/>
      </c>
      <c r="V589" s="21" t="str">
        <f aca="false">IF(S589="","",O589&amp;"|R|"&amp;S589)</f>
        <v/>
      </c>
    </row>
    <row r="590" customFormat="false" ht="15" hidden="false" customHeight="false" outlineLevel="0" collapsed="false">
      <c r="A590" s="18" t="n">
        <v>589</v>
      </c>
      <c r="B590" s="18"/>
      <c r="C590" s="18"/>
      <c r="D590" s="18"/>
      <c r="E590" s="18" t="s">
        <v>1206</v>
      </c>
      <c r="F590" s="18" t="s">
        <v>1207</v>
      </c>
      <c r="G590" s="18" t="s">
        <v>74</v>
      </c>
      <c r="H590" s="18" t="n">
        <v>366</v>
      </c>
      <c r="I590" s="19" t="n">
        <v>0</v>
      </c>
      <c r="J590" s="19" t="n">
        <v>6440</v>
      </c>
      <c r="K590" s="19" t="n">
        <v>6440</v>
      </c>
      <c r="L590" s="19" t="n">
        <v>0</v>
      </c>
      <c r="M590" s="19" t="n">
        <f aca="false">ABS(L590)</f>
        <v>0</v>
      </c>
      <c r="N590" s="18" t="str">
        <f aca="false">IF(L590=0,"Nil balance",IF(G590="AR file",IF(L590&gt;0,"Accounts Receivable","Customer Advances"),IF(L590&lt;0,"Accounts Payable","Supplier Advances")))</f>
        <v>Nil balance</v>
      </c>
      <c r="O590" s="18" t="str">
        <f aca="false">IF(L590=0,"Excluded",IF(Summary!$C$4="By ledger",IF(G590="AR file","Population 1","Population 2"),IF(L590&gt;0,"Population 1","Population 2")))</f>
        <v>Excluded</v>
      </c>
      <c r="P590" s="18" t="str">
        <f aca="false">IF(O590="Excluded","Excluded – nil closing balance",IF(M590&gt;Summary!$C$5,"Above Materiality","Below Materiality"))</f>
        <v>Excluded – nil closing balance</v>
      </c>
      <c r="Q590" s="20" t="str">
        <f aca="false">IF(P590="Below Materiality",T590,"")</f>
        <v/>
      </c>
      <c r="R590" s="21" t="str">
        <f aca="false">IF(P590="Above Materiality",COUNTIFS($O$2:$O$1092,O590,$P$2:$P$1092,"Above Materiality",$M$2:$M$1092,"&gt;"&amp;M590)+COUNTIFS($O$2:$O$1092,O590,$P$2:$P$1092,"Above Materiality",$M$2:$M$1092,M590,$A$2:$A$1092,"&lt;"&amp;A590)+1,"")</f>
        <v/>
      </c>
      <c r="S590" s="21" t="str">
        <f aca="false">IF(P590&lt;&gt;"Below Materiality","",IF(Summary!$C$9="Random",COUNTIFS($O$2:$O$1092,O590,$Q$2:$Q$1092,"&gt;"&amp;Q590)+1,COUNTIFS($O$2:$O$1092,O590,$P$2:$P$1092,"Below Materiality",$M$2:$M$1092,"&gt;"&amp;M590)+COUNTIFS($O$2:$O$1092,O590,$P$2:$P$1092,"Below Materiality",$M$2:$M$1092,M590,$A$2:$A$1092,"&lt;"&amp;A590)+1))</f>
        <v/>
      </c>
      <c r="T590" s="22"/>
      <c r="U590" s="21" t="str">
        <f aca="false">IF(R590="","",O590&amp;"|A|"&amp;R590)</f>
        <v/>
      </c>
      <c r="V590" s="21" t="str">
        <f aca="false">IF(S590="","",O590&amp;"|R|"&amp;S590)</f>
        <v/>
      </c>
    </row>
    <row r="591" customFormat="false" ht="15" hidden="false" customHeight="false" outlineLevel="0" collapsed="false">
      <c r="A591" s="18" t="n">
        <v>590</v>
      </c>
      <c r="B591" s="18"/>
      <c r="C591" s="18"/>
      <c r="D591" s="18"/>
      <c r="E591" s="18" t="s">
        <v>1208</v>
      </c>
      <c r="F591" s="18" t="s">
        <v>1209</v>
      </c>
      <c r="G591" s="18" t="s">
        <v>74</v>
      </c>
      <c r="H591" s="18" t="n">
        <v>367</v>
      </c>
      <c r="I591" s="19" t="n">
        <v>0</v>
      </c>
      <c r="J591" s="19" t="n">
        <v>10781.25</v>
      </c>
      <c r="K591" s="19" t="n">
        <v>10781.25</v>
      </c>
      <c r="L591" s="19" t="n">
        <v>0</v>
      </c>
      <c r="M591" s="19" t="n">
        <f aca="false">ABS(L591)</f>
        <v>0</v>
      </c>
      <c r="N591" s="18" t="str">
        <f aca="false">IF(L591=0,"Nil balance",IF(G591="AR file",IF(L591&gt;0,"Accounts Receivable","Customer Advances"),IF(L591&lt;0,"Accounts Payable","Supplier Advances")))</f>
        <v>Nil balance</v>
      </c>
      <c r="O591" s="18" t="str">
        <f aca="false">IF(L591=0,"Excluded",IF(Summary!$C$4="By ledger",IF(G591="AR file","Population 1","Population 2"),IF(L591&gt;0,"Population 1","Population 2")))</f>
        <v>Excluded</v>
      </c>
      <c r="P591" s="18" t="str">
        <f aca="false">IF(O591="Excluded","Excluded – nil closing balance",IF(M591&gt;Summary!$C$5,"Above Materiality","Below Materiality"))</f>
        <v>Excluded – nil closing balance</v>
      </c>
      <c r="Q591" s="20" t="str">
        <f aca="false">IF(P591="Below Materiality",T591,"")</f>
        <v/>
      </c>
      <c r="R591" s="21" t="str">
        <f aca="false">IF(P591="Above Materiality",COUNTIFS($O$2:$O$1092,O591,$P$2:$P$1092,"Above Materiality",$M$2:$M$1092,"&gt;"&amp;M591)+COUNTIFS($O$2:$O$1092,O591,$P$2:$P$1092,"Above Materiality",$M$2:$M$1092,M591,$A$2:$A$1092,"&lt;"&amp;A591)+1,"")</f>
        <v/>
      </c>
      <c r="S591" s="21" t="str">
        <f aca="false">IF(P591&lt;&gt;"Below Materiality","",IF(Summary!$C$9="Random",COUNTIFS($O$2:$O$1092,O591,$Q$2:$Q$1092,"&gt;"&amp;Q591)+1,COUNTIFS($O$2:$O$1092,O591,$P$2:$P$1092,"Below Materiality",$M$2:$M$1092,"&gt;"&amp;M591)+COUNTIFS($O$2:$O$1092,O591,$P$2:$P$1092,"Below Materiality",$M$2:$M$1092,M591,$A$2:$A$1092,"&lt;"&amp;A591)+1))</f>
        <v/>
      </c>
      <c r="T591" s="22"/>
      <c r="U591" s="21" t="str">
        <f aca="false">IF(R591="","",O591&amp;"|A|"&amp;R591)</f>
        <v/>
      </c>
      <c r="V591" s="21" t="str">
        <f aca="false">IF(S591="","",O591&amp;"|R|"&amp;S591)</f>
        <v/>
      </c>
    </row>
    <row r="592" customFormat="false" ht="15" hidden="false" customHeight="false" outlineLevel="0" collapsed="false">
      <c r="A592" s="18" t="n">
        <v>591</v>
      </c>
      <c r="B592" s="18"/>
      <c r="C592" s="18"/>
      <c r="D592" s="18"/>
      <c r="E592" s="18" t="s">
        <v>1210</v>
      </c>
      <c r="F592" s="18" t="s">
        <v>1211</v>
      </c>
      <c r="G592" s="18" t="s">
        <v>74</v>
      </c>
      <c r="H592" s="18" t="n">
        <v>368</v>
      </c>
      <c r="I592" s="19" t="n">
        <v>0</v>
      </c>
      <c r="J592" s="19" t="n">
        <v>948.75</v>
      </c>
      <c r="K592" s="19" t="n">
        <v>948.75</v>
      </c>
      <c r="L592" s="19" t="n">
        <v>0</v>
      </c>
      <c r="M592" s="19" t="n">
        <f aca="false">ABS(L592)</f>
        <v>0</v>
      </c>
      <c r="N592" s="18" t="str">
        <f aca="false">IF(L592=0,"Nil balance",IF(G592="AR file",IF(L592&gt;0,"Accounts Receivable","Customer Advances"),IF(L592&lt;0,"Accounts Payable","Supplier Advances")))</f>
        <v>Nil balance</v>
      </c>
      <c r="O592" s="18" t="str">
        <f aca="false">IF(L592=0,"Excluded",IF(Summary!$C$4="By ledger",IF(G592="AR file","Population 1","Population 2"),IF(L592&gt;0,"Population 1","Population 2")))</f>
        <v>Excluded</v>
      </c>
      <c r="P592" s="18" t="str">
        <f aca="false">IF(O592="Excluded","Excluded – nil closing balance",IF(M592&gt;Summary!$C$5,"Above Materiality","Below Materiality"))</f>
        <v>Excluded – nil closing balance</v>
      </c>
      <c r="Q592" s="20" t="str">
        <f aca="false">IF(P592="Below Materiality",T592,"")</f>
        <v/>
      </c>
      <c r="R592" s="21" t="str">
        <f aca="false">IF(P592="Above Materiality",COUNTIFS($O$2:$O$1092,O592,$P$2:$P$1092,"Above Materiality",$M$2:$M$1092,"&gt;"&amp;M592)+COUNTIFS($O$2:$O$1092,O592,$P$2:$P$1092,"Above Materiality",$M$2:$M$1092,M592,$A$2:$A$1092,"&lt;"&amp;A592)+1,"")</f>
        <v/>
      </c>
      <c r="S592" s="21" t="str">
        <f aca="false">IF(P592&lt;&gt;"Below Materiality","",IF(Summary!$C$9="Random",COUNTIFS($O$2:$O$1092,O592,$Q$2:$Q$1092,"&gt;"&amp;Q592)+1,COUNTIFS($O$2:$O$1092,O592,$P$2:$P$1092,"Below Materiality",$M$2:$M$1092,"&gt;"&amp;M592)+COUNTIFS($O$2:$O$1092,O592,$P$2:$P$1092,"Below Materiality",$M$2:$M$1092,M592,$A$2:$A$1092,"&lt;"&amp;A592)+1))</f>
        <v/>
      </c>
      <c r="T592" s="22"/>
      <c r="U592" s="21" t="str">
        <f aca="false">IF(R592="","",O592&amp;"|A|"&amp;R592)</f>
        <v/>
      </c>
      <c r="V592" s="21" t="str">
        <f aca="false">IF(S592="","",O592&amp;"|R|"&amp;S592)</f>
        <v/>
      </c>
    </row>
    <row r="593" customFormat="false" ht="15" hidden="false" customHeight="false" outlineLevel="0" collapsed="false">
      <c r="A593" s="18" t="n">
        <v>592</v>
      </c>
      <c r="B593" s="18"/>
      <c r="C593" s="18"/>
      <c r="D593" s="18"/>
      <c r="E593" s="18" t="s">
        <v>1212</v>
      </c>
      <c r="F593" s="18" t="s">
        <v>1213</v>
      </c>
      <c r="G593" s="18" t="s">
        <v>74</v>
      </c>
      <c r="H593" s="18" t="n">
        <v>369</v>
      </c>
      <c r="I593" s="19" t="n">
        <v>-119</v>
      </c>
      <c r="J593" s="19" t="n">
        <v>119</v>
      </c>
      <c r="K593" s="19" t="n">
        <v>0</v>
      </c>
      <c r="L593" s="19" t="n">
        <v>0</v>
      </c>
      <c r="M593" s="19" t="n">
        <f aca="false">ABS(L593)</f>
        <v>0</v>
      </c>
      <c r="N593" s="18" t="str">
        <f aca="false">IF(L593=0,"Nil balance",IF(G593="AR file",IF(L593&gt;0,"Accounts Receivable","Customer Advances"),IF(L593&lt;0,"Accounts Payable","Supplier Advances")))</f>
        <v>Nil balance</v>
      </c>
      <c r="O593" s="18" t="str">
        <f aca="false">IF(L593=0,"Excluded",IF(Summary!$C$4="By ledger",IF(G593="AR file","Population 1","Population 2"),IF(L593&gt;0,"Population 1","Population 2")))</f>
        <v>Excluded</v>
      </c>
      <c r="P593" s="18" t="str">
        <f aca="false">IF(O593="Excluded","Excluded – nil closing balance",IF(M593&gt;Summary!$C$5,"Above Materiality","Below Materiality"))</f>
        <v>Excluded – nil closing balance</v>
      </c>
      <c r="Q593" s="20" t="str">
        <f aca="false">IF(P593="Below Materiality",T593,"")</f>
        <v/>
      </c>
      <c r="R593" s="21" t="str">
        <f aca="false">IF(P593="Above Materiality",COUNTIFS($O$2:$O$1092,O593,$P$2:$P$1092,"Above Materiality",$M$2:$M$1092,"&gt;"&amp;M593)+COUNTIFS($O$2:$O$1092,O593,$P$2:$P$1092,"Above Materiality",$M$2:$M$1092,M593,$A$2:$A$1092,"&lt;"&amp;A593)+1,"")</f>
        <v/>
      </c>
      <c r="S593" s="21" t="str">
        <f aca="false">IF(P593&lt;&gt;"Below Materiality","",IF(Summary!$C$9="Random",COUNTIFS($O$2:$O$1092,O593,$Q$2:$Q$1092,"&gt;"&amp;Q593)+1,COUNTIFS($O$2:$O$1092,O593,$P$2:$P$1092,"Below Materiality",$M$2:$M$1092,"&gt;"&amp;M593)+COUNTIFS($O$2:$O$1092,O593,$P$2:$P$1092,"Below Materiality",$M$2:$M$1092,M593,$A$2:$A$1092,"&lt;"&amp;A593)+1))</f>
        <v/>
      </c>
      <c r="T593" s="22"/>
      <c r="U593" s="21" t="str">
        <f aca="false">IF(R593="","",O593&amp;"|A|"&amp;R593)</f>
        <v/>
      </c>
      <c r="V593" s="21" t="str">
        <f aca="false">IF(S593="","",O593&amp;"|R|"&amp;S593)</f>
        <v/>
      </c>
    </row>
    <row r="594" customFormat="false" ht="15" hidden="false" customHeight="false" outlineLevel="0" collapsed="false">
      <c r="A594" s="18" t="n">
        <v>593</v>
      </c>
      <c r="B594" s="18"/>
      <c r="C594" s="18"/>
      <c r="D594" s="18"/>
      <c r="E594" s="18" t="s">
        <v>1214</v>
      </c>
      <c r="F594" s="18" t="s">
        <v>540</v>
      </c>
      <c r="G594" s="18" t="s">
        <v>74</v>
      </c>
      <c r="H594" s="18" t="n">
        <v>371</v>
      </c>
      <c r="I594" s="19" t="n">
        <v>0</v>
      </c>
      <c r="J594" s="19" t="n">
        <v>345</v>
      </c>
      <c r="K594" s="19" t="n">
        <v>345</v>
      </c>
      <c r="L594" s="19" t="n">
        <v>0</v>
      </c>
      <c r="M594" s="19" t="n">
        <f aca="false">ABS(L594)</f>
        <v>0</v>
      </c>
      <c r="N594" s="18" t="str">
        <f aca="false">IF(L594=0,"Nil balance",IF(G594="AR file",IF(L594&gt;0,"Accounts Receivable","Customer Advances"),IF(L594&lt;0,"Accounts Payable","Supplier Advances")))</f>
        <v>Nil balance</v>
      </c>
      <c r="O594" s="18" t="str">
        <f aca="false">IF(L594=0,"Excluded",IF(Summary!$C$4="By ledger",IF(G594="AR file","Population 1","Population 2"),IF(L594&gt;0,"Population 1","Population 2")))</f>
        <v>Excluded</v>
      </c>
      <c r="P594" s="18" t="str">
        <f aca="false">IF(O594="Excluded","Excluded – nil closing balance",IF(M594&gt;Summary!$C$5,"Above Materiality","Below Materiality"))</f>
        <v>Excluded – nil closing balance</v>
      </c>
      <c r="Q594" s="20" t="str">
        <f aca="false">IF(P594="Below Materiality",T594,"")</f>
        <v/>
      </c>
      <c r="R594" s="21" t="str">
        <f aca="false">IF(P594="Above Materiality",COUNTIFS($O$2:$O$1092,O594,$P$2:$P$1092,"Above Materiality",$M$2:$M$1092,"&gt;"&amp;M594)+COUNTIFS($O$2:$O$1092,O594,$P$2:$P$1092,"Above Materiality",$M$2:$M$1092,M594,$A$2:$A$1092,"&lt;"&amp;A594)+1,"")</f>
        <v/>
      </c>
      <c r="S594" s="21" t="str">
        <f aca="false">IF(P594&lt;&gt;"Below Materiality","",IF(Summary!$C$9="Random",COUNTIFS($O$2:$O$1092,O594,$Q$2:$Q$1092,"&gt;"&amp;Q594)+1,COUNTIFS($O$2:$O$1092,O594,$P$2:$P$1092,"Below Materiality",$M$2:$M$1092,"&gt;"&amp;M594)+COUNTIFS($O$2:$O$1092,O594,$P$2:$P$1092,"Below Materiality",$M$2:$M$1092,M594,$A$2:$A$1092,"&lt;"&amp;A594)+1))</f>
        <v/>
      </c>
      <c r="T594" s="22"/>
      <c r="U594" s="21" t="str">
        <f aca="false">IF(R594="","",O594&amp;"|A|"&amp;R594)</f>
        <v/>
      </c>
      <c r="V594" s="21" t="str">
        <f aca="false">IF(S594="","",O594&amp;"|R|"&amp;S594)</f>
        <v/>
      </c>
    </row>
    <row r="595" customFormat="false" ht="15" hidden="false" customHeight="false" outlineLevel="0" collapsed="false">
      <c r="A595" s="18" t="n">
        <v>594</v>
      </c>
      <c r="B595" s="18"/>
      <c r="C595" s="18"/>
      <c r="D595" s="18"/>
      <c r="E595" s="18" t="s">
        <v>1215</v>
      </c>
      <c r="F595" s="18" t="s">
        <v>1216</v>
      </c>
      <c r="G595" s="18" t="s">
        <v>74</v>
      </c>
      <c r="H595" s="18" t="n">
        <v>373</v>
      </c>
      <c r="I595" s="19" t="n">
        <v>1782.5</v>
      </c>
      <c r="J595" s="19" t="n">
        <v>0</v>
      </c>
      <c r="K595" s="19" t="n">
        <v>1782.5</v>
      </c>
      <c r="L595" s="19" t="n">
        <v>0</v>
      </c>
      <c r="M595" s="19" t="n">
        <f aca="false">ABS(L595)</f>
        <v>0</v>
      </c>
      <c r="N595" s="18" t="str">
        <f aca="false">IF(L595=0,"Nil balance",IF(G595="AR file",IF(L595&gt;0,"Accounts Receivable","Customer Advances"),IF(L595&lt;0,"Accounts Payable","Supplier Advances")))</f>
        <v>Nil balance</v>
      </c>
      <c r="O595" s="18" t="str">
        <f aca="false">IF(L595=0,"Excluded",IF(Summary!$C$4="By ledger",IF(G595="AR file","Population 1","Population 2"),IF(L595&gt;0,"Population 1","Population 2")))</f>
        <v>Excluded</v>
      </c>
      <c r="P595" s="18" t="str">
        <f aca="false">IF(O595="Excluded","Excluded – nil closing balance",IF(M595&gt;Summary!$C$5,"Above Materiality","Below Materiality"))</f>
        <v>Excluded – nil closing balance</v>
      </c>
      <c r="Q595" s="20" t="str">
        <f aca="false">IF(P595="Below Materiality",T595,"")</f>
        <v/>
      </c>
      <c r="R595" s="21" t="str">
        <f aca="false">IF(P595="Above Materiality",COUNTIFS($O$2:$O$1092,O595,$P$2:$P$1092,"Above Materiality",$M$2:$M$1092,"&gt;"&amp;M595)+COUNTIFS($O$2:$O$1092,O595,$P$2:$P$1092,"Above Materiality",$M$2:$M$1092,M595,$A$2:$A$1092,"&lt;"&amp;A595)+1,"")</f>
        <v/>
      </c>
      <c r="S595" s="21" t="str">
        <f aca="false">IF(P595&lt;&gt;"Below Materiality","",IF(Summary!$C$9="Random",COUNTIFS($O$2:$O$1092,O595,$Q$2:$Q$1092,"&gt;"&amp;Q595)+1,COUNTIFS($O$2:$O$1092,O595,$P$2:$P$1092,"Below Materiality",$M$2:$M$1092,"&gt;"&amp;M595)+COUNTIFS($O$2:$O$1092,O595,$P$2:$P$1092,"Below Materiality",$M$2:$M$1092,M595,$A$2:$A$1092,"&lt;"&amp;A595)+1))</f>
        <v/>
      </c>
      <c r="T595" s="22"/>
      <c r="U595" s="21" t="str">
        <f aca="false">IF(R595="","",O595&amp;"|A|"&amp;R595)</f>
        <v/>
      </c>
      <c r="V595" s="21" t="str">
        <f aca="false">IF(S595="","",O595&amp;"|R|"&amp;S595)</f>
        <v/>
      </c>
    </row>
    <row r="596" customFormat="false" ht="15" hidden="false" customHeight="false" outlineLevel="0" collapsed="false">
      <c r="A596" s="18" t="n">
        <v>595</v>
      </c>
      <c r="B596" s="18"/>
      <c r="C596" s="18"/>
      <c r="D596" s="18"/>
      <c r="E596" s="18" t="s">
        <v>1217</v>
      </c>
      <c r="F596" s="18" t="s">
        <v>1218</v>
      </c>
      <c r="G596" s="18" t="s">
        <v>74</v>
      </c>
      <c r="H596" s="18" t="n">
        <v>374</v>
      </c>
      <c r="I596" s="19" t="n">
        <v>0</v>
      </c>
      <c r="J596" s="19" t="n">
        <v>6736.7</v>
      </c>
      <c r="K596" s="19" t="n">
        <v>6736.7</v>
      </c>
      <c r="L596" s="19" t="n">
        <v>0</v>
      </c>
      <c r="M596" s="19" t="n">
        <f aca="false">ABS(L596)</f>
        <v>0</v>
      </c>
      <c r="N596" s="18" t="str">
        <f aca="false">IF(L596=0,"Nil balance",IF(G596="AR file",IF(L596&gt;0,"Accounts Receivable","Customer Advances"),IF(L596&lt;0,"Accounts Payable","Supplier Advances")))</f>
        <v>Nil balance</v>
      </c>
      <c r="O596" s="18" t="str">
        <f aca="false">IF(L596=0,"Excluded",IF(Summary!$C$4="By ledger",IF(G596="AR file","Population 1","Population 2"),IF(L596&gt;0,"Population 1","Population 2")))</f>
        <v>Excluded</v>
      </c>
      <c r="P596" s="18" t="str">
        <f aca="false">IF(O596="Excluded","Excluded – nil closing balance",IF(M596&gt;Summary!$C$5,"Above Materiality","Below Materiality"))</f>
        <v>Excluded – nil closing balance</v>
      </c>
      <c r="Q596" s="20" t="str">
        <f aca="false">IF(P596="Below Materiality",T596,"")</f>
        <v/>
      </c>
      <c r="R596" s="21" t="str">
        <f aca="false">IF(P596="Above Materiality",COUNTIFS($O$2:$O$1092,O596,$P$2:$P$1092,"Above Materiality",$M$2:$M$1092,"&gt;"&amp;M596)+COUNTIFS($O$2:$O$1092,O596,$P$2:$P$1092,"Above Materiality",$M$2:$M$1092,M596,$A$2:$A$1092,"&lt;"&amp;A596)+1,"")</f>
        <v/>
      </c>
      <c r="S596" s="21" t="str">
        <f aca="false">IF(P596&lt;&gt;"Below Materiality","",IF(Summary!$C$9="Random",COUNTIFS($O$2:$O$1092,O596,$Q$2:$Q$1092,"&gt;"&amp;Q596)+1,COUNTIFS($O$2:$O$1092,O596,$P$2:$P$1092,"Below Materiality",$M$2:$M$1092,"&gt;"&amp;M596)+COUNTIFS($O$2:$O$1092,O596,$P$2:$P$1092,"Below Materiality",$M$2:$M$1092,M596,$A$2:$A$1092,"&lt;"&amp;A596)+1))</f>
        <v/>
      </c>
      <c r="T596" s="22"/>
      <c r="U596" s="21" t="str">
        <f aca="false">IF(R596="","",O596&amp;"|A|"&amp;R596)</f>
        <v/>
      </c>
      <c r="V596" s="21" t="str">
        <f aca="false">IF(S596="","",O596&amp;"|R|"&amp;S596)</f>
        <v/>
      </c>
    </row>
    <row r="597" customFormat="false" ht="15" hidden="false" customHeight="false" outlineLevel="0" collapsed="false">
      <c r="A597" s="18" t="n">
        <v>596</v>
      </c>
      <c r="B597" s="18"/>
      <c r="C597" s="18"/>
      <c r="D597" s="18"/>
      <c r="E597" s="18" t="s">
        <v>1219</v>
      </c>
      <c r="F597" s="18" t="s">
        <v>1220</v>
      </c>
      <c r="G597" s="18" t="s">
        <v>74</v>
      </c>
      <c r="H597" s="18" t="n">
        <v>375</v>
      </c>
      <c r="I597" s="19" t="n">
        <v>0</v>
      </c>
      <c r="J597" s="19" t="n">
        <v>14433.75</v>
      </c>
      <c r="K597" s="19" t="n">
        <v>14433.75</v>
      </c>
      <c r="L597" s="19" t="n">
        <v>0</v>
      </c>
      <c r="M597" s="19" t="n">
        <f aca="false">ABS(L597)</f>
        <v>0</v>
      </c>
      <c r="N597" s="18" t="str">
        <f aca="false">IF(L597=0,"Nil balance",IF(G597="AR file",IF(L597&gt;0,"Accounts Receivable","Customer Advances"),IF(L597&lt;0,"Accounts Payable","Supplier Advances")))</f>
        <v>Nil balance</v>
      </c>
      <c r="O597" s="18" t="str">
        <f aca="false">IF(L597=0,"Excluded",IF(Summary!$C$4="By ledger",IF(G597="AR file","Population 1","Population 2"),IF(L597&gt;0,"Population 1","Population 2")))</f>
        <v>Excluded</v>
      </c>
      <c r="P597" s="18" t="str">
        <f aca="false">IF(O597="Excluded","Excluded – nil closing balance",IF(M597&gt;Summary!$C$5,"Above Materiality","Below Materiality"))</f>
        <v>Excluded – nil closing balance</v>
      </c>
      <c r="Q597" s="20" t="str">
        <f aca="false">IF(P597="Below Materiality",T597,"")</f>
        <v/>
      </c>
      <c r="R597" s="21" t="str">
        <f aca="false">IF(P597="Above Materiality",COUNTIFS($O$2:$O$1092,O597,$P$2:$P$1092,"Above Materiality",$M$2:$M$1092,"&gt;"&amp;M597)+COUNTIFS($O$2:$O$1092,O597,$P$2:$P$1092,"Above Materiality",$M$2:$M$1092,M597,$A$2:$A$1092,"&lt;"&amp;A597)+1,"")</f>
        <v/>
      </c>
      <c r="S597" s="21" t="str">
        <f aca="false">IF(P597&lt;&gt;"Below Materiality","",IF(Summary!$C$9="Random",COUNTIFS($O$2:$O$1092,O597,$Q$2:$Q$1092,"&gt;"&amp;Q597)+1,COUNTIFS($O$2:$O$1092,O597,$P$2:$P$1092,"Below Materiality",$M$2:$M$1092,"&gt;"&amp;M597)+COUNTIFS($O$2:$O$1092,O597,$P$2:$P$1092,"Below Materiality",$M$2:$M$1092,M597,$A$2:$A$1092,"&lt;"&amp;A597)+1))</f>
        <v/>
      </c>
      <c r="T597" s="22"/>
      <c r="U597" s="21" t="str">
        <f aca="false">IF(R597="","",O597&amp;"|A|"&amp;R597)</f>
        <v/>
      </c>
      <c r="V597" s="21" t="str">
        <f aca="false">IF(S597="","",O597&amp;"|R|"&amp;S597)</f>
        <v/>
      </c>
    </row>
    <row r="598" customFormat="false" ht="15" hidden="false" customHeight="false" outlineLevel="0" collapsed="false">
      <c r="A598" s="18" t="n">
        <v>597</v>
      </c>
      <c r="B598" s="18"/>
      <c r="C598" s="18"/>
      <c r="D598" s="18"/>
      <c r="E598" s="18" t="s">
        <v>1221</v>
      </c>
      <c r="F598" s="18" t="s">
        <v>1222</v>
      </c>
      <c r="G598" s="18" t="s">
        <v>74</v>
      </c>
      <c r="H598" s="18" t="n">
        <v>377</v>
      </c>
      <c r="I598" s="19" t="n">
        <v>0</v>
      </c>
      <c r="J598" s="19" t="n">
        <v>850</v>
      </c>
      <c r="K598" s="19" t="n">
        <v>850</v>
      </c>
      <c r="L598" s="19" t="n">
        <v>0</v>
      </c>
      <c r="M598" s="19" t="n">
        <f aca="false">ABS(L598)</f>
        <v>0</v>
      </c>
      <c r="N598" s="18" t="str">
        <f aca="false">IF(L598=0,"Nil balance",IF(G598="AR file",IF(L598&gt;0,"Accounts Receivable","Customer Advances"),IF(L598&lt;0,"Accounts Payable","Supplier Advances")))</f>
        <v>Nil balance</v>
      </c>
      <c r="O598" s="18" t="str">
        <f aca="false">IF(L598=0,"Excluded",IF(Summary!$C$4="By ledger",IF(G598="AR file","Population 1","Population 2"),IF(L598&gt;0,"Population 1","Population 2")))</f>
        <v>Excluded</v>
      </c>
      <c r="P598" s="18" t="str">
        <f aca="false">IF(O598="Excluded","Excluded – nil closing balance",IF(M598&gt;Summary!$C$5,"Above Materiality","Below Materiality"))</f>
        <v>Excluded – nil closing balance</v>
      </c>
      <c r="Q598" s="20" t="str">
        <f aca="false">IF(P598="Below Materiality",T598,"")</f>
        <v/>
      </c>
      <c r="R598" s="21" t="str">
        <f aca="false">IF(P598="Above Materiality",COUNTIFS($O$2:$O$1092,O598,$P$2:$P$1092,"Above Materiality",$M$2:$M$1092,"&gt;"&amp;M598)+COUNTIFS($O$2:$O$1092,O598,$P$2:$P$1092,"Above Materiality",$M$2:$M$1092,M598,$A$2:$A$1092,"&lt;"&amp;A598)+1,"")</f>
        <v/>
      </c>
      <c r="S598" s="21" t="str">
        <f aca="false">IF(P598&lt;&gt;"Below Materiality","",IF(Summary!$C$9="Random",COUNTIFS($O$2:$O$1092,O598,$Q$2:$Q$1092,"&gt;"&amp;Q598)+1,COUNTIFS($O$2:$O$1092,O598,$P$2:$P$1092,"Below Materiality",$M$2:$M$1092,"&gt;"&amp;M598)+COUNTIFS($O$2:$O$1092,O598,$P$2:$P$1092,"Below Materiality",$M$2:$M$1092,M598,$A$2:$A$1092,"&lt;"&amp;A598)+1))</f>
        <v/>
      </c>
      <c r="T598" s="22"/>
      <c r="U598" s="21" t="str">
        <f aca="false">IF(R598="","",O598&amp;"|A|"&amp;R598)</f>
        <v/>
      </c>
      <c r="V598" s="21" t="str">
        <f aca="false">IF(S598="","",O598&amp;"|R|"&amp;S598)</f>
        <v/>
      </c>
    </row>
    <row r="599" customFormat="false" ht="15" hidden="false" customHeight="false" outlineLevel="0" collapsed="false">
      <c r="A599" s="18" t="n">
        <v>598</v>
      </c>
      <c r="B599" s="18"/>
      <c r="C599" s="18"/>
      <c r="D599" s="18"/>
      <c r="E599" s="18" t="s">
        <v>1223</v>
      </c>
      <c r="F599" s="18" t="s">
        <v>1224</v>
      </c>
      <c r="G599" s="18" t="s">
        <v>74</v>
      </c>
      <c r="H599" s="18" t="n">
        <v>378</v>
      </c>
      <c r="I599" s="19" t="n">
        <v>591.5</v>
      </c>
      <c r="J599" s="19" t="n">
        <v>6865</v>
      </c>
      <c r="K599" s="19" t="n">
        <v>7456.5</v>
      </c>
      <c r="L599" s="19" t="n">
        <v>0</v>
      </c>
      <c r="M599" s="19" t="n">
        <f aca="false">ABS(L599)</f>
        <v>0</v>
      </c>
      <c r="N599" s="18" t="str">
        <f aca="false">IF(L599=0,"Nil balance",IF(G599="AR file",IF(L599&gt;0,"Accounts Receivable","Customer Advances"),IF(L599&lt;0,"Accounts Payable","Supplier Advances")))</f>
        <v>Nil balance</v>
      </c>
      <c r="O599" s="18" t="str">
        <f aca="false">IF(L599=0,"Excluded",IF(Summary!$C$4="By ledger",IF(G599="AR file","Population 1","Population 2"),IF(L599&gt;0,"Population 1","Population 2")))</f>
        <v>Excluded</v>
      </c>
      <c r="P599" s="18" t="str">
        <f aca="false">IF(O599="Excluded","Excluded – nil closing balance",IF(M599&gt;Summary!$C$5,"Above Materiality","Below Materiality"))</f>
        <v>Excluded – nil closing balance</v>
      </c>
      <c r="Q599" s="20" t="str">
        <f aca="false">IF(P599="Below Materiality",T599,"")</f>
        <v/>
      </c>
      <c r="R599" s="21" t="str">
        <f aca="false">IF(P599="Above Materiality",COUNTIFS($O$2:$O$1092,O599,$P$2:$P$1092,"Above Materiality",$M$2:$M$1092,"&gt;"&amp;M599)+COUNTIFS($O$2:$O$1092,O599,$P$2:$P$1092,"Above Materiality",$M$2:$M$1092,M599,$A$2:$A$1092,"&lt;"&amp;A599)+1,"")</f>
        <v/>
      </c>
      <c r="S599" s="21" t="str">
        <f aca="false">IF(P599&lt;&gt;"Below Materiality","",IF(Summary!$C$9="Random",COUNTIFS($O$2:$O$1092,O599,$Q$2:$Q$1092,"&gt;"&amp;Q599)+1,COUNTIFS($O$2:$O$1092,O599,$P$2:$P$1092,"Below Materiality",$M$2:$M$1092,"&gt;"&amp;M599)+COUNTIFS($O$2:$O$1092,O599,$P$2:$P$1092,"Below Materiality",$M$2:$M$1092,M599,$A$2:$A$1092,"&lt;"&amp;A599)+1))</f>
        <v/>
      </c>
      <c r="T599" s="22"/>
      <c r="U599" s="21" t="str">
        <f aca="false">IF(R599="","",O599&amp;"|A|"&amp;R599)</f>
        <v/>
      </c>
      <c r="V599" s="21" t="str">
        <f aca="false">IF(S599="","",O599&amp;"|R|"&amp;S599)</f>
        <v/>
      </c>
    </row>
    <row r="600" customFormat="false" ht="15" hidden="false" customHeight="false" outlineLevel="0" collapsed="false">
      <c r="A600" s="18" t="n">
        <v>599</v>
      </c>
      <c r="B600" s="18"/>
      <c r="C600" s="18"/>
      <c r="D600" s="18"/>
      <c r="E600" s="18" t="s">
        <v>1225</v>
      </c>
      <c r="F600" s="18" t="s">
        <v>1226</v>
      </c>
      <c r="G600" s="18" t="s">
        <v>74</v>
      </c>
      <c r="H600" s="18" t="n">
        <v>379</v>
      </c>
      <c r="I600" s="19" t="n">
        <v>0</v>
      </c>
      <c r="J600" s="19" t="n">
        <v>10177.5</v>
      </c>
      <c r="K600" s="19" t="n">
        <v>10177.5</v>
      </c>
      <c r="L600" s="19" t="n">
        <v>0</v>
      </c>
      <c r="M600" s="19" t="n">
        <f aca="false">ABS(L600)</f>
        <v>0</v>
      </c>
      <c r="N600" s="18" t="str">
        <f aca="false">IF(L600=0,"Nil balance",IF(G600="AR file",IF(L600&gt;0,"Accounts Receivable","Customer Advances"),IF(L600&lt;0,"Accounts Payable","Supplier Advances")))</f>
        <v>Nil balance</v>
      </c>
      <c r="O600" s="18" t="str">
        <f aca="false">IF(L600=0,"Excluded",IF(Summary!$C$4="By ledger",IF(G600="AR file","Population 1","Population 2"),IF(L600&gt;0,"Population 1","Population 2")))</f>
        <v>Excluded</v>
      </c>
      <c r="P600" s="18" t="str">
        <f aca="false">IF(O600="Excluded","Excluded – nil closing balance",IF(M600&gt;Summary!$C$5,"Above Materiality","Below Materiality"))</f>
        <v>Excluded – nil closing balance</v>
      </c>
      <c r="Q600" s="20" t="str">
        <f aca="false">IF(P600="Below Materiality",T600,"")</f>
        <v/>
      </c>
      <c r="R600" s="21" t="str">
        <f aca="false">IF(P600="Above Materiality",COUNTIFS($O$2:$O$1092,O600,$P$2:$P$1092,"Above Materiality",$M$2:$M$1092,"&gt;"&amp;M600)+COUNTIFS($O$2:$O$1092,O600,$P$2:$P$1092,"Above Materiality",$M$2:$M$1092,M600,$A$2:$A$1092,"&lt;"&amp;A600)+1,"")</f>
        <v/>
      </c>
      <c r="S600" s="21" t="str">
        <f aca="false">IF(P600&lt;&gt;"Below Materiality","",IF(Summary!$C$9="Random",COUNTIFS($O$2:$O$1092,O600,$Q$2:$Q$1092,"&gt;"&amp;Q600)+1,COUNTIFS($O$2:$O$1092,O600,$P$2:$P$1092,"Below Materiality",$M$2:$M$1092,"&gt;"&amp;M600)+COUNTIFS($O$2:$O$1092,O600,$P$2:$P$1092,"Below Materiality",$M$2:$M$1092,M600,$A$2:$A$1092,"&lt;"&amp;A600)+1))</f>
        <v/>
      </c>
      <c r="T600" s="22"/>
      <c r="U600" s="21" t="str">
        <f aca="false">IF(R600="","",O600&amp;"|A|"&amp;R600)</f>
        <v/>
      </c>
      <c r="V600" s="21" t="str">
        <f aca="false">IF(S600="","",O600&amp;"|R|"&amp;S600)</f>
        <v/>
      </c>
    </row>
    <row r="601" customFormat="false" ht="15" hidden="false" customHeight="false" outlineLevel="0" collapsed="false">
      <c r="A601" s="18" t="n">
        <v>600</v>
      </c>
      <c r="B601" s="18"/>
      <c r="C601" s="18"/>
      <c r="D601" s="18"/>
      <c r="E601" s="18" t="s">
        <v>1227</v>
      </c>
      <c r="F601" s="18" t="s">
        <v>1228</v>
      </c>
      <c r="G601" s="18" t="s">
        <v>74</v>
      </c>
      <c r="H601" s="18" t="n">
        <v>380</v>
      </c>
      <c r="I601" s="19" t="n">
        <v>759</v>
      </c>
      <c r="J601" s="19" t="n">
        <v>0</v>
      </c>
      <c r="K601" s="19" t="n">
        <v>759</v>
      </c>
      <c r="L601" s="19" t="n">
        <v>0</v>
      </c>
      <c r="M601" s="19" t="n">
        <f aca="false">ABS(L601)</f>
        <v>0</v>
      </c>
      <c r="N601" s="18" t="str">
        <f aca="false">IF(L601=0,"Nil balance",IF(G601="AR file",IF(L601&gt;0,"Accounts Receivable","Customer Advances"),IF(L601&lt;0,"Accounts Payable","Supplier Advances")))</f>
        <v>Nil balance</v>
      </c>
      <c r="O601" s="18" t="str">
        <f aca="false">IF(L601=0,"Excluded",IF(Summary!$C$4="By ledger",IF(G601="AR file","Population 1","Population 2"),IF(L601&gt;0,"Population 1","Population 2")))</f>
        <v>Excluded</v>
      </c>
      <c r="P601" s="18" t="str">
        <f aca="false">IF(O601="Excluded","Excluded – nil closing balance",IF(M601&gt;Summary!$C$5,"Above Materiality","Below Materiality"))</f>
        <v>Excluded – nil closing balance</v>
      </c>
      <c r="Q601" s="20" t="str">
        <f aca="false">IF(P601="Below Materiality",T601,"")</f>
        <v/>
      </c>
      <c r="R601" s="21" t="str">
        <f aca="false">IF(P601="Above Materiality",COUNTIFS($O$2:$O$1092,O601,$P$2:$P$1092,"Above Materiality",$M$2:$M$1092,"&gt;"&amp;M601)+COUNTIFS($O$2:$O$1092,O601,$P$2:$P$1092,"Above Materiality",$M$2:$M$1092,M601,$A$2:$A$1092,"&lt;"&amp;A601)+1,"")</f>
        <v/>
      </c>
      <c r="S601" s="21" t="str">
        <f aca="false">IF(P601&lt;&gt;"Below Materiality","",IF(Summary!$C$9="Random",COUNTIFS($O$2:$O$1092,O601,$Q$2:$Q$1092,"&gt;"&amp;Q601)+1,COUNTIFS($O$2:$O$1092,O601,$P$2:$P$1092,"Below Materiality",$M$2:$M$1092,"&gt;"&amp;M601)+COUNTIFS($O$2:$O$1092,O601,$P$2:$P$1092,"Below Materiality",$M$2:$M$1092,M601,$A$2:$A$1092,"&lt;"&amp;A601)+1))</f>
        <v/>
      </c>
      <c r="T601" s="22"/>
      <c r="U601" s="21" t="str">
        <f aca="false">IF(R601="","",O601&amp;"|A|"&amp;R601)</f>
        <v/>
      </c>
      <c r="V601" s="21" t="str">
        <f aca="false">IF(S601="","",O601&amp;"|R|"&amp;S601)</f>
        <v/>
      </c>
    </row>
    <row r="602" customFormat="false" ht="15" hidden="false" customHeight="false" outlineLevel="0" collapsed="false">
      <c r="A602" s="18" t="n">
        <v>601</v>
      </c>
      <c r="B602" s="18"/>
      <c r="C602" s="18"/>
      <c r="D602" s="18"/>
      <c r="E602" s="18" t="s">
        <v>1229</v>
      </c>
      <c r="F602" s="18" t="s">
        <v>1203</v>
      </c>
      <c r="G602" s="18" t="s">
        <v>74</v>
      </c>
      <c r="H602" s="18" t="n">
        <v>381</v>
      </c>
      <c r="I602" s="19" t="n">
        <v>0</v>
      </c>
      <c r="J602" s="19" t="n">
        <v>320</v>
      </c>
      <c r="K602" s="19" t="n">
        <v>320</v>
      </c>
      <c r="L602" s="19" t="n">
        <v>0</v>
      </c>
      <c r="M602" s="19" t="n">
        <f aca="false">ABS(L602)</f>
        <v>0</v>
      </c>
      <c r="N602" s="18" t="str">
        <f aca="false">IF(L602=0,"Nil balance",IF(G602="AR file",IF(L602&gt;0,"Accounts Receivable","Customer Advances"),IF(L602&lt;0,"Accounts Payable","Supplier Advances")))</f>
        <v>Nil balance</v>
      </c>
      <c r="O602" s="18" t="str">
        <f aca="false">IF(L602=0,"Excluded",IF(Summary!$C$4="By ledger",IF(G602="AR file","Population 1","Population 2"),IF(L602&gt;0,"Population 1","Population 2")))</f>
        <v>Excluded</v>
      </c>
      <c r="P602" s="18" t="str">
        <f aca="false">IF(O602="Excluded","Excluded – nil closing balance",IF(M602&gt;Summary!$C$5,"Above Materiality","Below Materiality"))</f>
        <v>Excluded – nil closing balance</v>
      </c>
      <c r="Q602" s="20" t="str">
        <f aca="false">IF(P602="Below Materiality",T602,"")</f>
        <v/>
      </c>
      <c r="R602" s="21" t="str">
        <f aca="false">IF(P602="Above Materiality",COUNTIFS($O$2:$O$1092,O602,$P$2:$P$1092,"Above Materiality",$M$2:$M$1092,"&gt;"&amp;M602)+COUNTIFS($O$2:$O$1092,O602,$P$2:$P$1092,"Above Materiality",$M$2:$M$1092,M602,$A$2:$A$1092,"&lt;"&amp;A602)+1,"")</f>
        <v/>
      </c>
      <c r="S602" s="21" t="str">
        <f aca="false">IF(P602&lt;&gt;"Below Materiality","",IF(Summary!$C$9="Random",COUNTIFS($O$2:$O$1092,O602,$Q$2:$Q$1092,"&gt;"&amp;Q602)+1,COUNTIFS($O$2:$O$1092,O602,$P$2:$P$1092,"Below Materiality",$M$2:$M$1092,"&gt;"&amp;M602)+COUNTIFS($O$2:$O$1092,O602,$P$2:$P$1092,"Below Materiality",$M$2:$M$1092,M602,$A$2:$A$1092,"&lt;"&amp;A602)+1))</f>
        <v/>
      </c>
      <c r="T602" s="22"/>
      <c r="U602" s="21" t="str">
        <f aca="false">IF(R602="","",O602&amp;"|A|"&amp;R602)</f>
        <v/>
      </c>
      <c r="V602" s="21" t="str">
        <f aca="false">IF(S602="","",O602&amp;"|R|"&amp;S602)</f>
        <v/>
      </c>
    </row>
    <row r="603" customFormat="false" ht="15" hidden="false" customHeight="false" outlineLevel="0" collapsed="false">
      <c r="A603" s="18" t="n">
        <v>602</v>
      </c>
      <c r="B603" s="18"/>
      <c r="C603" s="18"/>
      <c r="D603" s="18"/>
      <c r="E603" s="18" t="s">
        <v>1230</v>
      </c>
      <c r="F603" s="18" t="s">
        <v>1231</v>
      </c>
      <c r="G603" s="18" t="s">
        <v>74</v>
      </c>
      <c r="H603" s="18" t="n">
        <v>382</v>
      </c>
      <c r="I603" s="19" t="n">
        <v>0</v>
      </c>
      <c r="J603" s="19" t="n">
        <v>192</v>
      </c>
      <c r="K603" s="19" t="n">
        <v>192</v>
      </c>
      <c r="L603" s="19" t="n">
        <v>0</v>
      </c>
      <c r="M603" s="19" t="n">
        <f aca="false">ABS(L603)</f>
        <v>0</v>
      </c>
      <c r="N603" s="18" t="str">
        <f aca="false">IF(L603=0,"Nil balance",IF(G603="AR file",IF(L603&gt;0,"Accounts Receivable","Customer Advances"),IF(L603&lt;0,"Accounts Payable","Supplier Advances")))</f>
        <v>Nil balance</v>
      </c>
      <c r="O603" s="18" t="str">
        <f aca="false">IF(L603=0,"Excluded",IF(Summary!$C$4="By ledger",IF(G603="AR file","Population 1","Population 2"),IF(L603&gt;0,"Population 1","Population 2")))</f>
        <v>Excluded</v>
      </c>
      <c r="P603" s="18" t="str">
        <f aca="false">IF(O603="Excluded","Excluded – nil closing balance",IF(M603&gt;Summary!$C$5,"Above Materiality","Below Materiality"))</f>
        <v>Excluded – nil closing balance</v>
      </c>
      <c r="Q603" s="20" t="str">
        <f aca="false">IF(P603="Below Materiality",T603,"")</f>
        <v/>
      </c>
      <c r="R603" s="21" t="str">
        <f aca="false">IF(P603="Above Materiality",COUNTIFS($O$2:$O$1092,O603,$P$2:$P$1092,"Above Materiality",$M$2:$M$1092,"&gt;"&amp;M603)+COUNTIFS($O$2:$O$1092,O603,$P$2:$P$1092,"Above Materiality",$M$2:$M$1092,M603,$A$2:$A$1092,"&lt;"&amp;A603)+1,"")</f>
        <v/>
      </c>
      <c r="S603" s="21" t="str">
        <f aca="false">IF(P603&lt;&gt;"Below Materiality","",IF(Summary!$C$9="Random",COUNTIFS($O$2:$O$1092,O603,$Q$2:$Q$1092,"&gt;"&amp;Q603)+1,COUNTIFS($O$2:$O$1092,O603,$P$2:$P$1092,"Below Materiality",$M$2:$M$1092,"&gt;"&amp;M603)+COUNTIFS($O$2:$O$1092,O603,$P$2:$P$1092,"Below Materiality",$M$2:$M$1092,M603,$A$2:$A$1092,"&lt;"&amp;A603)+1))</f>
        <v/>
      </c>
      <c r="T603" s="22"/>
      <c r="U603" s="21" t="str">
        <f aca="false">IF(R603="","",O603&amp;"|A|"&amp;R603)</f>
        <v/>
      </c>
      <c r="V603" s="21" t="str">
        <f aca="false">IF(S603="","",O603&amp;"|R|"&amp;S603)</f>
        <v/>
      </c>
    </row>
    <row r="604" customFormat="false" ht="15" hidden="false" customHeight="false" outlineLevel="0" collapsed="false">
      <c r="A604" s="18" t="n">
        <v>603</v>
      </c>
      <c r="B604" s="18"/>
      <c r="C604" s="18"/>
      <c r="D604" s="18"/>
      <c r="E604" s="18" t="s">
        <v>1232</v>
      </c>
      <c r="F604" s="18" t="s">
        <v>1233</v>
      </c>
      <c r="G604" s="18" t="s">
        <v>74</v>
      </c>
      <c r="H604" s="18" t="n">
        <v>383</v>
      </c>
      <c r="I604" s="19" t="n">
        <v>0</v>
      </c>
      <c r="J604" s="19" t="n">
        <v>289.8</v>
      </c>
      <c r="K604" s="19" t="n">
        <v>289.8</v>
      </c>
      <c r="L604" s="19" t="n">
        <v>0</v>
      </c>
      <c r="M604" s="19" t="n">
        <f aca="false">ABS(L604)</f>
        <v>0</v>
      </c>
      <c r="N604" s="18" t="str">
        <f aca="false">IF(L604=0,"Nil balance",IF(G604="AR file",IF(L604&gt;0,"Accounts Receivable","Customer Advances"),IF(L604&lt;0,"Accounts Payable","Supplier Advances")))</f>
        <v>Nil balance</v>
      </c>
      <c r="O604" s="18" t="str">
        <f aca="false">IF(L604=0,"Excluded",IF(Summary!$C$4="By ledger",IF(G604="AR file","Population 1","Population 2"),IF(L604&gt;0,"Population 1","Population 2")))</f>
        <v>Excluded</v>
      </c>
      <c r="P604" s="18" t="str">
        <f aca="false">IF(O604="Excluded","Excluded – nil closing balance",IF(M604&gt;Summary!$C$5,"Above Materiality","Below Materiality"))</f>
        <v>Excluded – nil closing balance</v>
      </c>
      <c r="Q604" s="20" t="str">
        <f aca="false">IF(P604="Below Materiality",T604,"")</f>
        <v/>
      </c>
      <c r="R604" s="21" t="str">
        <f aca="false">IF(P604="Above Materiality",COUNTIFS($O$2:$O$1092,O604,$P$2:$P$1092,"Above Materiality",$M$2:$M$1092,"&gt;"&amp;M604)+COUNTIFS($O$2:$O$1092,O604,$P$2:$P$1092,"Above Materiality",$M$2:$M$1092,M604,$A$2:$A$1092,"&lt;"&amp;A604)+1,"")</f>
        <v/>
      </c>
      <c r="S604" s="21" t="str">
        <f aca="false">IF(P604&lt;&gt;"Below Materiality","",IF(Summary!$C$9="Random",COUNTIFS($O$2:$O$1092,O604,$Q$2:$Q$1092,"&gt;"&amp;Q604)+1,COUNTIFS($O$2:$O$1092,O604,$P$2:$P$1092,"Below Materiality",$M$2:$M$1092,"&gt;"&amp;M604)+COUNTIFS($O$2:$O$1092,O604,$P$2:$P$1092,"Below Materiality",$M$2:$M$1092,M604,$A$2:$A$1092,"&lt;"&amp;A604)+1))</f>
        <v/>
      </c>
      <c r="T604" s="22"/>
      <c r="U604" s="21" t="str">
        <f aca="false">IF(R604="","",O604&amp;"|A|"&amp;R604)</f>
        <v/>
      </c>
      <c r="V604" s="21" t="str">
        <f aca="false">IF(S604="","",O604&amp;"|R|"&amp;S604)</f>
        <v/>
      </c>
    </row>
    <row r="605" customFormat="false" ht="15" hidden="false" customHeight="false" outlineLevel="0" collapsed="false">
      <c r="A605" s="18" t="n">
        <v>604</v>
      </c>
      <c r="B605" s="18"/>
      <c r="C605" s="18"/>
      <c r="D605" s="18"/>
      <c r="E605" s="18" t="s">
        <v>1234</v>
      </c>
      <c r="F605" s="18" t="s">
        <v>417</v>
      </c>
      <c r="G605" s="18" t="s">
        <v>74</v>
      </c>
      <c r="H605" s="18" t="n">
        <v>384</v>
      </c>
      <c r="I605" s="19" t="n">
        <v>0</v>
      </c>
      <c r="J605" s="19" t="n">
        <v>276</v>
      </c>
      <c r="K605" s="19" t="n">
        <v>276</v>
      </c>
      <c r="L605" s="19" t="n">
        <v>0</v>
      </c>
      <c r="M605" s="19" t="n">
        <f aca="false">ABS(L605)</f>
        <v>0</v>
      </c>
      <c r="N605" s="18" t="str">
        <f aca="false">IF(L605=0,"Nil balance",IF(G605="AR file",IF(L605&gt;0,"Accounts Receivable","Customer Advances"),IF(L605&lt;0,"Accounts Payable","Supplier Advances")))</f>
        <v>Nil balance</v>
      </c>
      <c r="O605" s="18" t="str">
        <f aca="false">IF(L605=0,"Excluded",IF(Summary!$C$4="By ledger",IF(G605="AR file","Population 1","Population 2"),IF(L605&gt;0,"Population 1","Population 2")))</f>
        <v>Excluded</v>
      </c>
      <c r="P605" s="18" t="str">
        <f aca="false">IF(O605="Excluded","Excluded – nil closing balance",IF(M605&gt;Summary!$C$5,"Above Materiality","Below Materiality"))</f>
        <v>Excluded – nil closing balance</v>
      </c>
      <c r="Q605" s="20" t="str">
        <f aca="false">IF(P605="Below Materiality",T605,"")</f>
        <v/>
      </c>
      <c r="R605" s="21" t="str">
        <f aca="false">IF(P605="Above Materiality",COUNTIFS($O$2:$O$1092,O605,$P$2:$P$1092,"Above Materiality",$M$2:$M$1092,"&gt;"&amp;M605)+COUNTIFS($O$2:$O$1092,O605,$P$2:$P$1092,"Above Materiality",$M$2:$M$1092,M605,$A$2:$A$1092,"&lt;"&amp;A605)+1,"")</f>
        <v/>
      </c>
      <c r="S605" s="21" t="str">
        <f aca="false">IF(P605&lt;&gt;"Below Materiality","",IF(Summary!$C$9="Random",COUNTIFS($O$2:$O$1092,O605,$Q$2:$Q$1092,"&gt;"&amp;Q605)+1,COUNTIFS($O$2:$O$1092,O605,$P$2:$P$1092,"Below Materiality",$M$2:$M$1092,"&gt;"&amp;M605)+COUNTIFS($O$2:$O$1092,O605,$P$2:$P$1092,"Below Materiality",$M$2:$M$1092,M605,$A$2:$A$1092,"&lt;"&amp;A605)+1))</f>
        <v/>
      </c>
      <c r="T605" s="22"/>
      <c r="U605" s="21" t="str">
        <f aca="false">IF(R605="","",O605&amp;"|A|"&amp;R605)</f>
        <v/>
      </c>
      <c r="V605" s="21" t="str">
        <f aca="false">IF(S605="","",O605&amp;"|R|"&amp;S605)</f>
        <v/>
      </c>
    </row>
    <row r="606" customFormat="false" ht="15" hidden="false" customHeight="false" outlineLevel="0" collapsed="false">
      <c r="A606" s="18" t="n">
        <v>605</v>
      </c>
      <c r="B606" s="18"/>
      <c r="C606" s="18"/>
      <c r="D606" s="18"/>
      <c r="E606" s="18" t="s">
        <v>1235</v>
      </c>
      <c r="F606" s="18" t="s">
        <v>1236</v>
      </c>
      <c r="G606" s="18" t="s">
        <v>74</v>
      </c>
      <c r="H606" s="18" t="n">
        <v>385</v>
      </c>
      <c r="I606" s="19" t="n">
        <v>0</v>
      </c>
      <c r="J606" s="19" t="n">
        <v>101.2</v>
      </c>
      <c r="K606" s="19" t="n">
        <v>101.2</v>
      </c>
      <c r="L606" s="19" t="n">
        <v>0</v>
      </c>
      <c r="M606" s="19" t="n">
        <f aca="false">ABS(L606)</f>
        <v>0</v>
      </c>
      <c r="N606" s="18" t="str">
        <f aca="false">IF(L606=0,"Nil balance",IF(G606="AR file",IF(L606&gt;0,"Accounts Receivable","Customer Advances"),IF(L606&lt;0,"Accounts Payable","Supplier Advances")))</f>
        <v>Nil balance</v>
      </c>
      <c r="O606" s="18" t="str">
        <f aca="false">IF(L606=0,"Excluded",IF(Summary!$C$4="By ledger",IF(G606="AR file","Population 1","Population 2"),IF(L606&gt;0,"Population 1","Population 2")))</f>
        <v>Excluded</v>
      </c>
      <c r="P606" s="18" t="str">
        <f aca="false">IF(O606="Excluded","Excluded – nil closing balance",IF(M606&gt;Summary!$C$5,"Above Materiality","Below Materiality"))</f>
        <v>Excluded – nil closing balance</v>
      </c>
      <c r="Q606" s="20" t="str">
        <f aca="false">IF(P606="Below Materiality",T606,"")</f>
        <v/>
      </c>
      <c r="R606" s="21" t="str">
        <f aca="false">IF(P606="Above Materiality",COUNTIFS($O$2:$O$1092,O606,$P$2:$P$1092,"Above Materiality",$M$2:$M$1092,"&gt;"&amp;M606)+COUNTIFS($O$2:$O$1092,O606,$P$2:$P$1092,"Above Materiality",$M$2:$M$1092,M606,$A$2:$A$1092,"&lt;"&amp;A606)+1,"")</f>
        <v/>
      </c>
      <c r="S606" s="21" t="str">
        <f aca="false">IF(P606&lt;&gt;"Below Materiality","",IF(Summary!$C$9="Random",COUNTIFS($O$2:$O$1092,O606,$Q$2:$Q$1092,"&gt;"&amp;Q606)+1,COUNTIFS($O$2:$O$1092,O606,$P$2:$P$1092,"Below Materiality",$M$2:$M$1092,"&gt;"&amp;M606)+COUNTIFS($O$2:$O$1092,O606,$P$2:$P$1092,"Below Materiality",$M$2:$M$1092,M606,$A$2:$A$1092,"&lt;"&amp;A606)+1))</f>
        <v/>
      </c>
      <c r="T606" s="22"/>
      <c r="U606" s="21" t="str">
        <f aca="false">IF(R606="","",O606&amp;"|A|"&amp;R606)</f>
        <v/>
      </c>
      <c r="V606" s="21" t="str">
        <f aca="false">IF(S606="","",O606&amp;"|R|"&amp;S606)</f>
        <v/>
      </c>
    </row>
    <row r="607" customFormat="false" ht="15" hidden="false" customHeight="false" outlineLevel="0" collapsed="false">
      <c r="A607" s="18" t="n">
        <v>606</v>
      </c>
      <c r="B607" s="18"/>
      <c r="C607" s="18"/>
      <c r="D607" s="18"/>
      <c r="E607" s="18" t="s">
        <v>1237</v>
      </c>
      <c r="F607" s="18" t="s">
        <v>1238</v>
      </c>
      <c r="G607" s="18" t="s">
        <v>74</v>
      </c>
      <c r="H607" s="18" t="n">
        <v>386</v>
      </c>
      <c r="I607" s="19" t="n">
        <v>-130</v>
      </c>
      <c r="J607" s="19" t="n">
        <v>130</v>
      </c>
      <c r="K607" s="19" t="n">
        <v>0</v>
      </c>
      <c r="L607" s="19" t="n">
        <v>0</v>
      </c>
      <c r="M607" s="19" t="n">
        <f aca="false">ABS(L607)</f>
        <v>0</v>
      </c>
      <c r="N607" s="18" t="str">
        <f aca="false">IF(L607=0,"Nil balance",IF(G607="AR file",IF(L607&gt;0,"Accounts Receivable","Customer Advances"),IF(L607&lt;0,"Accounts Payable","Supplier Advances")))</f>
        <v>Nil balance</v>
      </c>
      <c r="O607" s="18" t="str">
        <f aca="false">IF(L607=0,"Excluded",IF(Summary!$C$4="By ledger",IF(G607="AR file","Population 1","Population 2"),IF(L607&gt;0,"Population 1","Population 2")))</f>
        <v>Excluded</v>
      </c>
      <c r="P607" s="18" t="str">
        <f aca="false">IF(O607="Excluded","Excluded – nil closing balance",IF(M607&gt;Summary!$C$5,"Above Materiality","Below Materiality"))</f>
        <v>Excluded – nil closing balance</v>
      </c>
      <c r="Q607" s="20" t="str">
        <f aca="false">IF(P607="Below Materiality",T607,"")</f>
        <v/>
      </c>
      <c r="R607" s="21" t="str">
        <f aca="false">IF(P607="Above Materiality",COUNTIFS($O$2:$O$1092,O607,$P$2:$P$1092,"Above Materiality",$M$2:$M$1092,"&gt;"&amp;M607)+COUNTIFS($O$2:$O$1092,O607,$P$2:$P$1092,"Above Materiality",$M$2:$M$1092,M607,$A$2:$A$1092,"&lt;"&amp;A607)+1,"")</f>
        <v/>
      </c>
      <c r="S607" s="21" t="str">
        <f aca="false">IF(P607&lt;&gt;"Below Materiality","",IF(Summary!$C$9="Random",COUNTIFS($O$2:$O$1092,O607,$Q$2:$Q$1092,"&gt;"&amp;Q607)+1,COUNTIFS($O$2:$O$1092,O607,$P$2:$P$1092,"Below Materiality",$M$2:$M$1092,"&gt;"&amp;M607)+COUNTIFS($O$2:$O$1092,O607,$P$2:$P$1092,"Below Materiality",$M$2:$M$1092,M607,$A$2:$A$1092,"&lt;"&amp;A607)+1))</f>
        <v/>
      </c>
      <c r="T607" s="22"/>
      <c r="U607" s="21" t="str">
        <f aca="false">IF(R607="","",O607&amp;"|A|"&amp;R607)</f>
        <v/>
      </c>
      <c r="V607" s="21" t="str">
        <f aca="false">IF(S607="","",O607&amp;"|R|"&amp;S607)</f>
        <v/>
      </c>
    </row>
    <row r="608" customFormat="false" ht="15" hidden="false" customHeight="false" outlineLevel="0" collapsed="false">
      <c r="A608" s="18" t="n">
        <v>607</v>
      </c>
      <c r="B608" s="18"/>
      <c r="C608" s="18"/>
      <c r="D608" s="18"/>
      <c r="E608" s="18" t="s">
        <v>1239</v>
      </c>
      <c r="F608" s="18" t="s">
        <v>425</v>
      </c>
      <c r="G608" s="18" t="s">
        <v>74</v>
      </c>
      <c r="H608" s="18" t="n">
        <v>387</v>
      </c>
      <c r="I608" s="19" t="n">
        <v>0</v>
      </c>
      <c r="J608" s="19" t="n">
        <v>34.5</v>
      </c>
      <c r="K608" s="19" t="n">
        <v>34.5</v>
      </c>
      <c r="L608" s="19" t="n">
        <v>0</v>
      </c>
      <c r="M608" s="19" t="n">
        <f aca="false">ABS(L608)</f>
        <v>0</v>
      </c>
      <c r="N608" s="18" t="str">
        <f aca="false">IF(L608=0,"Nil balance",IF(G608="AR file",IF(L608&gt;0,"Accounts Receivable","Customer Advances"),IF(L608&lt;0,"Accounts Payable","Supplier Advances")))</f>
        <v>Nil balance</v>
      </c>
      <c r="O608" s="18" t="str">
        <f aca="false">IF(L608=0,"Excluded",IF(Summary!$C$4="By ledger",IF(G608="AR file","Population 1","Population 2"),IF(L608&gt;0,"Population 1","Population 2")))</f>
        <v>Excluded</v>
      </c>
      <c r="P608" s="18" t="str">
        <f aca="false">IF(O608="Excluded","Excluded – nil closing balance",IF(M608&gt;Summary!$C$5,"Above Materiality","Below Materiality"))</f>
        <v>Excluded – nil closing balance</v>
      </c>
      <c r="Q608" s="20" t="str">
        <f aca="false">IF(P608="Below Materiality",T608,"")</f>
        <v/>
      </c>
      <c r="R608" s="21" t="str">
        <f aca="false">IF(P608="Above Materiality",COUNTIFS($O$2:$O$1092,O608,$P$2:$P$1092,"Above Materiality",$M$2:$M$1092,"&gt;"&amp;M608)+COUNTIFS($O$2:$O$1092,O608,$P$2:$P$1092,"Above Materiality",$M$2:$M$1092,M608,$A$2:$A$1092,"&lt;"&amp;A608)+1,"")</f>
        <v/>
      </c>
      <c r="S608" s="21" t="str">
        <f aca="false">IF(P608&lt;&gt;"Below Materiality","",IF(Summary!$C$9="Random",COUNTIFS($O$2:$O$1092,O608,$Q$2:$Q$1092,"&gt;"&amp;Q608)+1,COUNTIFS($O$2:$O$1092,O608,$P$2:$P$1092,"Below Materiality",$M$2:$M$1092,"&gt;"&amp;M608)+COUNTIFS($O$2:$O$1092,O608,$P$2:$P$1092,"Below Materiality",$M$2:$M$1092,M608,$A$2:$A$1092,"&lt;"&amp;A608)+1))</f>
        <v/>
      </c>
      <c r="T608" s="22"/>
      <c r="U608" s="21" t="str">
        <f aca="false">IF(R608="","",O608&amp;"|A|"&amp;R608)</f>
        <v/>
      </c>
      <c r="V608" s="21" t="str">
        <f aca="false">IF(S608="","",O608&amp;"|R|"&amp;S608)</f>
        <v/>
      </c>
    </row>
    <row r="609" customFormat="false" ht="15" hidden="false" customHeight="false" outlineLevel="0" collapsed="false">
      <c r="A609" s="18" t="n">
        <v>608</v>
      </c>
      <c r="B609" s="18"/>
      <c r="C609" s="18"/>
      <c r="D609" s="18"/>
      <c r="E609" s="18" t="s">
        <v>1240</v>
      </c>
      <c r="F609" s="18" t="s">
        <v>1241</v>
      </c>
      <c r="G609" s="18" t="s">
        <v>74</v>
      </c>
      <c r="H609" s="18" t="n">
        <v>388</v>
      </c>
      <c r="I609" s="19" t="n">
        <v>0</v>
      </c>
      <c r="J609" s="19" t="n">
        <v>3105</v>
      </c>
      <c r="K609" s="19" t="n">
        <v>3105</v>
      </c>
      <c r="L609" s="19" t="n">
        <v>0</v>
      </c>
      <c r="M609" s="19" t="n">
        <f aca="false">ABS(L609)</f>
        <v>0</v>
      </c>
      <c r="N609" s="18" t="str">
        <f aca="false">IF(L609=0,"Nil balance",IF(G609="AR file",IF(L609&gt;0,"Accounts Receivable","Customer Advances"),IF(L609&lt;0,"Accounts Payable","Supplier Advances")))</f>
        <v>Nil balance</v>
      </c>
      <c r="O609" s="18" t="str">
        <f aca="false">IF(L609=0,"Excluded",IF(Summary!$C$4="By ledger",IF(G609="AR file","Population 1","Population 2"),IF(L609&gt;0,"Population 1","Population 2")))</f>
        <v>Excluded</v>
      </c>
      <c r="P609" s="18" t="str">
        <f aca="false">IF(O609="Excluded","Excluded – nil closing balance",IF(M609&gt;Summary!$C$5,"Above Materiality","Below Materiality"))</f>
        <v>Excluded – nil closing balance</v>
      </c>
      <c r="Q609" s="20" t="str">
        <f aca="false">IF(P609="Below Materiality",T609,"")</f>
        <v/>
      </c>
      <c r="R609" s="21" t="str">
        <f aca="false">IF(P609="Above Materiality",COUNTIFS($O$2:$O$1092,O609,$P$2:$P$1092,"Above Materiality",$M$2:$M$1092,"&gt;"&amp;M609)+COUNTIFS($O$2:$O$1092,O609,$P$2:$P$1092,"Above Materiality",$M$2:$M$1092,M609,$A$2:$A$1092,"&lt;"&amp;A609)+1,"")</f>
        <v/>
      </c>
      <c r="S609" s="21" t="str">
        <f aca="false">IF(P609&lt;&gt;"Below Materiality","",IF(Summary!$C$9="Random",COUNTIFS($O$2:$O$1092,O609,$Q$2:$Q$1092,"&gt;"&amp;Q609)+1,COUNTIFS($O$2:$O$1092,O609,$P$2:$P$1092,"Below Materiality",$M$2:$M$1092,"&gt;"&amp;M609)+COUNTIFS($O$2:$O$1092,O609,$P$2:$P$1092,"Below Materiality",$M$2:$M$1092,M609,$A$2:$A$1092,"&lt;"&amp;A609)+1))</f>
        <v/>
      </c>
      <c r="T609" s="22"/>
      <c r="U609" s="21" t="str">
        <f aca="false">IF(R609="","",O609&amp;"|A|"&amp;R609)</f>
        <v/>
      </c>
      <c r="V609" s="21" t="str">
        <f aca="false">IF(S609="","",O609&amp;"|R|"&amp;S609)</f>
        <v/>
      </c>
    </row>
    <row r="610" customFormat="false" ht="15" hidden="false" customHeight="false" outlineLevel="0" collapsed="false">
      <c r="A610" s="18" t="n">
        <v>609</v>
      </c>
      <c r="B610" s="18"/>
      <c r="C610" s="18"/>
      <c r="D610" s="18"/>
      <c r="E610" s="18" t="s">
        <v>1242</v>
      </c>
      <c r="F610" s="18" t="s">
        <v>1243</v>
      </c>
      <c r="G610" s="18" t="s">
        <v>74</v>
      </c>
      <c r="H610" s="18" t="n">
        <v>389</v>
      </c>
      <c r="I610" s="19" t="n">
        <v>0</v>
      </c>
      <c r="J610" s="19" t="n">
        <v>310.5</v>
      </c>
      <c r="K610" s="19" t="n">
        <v>310.5</v>
      </c>
      <c r="L610" s="19" t="n">
        <v>0</v>
      </c>
      <c r="M610" s="19" t="n">
        <f aca="false">ABS(L610)</f>
        <v>0</v>
      </c>
      <c r="N610" s="18" t="str">
        <f aca="false">IF(L610=0,"Nil balance",IF(G610="AR file",IF(L610&gt;0,"Accounts Receivable","Customer Advances"),IF(L610&lt;0,"Accounts Payable","Supplier Advances")))</f>
        <v>Nil balance</v>
      </c>
      <c r="O610" s="18" t="str">
        <f aca="false">IF(L610=0,"Excluded",IF(Summary!$C$4="By ledger",IF(G610="AR file","Population 1","Population 2"),IF(L610&gt;0,"Population 1","Population 2")))</f>
        <v>Excluded</v>
      </c>
      <c r="P610" s="18" t="str">
        <f aca="false">IF(O610="Excluded","Excluded – nil closing balance",IF(M610&gt;Summary!$C$5,"Above Materiality","Below Materiality"))</f>
        <v>Excluded – nil closing balance</v>
      </c>
      <c r="Q610" s="20" t="str">
        <f aca="false">IF(P610="Below Materiality",T610,"")</f>
        <v/>
      </c>
      <c r="R610" s="21" t="str">
        <f aca="false">IF(P610="Above Materiality",COUNTIFS($O$2:$O$1092,O610,$P$2:$P$1092,"Above Materiality",$M$2:$M$1092,"&gt;"&amp;M610)+COUNTIFS($O$2:$O$1092,O610,$P$2:$P$1092,"Above Materiality",$M$2:$M$1092,M610,$A$2:$A$1092,"&lt;"&amp;A610)+1,"")</f>
        <v/>
      </c>
      <c r="S610" s="21" t="str">
        <f aca="false">IF(P610&lt;&gt;"Below Materiality","",IF(Summary!$C$9="Random",COUNTIFS($O$2:$O$1092,O610,$Q$2:$Q$1092,"&gt;"&amp;Q610)+1,COUNTIFS($O$2:$O$1092,O610,$P$2:$P$1092,"Below Materiality",$M$2:$M$1092,"&gt;"&amp;M610)+COUNTIFS($O$2:$O$1092,O610,$P$2:$P$1092,"Below Materiality",$M$2:$M$1092,M610,$A$2:$A$1092,"&lt;"&amp;A610)+1))</f>
        <v/>
      </c>
      <c r="T610" s="22"/>
      <c r="U610" s="21" t="str">
        <f aca="false">IF(R610="","",O610&amp;"|A|"&amp;R610)</f>
        <v/>
      </c>
      <c r="V610" s="21" t="str">
        <f aca="false">IF(S610="","",O610&amp;"|R|"&amp;S610)</f>
        <v/>
      </c>
    </row>
    <row r="611" customFormat="false" ht="15" hidden="false" customHeight="false" outlineLevel="0" collapsed="false">
      <c r="A611" s="18" t="n">
        <v>610</v>
      </c>
      <c r="B611" s="18"/>
      <c r="C611" s="18"/>
      <c r="D611" s="18"/>
      <c r="E611" s="18" t="s">
        <v>1244</v>
      </c>
      <c r="F611" s="18" t="s">
        <v>1245</v>
      </c>
      <c r="G611" s="18" t="s">
        <v>74</v>
      </c>
      <c r="H611" s="18" t="n">
        <v>390</v>
      </c>
      <c r="I611" s="19" t="n">
        <v>0</v>
      </c>
      <c r="J611" s="19" t="n">
        <v>110.4</v>
      </c>
      <c r="K611" s="19" t="n">
        <v>110.4</v>
      </c>
      <c r="L611" s="19" t="n">
        <v>0</v>
      </c>
      <c r="M611" s="19" t="n">
        <f aca="false">ABS(L611)</f>
        <v>0</v>
      </c>
      <c r="N611" s="18" t="str">
        <f aca="false">IF(L611=0,"Nil balance",IF(G611="AR file",IF(L611&gt;0,"Accounts Receivable","Customer Advances"),IF(L611&lt;0,"Accounts Payable","Supplier Advances")))</f>
        <v>Nil balance</v>
      </c>
      <c r="O611" s="18" t="str">
        <f aca="false">IF(L611=0,"Excluded",IF(Summary!$C$4="By ledger",IF(G611="AR file","Population 1","Population 2"),IF(L611&gt;0,"Population 1","Population 2")))</f>
        <v>Excluded</v>
      </c>
      <c r="P611" s="18" t="str">
        <f aca="false">IF(O611="Excluded","Excluded – nil closing balance",IF(M611&gt;Summary!$C$5,"Above Materiality","Below Materiality"))</f>
        <v>Excluded – nil closing balance</v>
      </c>
      <c r="Q611" s="20" t="str">
        <f aca="false">IF(P611="Below Materiality",T611,"")</f>
        <v/>
      </c>
      <c r="R611" s="21" t="str">
        <f aca="false">IF(P611="Above Materiality",COUNTIFS($O$2:$O$1092,O611,$P$2:$P$1092,"Above Materiality",$M$2:$M$1092,"&gt;"&amp;M611)+COUNTIFS($O$2:$O$1092,O611,$P$2:$P$1092,"Above Materiality",$M$2:$M$1092,M611,$A$2:$A$1092,"&lt;"&amp;A611)+1,"")</f>
        <v/>
      </c>
      <c r="S611" s="21" t="str">
        <f aca="false">IF(P611&lt;&gt;"Below Materiality","",IF(Summary!$C$9="Random",COUNTIFS($O$2:$O$1092,O611,$Q$2:$Q$1092,"&gt;"&amp;Q611)+1,COUNTIFS($O$2:$O$1092,O611,$P$2:$P$1092,"Below Materiality",$M$2:$M$1092,"&gt;"&amp;M611)+COUNTIFS($O$2:$O$1092,O611,$P$2:$P$1092,"Below Materiality",$M$2:$M$1092,M611,$A$2:$A$1092,"&lt;"&amp;A611)+1))</f>
        <v/>
      </c>
      <c r="T611" s="22"/>
      <c r="U611" s="21" t="str">
        <f aca="false">IF(R611="","",O611&amp;"|A|"&amp;R611)</f>
        <v/>
      </c>
      <c r="V611" s="21" t="str">
        <f aca="false">IF(S611="","",O611&amp;"|R|"&amp;S611)</f>
        <v/>
      </c>
    </row>
    <row r="612" customFormat="false" ht="15" hidden="false" customHeight="false" outlineLevel="0" collapsed="false">
      <c r="A612" s="18" t="n">
        <v>611</v>
      </c>
      <c r="B612" s="18"/>
      <c r="C612" s="18"/>
      <c r="D612" s="18"/>
      <c r="E612" s="18" t="s">
        <v>1246</v>
      </c>
      <c r="F612" s="18" t="s">
        <v>1247</v>
      </c>
      <c r="G612" s="18" t="s">
        <v>74</v>
      </c>
      <c r="H612" s="18" t="n">
        <v>392</v>
      </c>
      <c r="I612" s="19" t="n">
        <v>0.5</v>
      </c>
      <c r="J612" s="19" t="n">
        <v>0</v>
      </c>
      <c r="K612" s="19" t="n">
        <v>0.5</v>
      </c>
      <c r="L612" s="19" t="n">
        <v>0</v>
      </c>
      <c r="M612" s="19" t="n">
        <f aca="false">ABS(L612)</f>
        <v>0</v>
      </c>
      <c r="N612" s="18" t="str">
        <f aca="false">IF(L612=0,"Nil balance",IF(G612="AR file",IF(L612&gt;0,"Accounts Receivable","Customer Advances"),IF(L612&lt;0,"Accounts Payable","Supplier Advances")))</f>
        <v>Nil balance</v>
      </c>
      <c r="O612" s="18" t="str">
        <f aca="false">IF(L612=0,"Excluded",IF(Summary!$C$4="By ledger",IF(G612="AR file","Population 1","Population 2"),IF(L612&gt;0,"Population 1","Population 2")))</f>
        <v>Excluded</v>
      </c>
      <c r="P612" s="18" t="str">
        <f aca="false">IF(O612="Excluded","Excluded – nil closing balance",IF(M612&gt;Summary!$C$5,"Above Materiality","Below Materiality"))</f>
        <v>Excluded – nil closing balance</v>
      </c>
      <c r="Q612" s="20" t="str">
        <f aca="false">IF(P612="Below Materiality",T612,"")</f>
        <v/>
      </c>
      <c r="R612" s="21" t="str">
        <f aca="false">IF(P612="Above Materiality",COUNTIFS($O$2:$O$1092,O612,$P$2:$P$1092,"Above Materiality",$M$2:$M$1092,"&gt;"&amp;M612)+COUNTIFS($O$2:$O$1092,O612,$P$2:$P$1092,"Above Materiality",$M$2:$M$1092,M612,$A$2:$A$1092,"&lt;"&amp;A612)+1,"")</f>
        <v/>
      </c>
      <c r="S612" s="21" t="str">
        <f aca="false">IF(P612&lt;&gt;"Below Materiality","",IF(Summary!$C$9="Random",COUNTIFS($O$2:$O$1092,O612,$Q$2:$Q$1092,"&gt;"&amp;Q612)+1,COUNTIFS($O$2:$O$1092,O612,$P$2:$P$1092,"Below Materiality",$M$2:$M$1092,"&gt;"&amp;M612)+COUNTIFS($O$2:$O$1092,O612,$P$2:$P$1092,"Below Materiality",$M$2:$M$1092,M612,$A$2:$A$1092,"&lt;"&amp;A612)+1))</f>
        <v/>
      </c>
      <c r="T612" s="22"/>
      <c r="U612" s="21" t="str">
        <f aca="false">IF(R612="","",O612&amp;"|A|"&amp;R612)</f>
        <v/>
      </c>
      <c r="V612" s="21" t="str">
        <f aca="false">IF(S612="","",O612&amp;"|R|"&amp;S612)</f>
        <v/>
      </c>
    </row>
    <row r="613" customFormat="false" ht="15" hidden="false" customHeight="false" outlineLevel="0" collapsed="false">
      <c r="A613" s="18" t="n">
        <v>612</v>
      </c>
      <c r="B613" s="18"/>
      <c r="C613" s="18"/>
      <c r="D613" s="18"/>
      <c r="E613" s="18" t="s">
        <v>1248</v>
      </c>
      <c r="F613" s="18" t="s">
        <v>908</v>
      </c>
      <c r="G613" s="18" t="s">
        <v>74</v>
      </c>
      <c r="H613" s="18" t="n">
        <v>393</v>
      </c>
      <c r="I613" s="19" t="n">
        <v>0</v>
      </c>
      <c r="J613" s="19" t="n">
        <v>50</v>
      </c>
      <c r="K613" s="19" t="n">
        <v>50</v>
      </c>
      <c r="L613" s="19" t="n">
        <v>0</v>
      </c>
      <c r="M613" s="19" t="n">
        <f aca="false">ABS(L613)</f>
        <v>0</v>
      </c>
      <c r="N613" s="18" t="str">
        <f aca="false">IF(L613=0,"Nil balance",IF(G613="AR file",IF(L613&gt;0,"Accounts Receivable","Customer Advances"),IF(L613&lt;0,"Accounts Payable","Supplier Advances")))</f>
        <v>Nil balance</v>
      </c>
      <c r="O613" s="18" t="str">
        <f aca="false">IF(L613=0,"Excluded",IF(Summary!$C$4="By ledger",IF(G613="AR file","Population 1","Population 2"),IF(L613&gt;0,"Population 1","Population 2")))</f>
        <v>Excluded</v>
      </c>
      <c r="P613" s="18" t="str">
        <f aca="false">IF(O613="Excluded","Excluded – nil closing balance",IF(M613&gt;Summary!$C$5,"Above Materiality","Below Materiality"))</f>
        <v>Excluded – nil closing balance</v>
      </c>
      <c r="Q613" s="20" t="str">
        <f aca="false">IF(P613="Below Materiality",T613,"")</f>
        <v/>
      </c>
      <c r="R613" s="21" t="str">
        <f aca="false">IF(P613="Above Materiality",COUNTIFS($O$2:$O$1092,O613,$P$2:$P$1092,"Above Materiality",$M$2:$M$1092,"&gt;"&amp;M613)+COUNTIFS($O$2:$O$1092,O613,$P$2:$P$1092,"Above Materiality",$M$2:$M$1092,M613,$A$2:$A$1092,"&lt;"&amp;A613)+1,"")</f>
        <v/>
      </c>
      <c r="S613" s="21" t="str">
        <f aca="false">IF(P613&lt;&gt;"Below Materiality","",IF(Summary!$C$9="Random",COUNTIFS($O$2:$O$1092,O613,$Q$2:$Q$1092,"&gt;"&amp;Q613)+1,COUNTIFS($O$2:$O$1092,O613,$P$2:$P$1092,"Below Materiality",$M$2:$M$1092,"&gt;"&amp;M613)+COUNTIFS($O$2:$O$1092,O613,$P$2:$P$1092,"Below Materiality",$M$2:$M$1092,M613,$A$2:$A$1092,"&lt;"&amp;A613)+1))</f>
        <v/>
      </c>
      <c r="T613" s="22"/>
      <c r="U613" s="21" t="str">
        <f aca="false">IF(R613="","",O613&amp;"|A|"&amp;R613)</f>
        <v/>
      </c>
      <c r="V613" s="21" t="str">
        <f aca="false">IF(S613="","",O613&amp;"|R|"&amp;S613)</f>
        <v/>
      </c>
    </row>
    <row r="614" customFormat="false" ht="15" hidden="false" customHeight="false" outlineLevel="0" collapsed="false">
      <c r="A614" s="18" t="n">
        <v>613</v>
      </c>
      <c r="B614" s="18"/>
      <c r="C614" s="18"/>
      <c r="D614" s="18"/>
      <c r="E614" s="18" t="s">
        <v>1249</v>
      </c>
      <c r="F614" s="18" t="s">
        <v>1250</v>
      </c>
      <c r="G614" s="18" t="s">
        <v>74</v>
      </c>
      <c r="H614" s="18" t="n">
        <v>394</v>
      </c>
      <c r="I614" s="19" t="n">
        <v>0</v>
      </c>
      <c r="J614" s="19" t="n">
        <v>1552.5</v>
      </c>
      <c r="K614" s="19" t="n">
        <v>1552.5</v>
      </c>
      <c r="L614" s="19" t="n">
        <v>0</v>
      </c>
      <c r="M614" s="19" t="n">
        <f aca="false">ABS(L614)</f>
        <v>0</v>
      </c>
      <c r="N614" s="18" t="str">
        <f aca="false">IF(L614=0,"Nil balance",IF(G614="AR file",IF(L614&gt;0,"Accounts Receivable","Customer Advances"),IF(L614&lt;0,"Accounts Payable","Supplier Advances")))</f>
        <v>Nil balance</v>
      </c>
      <c r="O614" s="18" t="str">
        <f aca="false">IF(L614=0,"Excluded",IF(Summary!$C$4="By ledger",IF(G614="AR file","Population 1","Population 2"),IF(L614&gt;0,"Population 1","Population 2")))</f>
        <v>Excluded</v>
      </c>
      <c r="P614" s="18" t="str">
        <f aca="false">IF(O614="Excluded","Excluded – nil closing balance",IF(M614&gt;Summary!$C$5,"Above Materiality","Below Materiality"))</f>
        <v>Excluded – nil closing balance</v>
      </c>
      <c r="Q614" s="20" t="str">
        <f aca="false">IF(P614="Below Materiality",T614,"")</f>
        <v/>
      </c>
      <c r="R614" s="21" t="str">
        <f aca="false">IF(P614="Above Materiality",COUNTIFS($O$2:$O$1092,O614,$P$2:$P$1092,"Above Materiality",$M$2:$M$1092,"&gt;"&amp;M614)+COUNTIFS($O$2:$O$1092,O614,$P$2:$P$1092,"Above Materiality",$M$2:$M$1092,M614,$A$2:$A$1092,"&lt;"&amp;A614)+1,"")</f>
        <v/>
      </c>
      <c r="S614" s="21" t="str">
        <f aca="false">IF(P614&lt;&gt;"Below Materiality","",IF(Summary!$C$9="Random",COUNTIFS($O$2:$O$1092,O614,$Q$2:$Q$1092,"&gt;"&amp;Q614)+1,COUNTIFS($O$2:$O$1092,O614,$P$2:$P$1092,"Below Materiality",$M$2:$M$1092,"&gt;"&amp;M614)+COUNTIFS($O$2:$O$1092,O614,$P$2:$P$1092,"Below Materiality",$M$2:$M$1092,M614,$A$2:$A$1092,"&lt;"&amp;A614)+1))</f>
        <v/>
      </c>
      <c r="T614" s="22"/>
      <c r="U614" s="21" t="str">
        <f aca="false">IF(R614="","",O614&amp;"|A|"&amp;R614)</f>
        <v/>
      </c>
      <c r="V614" s="21" t="str">
        <f aca="false">IF(S614="","",O614&amp;"|R|"&amp;S614)</f>
        <v/>
      </c>
    </row>
    <row r="615" customFormat="false" ht="15" hidden="false" customHeight="false" outlineLevel="0" collapsed="false">
      <c r="A615" s="18" t="n">
        <v>614</v>
      </c>
      <c r="B615" s="18"/>
      <c r="C615" s="18"/>
      <c r="D615" s="18"/>
      <c r="E615" s="18" t="s">
        <v>1251</v>
      </c>
      <c r="F615" s="18" t="s">
        <v>1252</v>
      </c>
      <c r="G615" s="18" t="s">
        <v>74</v>
      </c>
      <c r="H615" s="18" t="n">
        <v>396</v>
      </c>
      <c r="I615" s="19" t="n">
        <v>0</v>
      </c>
      <c r="J615" s="19" t="n">
        <v>1242</v>
      </c>
      <c r="K615" s="19" t="n">
        <v>1242</v>
      </c>
      <c r="L615" s="19" t="n">
        <v>0</v>
      </c>
      <c r="M615" s="19" t="n">
        <f aca="false">ABS(L615)</f>
        <v>0</v>
      </c>
      <c r="N615" s="18" t="str">
        <f aca="false">IF(L615=0,"Nil balance",IF(G615="AR file",IF(L615&gt;0,"Accounts Receivable","Customer Advances"),IF(L615&lt;0,"Accounts Payable","Supplier Advances")))</f>
        <v>Nil balance</v>
      </c>
      <c r="O615" s="18" t="str">
        <f aca="false">IF(L615=0,"Excluded",IF(Summary!$C$4="By ledger",IF(G615="AR file","Population 1","Population 2"),IF(L615&gt;0,"Population 1","Population 2")))</f>
        <v>Excluded</v>
      </c>
      <c r="P615" s="18" t="str">
        <f aca="false">IF(O615="Excluded","Excluded – nil closing balance",IF(M615&gt;Summary!$C$5,"Above Materiality","Below Materiality"))</f>
        <v>Excluded – nil closing balance</v>
      </c>
      <c r="Q615" s="20" t="str">
        <f aca="false">IF(P615="Below Materiality",T615,"")</f>
        <v/>
      </c>
      <c r="R615" s="21" t="str">
        <f aca="false">IF(P615="Above Materiality",COUNTIFS($O$2:$O$1092,O615,$P$2:$P$1092,"Above Materiality",$M$2:$M$1092,"&gt;"&amp;M615)+COUNTIFS($O$2:$O$1092,O615,$P$2:$P$1092,"Above Materiality",$M$2:$M$1092,M615,$A$2:$A$1092,"&lt;"&amp;A615)+1,"")</f>
        <v/>
      </c>
      <c r="S615" s="21" t="str">
        <f aca="false">IF(P615&lt;&gt;"Below Materiality","",IF(Summary!$C$9="Random",COUNTIFS($O$2:$O$1092,O615,$Q$2:$Q$1092,"&gt;"&amp;Q615)+1,COUNTIFS($O$2:$O$1092,O615,$P$2:$P$1092,"Below Materiality",$M$2:$M$1092,"&gt;"&amp;M615)+COUNTIFS($O$2:$O$1092,O615,$P$2:$P$1092,"Below Materiality",$M$2:$M$1092,M615,$A$2:$A$1092,"&lt;"&amp;A615)+1))</f>
        <v/>
      </c>
      <c r="T615" s="22"/>
      <c r="U615" s="21" t="str">
        <f aca="false">IF(R615="","",O615&amp;"|A|"&amp;R615)</f>
        <v/>
      </c>
      <c r="V615" s="21" t="str">
        <f aca="false">IF(S615="","",O615&amp;"|R|"&amp;S615)</f>
        <v/>
      </c>
    </row>
    <row r="616" customFormat="false" ht="15" hidden="false" customHeight="false" outlineLevel="0" collapsed="false">
      <c r="A616" s="18" t="n">
        <v>615</v>
      </c>
      <c r="B616" s="18"/>
      <c r="C616" s="18"/>
      <c r="D616" s="18"/>
      <c r="E616" s="18" t="s">
        <v>1253</v>
      </c>
      <c r="F616" s="18" t="s">
        <v>1254</v>
      </c>
      <c r="G616" s="18" t="s">
        <v>74</v>
      </c>
      <c r="H616" s="18" t="n">
        <v>397</v>
      </c>
      <c r="I616" s="19" t="n">
        <v>0</v>
      </c>
      <c r="J616" s="19" t="n">
        <v>1884.26</v>
      </c>
      <c r="K616" s="19" t="n">
        <v>1884.26</v>
      </c>
      <c r="L616" s="19" t="n">
        <v>0</v>
      </c>
      <c r="M616" s="19" t="n">
        <f aca="false">ABS(L616)</f>
        <v>0</v>
      </c>
      <c r="N616" s="18" t="str">
        <f aca="false">IF(L616=0,"Nil balance",IF(G616="AR file",IF(L616&gt;0,"Accounts Receivable","Customer Advances"),IF(L616&lt;0,"Accounts Payable","Supplier Advances")))</f>
        <v>Nil balance</v>
      </c>
      <c r="O616" s="18" t="str">
        <f aca="false">IF(L616=0,"Excluded",IF(Summary!$C$4="By ledger",IF(G616="AR file","Population 1","Population 2"),IF(L616&gt;0,"Population 1","Population 2")))</f>
        <v>Excluded</v>
      </c>
      <c r="P616" s="18" t="str">
        <f aca="false">IF(O616="Excluded","Excluded – nil closing balance",IF(M616&gt;Summary!$C$5,"Above Materiality","Below Materiality"))</f>
        <v>Excluded – nil closing balance</v>
      </c>
      <c r="Q616" s="20" t="str">
        <f aca="false">IF(P616="Below Materiality",T616,"")</f>
        <v/>
      </c>
      <c r="R616" s="21" t="str">
        <f aca="false">IF(P616="Above Materiality",COUNTIFS($O$2:$O$1092,O616,$P$2:$P$1092,"Above Materiality",$M$2:$M$1092,"&gt;"&amp;M616)+COUNTIFS($O$2:$O$1092,O616,$P$2:$P$1092,"Above Materiality",$M$2:$M$1092,M616,$A$2:$A$1092,"&lt;"&amp;A616)+1,"")</f>
        <v/>
      </c>
      <c r="S616" s="21" t="str">
        <f aca="false">IF(P616&lt;&gt;"Below Materiality","",IF(Summary!$C$9="Random",COUNTIFS($O$2:$O$1092,O616,$Q$2:$Q$1092,"&gt;"&amp;Q616)+1,COUNTIFS($O$2:$O$1092,O616,$P$2:$P$1092,"Below Materiality",$M$2:$M$1092,"&gt;"&amp;M616)+COUNTIFS($O$2:$O$1092,O616,$P$2:$P$1092,"Below Materiality",$M$2:$M$1092,M616,$A$2:$A$1092,"&lt;"&amp;A616)+1))</f>
        <v/>
      </c>
      <c r="T616" s="22"/>
      <c r="U616" s="21" t="str">
        <f aca="false">IF(R616="","",O616&amp;"|A|"&amp;R616)</f>
        <v/>
      </c>
      <c r="V616" s="21" t="str">
        <f aca="false">IF(S616="","",O616&amp;"|R|"&amp;S616)</f>
        <v/>
      </c>
    </row>
    <row r="617" customFormat="false" ht="15" hidden="false" customHeight="false" outlineLevel="0" collapsed="false">
      <c r="A617" s="18" t="n">
        <v>616</v>
      </c>
      <c r="B617" s="18"/>
      <c r="C617" s="18"/>
      <c r="D617" s="18"/>
      <c r="E617" s="18" t="s">
        <v>1255</v>
      </c>
      <c r="F617" s="18" t="s">
        <v>1256</v>
      </c>
      <c r="G617" s="18" t="s">
        <v>74</v>
      </c>
      <c r="H617" s="18" t="n">
        <v>398</v>
      </c>
      <c r="I617" s="19" t="n">
        <v>0</v>
      </c>
      <c r="J617" s="19" t="n">
        <v>25</v>
      </c>
      <c r="K617" s="19" t="n">
        <v>25</v>
      </c>
      <c r="L617" s="19" t="n">
        <v>0</v>
      </c>
      <c r="M617" s="19" t="n">
        <f aca="false">ABS(L617)</f>
        <v>0</v>
      </c>
      <c r="N617" s="18" t="str">
        <f aca="false">IF(L617=0,"Nil balance",IF(G617="AR file",IF(L617&gt;0,"Accounts Receivable","Customer Advances"),IF(L617&lt;0,"Accounts Payable","Supplier Advances")))</f>
        <v>Nil balance</v>
      </c>
      <c r="O617" s="18" t="str">
        <f aca="false">IF(L617=0,"Excluded",IF(Summary!$C$4="By ledger",IF(G617="AR file","Population 1","Population 2"),IF(L617&gt;0,"Population 1","Population 2")))</f>
        <v>Excluded</v>
      </c>
      <c r="P617" s="18" t="str">
        <f aca="false">IF(O617="Excluded","Excluded – nil closing balance",IF(M617&gt;Summary!$C$5,"Above Materiality","Below Materiality"))</f>
        <v>Excluded – nil closing balance</v>
      </c>
      <c r="Q617" s="20" t="str">
        <f aca="false">IF(P617="Below Materiality",T617,"")</f>
        <v/>
      </c>
      <c r="R617" s="21" t="str">
        <f aca="false">IF(P617="Above Materiality",COUNTIFS($O$2:$O$1092,O617,$P$2:$P$1092,"Above Materiality",$M$2:$M$1092,"&gt;"&amp;M617)+COUNTIFS($O$2:$O$1092,O617,$P$2:$P$1092,"Above Materiality",$M$2:$M$1092,M617,$A$2:$A$1092,"&lt;"&amp;A617)+1,"")</f>
        <v/>
      </c>
      <c r="S617" s="21" t="str">
        <f aca="false">IF(P617&lt;&gt;"Below Materiality","",IF(Summary!$C$9="Random",COUNTIFS($O$2:$O$1092,O617,$Q$2:$Q$1092,"&gt;"&amp;Q617)+1,COUNTIFS($O$2:$O$1092,O617,$P$2:$P$1092,"Below Materiality",$M$2:$M$1092,"&gt;"&amp;M617)+COUNTIFS($O$2:$O$1092,O617,$P$2:$P$1092,"Below Materiality",$M$2:$M$1092,M617,$A$2:$A$1092,"&lt;"&amp;A617)+1))</f>
        <v/>
      </c>
      <c r="T617" s="22"/>
      <c r="U617" s="21" t="str">
        <f aca="false">IF(R617="","",O617&amp;"|A|"&amp;R617)</f>
        <v/>
      </c>
      <c r="V617" s="21" t="str">
        <f aca="false">IF(S617="","",O617&amp;"|R|"&amp;S617)</f>
        <v/>
      </c>
    </row>
    <row r="618" customFormat="false" ht="15" hidden="false" customHeight="false" outlineLevel="0" collapsed="false">
      <c r="A618" s="18" t="n">
        <v>617</v>
      </c>
      <c r="B618" s="18"/>
      <c r="C618" s="18"/>
      <c r="D618" s="18"/>
      <c r="E618" s="18" t="s">
        <v>1257</v>
      </c>
      <c r="F618" s="18" t="s">
        <v>455</v>
      </c>
      <c r="G618" s="18" t="s">
        <v>74</v>
      </c>
      <c r="H618" s="18" t="n">
        <v>400</v>
      </c>
      <c r="I618" s="19" t="n">
        <v>0</v>
      </c>
      <c r="J618" s="19" t="n">
        <v>161</v>
      </c>
      <c r="K618" s="19" t="n">
        <v>161</v>
      </c>
      <c r="L618" s="19" t="n">
        <v>0</v>
      </c>
      <c r="M618" s="19" t="n">
        <f aca="false">ABS(L618)</f>
        <v>0</v>
      </c>
      <c r="N618" s="18" t="str">
        <f aca="false">IF(L618=0,"Nil balance",IF(G618="AR file",IF(L618&gt;0,"Accounts Receivable","Customer Advances"),IF(L618&lt;0,"Accounts Payable","Supplier Advances")))</f>
        <v>Nil balance</v>
      </c>
      <c r="O618" s="18" t="str">
        <f aca="false">IF(L618=0,"Excluded",IF(Summary!$C$4="By ledger",IF(G618="AR file","Population 1","Population 2"),IF(L618&gt;0,"Population 1","Population 2")))</f>
        <v>Excluded</v>
      </c>
      <c r="P618" s="18" t="str">
        <f aca="false">IF(O618="Excluded","Excluded – nil closing balance",IF(M618&gt;Summary!$C$5,"Above Materiality","Below Materiality"))</f>
        <v>Excluded – nil closing balance</v>
      </c>
      <c r="Q618" s="20" t="str">
        <f aca="false">IF(P618="Below Materiality",T618,"")</f>
        <v/>
      </c>
      <c r="R618" s="21" t="str">
        <f aca="false">IF(P618="Above Materiality",COUNTIFS($O$2:$O$1092,O618,$P$2:$P$1092,"Above Materiality",$M$2:$M$1092,"&gt;"&amp;M618)+COUNTIFS($O$2:$O$1092,O618,$P$2:$P$1092,"Above Materiality",$M$2:$M$1092,M618,$A$2:$A$1092,"&lt;"&amp;A618)+1,"")</f>
        <v/>
      </c>
      <c r="S618" s="21" t="str">
        <f aca="false">IF(P618&lt;&gt;"Below Materiality","",IF(Summary!$C$9="Random",COUNTIFS($O$2:$O$1092,O618,$Q$2:$Q$1092,"&gt;"&amp;Q618)+1,COUNTIFS($O$2:$O$1092,O618,$P$2:$P$1092,"Below Materiality",$M$2:$M$1092,"&gt;"&amp;M618)+COUNTIFS($O$2:$O$1092,O618,$P$2:$P$1092,"Below Materiality",$M$2:$M$1092,M618,$A$2:$A$1092,"&lt;"&amp;A618)+1))</f>
        <v/>
      </c>
      <c r="T618" s="22"/>
      <c r="U618" s="21" t="str">
        <f aca="false">IF(R618="","",O618&amp;"|A|"&amp;R618)</f>
        <v/>
      </c>
      <c r="V618" s="21" t="str">
        <f aca="false">IF(S618="","",O618&amp;"|R|"&amp;S618)</f>
        <v/>
      </c>
    </row>
    <row r="619" customFormat="false" ht="15" hidden="false" customHeight="false" outlineLevel="0" collapsed="false">
      <c r="A619" s="18" t="n">
        <v>618</v>
      </c>
      <c r="B619" s="18"/>
      <c r="C619" s="18"/>
      <c r="D619" s="18"/>
      <c r="E619" s="18" t="s">
        <v>1258</v>
      </c>
      <c r="F619" s="18" t="s">
        <v>1259</v>
      </c>
      <c r="G619" s="18" t="s">
        <v>74</v>
      </c>
      <c r="H619" s="18" t="n">
        <v>401</v>
      </c>
      <c r="I619" s="19" t="n">
        <v>0</v>
      </c>
      <c r="J619" s="19" t="n">
        <v>960</v>
      </c>
      <c r="K619" s="19" t="n">
        <v>960</v>
      </c>
      <c r="L619" s="19" t="n">
        <v>0</v>
      </c>
      <c r="M619" s="19" t="n">
        <f aca="false">ABS(L619)</f>
        <v>0</v>
      </c>
      <c r="N619" s="18" t="str">
        <f aca="false">IF(L619=0,"Nil balance",IF(G619="AR file",IF(L619&gt;0,"Accounts Receivable","Customer Advances"),IF(L619&lt;0,"Accounts Payable","Supplier Advances")))</f>
        <v>Nil balance</v>
      </c>
      <c r="O619" s="18" t="str">
        <f aca="false">IF(L619=0,"Excluded",IF(Summary!$C$4="By ledger",IF(G619="AR file","Population 1","Population 2"),IF(L619&gt;0,"Population 1","Population 2")))</f>
        <v>Excluded</v>
      </c>
      <c r="P619" s="18" t="str">
        <f aca="false">IF(O619="Excluded","Excluded – nil closing balance",IF(M619&gt;Summary!$C$5,"Above Materiality","Below Materiality"))</f>
        <v>Excluded – nil closing balance</v>
      </c>
      <c r="Q619" s="20" t="str">
        <f aca="false">IF(P619="Below Materiality",T619,"")</f>
        <v/>
      </c>
      <c r="R619" s="21" t="str">
        <f aca="false">IF(P619="Above Materiality",COUNTIFS($O$2:$O$1092,O619,$P$2:$P$1092,"Above Materiality",$M$2:$M$1092,"&gt;"&amp;M619)+COUNTIFS($O$2:$O$1092,O619,$P$2:$P$1092,"Above Materiality",$M$2:$M$1092,M619,$A$2:$A$1092,"&lt;"&amp;A619)+1,"")</f>
        <v/>
      </c>
      <c r="S619" s="21" t="str">
        <f aca="false">IF(P619&lt;&gt;"Below Materiality","",IF(Summary!$C$9="Random",COUNTIFS($O$2:$O$1092,O619,$Q$2:$Q$1092,"&gt;"&amp;Q619)+1,COUNTIFS($O$2:$O$1092,O619,$P$2:$P$1092,"Below Materiality",$M$2:$M$1092,"&gt;"&amp;M619)+COUNTIFS($O$2:$O$1092,O619,$P$2:$P$1092,"Below Materiality",$M$2:$M$1092,M619,$A$2:$A$1092,"&lt;"&amp;A619)+1))</f>
        <v/>
      </c>
      <c r="T619" s="22"/>
      <c r="U619" s="21" t="str">
        <f aca="false">IF(R619="","",O619&amp;"|A|"&amp;R619)</f>
        <v/>
      </c>
      <c r="V619" s="21" t="str">
        <f aca="false">IF(S619="","",O619&amp;"|R|"&amp;S619)</f>
        <v/>
      </c>
    </row>
    <row r="620" customFormat="false" ht="15" hidden="false" customHeight="false" outlineLevel="0" collapsed="false">
      <c r="A620" s="18" t="n">
        <v>619</v>
      </c>
      <c r="B620" s="18"/>
      <c r="C620" s="18"/>
      <c r="D620" s="18"/>
      <c r="E620" s="18" t="s">
        <v>1260</v>
      </c>
      <c r="F620" s="18" t="s">
        <v>1261</v>
      </c>
      <c r="G620" s="18" t="s">
        <v>74</v>
      </c>
      <c r="H620" s="18" t="n">
        <v>403</v>
      </c>
      <c r="I620" s="19" t="n">
        <v>0</v>
      </c>
      <c r="J620" s="19" t="n">
        <v>840.01</v>
      </c>
      <c r="K620" s="19" t="n">
        <v>840.01</v>
      </c>
      <c r="L620" s="19" t="n">
        <v>0</v>
      </c>
      <c r="M620" s="19" t="n">
        <f aca="false">ABS(L620)</f>
        <v>0</v>
      </c>
      <c r="N620" s="18" t="str">
        <f aca="false">IF(L620=0,"Nil balance",IF(G620="AR file",IF(L620&gt;0,"Accounts Receivable","Customer Advances"),IF(L620&lt;0,"Accounts Payable","Supplier Advances")))</f>
        <v>Nil balance</v>
      </c>
      <c r="O620" s="18" t="str">
        <f aca="false">IF(L620=0,"Excluded",IF(Summary!$C$4="By ledger",IF(G620="AR file","Population 1","Population 2"),IF(L620&gt;0,"Population 1","Population 2")))</f>
        <v>Excluded</v>
      </c>
      <c r="P620" s="18" t="str">
        <f aca="false">IF(O620="Excluded","Excluded – nil closing balance",IF(M620&gt;Summary!$C$5,"Above Materiality","Below Materiality"))</f>
        <v>Excluded – nil closing balance</v>
      </c>
      <c r="Q620" s="20" t="str">
        <f aca="false">IF(P620="Below Materiality",T620,"")</f>
        <v/>
      </c>
      <c r="R620" s="21" t="str">
        <f aca="false">IF(P620="Above Materiality",COUNTIFS($O$2:$O$1092,O620,$P$2:$P$1092,"Above Materiality",$M$2:$M$1092,"&gt;"&amp;M620)+COUNTIFS($O$2:$O$1092,O620,$P$2:$P$1092,"Above Materiality",$M$2:$M$1092,M620,$A$2:$A$1092,"&lt;"&amp;A620)+1,"")</f>
        <v/>
      </c>
      <c r="S620" s="21" t="str">
        <f aca="false">IF(P620&lt;&gt;"Below Materiality","",IF(Summary!$C$9="Random",COUNTIFS($O$2:$O$1092,O620,$Q$2:$Q$1092,"&gt;"&amp;Q620)+1,COUNTIFS($O$2:$O$1092,O620,$P$2:$P$1092,"Below Materiality",$M$2:$M$1092,"&gt;"&amp;M620)+COUNTIFS($O$2:$O$1092,O620,$P$2:$P$1092,"Below Materiality",$M$2:$M$1092,M620,$A$2:$A$1092,"&lt;"&amp;A620)+1))</f>
        <v/>
      </c>
      <c r="T620" s="22"/>
      <c r="U620" s="21" t="str">
        <f aca="false">IF(R620="","",O620&amp;"|A|"&amp;R620)</f>
        <v/>
      </c>
      <c r="V620" s="21" t="str">
        <f aca="false">IF(S620="","",O620&amp;"|R|"&amp;S620)</f>
        <v/>
      </c>
    </row>
    <row r="621" customFormat="false" ht="15" hidden="false" customHeight="false" outlineLevel="0" collapsed="false">
      <c r="A621" s="18" t="n">
        <v>620</v>
      </c>
      <c r="B621" s="18"/>
      <c r="C621" s="18"/>
      <c r="D621" s="18"/>
      <c r="E621" s="18" t="s">
        <v>1262</v>
      </c>
      <c r="F621" s="18" t="s">
        <v>1263</v>
      </c>
      <c r="G621" s="18" t="s">
        <v>74</v>
      </c>
      <c r="H621" s="18" t="n">
        <v>404</v>
      </c>
      <c r="I621" s="19" t="n">
        <v>0</v>
      </c>
      <c r="J621" s="19" t="n">
        <v>210</v>
      </c>
      <c r="K621" s="19" t="n">
        <v>210</v>
      </c>
      <c r="L621" s="19" t="n">
        <v>0</v>
      </c>
      <c r="M621" s="19" t="n">
        <f aca="false">ABS(L621)</f>
        <v>0</v>
      </c>
      <c r="N621" s="18" t="str">
        <f aca="false">IF(L621=0,"Nil balance",IF(G621="AR file",IF(L621&gt;0,"Accounts Receivable","Customer Advances"),IF(L621&lt;0,"Accounts Payable","Supplier Advances")))</f>
        <v>Nil balance</v>
      </c>
      <c r="O621" s="18" t="str">
        <f aca="false">IF(L621=0,"Excluded",IF(Summary!$C$4="By ledger",IF(G621="AR file","Population 1","Population 2"),IF(L621&gt;0,"Population 1","Population 2")))</f>
        <v>Excluded</v>
      </c>
      <c r="P621" s="18" t="str">
        <f aca="false">IF(O621="Excluded","Excluded – nil closing balance",IF(M621&gt;Summary!$C$5,"Above Materiality","Below Materiality"))</f>
        <v>Excluded – nil closing balance</v>
      </c>
      <c r="Q621" s="20" t="str">
        <f aca="false">IF(P621="Below Materiality",T621,"")</f>
        <v/>
      </c>
      <c r="R621" s="21" t="str">
        <f aca="false">IF(P621="Above Materiality",COUNTIFS($O$2:$O$1092,O621,$P$2:$P$1092,"Above Materiality",$M$2:$M$1092,"&gt;"&amp;M621)+COUNTIFS($O$2:$O$1092,O621,$P$2:$P$1092,"Above Materiality",$M$2:$M$1092,M621,$A$2:$A$1092,"&lt;"&amp;A621)+1,"")</f>
        <v/>
      </c>
      <c r="S621" s="21" t="str">
        <f aca="false">IF(P621&lt;&gt;"Below Materiality","",IF(Summary!$C$9="Random",COUNTIFS($O$2:$O$1092,O621,$Q$2:$Q$1092,"&gt;"&amp;Q621)+1,COUNTIFS($O$2:$O$1092,O621,$P$2:$P$1092,"Below Materiality",$M$2:$M$1092,"&gt;"&amp;M621)+COUNTIFS($O$2:$O$1092,O621,$P$2:$P$1092,"Below Materiality",$M$2:$M$1092,M621,$A$2:$A$1092,"&lt;"&amp;A621)+1))</f>
        <v/>
      </c>
      <c r="T621" s="22"/>
      <c r="U621" s="21" t="str">
        <f aca="false">IF(R621="","",O621&amp;"|A|"&amp;R621)</f>
        <v/>
      </c>
      <c r="V621" s="21" t="str">
        <f aca="false">IF(S621="","",O621&amp;"|R|"&amp;S621)</f>
        <v/>
      </c>
    </row>
    <row r="622" customFormat="false" ht="15" hidden="false" customHeight="false" outlineLevel="0" collapsed="false">
      <c r="A622" s="18" t="n">
        <v>621</v>
      </c>
      <c r="B622" s="18"/>
      <c r="C622" s="18"/>
      <c r="D622" s="18"/>
      <c r="E622" s="18" t="s">
        <v>1264</v>
      </c>
      <c r="F622" s="18" t="s">
        <v>1265</v>
      </c>
      <c r="G622" s="18" t="s">
        <v>74</v>
      </c>
      <c r="H622" s="18" t="n">
        <v>405</v>
      </c>
      <c r="I622" s="19" t="n">
        <v>0</v>
      </c>
      <c r="J622" s="19" t="n">
        <v>640</v>
      </c>
      <c r="K622" s="19" t="n">
        <v>640</v>
      </c>
      <c r="L622" s="19" t="n">
        <v>0</v>
      </c>
      <c r="M622" s="19" t="n">
        <f aca="false">ABS(L622)</f>
        <v>0</v>
      </c>
      <c r="N622" s="18" t="str">
        <f aca="false">IF(L622=0,"Nil balance",IF(G622="AR file",IF(L622&gt;0,"Accounts Receivable","Customer Advances"),IF(L622&lt;0,"Accounts Payable","Supplier Advances")))</f>
        <v>Nil balance</v>
      </c>
      <c r="O622" s="18" t="str">
        <f aca="false">IF(L622=0,"Excluded",IF(Summary!$C$4="By ledger",IF(G622="AR file","Population 1","Population 2"),IF(L622&gt;0,"Population 1","Population 2")))</f>
        <v>Excluded</v>
      </c>
      <c r="P622" s="18" t="str">
        <f aca="false">IF(O622="Excluded","Excluded – nil closing balance",IF(M622&gt;Summary!$C$5,"Above Materiality","Below Materiality"))</f>
        <v>Excluded – nil closing balance</v>
      </c>
      <c r="Q622" s="20" t="str">
        <f aca="false">IF(P622="Below Materiality",T622,"")</f>
        <v/>
      </c>
      <c r="R622" s="21" t="str">
        <f aca="false">IF(P622="Above Materiality",COUNTIFS($O$2:$O$1092,O622,$P$2:$P$1092,"Above Materiality",$M$2:$M$1092,"&gt;"&amp;M622)+COUNTIFS($O$2:$O$1092,O622,$P$2:$P$1092,"Above Materiality",$M$2:$M$1092,M622,$A$2:$A$1092,"&lt;"&amp;A622)+1,"")</f>
        <v/>
      </c>
      <c r="S622" s="21" t="str">
        <f aca="false">IF(P622&lt;&gt;"Below Materiality","",IF(Summary!$C$9="Random",COUNTIFS($O$2:$O$1092,O622,$Q$2:$Q$1092,"&gt;"&amp;Q622)+1,COUNTIFS($O$2:$O$1092,O622,$P$2:$P$1092,"Below Materiality",$M$2:$M$1092,"&gt;"&amp;M622)+COUNTIFS($O$2:$O$1092,O622,$P$2:$P$1092,"Below Materiality",$M$2:$M$1092,M622,$A$2:$A$1092,"&lt;"&amp;A622)+1))</f>
        <v/>
      </c>
      <c r="T622" s="22"/>
      <c r="U622" s="21" t="str">
        <f aca="false">IF(R622="","",O622&amp;"|A|"&amp;R622)</f>
        <v/>
      </c>
      <c r="V622" s="21" t="str">
        <f aca="false">IF(S622="","",O622&amp;"|R|"&amp;S622)</f>
        <v/>
      </c>
    </row>
    <row r="623" customFormat="false" ht="15" hidden="false" customHeight="false" outlineLevel="0" collapsed="false">
      <c r="A623" s="18" t="n">
        <v>622</v>
      </c>
      <c r="B623" s="18"/>
      <c r="C623" s="18"/>
      <c r="D623" s="18"/>
      <c r="E623" s="18" t="s">
        <v>1266</v>
      </c>
      <c r="F623" s="18" t="s">
        <v>1267</v>
      </c>
      <c r="G623" s="18" t="s">
        <v>74</v>
      </c>
      <c r="H623" s="18" t="n">
        <v>406</v>
      </c>
      <c r="I623" s="19" t="n">
        <v>-1050</v>
      </c>
      <c r="J623" s="19" t="n">
        <v>1370</v>
      </c>
      <c r="K623" s="19" t="n">
        <v>320</v>
      </c>
      <c r="L623" s="19" t="n">
        <v>0</v>
      </c>
      <c r="M623" s="19" t="n">
        <f aca="false">ABS(L623)</f>
        <v>0</v>
      </c>
      <c r="N623" s="18" t="str">
        <f aca="false">IF(L623=0,"Nil balance",IF(G623="AR file",IF(L623&gt;0,"Accounts Receivable","Customer Advances"),IF(L623&lt;0,"Accounts Payable","Supplier Advances")))</f>
        <v>Nil balance</v>
      </c>
      <c r="O623" s="18" t="str">
        <f aca="false">IF(L623=0,"Excluded",IF(Summary!$C$4="By ledger",IF(G623="AR file","Population 1","Population 2"),IF(L623&gt;0,"Population 1","Population 2")))</f>
        <v>Excluded</v>
      </c>
      <c r="P623" s="18" t="str">
        <f aca="false">IF(O623="Excluded","Excluded – nil closing balance",IF(M623&gt;Summary!$C$5,"Above Materiality","Below Materiality"))</f>
        <v>Excluded – nil closing balance</v>
      </c>
      <c r="Q623" s="20" t="str">
        <f aca="false">IF(P623="Below Materiality",T623,"")</f>
        <v/>
      </c>
      <c r="R623" s="21" t="str">
        <f aca="false">IF(P623="Above Materiality",COUNTIFS($O$2:$O$1092,O623,$P$2:$P$1092,"Above Materiality",$M$2:$M$1092,"&gt;"&amp;M623)+COUNTIFS($O$2:$O$1092,O623,$P$2:$P$1092,"Above Materiality",$M$2:$M$1092,M623,$A$2:$A$1092,"&lt;"&amp;A623)+1,"")</f>
        <v/>
      </c>
      <c r="S623" s="21" t="str">
        <f aca="false">IF(P623&lt;&gt;"Below Materiality","",IF(Summary!$C$9="Random",COUNTIFS($O$2:$O$1092,O623,$Q$2:$Q$1092,"&gt;"&amp;Q623)+1,COUNTIFS($O$2:$O$1092,O623,$P$2:$P$1092,"Below Materiality",$M$2:$M$1092,"&gt;"&amp;M623)+COUNTIFS($O$2:$O$1092,O623,$P$2:$P$1092,"Below Materiality",$M$2:$M$1092,M623,$A$2:$A$1092,"&lt;"&amp;A623)+1))</f>
        <v/>
      </c>
      <c r="T623" s="22"/>
      <c r="U623" s="21" t="str">
        <f aca="false">IF(R623="","",O623&amp;"|A|"&amp;R623)</f>
        <v/>
      </c>
      <c r="V623" s="21" t="str">
        <f aca="false">IF(S623="","",O623&amp;"|R|"&amp;S623)</f>
        <v/>
      </c>
    </row>
    <row r="624" customFormat="false" ht="15" hidden="false" customHeight="false" outlineLevel="0" collapsed="false">
      <c r="A624" s="18" t="n">
        <v>623</v>
      </c>
      <c r="B624" s="18"/>
      <c r="C624" s="18"/>
      <c r="D624" s="18"/>
      <c r="E624" s="18" t="s">
        <v>1268</v>
      </c>
      <c r="F624" s="18" t="s">
        <v>1269</v>
      </c>
      <c r="G624" s="18" t="s">
        <v>74</v>
      </c>
      <c r="H624" s="18" t="n">
        <v>407</v>
      </c>
      <c r="I624" s="19" t="n">
        <v>0</v>
      </c>
      <c r="J624" s="19" t="n">
        <v>870.08</v>
      </c>
      <c r="K624" s="19" t="n">
        <v>870.08</v>
      </c>
      <c r="L624" s="19" t="n">
        <v>0</v>
      </c>
      <c r="M624" s="19" t="n">
        <f aca="false">ABS(L624)</f>
        <v>0</v>
      </c>
      <c r="N624" s="18" t="str">
        <f aca="false">IF(L624=0,"Nil balance",IF(G624="AR file",IF(L624&gt;0,"Accounts Receivable","Customer Advances"),IF(L624&lt;0,"Accounts Payable","Supplier Advances")))</f>
        <v>Nil balance</v>
      </c>
      <c r="O624" s="18" t="str">
        <f aca="false">IF(L624=0,"Excluded",IF(Summary!$C$4="By ledger",IF(G624="AR file","Population 1","Population 2"),IF(L624&gt;0,"Population 1","Population 2")))</f>
        <v>Excluded</v>
      </c>
      <c r="P624" s="18" t="str">
        <f aca="false">IF(O624="Excluded","Excluded – nil closing balance",IF(M624&gt;Summary!$C$5,"Above Materiality","Below Materiality"))</f>
        <v>Excluded – nil closing balance</v>
      </c>
      <c r="Q624" s="20" t="str">
        <f aca="false">IF(P624="Below Materiality",T624,"")</f>
        <v/>
      </c>
      <c r="R624" s="21" t="str">
        <f aca="false">IF(P624="Above Materiality",COUNTIFS($O$2:$O$1092,O624,$P$2:$P$1092,"Above Materiality",$M$2:$M$1092,"&gt;"&amp;M624)+COUNTIFS($O$2:$O$1092,O624,$P$2:$P$1092,"Above Materiality",$M$2:$M$1092,M624,$A$2:$A$1092,"&lt;"&amp;A624)+1,"")</f>
        <v/>
      </c>
      <c r="S624" s="21" t="str">
        <f aca="false">IF(P624&lt;&gt;"Below Materiality","",IF(Summary!$C$9="Random",COUNTIFS($O$2:$O$1092,O624,$Q$2:$Q$1092,"&gt;"&amp;Q624)+1,COUNTIFS($O$2:$O$1092,O624,$P$2:$P$1092,"Below Materiality",$M$2:$M$1092,"&gt;"&amp;M624)+COUNTIFS($O$2:$O$1092,O624,$P$2:$P$1092,"Below Materiality",$M$2:$M$1092,M624,$A$2:$A$1092,"&lt;"&amp;A624)+1))</f>
        <v/>
      </c>
      <c r="T624" s="22"/>
      <c r="U624" s="21" t="str">
        <f aca="false">IF(R624="","",O624&amp;"|A|"&amp;R624)</f>
        <v/>
      </c>
      <c r="V624" s="21" t="str">
        <f aca="false">IF(S624="","",O624&amp;"|R|"&amp;S624)</f>
        <v/>
      </c>
    </row>
    <row r="625" customFormat="false" ht="15" hidden="false" customHeight="false" outlineLevel="0" collapsed="false">
      <c r="A625" s="18" t="n">
        <v>624</v>
      </c>
      <c r="B625" s="18"/>
      <c r="C625" s="18"/>
      <c r="D625" s="18"/>
      <c r="E625" s="18" t="s">
        <v>1270</v>
      </c>
      <c r="F625" s="18" t="s">
        <v>1271</v>
      </c>
      <c r="G625" s="18" t="s">
        <v>74</v>
      </c>
      <c r="H625" s="18" t="n">
        <v>408</v>
      </c>
      <c r="I625" s="19" t="n">
        <v>0</v>
      </c>
      <c r="J625" s="19" t="n">
        <v>952.2</v>
      </c>
      <c r="K625" s="19" t="n">
        <v>952.2</v>
      </c>
      <c r="L625" s="19" t="n">
        <v>0</v>
      </c>
      <c r="M625" s="19" t="n">
        <f aca="false">ABS(L625)</f>
        <v>0</v>
      </c>
      <c r="N625" s="18" t="str">
        <f aca="false">IF(L625=0,"Nil balance",IF(G625="AR file",IF(L625&gt;0,"Accounts Receivable","Customer Advances"),IF(L625&lt;0,"Accounts Payable","Supplier Advances")))</f>
        <v>Nil balance</v>
      </c>
      <c r="O625" s="18" t="str">
        <f aca="false">IF(L625=0,"Excluded",IF(Summary!$C$4="By ledger",IF(G625="AR file","Population 1","Population 2"),IF(L625&gt;0,"Population 1","Population 2")))</f>
        <v>Excluded</v>
      </c>
      <c r="P625" s="18" t="str">
        <f aca="false">IF(O625="Excluded","Excluded – nil closing balance",IF(M625&gt;Summary!$C$5,"Above Materiality","Below Materiality"))</f>
        <v>Excluded – nil closing balance</v>
      </c>
      <c r="Q625" s="20" t="str">
        <f aca="false">IF(P625="Below Materiality",T625,"")</f>
        <v/>
      </c>
      <c r="R625" s="21" t="str">
        <f aca="false">IF(P625="Above Materiality",COUNTIFS($O$2:$O$1092,O625,$P$2:$P$1092,"Above Materiality",$M$2:$M$1092,"&gt;"&amp;M625)+COUNTIFS($O$2:$O$1092,O625,$P$2:$P$1092,"Above Materiality",$M$2:$M$1092,M625,$A$2:$A$1092,"&lt;"&amp;A625)+1,"")</f>
        <v/>
      </c>
      <c r="S625" s="21" t="str">
        <f aca="false">IF(P625&lt;&gt;"Below Materiality","",IF(Summary!$C$9="Random",COUNTIFS($O$2:$O$1092,O625,$Q$2:$Q$1092,"&gt;"&amp;Q625)+1,COUNTIFS($O$2:$O$1092,O625,$P$2:$P$1092,"Below Materiality",$M$2:$M$1092,"&gt;"&amp;M625)+COUNTIFS($O$2:$O$1092,O625,$P$2:$P$1092,"Below Materiality",$M$2:$M$1092,M625,$A$2:$A$1092,"&lt;"&amp;A625)+1))</f>
        <v/>
      </c>
      <c r="T625" s="22"/>
      <c r="U625" s="21" t="str">
        <f aca="false">IF(R625="","",O625&amp;"|A|"&amp;R625)</f>
        <v/>
      </c>
      <c r="V625" s="21" t="str">
        <f aca="false">IF(S625="","",O625&amp;"|R|"&amp;S625)</f>
        <v/>
      </c>
    </row>
    <row r="626" customFormat="false" ht="15" hidden="false" customHeight="false" outlineLevel="0" collapsed="false">
      <c r="A626" s="18" t="n">
        <v>625</v>
      </c>
      <c r="B626" s="18"/>
      <c r="C626" s="18"/>
      <c r="D626" s="18"/>
      <c r="E626" s="18" t="s">
        <v>1272</v>
      </c>
      <c r="F626" s="18" t="s">
        <v>1273</v>
      </c>
      <c r="G626" s="18" t="s">
        <v>74</v>
      </c>
      <c r="H626" s="18" t="n">
        <v>410</v>
      </c>
      <c r="I626" s="19" t="n">
        <v>0</v>
      </c>
      <c r="J626" s="19" t="n">
        <v>2300</v>
      </c>
      <c r="K626" s="19" t="n">
        <v>2300</v>
      </c>
      <c r="L626" s="19" t="n">
        <v>0</v>
      </c>
      <c r="M626" s="19" t="n">
        <f aca="false">ABS(L626)</f>
        <v>0</v>
      </c>
      <c r="N626" s="18" t="str">
        <f aca="false">IF(L626=0,"Nil balance",IF(G626="AR file",IF(L626&gt;0,"Accounts Receivable","Customer Advances"),IF(L626&lt;0,"Accounts Payable","Supplier Advances")))</f>
        <v>Nil balance</v>
      </c>
      <c r="O626" s="18" t="str">
        <f aca="false">IF(L626=0,"Excluded",IF(Summary!$C$4="By ledger",IF(G626="AR file","Population 1","Population 2"),IF(L626&gt;0,"Population 1","Population 2")))</f>
        <v>Excluded</v>
      </c>
      <c r="P626" s="18" t="str">
        <f aca="false">IF(O626="Excluded","Excluded – nil closing balance",IF(M626&gt;Summary!$C$5,"Above Materiality","Below Materiality"))</f>
        <v>Excluded – nil closing balance</v>
      </c>
      <c r="Q626" s="20" t="str">
        <f aca="false">IF(P626="Below Materiality",T626,"")</f>
        <v/>
      </c>
      <c r="R626" s="21" t="str">
        <f aca="false">IF(P626="Above Materiality",COUNTIFS($O$2:$O$1092,O626,$P$2:$P$1092,"Above Materiality",$M$2:$M$1092,"&gt;"&amp;M626)+COUNTIFS($O$2:$O$1092,O626,$P$2:$P$1092,"Above Materiality",$M$2:$M$1092,M626,$A$2:$A$1092,"&lt;"&amp;A626)+1,"")</f>
        <v/>
      </c>
      <c r="S626" s="21" t="str">
        <f aca="false">IF(P626&lt;&gt;"Below Materiality","",IF(Summary!$C$9="Random",COUNTIFS($O$2:$O$1092,O626,$Q$2:$Q$1092,"&gt;"&amp;Q626)+1,COUNTIFS($O$2:$O$1092,O626,$P$2:$P$1092,"Below Materiality",$M$2:$M$1092,"&gt;"&amp;M626)+COUNTIFS($O$2:$O$1092,O626,$P$2:$P$1092,"Below Materiality",$M$2:$M$1092,M626,$A$2:$A$1092,"&lt;"&amp;A626)+1))</f>
        <v/>
      </c>
      <c r="T626" s="22"/>
      <c r="U626" s="21" t="str">
        <f aca="false">IF(R626="","",O626&amp;"|A|"&amp;R626)</f>
        <v/>
      </c>
      <c r="V626" s="21" t="str">
        <f aca="false">IF(S626="","",O626&amp;"|R|"&amp;S626)</f>
        <v/>
      </c>
    </row>
    <row r="627" customFormat="false" ht="15" hidden="false" customHeight="false" outlineLevel="0" collapsed="false">
      <c r="A627" s="18" t="n">
        <v>626</v>
      </c>
      <c r="B627" s="18"/>
      <c r="C627" s="18"/>
      <c r="D627" s="18"/>
      <c r="E627" s="18" t="s">
        <v>1274</v>
      </c>
      <c r="F627" s="18" t="s">
        <v>1275</v>
      </c>
      <c r="G627" s="18" t="s">
        <v>74</v>
      </c>
      <c r="H627" s="18" t="n">
        <v>411</v>
      </c>
      <c r="I627" s="19" t="n">
        <v>27</v>
      </c>
      <c r="J627" s="19" t="n">
        <v>0</v>
      </c>
      <c r="K627" s="19" t="n">
        <v>27</v>
      </c>
      <c r="L627" s="19" t="n">
        <v>0</v>
      </c>
      <c r="M627" s="19" t="n">
        <f aca="false">ABS(L627)</f>
        <v>0</v>
      </c>
      <c r="N627" s="18" t="str">
        <f aca="false">IF(L627=0,"Nil balance",IF(G627="AR file",IF(L627&gt;0,"Accounts Receivable","Customer Advances"),IF(L627&lt;0,"Accounts Payable","Supplier Advances")))</f>
        <v>Nil balance</v>
      </c>
      <c r="O627" s="18" t="str">
        <f aca="false">IF(L627=0,"Excluded",IF(Summary!$C$4="By ledger",IF(G627="AR file","Population 1","Population 2"),IF(L627&gt;0,"Population 1","Population 2")))</f>
        <v>Excluded</v>
      </c>
      <c r="P627" s="18" t="str">
        <f aca="false">IF(O627="Excluded","Excluded – nil closing balance",IF(M627&gt;Summary!$C$5,"Above Materiality","Below Materiality"))</f>
        <v>Excluded – nil closing balance</v>
      </c>
      <c r="Q627" s="20" t="str">
        <f aca="false">IF(P627="Below Materiality",T627,"")</f>
        <v/>
      </c>
      <c r="R627" s="21" t="str">
        <f aca="false">IF(P627="Above Materiality",COUNTIFS($O$2:$O$1092,O627,$P$2:$P$1092,"Above Materiality",$M$2:$M$1092,"&gt;"&amp;M627)+COUNTIFS($O$2:$O$1092,O627,$P$2:$P$1092,"Above Materiality",$M$2:$M$1092,M627,$A$2:$A$1092,"&lt;"&amp;A627)+1,"")</f>
        <v/>
      </c>
      <c r="S627" s="21" t="str">
        <f aca="false">IF(P627&lt;&gt;"Below Materiality","",IF(Summary!$C$9="Random",COUNTIFS($O$2:$O$1092,O627,$Q$2:$Q$1092,"&gt;"&amp;Q627)+1,COUNTIFS($O$2:$O$1092,O627,$P$2:$P$1092,"Below Materiality",$M$2:$M$1092,"&gt;"&amp;M627)+COUNTIFS($O$2:$O$1092,O627,$P$2:$P$1092,"Below Materiality",$M$2:$M$1092,M627,$A$2:$A$1092,"&lt;"&amp;A627)+1))</f>
        <v/>
      </c>
      <c r="T627" s="22"/>
      <c r="U627" s="21" t="str">
        <f aca="false">IF(R627="","",O627&amp;"|A|"&amp;R627)</f>
        <v/>
      </c>
      <c r="V627" s="21" t="str">
        <f aca="false">IF(S627="","",O627&amp;"|R|"&amp;S627)</f>
        <v/>
      </c>
    </row>
    <row r="628" customFormat="false" ht="15" hidden="false" customHeight="false" outlineLevel="0" collapsed="false">
      <c r="A628" s="18" t="n">
        <v>627</v>
      </c>
      <c r="B628" s="18"/>
      <c r="C628" s="18"/>
      <c r="D628" s="18"/>
      <c r="E628" s="18" t="s">
        <v>1276</v>
      </c>
      <c r="F628" s="18" t="s">
        <v>1277</v>
      </c>
      <c r="G628" s="18" t="s">
        <v>74</v>
      </c>
      <c r="H628" s="18" t="n">
        <v>412</v>
      </c>
      <c r="I628" s="19" t="n">
        <v>0</v>
      </c>
      <c r="J628" s="19" t="n">
        <v>23719.9</v>
      </c>
      <c r="K628" s="19" t="n">
        <v>23719.9</v>
      </c>
      <c r="L628" s="19" t="n">
        <v>0</v>
      </c>
      <c r="M628" s="19" t="n">
        <f aca="false">ABS(L628)</f>
        <v>0</v>
      </c>
      <c r="N628" s="18" t="str">
        <f aca="false">IF(L628=0,"Nil balance",IF(G628="AR file",IF(L628&gt;0,"Accounts Receivable","Customer Advances"),IF(L628&lt;0,"Accounts Payable","Supplier Advances")))</f>
        <v>Nil balance</v>
      </c>
      <c r="O628" s="18" t="str">
        <f aca="false">IF(L628=0,"Excluded",IF(Summary!$C$4="By ledger",IF(G628="AR file","Population 1","Population 2"),IF(L628&gt;0,"Population 1","Population 2")))</f>
        <v>Excluded</v>
      </c>
      <c r="P628" s="18" t="str">
        <f aca="false">IF(O628="Excluded","Excluded – nil closing balance",IF(M628&gt;Summary!$C$5,"Above Materiality","Below Materiality"))</f>
        <v>Excluded – nil closing balance</v>
      </c>
      <c r="Q628" s="20" t="str">
        <f aca="false">IF(P628="Below Materiality",T628,"")</f>
        <v/>
      </c>
      <c r="R628" s="21" t="str">
        <f aca="false">IF(P628="Above Materiality",COUNTIFS($O$2:$O$1092,O628,$P$2:$P$1092,"Above Materiality",$M$2:$M$1092,"&gt;"&amp;M628)+COUNTIFS($O$2:$O$1092,O628,$P$2:$P$1092,"Above Materiality",$M$2:$M$1092,M628,$A$2:$A$1092,"&lt;"&amp;A628)+1,"")</f>
        <v/>
      </c>
      <c r="S628" s="21" t="str">
        <f aca="false">IF(P628&lt;&gt;"Below Materiality","",IF(Summary!$C$9="Random",COUNTIFS($O$2:$O$1092,O628,$Q$2:$Q$1092,"&gt;"&amp;Q628)+1,COUNTIFS($O$2:$O$1092,O628,$P$2:$P$1092,"Below Materiality",$M$2:$M$1092,"&gt;"&amp;M628)+COUNTIFS($O$2:$O$1092,O628,$P$2:$P$1092,"Below Materiality",$M$2:$M$1092,M628,$A$2:$A$1092,"&lt;"&amp;A628)+1))</f>
        <v/>
      </c>
      <c r="T628" s="22"/>
      <c r="U628" s="21" t="str">
        <f aca="false">IF(R628="","",O628&amp;"|A|"&amp;R628)</f>
        <v/>
      </c>
      <c r="V628" s="21" t="str">
        <f aca="false">IF(S628="","",O628&amp;"|R|"&amp;S628)</f>
        <v/>
      </c>
    </row>
    <row r="629" customFormat="false" ht="15" hidden="false" customHeight="false" outlineLevel="0" collapsed="false">
      <c r="A629" s="18" t="n">
        <v>628</v>
      </c>
      <c r="B629" s="18"/>
      <c r="C629" s="18"/>
      <c r="D629" s="18"/>
      <c r="E629" s="18" t="s">
        <v>1278</v>
      </c>
      <c r="F629" s="18" t="s">
        <v>1279</v>
      </c>
      <c r="G629" s="18" t="s">
        <v>74</v>
      </c>
      <c r="H629" s="18" t="n">
        <v>415</v>
      </c>
      <c r="I629" s="19" t="n">
        <v>-1000</v>
      </c>
      <c r="J629" s="19" t="n">
        <v>8466.53</v>
      </c>
      <c r="K629" s="19" t="n">
        <v>7466.53</v>
      </c>
      <c r="L629" s="19" t="n">
        <v>0</v>
      </c>
      <c r="M629" s="19" t="n">
        <f aca="false">ABS(L629)</f>
        <v>0</v>
      </c>
      <c r="N629" s="18" t="str">
        <f aca="false">IF(L629=0,"Nil balance",IF(G629="AR file",IF(L629&gt;0,"Accounts Receivable","Customer Advances"),IF(L629&lt;0,"Accounts Payable","Supplier Advances")))</f>
        <v>Nil balance</v>
      </c>
      <c r="O629" s="18" t="str">
        <f aca="false">IF(L629=0,"Excluded",IF(Summary!$C$4="By ledger",IF(G629="AR file","Population 1","Population 2"),IF(L629&gt;0,"Population 1","Population 2")))</f>
        <v>Excluded</v>
      </c>
      <c r="P629" s="18" t="str">
        <f aca="false">IF(O629="Excluded","Excluded – nil closing balance",IF(M629&gt;Summary!$C$5,"Above Materiality","Below Materiality"))</f>
        <v>Excluded – nil closing balance</v>
      </c>
      <c r="Q629" s="20" t="str">
        <f aca="false">IF(P629="Below Materiality",T629,"")</f>
        <v/>
      </c>
      <c r="R629" s="21" t="str">
        <f aca="false">IF(P629="Above Materiality",COUNTIFS($O$2:$O$1092,O629,$P$2:$P$1092,"Above Materiality",$M$2:$M$1092,"&gt;"&amp;M629)+COUNTIFS($O$2:$O$1092,O629,$P$2:$P$1092,"Above Materiality",$M$2:$M$1092,M629,$A$2:$A$1092,"&lt;"&amp;A629)+1,"")</f>
        <v/>
      </c>
      <c r="S629" s="21" t="str">
        <f aca="false">IF(P629&lt;&gt;"Below Materiality","",IF(Summary!$C$9="Random",COUNTIFS($O$2:$O$1092,O629,$Q$2:$Q$1092,"&gt;"&amp;Q629)+1,COUNTIFS($O$2:$O$1092,O629,$P$2:$P$1092,"Below Materiality",$M$2:$M$1092,"&gt;"&amp;M629)+COUNTIFS($O$2:$O$1092,O629,$P$2:$P$1092,"Below Materiality",$M$2:$M$1092,M629,$A$2:$A$1092,"&lt;"&amp;A629)+1))</f>
        <v/>
      </c>
      <c r="T629" s="22"/>
      <c r="U629" s="21" t="str">
        <f aca="false">IF(R629="","",O629&amp;"|A|"&amp;R629)</f>
        <v/>
      </c>
      <c r="V629" s="21" t="str">
        <f aca="false">IF(S629="","",O629&amp;"|R|"&amp;S629)</f>
        <v/>
      </c>
    </row>
    <row r="630" customFormat="false" ht="15" hidden="false" customHeight="false" outlineLevel="0" collapsed="false">
      <c r="A630" s="18" t="n">
        <v>629</v>
      </c>
      <c r="B630" s="18"/>
      <c r="C630" s="18"/>
      <c r="D630" s="18"/>
      <c r="E630" s="18" t="s">
        <v>1280</v>
      </c>
      <c r="F630" s="18" t="s">
        <v>886</v>
      </c>
      <c r="G630" s="18" t="s">
        <v>74</v>
      </c>
      <c r="H630" s="18" t="n">
        <v>416</v>
      </c>
      <c r="I630" s="19" t="n">
        <v>0</v>
      </c>
      <c r="J630" s="19" t="n">
        <v>30</v>
      </c>
      <c r="K630" s="19" t="n">
        <v>30</v>
      </c>
      <c r="L630" s="19" t="n">
        <v>0</v>
      </c>
      <c r="M630" s="19" t="n">
        <f aca="false">ABS(L630)</f>
        <v>0</v>
      </c>
      <c r="N630" s="18" t="str">
        <f aca="false">IF(L630=0,"Nil balance",IF(G630="AR file",IF(L630&gt;0,"Accounts Receivable","Customer Advances"),IF(L630&lt;0,"Accounts Payable","Supplier Advances")))</f>
        <v>Nil balance</v>
      </c>
      <c r="O630" s="18" t="str">
        <f aca="false">IF(L630=0,"Excluded",IF(Summary!$C$4="By ledger",IF(G630="AR file","Population 1","Population 2"),IF(L630&gt;0,"Population 1","Population 2")))</f>
        <v>Excluded</v>
      </c>
      <c r="P630" s="18" t="str">
        <f aca="false">IF(O630="Excluded","Excluded – nil closing balance",IF(M630&gt;Summary!$C$5,"Above Materiality","Below Materiality"))</f>
        <v>Excluded – nil closing balance</v>
      </c>
      <c r="Q630" s="20" t="str">
        <f aca="false">IF(P630="Below Materiality",T630,"")</f>
        <v/>
      </c>
      <c r="R630" s="21" t="str">
        <f aca="false">IF(P630="Above Materiality",COUNTIFS($O$2:$O$1092,O630,$P$2:$P$1092,"Above Materiality",$M$2:$M$1092,"&gt;"&amp;M630)+COUNTIFS($O$2:$O$1092,O630,$P$2:$P$1092,"Above Materiality",$M$2:$M$1092,M630,$A$2:$A$1092,"&lt;"&amp;A630)+1,"")</f>
        <v/>
      </c>
      <c r="S630" s="21" t="str">
        <f aca="false">IF(P630&lt;&gt;"Below Materiality","",IF(Summary!$C$9="Random",COUNTIFS($O$2:$O$1092,O630,$Q$2:$Q$1092,"&gt;"&amp;Q630)+1,COUNTIFS($O$2:$O$1092,O630,$P$2:$P$1092,"Below Materiality",$M$2:$M$1092,"&gt;"&amp;M630)+COUNTIFS($O$2:$O$1092,O630,$P$2:$P$1092,"Below Materiality",$M$2:$M$1092,M630,$A$2:$A$1092,"&lt;"&amp;A630)+1))</f>
        <v/>
      </c>
      <c r="T630" s="22"/>
      <c r="U630" s="21" t="str">
        <f aca="false">IF(R630="","",O630&amp;"|A|"&amp;R630)</f>
        <v/>
      </c>
      <c r="V630" s="21" t="str">
        <f aca="false">IF(S630="","",O630&amp;"|R|"&amp;S630)</f>
        <v/>
      </c>
    </row>
    <row r="631" customFormat="false" ht="15" hidden="false" customHeight="false" outlineLevel="0" collapsed="false">
      <c r="A631" s="18" t="n">
        <v>630</v>
      </c>
      <c r="B631" s="18"/>
      <c r="C631" s="18"/>
      <c r="D631" s="18"/>
      <c r="E631" s="18" t="s">
        <v>1281</v>
      </c>
      <c r="F631" s="18" t="s">
        <v>1282</v>
      </c>
      <c r="G631" s="18" t="s">
        <v>74</v>
      </c>
      <c r="H631" s="18" t="n">
        <v>417</v>
      </c>
      <c r="I631" s="19" t="n">
        <v>0</v>
      </c>
      <c r="J631" s="19" t="n">
        <v>3357.25</v>
      </c>
      <c r="K631" s="19" t="n">
        <v>3357.25</v>
      </c>
      <c r="L631" s="19" t="n">
        <v>0</v>
      </c>
      <c r="M631" s="19" t="n">
        <f aca="false">ABS(L631)</f>
        <v>0</v>
      </c>
      <c r="N631" s="18" t="str">
        <f aca="false">IF(L631=0,"Nil balance",IF(G631="AR file",IF(L631&gt;0,"Accounts Receivable","Customer Advances"),IF(L631&lt;0,"Accounts Payable","Supplier Advances")))</f>
        <v>Nil balance</v>
      </c>
      <c r="O631" s="18" t="str">
        <f aca="false">IF(L631=0,"Excluded",IF(Summary!$C$4="By ledger",IF(G631="AR file","Population 1","Population 2"),IF(L631&gt;0,"Population 1","Population 2")))</f>
        <v>Excluded</v>
      </c>
      <c r="P631" s="18" t="str">
        <f aca="false">IF(O631="Excluded","Excluded – nil closing balance",IF(M631&gt;Summary!$C$5,"Above Materiality","Below Materiality"))</f>
        <v>Excluded – nil closing balance</v>
      </c>
      <c r="Q631" s="20" t="str">
        <f aca="false">IF(P631="Below Materiality",T631,"")</f>
        <v/>
      </c>
      <c r="R631" s="21" t="str">
        <f aca="false">IF(P631="Above Materiality",COUNTIFS($O$2:$O$1092,O631,$P$2:$P$1092,"Above Materiality",$M$2:$M$1092,"&gt;"&amp;M631)+COUNTIFS($O$2:$O$1092,O631,$P$2:$P$1092,"Above Materiality",$M$2:$M$1092,M631,$A$2:$A$1092,"&lt;"&amp;A631)+1,"")</f>
        <v/>
      </c>
      <c r="S631" s="21" t="str">
        <f aca="false">IF(P631&lt;&gt;"Below Materiality","",IF(Summary!$C$9="Random",COUNTIFS($O$2:$O$1092,O631,$Q$2:$Q$1092,"&gt;"&amp;Q631)+1,COUNTIFS($O$2:$O$1092,O631,$P$2:$P$1092,"Below Materiality",$M$2:$M$1092,"&gt;"&amp;M631)+COUNTIFS($O$2:$O$1092,O631,$P$2:$P$1092,"Below Materiality",$M$2:$M$1092,M631,$A$2:$A$1092,"&lt;"&amp;A631)+1))</f>
        <v/>
      </c>
      <c r="T631" s="22"/>
      <c r="U631" s="21" t="str">
        <f aca="false">IF(R631="","",O631&amp;"|A|"&amp;R631)</f>
        <v/>
      </c>
      <c r="V631" s="21" t="str">
        <f aca="false">IF(S631="","",O631&amp;"|R|"&amp;S631)</f>
        <v/>
      </c>
    </row>
    <row r="632" customFormat="false" ht="15" hidden="false" customHeight="false" outlineLevel="0" collapsed="false">
      <c r="A632" s="18" t="n">
        <v>631</v>
      </c>
      <c r="B632" s="18"/>
      <c r="C632" s="18"/>
      <c r="D632" s="18"/>
      <c r="E632" s="18" t="s">
        <v>1283</v>
      </c>
      <c r="F632" s="18" t="s">
        <v>1284</v>
      </c>
      <c r="G632" s="18" t="s">
        <v>74</v>
      </c>
      <c r="H632" s="18" t="n">
        <v>418</v>
      </c>
      <c r="I632" s="19" t="n">
        <v>0</v>
      </c>
      <c r="J632" s="19" t="n">
        <v>3215.4</v>
      </c>
      <c r="K632" s="19" t="n">
        <v>3215.4</v>
      </c>
      <c r="L632" s="19" t="n">
        <v>0</v>
      </c>
      <c r="M632" s="19" t="n">
        <f aca="false">ABS(L632)</f>
        <v>0</v>
      </c>
      <c r="N632" s="18" t="str">
        <f aca="false">IF(L632=0,"Nil balance",IF(G632="AR file",IF(L632&gt;0,"Accounts Receivable","Customer Advances"),IF(L632&lt;0,"Accounts Payable","Supplier Advances")))</f>
        <v>Nil balance</v>
      </c>
      <c r="O632" s="18" t="str">
        <f aca="false">IF(L632=0,"Excluded",IF(Summary!$C$4="By ledger",IF(G632="AR file","Population 1","Population 2"),IF(L632&gt;0,"Population 1","Population 2")))</f>
        <v>Excluded</v>
      </c>
      <c r="P632" s="18" t="str">
        <f aca="false">IF(O632="Excluded","Excluded – nil closing balance",IF(M632&gt;Summary!$C$5,"Above Materiality","Below Materiality"))</f>
        <v>Excluded – nil closing balance</v>
      </c>
      <c r="Q632" s="20" t="str">
        <f aca="false">IF(P632="Below Materiality",T632,"")</f>
        <v/>
      </c>
      <c r="R632" s="21" t="str">
        <f aca="false">IF(P632="Above Materiality",COUNTIFS($O$2:$O$1092,O632,$P$2:$P$1092,"Above Materiality",$M$2:$M$1092,"&gt;"&amp;M632)+COUNTIFS($O$2:$O$1092,O632,$P$2:$P$1092,"Above Materiality",$M$2:$M$1092,M632,$A$2:$A$1092,"&lt;"&amp;A632)+1,"")</f>
        <v/>
      </c>
      <c r="S632" s="21" t="str">
        <f aca="false">IF(P632&lt;&gt;"Below Materiality","",IF(Summary!$C$9="Random",COUNTIFS($O$2:$O$1092,O632,$Q$2:$Q$1092,"&gt;"&amp;Q632)+1,COUNTIFS($O$2:$O$1092,O632,$P$2:$P$1092,"Below Materiality",$M$2:$M$1092,"&gt;"&amp;M632)+COUNTIFS($O$2:$O$1092,O632,$P$2:$P$1092,"Below Materiality",$M$2:$M$1092,M632,$A$2:$A$1092,"&lt;"&amp;A632)+1))</f>
        <v/>
      </c>
      <c r="T632" s="22"/>
      <c r="U632" s="21" t="str">
        <f aca="false">IF(R632="","",O632&amp;"|A|"&amp;R632)</f>
        <v/>
      </c>
      <c r="V632" s="21" t="str">
        <f aca="false">IF(S632="","",O632&amp;"|R|"&amp;S632)</f>
        <v/>
      </c>
    </row>
    <row r="633" customFormat="false" ht="15" hidden="false" customHeight="false" outlineLevel="0" collapsed="false">
      <c r="A633" s="18" t="n">
        <v>632</v>
      </c>
      <c r="B633" s="18"/>
      <c r="C633" s="18"/>
      <c r="D633" s="18"/>
      <c r="E633" s="18" t="s">
        <v>1285</v>
      </c>
      <c r="F633" s="18" t="s">
        <v>1286</v>
      </c>
      <c r="G633" s="18" t="s">
        <v>74</v>
      </c>
      <c r="H633" s="18" t="n">
        <v>419</v>
      </c>
      <c r="I633" s="19" t="n">
        <v>0</v>
      </c>
      <c r="J633" s="19" t="n">
        <v>14135.8</v>
      </c>
      <c r="K633" s="19" t="n">
        <v>14135.8</v>
      </c>
      <c r="L633" s="19" t="n">
        <v>0</v>
      </c>
      <c r="M633" s="19" t="n">
        <f aca="false">ABS(L633)</f>
        <v>0</v>
      </c>
      <c r="N633" s="18" t="str">
        <f aca="false">IF(L633=0,"Nil balance",IF(G633="AR file",IF(L633&gt;0,"Accounts Receivable","Customer Advances"),IF(L633&lt;0,"Accounts Payable","Supplier Advances")))</f>
        <v>Nil balance</v>
      </c>
      <c r="O633" s="18" t="str">
        <f aca="false">IF(L633=0,"Excluded",IF(Summary!$C$4="By ledger",IF(G633="AR file","Population 1","Population 2"),IF(L633&gt;0,"Population 1","Population 2")))</f>
        <v>Excluded</v>
      </c>
      <c r="P633" s="18" t="str">
        <f aca="false">IF(O633="Excluded","Excluded – nil closing balance",IF(M633&gt;Summary!$C$5,"Above Materiality","Below Materiality"))</f>
        <v>Excluded – nil closing balance</v>
      </c>
      <c r="Q633" s="20" t="str">
        <f aca="false">IF(P633="Below Materiality",T633,"")</f>
        <v/>
      </c>
      <c r="R633" s="21" t="str">
        <f aca="false">IF(P633="Above Materiality",COUNTIFS($O$2:$O$1092,O633,$P$2:$P$1092,"Above Materiality",$M$2:$M$1092,"&gt;"&amp;M633)+COUNTIFS($O$2:$O$1092,O633,$P$2:$P$1092,"Above Materiality",$M$2:$M$1092,M633,$A$2:$A$1092,"&lt;"&amp;A633)+1,"")</f>
        <v/>
      </c>
      <c r="S633" s="21" t="str">
        <f aca="false">IF(P633&lt;&gt;"Below Materiality","",IF(Summary!$C$9="Random",COUNTIFS($O$2:$O$1092,O633,$Q$2:$Q$1092,"&gt;"&amp;Q633)+1,COUNTIFS($O$2:$O$1092,O633,$P$2:$P$1092,"Below Materiality",$M$2:$M$1092,"&gt;"&amp;M633)+COUNTIFS($O$2:$O$1092,O633,$P$2:$P$1092,"Below Materiality",$M$2:$M$1092,M633,$A$2:$A$1092,"&lt;"&amp;A633)+1))</f>
        <v/>
      </c>
      <c r="T633" s="22"/>
      <c r="U633" s="21" t="str">
        <f aca="false">IF(R633="","",O633&amp;"|A|"&amp;R633)</f>
        <v/>
      </c>
      <c r="V633" s="21" t="str">
        <f aca="false">IF(S633="","",O633&amp;"|R|"&amp;S633)</f>
        <v/>
      </c>
    </row>
    <row r="634" customFormat="false" ht="15" hidden="false" customHeight="false" outlineLevel="0" collapsed="false">
      <c r="A634" s="18" t="n">
        <v>633</v>
      </c>
      <c r="B634" s="18"/>
      <c r="C634" s="18"/>
      <c r="D634" s="18"/>
      <c r="E634" s="18" t="s">
        <v>1287</v>
      </c>
      <c r="F634" s="18" t="s">
        <v>1288</v>
      </c>
      <c r="G634" s="18" t="s">
        <v>74</v>
      </c>
      <c r="H634" s="18" t="n">
        <v>421</v>
      </c>
      <c r="I634" s="19" t="n">
        <v>0</v>
      </c>
      <c r="J634" s="19" t="n">
        <v>1039.6</v>
      </c>
      <c r="K634" s="19" t="n">
        <v>1039.6</v>
      </c>
      <c r="L634" s="19" t="n">
        <v>0</v>
      </c>
      <c r="M634" s="19" t="n">
        <f aca="false">ABS(L634)</f>
        <v>0</v>
      </c>
      <c r="N634" s="18" t="str">
        <f aca="false">IF(L634=0,"Nil balance",IF(G634="AR file",IF(L634&gt;0,"Accounts Receivable","Customer Advances"),IF(L634&lt;0,"Accounts Payable","Supplier Advances")))</f>
        <v>Nil balance</v>
      </c>
      <c r="O634" s="18" t="str">
        <f aca="false">IF(L634=0,"Excluded",IF(Summary!$C$4="By ledger",IF(G634="AR file","Population 1","Population 2"),IF(L634&gt;0,"Population 1","Population 2")))</f>
        <v>Excluded</v>
      </c>
      <c r="P634" s="18" t="str">
        <f aca="false">IF(O634="Excluded","Excluded – nil closing balance",IF(M634&gt;Summary!$C$5,"Above Materiality","Below Materiality"))</f>
        <v>Excluded – nil closing balance</v>
      </c>
      <c r="Q634" s="20" t="str">
        <f aca="false">IF(P634="Below Materiality",T634,"")</f>
        <v/>
      </c>
      <c r="R634" s="21" t="str">
        <f aca="false">IF(P634="Above Materiality",COUNTIFS($O$2:$O$1092,O634,$P$2:$P$1092,"Above Materiality",$M$2:$M$1092,"&gt;"&amp;M634)+COUNTIFS($O$2:$O$1092,O634,$P$2:$P$1092,"Above Materiality",$M$2:$M$1092,M634,$A$2:$A$1092,"&lt;"&amp;A634)+1,"")</f>
        <v/>
      </c>
      <c r="S634" s="21" t="str">
        <f aca="false">IF(P634&lt;&gt;"Below Materiality","",IF(Summary!$C$9="Random",COUNTIFS($O$2:$O$1092,O634,$Q$2:$Q$1092,"&gt;"&amp;Q634)+1,COUNTIFS($O$2:$O$1092,O634,$P$2:$P$1092,"Below Materiality",$M$2:$M$1092,"&gt;"&amp;M634)+COUNTIFS($O$2:$O$1092,O634,$P$2:$P$1092,"Below Materiality",$M$2:$M$1092,M634,$A$2:$A$1092,"&lt;"&amp;A634)+1))</f>
        <v/>
      </c>
      <c r="T634" s="22"/>
      <c r="U634" s="21" t="str">
        <f aca="false">IF(R634="","",O634&amp;"|A|"&amp;R634)</f>
        <v/>
      </c>
      <c r="V634" s="21" t="str">
        <f aca="false">IF(S634="","",O634&amp;"|R|"&amp;S634)</f>
        <v/>
      </c>
    </row>
    <row r="635" customFormat="false" ht="15" hidden="false" customHeight="false" outlineLevel="0" collapsed="false">
      <c r="A635" s="18" t="n">
        <v>634</v>
      </c>
      <c r="B635" s="18"/>
      <c r="C635" s="18"/>
      <c r="D635" s="18"/>
      <c r="E635" s="18" t="s">
        <v>1289</v>
      </c>
      <c r="F635" s="18" t="s">
        <v>1290</v>
      </c>
      <c r="G635" s="18" t="s">
        <v>74</v>
      </c>
      <c r="H635" s="18" t="n">
        <v>422</v>
      </c>
      <c r="I635" s="19" t="n">
        <v>-2226.4</v>
      </c>
      <c r="J635" s="19" t="n">
        <v>2226.4</v>
      </c>
      <c r="K635" s="19" t="n">
        <v>0</v>
      </c>
      <c r="L635" s="19" t="n">
        <v>0</v>
      </c>
      <c r="M635" s="19" t="n">
        <f aca="false">ABS(L635)</f>
        <v>0</v>
      </c>
      <c r="N635" s="18" t="str">
        <f aca="false">IF(L635=0,"Nil balance",IF(G635="AR file",IF(L635&gt;0,"Accounts Receivable","Customer Advances"),IF(L635&lt;0,"Accounts Payable","Supplier Advances")))</f>
        <v>Nil balance</v>
      </c>
      <c r="O635" s="18" t="str">
        <f aca="false">IF(L635=0,"Excluded",IF(Summary!$C$4="By ledger",IF(G635="AR file","Population 1","Population 2"),IF(L635&gt;0,"Population 1","Population 2")))</f>
        <v>Excluded</v>
      </c>
      <c r="P635" s="18" t="str">
        <f aca="false">IF(O635="Excluded","Excluded – nil closing balance",IF(M635&gt;Summary!$C$5,"Above Materiality","Below Materiality"))</f>
        <v>Excluded – nil closing balance</v>
      </c>
      <c r="Q635" s="20" t="str">
        <f aca="false">IF(P635="Below Materiality",T635,"")</f>
        <v/>
      </c>
      <c r="R635" s="21" t="str">
        <f aca="false">IF(P635="Above Materiality",COUNTIFS($O$2:$O$1092,O635,$P$2:$P$1092,"Above Materiality",$M$2:$M$1092,"&gt;"&amp;M635)+COUNTIFS($O$2:$O$1092,O635,$P$2:$P$1092,"Above Materiality",$M$2:$M$1092,M635,$A$2:$A$1092,"&lt;"&amp;A635)+1,"")</f>
        <v/>
      </c>
      <c r="S635" s="21" t="str">
        <f aca="false">IF(P635&lt;&gt;"Below Materiality","",IF(Summary!$C$9="Random",COUNTIFS($O$2:$O$1092,O635,$Q$2:$Q$1092,"&gt;"&amp;Q635)+1,COUNTIFS($O$2:$O$1092,O635,$P$2:$P$1092,"Below Materiality",$M$2:$M$1092,"&gt;"&amp;M635)+COUNTIFS($O$2:$O$1092,O635,$P$2:$P$1092,"Below Materiality",$M$2:$M$1092,M635,$A$2:$A$1092,"&lt;"&amp;A635)+1))</f>
        <v/>
      </c>
      <c r="T635" s="22"/>
      <c r="U635" s="21" t="str">
        <f aca="false">IF(R635="","",O635&amp;"|A|"&amp;R635)</f>
        <v/>
      </c>
      <c r="V635" s="21" t="str">
        <f aca="false">IF(S635="","",O635&amp;"|R|"&amp;S635)</f>
        <v/>
      </c>
    </row>
    <row r="636" customFormat="false" ht="15" hidden="false" customHeight="false" outlineLevel="0" collapsed="false">
      <c r="A636" s="18" t="n">
        <v>635</v>
      </c>
      <c r="B636" s="18"/>
      <c r="C636" s="18"/>
      <c r="D636" s="18"/>
      <c r="E636" s="18" t="s">
        <v>1291</v>
      </c>
      <c r="F636" s="18" t="s">
        <v>1292</v>
      </c>
      <c r="G636" s="18" t="s">
        <v>74</v>
      </c>
      <c r="H636" s="18" t="n">
        <v>423</v>
      </c>
      <c r="I636" s="19" t="n">
        <v>0</v>
      </c>
      <c r="J636" s="19" t="n">
        <v>1150</v>
      </c>
      <c r="K636" s="19" t="n">
        <v>1150</v>
      </c>
      <c r="L636" s="19" t="n">
        <v>0</v>
      </c>
      <c r="M636" s="19" t="n">
        <f aca="false">ABS(L636)</f>
        <v>0</v>
      </c>
      <c r="N636" s="18" t="str">
        <f aca="false">IF(L636=0,"Nil balance",IF(G636="AR file",IF(L636&gt;0,"Accounts Receivable","Customer Advances"),IF(L636&lt;0,"Accounts Payable","Supplier Advances")))</f>
        <v>Nil balance</v>
      </c>
      <c r="O636" s="18" t="str">
        <f aca="false">IF(L636=0,"Excluded",IF(Summary!$C$4="By ledger",IF(G636="AR file","Population 1","Population 2"),IF(L636&gt;0,"Population 1","Population 2")))</f>
        <v>Excluded</v>
      </c>
      <c r="P636" s="18" t="str">
        <f aca="false">IF(O636="Excluded","Excluded – nil closing balance",IF(M636&gt;Summary!$C$5,"Above Materiality","Below Materiality"))</f>
        <v>Excluded – nil closing balance</v>
      </c>
      <c r="Q636" s="20" t="str">
        <f aca="false">IF(P636="Below Materiality",T636,"")</f>
        <v/>
      </c>
      <c r="R636" s="21" t="str">
        <f aca="false">IF(P636="Above Materiality",COUNTIFS($O$2:$O$1092,O636,$P$2:$P$1092,"Above Materiality",$M$2:$M$1092,"&gt;"&amp;M636)+COUNTIFS($O$2:$O$1092,O636,$P$2:$P$1092,"Above Materiality",$M$2:$M$1092,M636,$A$2:$A$1092,"&lt;"&amp;A636)+1,"")</f>
        <v/>
      </c>
      <c r="S636" s="21" t="str">
        <f aca="false">IF(P636&lt;&gt;"Below Materiality","",IF(Summary!$C$9="Random",COUNTIFS($O$2:$O$1092,O636,$Q$2:$Q$1092,"&gt;"&amp;Q636)+1,COUNTIFS($O$2:$O$1092,O636,$P$2:$P$1092,"Below Materiality",$M$2:$M$1092,"&gt;"&amp;M636)+COUNTIFS($O$2:$O$1092,O636,$P$2:$P$1092,"Below Materiality",$M$2:$M$1092,M636,$A$2:$A$1092,"&lt;"&amp;A636)+1))</f>
        <v/>
      </c>
      <c r="T636" s="22"/>
      <c r="U636" s="21" t="str">
        <f aca="false">IF(R636="","",O636&amp;"|A|"&amp;R636)</f>
        <v/>
      </c>
      <c r="V636" s="21" t="str">
        <f aca="false">IF(S636="","",O636&amp;"|R|"&amp;S636)</f>
        <v/>
      </c>
    </row>
    <row r="637" customFormat="false" ht="15" hidden="false" customHeight="false" outlineLevel="0" collapsed="false">
      <c r="A637" s="18" t="n">
        <v>636</v>
      </c>
      <c r="B637" s="18"/>
      <c r="C637" s="18"/>
      <c r="D637" s="18"/>
      <c r="E637" s="18" t="s">
        <v>1293</v>
      </c>
      <c r="F637" s="18" t="s">
        <v>1294</v>
      </c>
      <c r="G637" s="18" t="s">
        <v>74</v>
      </c>
      <c r="H637" s="18" t="n">
        <v>424</v>
      </c>
      <c r="I637" s="19" t="n">
        <v>-200</v>
      </c>
      <c r="J637" s="19" t="n">
        <v>1150</v>
      </c>
      <c r="K637" s="19" t="n">
        <v>950</v>
      </c>
      <c r="L637" s="19" t="n">
        <v>0</v>
      </c>
      <c r="M637" s="19" t="n">
        <f aca="false">ABS(L637)</f>
        <v>0</v>
      </c>
      <c r="N637" s="18" t="str">
        <f aca="false">IF(L637=0,"Nil balance",IF(G637="AR file",IF(L637&gt;0,"Accounts Receivable","Customer Advances"),IF(L637&lt;0,"Accounts Payable","Supplier Advances")))</f>
        <v>Nil balance</v>
      </c>
      <c r="O637" s="18" t="str">
        <f aca="false">IF(L637=0,"Excluded",IF(Summary!$C$4="By ledger",IF(G637="AR file","Population 1","Population 2"),IF(L637&gt;0,"Population 1","Population 2")))</f>
        <v>Excluded</v>
      </c>
      <c r="P637" s="18" t="str">
        <f aca="false">IF(O637="Excluded","Excluded – nil closing balance",IF(M637&gt;Summary!$C$5,"Above Materiality","Below Materiality"))</f>
        <v>Excluded – nil closing balance</v>
      </c>
      <c r="Q637" s="20" t="str">
        <f aca="false">IF(P637="Below Materiality",T637,"")</f>
        <v/>
      </c>
      <c r="R637" s="21" t="str">
        <f aca="false">IF(P637="Above Materiality",COUNTIFS($O$2:$O$1092,O637,$P$2:$P$1092,"Above Materiality",$M$2:$M$1092,"&gt;"&amp;M637)+COUNTIFS($O$2:$O$1092,O637,$P$2:$P$1092,"Above Materiality",$M$2:$M$1092,M637,$A$2:$A$1092,"&lt;"&amp;A637)+1,"")</f>
        <v/>
      </c>
      <c r="S637" s="21" t="str">
        <f aca="false">IF(P637&lt;&gt;"Below Materiality","",IF(Summary!$C$9="Random",COUNTIFS($O$2:$O$1092,O637,$Q$2:$Q$1092,"&gt;"&amp;Q637)+1,COUNTIFS($O$2:$O$1092,O637,$P$2:$P$1092,"Below Materiality",$M$2:$M$1092,"&gt;"&amp;M637)+COUNTIFS($O$2:$O$1092,O637,$P$2:$P$1092,"Below Materiality",$M$2:$M$1092,M637,$A$2:$A$1092,"&lt;"&amp;A637)+1))</f>
        <v/>
      </c>
      <c r="T637" s="22"/>
      <c r="U637" s="21" t="str">
        <f aca="false">IF(R637="","",O637&amp;"|A|"&amp;R637)</f>
        <v/>
      </c>
      <c r="V637" s="21" t="str">
        <f aca="false">IF(S637="","",O637&amp;"|R|"&amp;S637)</f>
        <v/>
      </c>
    </row>
    <row r="638" customFormat="false" ht="15" hidden="false" customHeight="false" outlineLevel="0" collapsed="false">
      <c r="A638" s="18" t="n">
        <v>637</v>
      </c>
      <c r="B638" s="18"/>
      <c r="C638" s="18"/>
      <c r="D638" s="18"/>
      <c r="E638" s="18" t="s">
        <v>1295</v>
      </c>
      <c r="F638" s="18" t="s">
        <v>1296</v>
      </c>
      <c r="G638" s="18" t="s">
        <v>74</v>
      </c>
      <c r="H638" s="18" t="n">
        <v>425</v>
      </c>
      <c r="I638" s="19" t="n">
        <v>0</v>
      </c>
      <c r="J638" s="19" t="n">
        <v>3197</v>
      </c>
      <c r="K638" s="19" t="n">
        <v>3197</v>
      </c>
      <c r="L638" s="19" t="n">
        <v>0</v>
      </c>
      <c r="M638" s="19" t="n">
        <f aca="false">ABS(L638)</f>
        <v>0</v>
      </c>
      <c r="N638" s="18" t="str">
        <f aca="false">IF(L638=0,"Nil balance",IF(G638="AR file",IF(L638&gt;0,"Accounts Receivable","Customer Advances"),IF(L638&lt;0,"Accounts Payable","Supplier Advances")))</f>
        <v>Nil balance</v>
      </c>
      <c r="O638" s="18" t="str">
        <f aca="false">IF(L638=0,"Excluded",IF(Summary!$C$4="By ledger",IF(G638="AR file","Population 1","Population 2"),IF(L638&gt;0,"Population 1","Population 2")))</f>
        <v>Excluded</v>
      </c>
      <c r="P638" s="18" t="str">
        <f aca="false">IF(O638="Excluded","Excluded – nil closing balance",IF(M638&gt;Summary!$C$5,"Above Materiality","Below Materiality"))</f>
        <v>Excluded – nil closing balance</v>
      </c>
      <c r="Q638" s="20" t="str">
        <f aca="false">IF(P638="Below Materiality",T638,"")</f>
        <v/>
      </c>
      <c r="R638" s="21" t="str">
        <f aca="false">IF(P638="Above Materiality",COUNTIFS($O$2:$O$1092,O638,$P$2:$P$1092,"Above Materiality",$M$2:$M$1092,"&gt;"&amp;M638)+COUNTIFS($O$2:$O$1092,O638,$P$2:$P$1092,"Above Materiality",$M$2:$M$1092,M638,$A$2:$A$1092,"&lt;"&amp;A638)+1,"")</f>
        <v/>
      </c>
      <c r="S638" s="21" t="str">
        <f aca="false">IF(P638&lt;&gt;"Below Materiality","",IF(Summary!$C$9="Random",COUNTIFS($O$2:$O$1092,O638,$Q$2:$Q$1092,"&gt;"&amp;Q638)+1,COUNTIFS($O$2:$O$1092,O638,$P$2:$P$1092,"Below Materiality",$M$2:$M$1092,"&gt;"&amp;M638)+COUNTIFS($O$2:$O$1092,O638,$P$2:$P$1092,"Below Materiality",$M$2:$M$1092,M638,$A$2:$A$1092,"&lt;"&amp;A638)+1))</f>
        <v/>
      </c>
      <c r="T638" s="22"/>
      <c r="U638" s="21" t="str">
        <f aca="false">IF(R638="","",O638&amp;"|A|"&amp;R638)</f>
        <v/>
      </c>
      <c r="V638" s="21" t="str">
        <f aca="false">IF(S638="","",O638&amp;"|R|"&amp;S638)</f>
        <v/>
      </c>
    </row>
    <row r="639" customFormat="false" ht="15" hidden="false" customHeight="false" outlineLevel="0" collapsed="false">
      <c r="A639" s="18" t="n">
        <v>638</v>
      </c>
      <c r="B639" s="18"/>
      <c r="C639" s="18"/>
      <c r="D639" s="18"/>
      <c r="E639" s="18" t="s">
        <v>1297</v>
      </c>
      <c r="F639" s="18" t="s">
        <v>1298</v>
      </c>
      <c r="G639" s="18" t="s">
        <v>74</v>
      </c>
      <c r="H639" s="18" t="n">
        <v>426</v>
      </c>
      <c r="I639" s="19" t="n">
        <v>0</v>
      </c>
      <c r="J639" s="19" t="n">
        <v>5155.5</v>
      </c>
      <c r="K639" s="19" t="n">
        <v>5155.5</v>
      </c>
      <c r="L639" s="19" t="n">
        <v>0</v>
      </c>
      <c r="M639" s="19" t="n">
        <f aca="false">ABS(L639)</f>
        <v>0</v>
      </c>
      <c r="N639" s="18" t="str">
        <f aca="false">IF(L639=0,"Nil balance",IF(G639="AR file",IF(L639&gt;0,"Accounts Receivable","Customer Advances"),IF(L639&lt;0,"Accounts Payable","Supplier Advances")))</f>
        <v>Nil balance</v>
      </c>
      <c r="O639" s="18" t="str">
        <f aca="false">IF(L639=0,"Excluded",IF(Summary!$C$4="By ledger",IF(G639="AR file","Population 1","Population 2"),IF(L639&gt;0,"Population 1","Population 2")))</f>
        <v>Excluded</v>
      </c>
      <c r="P639" s="18" t="str">
        <f aca="false">IF(O639="Excluded","Excluded – nil closing balance",IF(M639&gt;Summary!$C$5,"Above Materiality","Below Materiality"))</f>
        <v>Excluded – nil closing balance</v>
      </c>
      <c r="Q639" s="20" t="str">
        <f aca="false">IF(P639="Below Materiality",T639,"")</f>
        <v/>
      </c>
      <c r="R639" s="21" t="str">
        <f aca="false">IF(P639="Above Materiality",COUNTIFS($O$2:$O$1092,O639,$P$2:$P$1092,"Above Materiality",$M$2:$M$1092,"&gt;"&amp;M639)+COUNTIFS($O$2:$O$1092,O639,$P$2:$P$1092,"Above Materiality",$M$2:$M$1092,M639,$A$2:$A$1092,"&lt;"&amp;A639)+1,"")</f>
        <v/>
      </c>
      <c r="S639" s="21" t="str">
        <f aca="false">IF(P639&lt;&gt;"Below Materiality","",IF(Summary!$C$9="Random",COUNTIFS($O$2:$O$1092,O639,$Q$2:$Q$1092,"&gt;"&amp;Q639)+1,COUNTIFS($O$2:$O$1092,O639,$P$2:$P$1092,"Below Materiality",$M$2:$M$1092,"&gt;"&amp;M639)+COUNTIFS($O$2:$O$1092,O639,$P$2:$P$1092,"Below Materiality",$M$2:$M$1092,M639,$A$2:$A$1092,"&lt;"&amp;A639)+1))</f>
        <v/>
      </c>
      <c r="T639" s="22"/>
      <c r="U639" s="21" t="str">
        <f aca="false">IF(R639="","",O639&amp;"|A|"&amp;R639)</f>
        <v/>
      </c>
      <c r="V639" s="21" t="str">
        <f aca="false">IF(S639="","",O639&amp;"|R|"&amp;S639)</f>
        <v/>
      </c>
    </row>
    <row r="640" customFormat="false" ht="15" hidden="false" customHeight="false" outlineLevel="0" collapsed="false">
      <c r="A640" s="18" t="n">
        <v>639</v>
      </c>
      <c r="B640" s="18"/>
      <c r="C640" s="18"/>
      <c r="D640" s="18"/>
      <c r="E640" s="18" t="s">
        <v>1299</v>
      </c>
      <c r="F640" s="18" t="s">
        <v>1300</v>
      </c>
      <c r="G640" s="18" t="s">
        <v>74</v>
      </c>
      <c r="H640" s="18" t="n">
        <v>427</v>
      </c>
      <c r="I640" s="19" t="n">
        <v>0</v>
      </c>
      <c r="J640" s="19" t="n">
        <v>4650.6</v>
      </c>
      <c r="K640" s="19" t="n">
        <v>4650.6</v>
      </c>
      <c r="L640" s="19" t="n">
        <v>0</v>
      </c>
      <c r="M640" s="19" t="n">
        <f aca="false">ABS(L640)</f>
        <v>0</v>
      </c>
      <c r="N640" s="18" t="str">
        <f aca="false">IF(L640=0,"Nil balance",IF(G640="AR file",IF(L640&gt;0,"Accounts Receivable","Customer Advances"),IF(L640&lt;0,"Accounts Payable","Supplier Advances")))</f>
        <v>Nil balance</v>
      </c>
      <c r="O640" s="18" t="str">
        <f aca="false">IF(L640=0,"Excluded",IF(Summary!$C$4="By ledger",IF(G640="AR file","Population 1","Population 2"),IF(L640&gt;0,"Population 1","Population 2")))</f>
        <v>Excluded</v>
      </c>
      <c r="P640" s="18" t="str">
        <f aca="false">IF(O640="Excluded","Excluded – nil closing balance",IF(M640&gt;Summary!$C$5,"Above Materiality","Below Materiality"))</f>
        <v>Excluded – nil closing balance</v>
      </c>
      <c r="Q640" s="20" t="str">
        <f aca="false">IF(P640="Below Materiality",T640,"")</f>
        <v/>
      </c>
      <c r="R640" s="21" t="str">
        <f aca="false">IF(P640="Above Materiality",COUNTIFS($O$2:$O$1092,O640,$P$2:$P$1092,"Above Materiality",$M$2:$M$1092,"&gt;"&amp;M640)+COUNTIFS($O$2:$O$1092,O640,$P$2:$P$1092,"Above Materiality",$M$2:$M$1092,M640,$A$2:$A$1092,"&lt;"&amp;A640)+1,"")</f>
        <v/>
      </c>
      <c r="S640" s="21" t="str">
        <f aca="false">IF(P640&lt;&gt;"Below Materiality","",IF(Summary!$C$9="Random",COUNTIFS($O$2:$O$1092,O640,$Q$2:$Q$1092,"&gt;"&amp;Q640)+1,COUNTIFS($O$2:$O$1092,O640,$P$2:$P$1092,"Below Materiality",$M$2:$M$1092,"&gt;"&amp;M640)+COUNTIFS($O$2:$O$1092,O640,$P$2:$P$1092,"Below Materiality",$M$2:$M$1092,M640,$A$2:$A$1092,"&lt;"&amp;A640)+1))</f>
        <v/>
      </c>
      <c r="T640" s="22"/>
      <c r="U640" s="21" t="str">
        <f aca="false">IF(R640="","",O640&amp;"|A|"&amp;R640)</f>
        <v/>
      </c>
      <c r="V640" s="21" t="str">
        <f aca="false">IF(S640="","",O640&amp;"|R|"&amp;S640)</f>
        <v/>
      </c>
    </row>
    <row r="641" customFormat="false" ht="15" hidden="false" customHeight="false" outlineLevel="0" collapsed="false">
      <c r="A641" s="18" t="n">
        <v>640</v>
      </c>
      <c r="B641" s="18"/>
      <c r="C641" s="18"/>
      <c r="D641" s="18"/>
      <c r="E641" s="18" t="s">
        <v>1301</v>
      </c>
      <c r="F641" s="18" t="s">
        <v>1302</v>
      </c>
      <c r="G641" s="18" t="s">
        <v>74</v>
      </c>
      <c r="H641" s="18" t="n">
        <v>428</v>
      </c>
      <c r="I641" s="19" t="n">
        <v>0</v>
      </c>
      <c r="J641" s="19" t="n">
        <v>437</v>
      </c>
      <c r="K641" s="19" t="n">
        <v>437</v>
      </c>
      <c r="L641" s="19" t="n">
        <v>0</v>
      </c>
      <c r="M641" s="19" t="n">
        <f aca="false">ABS(L641)</f>
        <v>0</v>
      </c>
      <c r="N641" s="18" t="str">
        <f aca="false">IF(L641=0,"Nil balance",IF(G641="AR file",IF(L641&gt;0,"Accounts Receivable","Customer Advances"),IF(L641&lt;0,"Accounts Payable","Supplier Advances")))</f>
        <v>Nil balance</v>
      </c>
      <c r="O641" s="18" t="str">
        <f aca="false">IF(L641=0,"Excluded",IF(Summary!$C$4="By ledger",IF(G641="AR file","Population 1","Population 2"),IF(L641&gt;0,"Population 1","Population 2")))</f>
        <v>Excluded</v>
      </c>
      <c r="P641" s="18" t="str">
        <f aca="false">IF(O641="Excluded","Excluded – nil closing balance",IF(M641&gt;Summary!$C$5,"Above Materiality","Below Materiality"))</f>
        <v>Excluded – nil closing balance</v>
      </c>
      <c r="Q641" s="20" t="str">
        <f aca="false">IF(P641="Below Materiality",T641,"")</f>
        <v/>
      </c>
      <c r="R641" s="21" t="str">
        <f aca="false">IF(P641="Above Materiality",COUNTIFS($O$2:$O$1092,O641,$P$2:$P$1092,"Above Materiality",$M$2:$M$1092,"&gt;"&amp;M641)+COUNTIFS($O$2:$O$1092,O641,$P$2:$P$1092,"Above Materiality",$M$2:$M$1092,M641,$A$2:$A$1092,"&lt;"&amp;A641)+1,"")</f>
        <v/>
      </c>
      <c r="S641" s="21" t="str">
        <f aca="false">IF(P641&lt;&gt;"Below Materiality","",IF(Summary!$C$9="Random",COUNTIFS($O$2:$O$1092,O641,$Q$2:$Q$1092,"&gt;"&amp;Q641)+1,COUNTIFS($O$2:$O$1092,O641,$P$2:$P$1092,"Below Materiality",$M$2:$M$1092,"&gt;"&amp;M641)+COUNTIFS($O$2:$O$1092,O641,$P$2:$P$1092,"Below Materiality",$M$2:$M$1092,M641,$A$2:$A$1092,"&lt;"&amp;A641)+1))</f>
        <v/>
      </c>
      <c r="T641" s="22"/>
      <c r="U641" s="21" t="str">
        <f aca="false">IF(R641="","",O641&amp;"|A|"&amp;R641)</f>
        <v/>
      </c>
      <c r="V641" s="21" t="str">
        <f aca="false">IF(S641="","",O641&amp;"|R|"&amp;S641)</f>
        <v/>
      </c>
    </row>
    <row r="642" customFormat="false" ht="15" hidden="false" customHeight="false" outlineLevel="0" collapsed="false">
      <c r="A642" s="18" t="n">
        <v>641</v>
      </c>
      <c r="B642" s="18"/>
      <c r="C642" s="18"/>
      <c r="D642" s="18"/>
      <c r="E642" s="18" t="s">
        <v>1303</v>
      </c>
      <c r="F642" s="18" t="s">
        <v>1304</v>
      </c>
      <c r="G642" s="18" t="s">
        <v>74</v>
      </c>
      <c r="H642" s="18" t="n">
        <v>429</v>
      </c>
      <c r="I642" s="19" t="n">
        <v>0</v>
      </c>
      <c r="J642" s="19" t="n">
        <v>82.8</v>
      </c>
      <c r="K642" s="19" t="n">
        <v>82.8</v>
      </c>
      <c r="L642" s="19" t="n">
        <v>0</v>
      </c>
      <c r="M642" s="19" t="n">
        <f aca="false">ABS(L642)</f>
        <v>0</v>
      </c>
      <c r="N642" s="18" t="str">
        <f aca="false">IF(L642=0,"Nil balance",IF(G642="AR file",IF(L642&gt;0,"Accounts Receivable","Customer Advances"),IF(L642&lt;0,"Accounts Payable","Supplier Advances")))</f>
        <v>Nil balance</v>
      </c>
      <c r="O642" s="18" t="str">
        <f aca="false">IF(L642=0,"Excluded",IF(Summary!$C$4="By ledger",IF(G642="AR file","Population 1","Population 2"),IF(L642&gt;0,"Population 1","Population 2")))</f>
        <v>Excluded</v>
      </c>
      <c r="P642" s="18" t="str">
        <f aca="false">IF(O642="Excluded","Excluded – nil closing balance",IF(M642&gt;Summary!$C$5,"Above Materiality","Below Materiality"))</f>
        <v>Excluded – nil closing balance</v>
      </c>
      <c r="Q642" s="20" t="str">
        <f aca="false">IF(P642="Below Materiality",T642,"")</f>
        <v/>
      </c>
      <c r="R642" s="21" t="str">
        <f aca="false">IF(P642="Above Materiality",COUNTIFS($O$2:$O$1092,O642,$P$2:$P$1092,"Above Materiality",$M$2:$M$1092,"&gt;"&amp;M642)+COUNTIFS($O$2:$O$1092,O642,$P$2:$P$1092,"Above Materiality",$M$2:$M$1092,M642,$A$2:$A$1092,"&lt;"&amp;A642)+1,"")</f>
        <v/>
      </c>
      <c r="S642" s="21" t="str">
        <f aca="false">IF(P642&lt;&gt;"Below Materiality","",IF(Summary!$C$9="Random",COUNTIFS($O$2:$O$1092,O642,$Q$2:$Q$1092,"&gt;"&amp;Q642)+1,COUNTIFS($O$2:$O$1092,O642,$P$2:$P$1092,"Below Materiality",$M$2:$M$1092,"&gt;"&amp;M642)+COUNTIFS($O$2:$O$1092,O642,$P$2:$P$1092,"Below Materiality",$M$2:$M$1092,M642,$A$2:$A$1092,"&lt;"&amp;A642)+1))</f>
        <v/>
      </c>
      <c r="T642" s="22"/>
      <c r="U642" s="21" t="str">
        <f aca="false">IF(R642="","",O642&amp;"|A|"&amp;R642)</f>
        <v/>
      </c>
      <c r="V642" s="21" t="str">
        <f aca="false">IF(S642="","",O642&amp;"|R|"&amp;S642)</f>
        <v/>
      </c>
    </row>
    <row r="643" customFormat="false" ht="15" hidden="false" customHeight="false" outlineLevel="0" collapsed="false">
      <c r="A643" s="18" t="n">
        <v>642</v>
      </c>
      <c r="B643" s="18"/>
      <c r="C643" s="18"/>
      <c r="D643" s="18"/>
      <c r="E643" s="18" t="s">
        <v>1305</v>
      </c>
      <c r="F643" s="18" t="s">
        <v>1306</v>
      </c>
      <c r="G643" s="18" t="s">
        <v>74</v>
      </c>
      <c r="H643" s="18" t="n">
        <v>430</v>
      </c>
      <c r="I643" s="19" t="n">
        <v>0</v>
      </c>
      <c r="J643" s="19" t="n">
        <v>398.48</v>
      </c>
      <c r="K643" s="19" t="n">
        <v>398.48</v>
      </c>
      <c r="L643" s="19" t="n">
        <v>0</v>
      </c>
      <c r="M643" s="19" t="n">
        <f aca="false">ABS(L643)</f>
        <v>0</v>
      </c>
      <c r="N643" s="18" t="str">
        <f aca="false">IF(L643=0,"Nil balance",IF(G643="AR file",IF(L643&gt;0,"Accounts Receivable","Customer Advances"),IF(L643&lt;0,"Accounts Payable","Supplier Advances")))</f>
        <v>Nil balance</v>
      </c>
      <c r="O643" s="18" t="str">
        <f aca="false">IF(L643=0,"Excluded",IF(Summary!$C$4="By ledger",IF(G643="AR file","Population 1","Population 2"),IF(L643&gt;0,"Population 1","Population 2")))</f>
        <v>Excluded</v>
      </c>
      <c r="P643" s="18" t="str">
        <f aca="false">IF(O643="Excluded","Excluded – nil closing balance",IF(M643&gt;Summary!$C$5,"Above Materiality","Below Materiality"))</f>
        <v>Excluded – nil closing balance</v>
      </c>
      <c r="Q643" s="20" t="str">
        <f aca="false">IF(P643="Below Materiality",T643,"")</f>
        <v/>
      </c>
      <c r="R643" s="21" t="str">
        <f aca="false">IF(P643="Above Materiality",COUNTIFS($O$2:$O$1092,O643,$P$2:$P$1092,"Above Materiality",$M$2:$M$1092,"&gt;"&amp;M643)+COUNTIFS($O$2:$O$1092,O643,$P$2:$P$1092,"Above Materiality",$M$2:$M$1092,M643,$A$2:$A$1092,"&lt;"&amp;A643)+1,"")</f>
        <v/>
      </c>
      <c r="S643" s="21" t="str">
        <f aca="false">IF(P643&lt;&gt;"Below Materiality","",IF(Summary!$C$9="Random",COUNTIFS($O$2:$O$1092,O643,$Q$2:$Q$1092,"&gt;"&amp;Q643)+1,COUNTIFS($O$2:$O$1092,O643,$P$2:$P$1092,"Below Materiality",$M$2:$M$1092,"&gt;"&amp;M643)+COUNTIFS($O$2:$O$1092,O643,$P$2:$P$1092,"Below Materiality",$M$2:$M$1092,M643,$A$2:$A$1092,"&lt;"&amp;A643)+1))</f>
        <v/>
      </c>
      <c r="T643" s="22"/>
      <c r="U643" s="21" t="str">
        <f aca="false">IF(R643="","",O643&amp;"|A|"&amp;R643)</f>
        <v/>
      </c>
      <c r="V643" s="21" t="str">
        <f aca="false">IF(S643="","",O643&amp;"|R|"&amp;S643)</f>
        <v/>
      </c>
    </row>
    <row r="644" customFormat="false" ht="15" hidden="false" customHeight="false" outlineLevel="0" collapsed="false">
      <c r="A644" s="18" t="n">
        <v>643</v>
      </c>
      <c r="B644" s="18"/>
      <c r="C644" s="18"/>
      <c r="D644" s="18"/>
      <c r="E644" s="18" t="s">
        <v>1307</v>
      </c>
      <c r="F644" s="18" t="s">
        <v>1308</v>
      </c>
      <c r="G644" s="18" t="s">
        <v>74</v>
      </c>
      <c r="H644" s="18" t="n">
        <v>431</v>
      </c>
      <c r="I644" s="19" t="n">
        <v>0</v>
      </c>
      <c r="J644" s="19" t="n">
        <v>514.28</v>
      </c>
      <c r="K644" s="19" t="n">
        <v>514.28</v>
      </c>
      <c r="L644" s="19" t="n">
        <v>0</v>
      </c>
      <c r="M644" s="19" t="n">
        <f aca="false">ABS(L644)</f>
        <v>0</v>
      </c>
      <c r="N644" s="18" t="str">
        <f aca="false">IF(L644=0,"Nil balance",IF(G644="AR file",IF(L644&gt;0,"Accounts Receivable","Customer Advances"),IF(L644&lt;0,"Accounts Payable","Supplier Advances")))</f>
        <v>Nil balance</v>
      </c>
      <c r="O644" s="18" t="str">
        <f aca="false">IF(L644=0,"Excluded",IF(Summary!$C$4="By ledger",IF(G644="AR file","Population 1","Population 2"),IF(L644&gt;0,"Population 1","Population 2")))</f>
        <v>Excluded</v>
      </c>
      <c r="P644" s="18" t="str">
        <f aca="false">IF(O644="Excluded","Excluded – nil closing balance",IF(M644&gt;Summary!$C$5,"Above Materiality","Below Materiality"))</f>
        <v>Excluded – nil closing balance</v>
      </c>
      <c r="Q644" s="20" t="str">
        <f aca="false">IF(P644="Below Materiality",T644,"")</f>
        <v/>
      </c>
      <c r="R644" s="21" t="str">
        <f aca="false">IF(P644="Above Materiality",COUNTIFS($O$2:$O$1092,O644,$P$2:$P$1092,"Above Materiality",$M$2:$M$1092,"&gt;"&amp;M644)+COUNTIFS($O$2:$O$1092,O644,$P$2:$P$1092,"Above Materiality",$M$2:$M$1092,M644,$A$2:$A$1092,"&lt;"&amp;A644)+1,"")</f>
        <v/>
      </c>
      <c r="S644" s="21" t="str">
        <f aca="false">IF(P644&lt;&gt;"Below Materiality","",IF(Summary!$C$9="Random",COUNTIFS($O$2:$O$1092,O644,$Q$2:$Q$1092,"&gt;"&amp;Q644)+1,COUNTIFS($O$2:$O$1092,O644,$P$2:$P$1092,"Below Materiality",$M$2:$M$1092,"&gt;"&amp;M644)+COUNTIFS($O$2:$O$1092,O644,$P$2:$P$1092,"Below Materiality",$M$2:$M$1092,M644,$A$2:$A$1092,"&lt;"&amp;A644)+1))</f>
        <v/>
      </c>
      <c r="T644" s="22"/>
      <c r="U644" s="21" t="str">
        <f aca="false">IF(R644="","",O644&amp;"|A|"&amp;R644)</f>
        <v/>
      </c>
      <c r="V644" s="21" t="str">
        <f aca="false">IF(S644="","",O644&amp;"|R|"&amp;S644)</f>
        <v/>
      </c>
    </row>
    <row r="645" customFormat="false" ht="15" hidden="false" customHeight="false" outlineLevel="0" collapsed="false">
      <c r="A645" s="18" t="n">
        <v>644</v>
      </c>
      <c r="B645" s="18"/>
      <c r="C645" s="18"/>
      <c r="D645" s="18"/>
      <c r="E645" s="18" t="s">
        <v>1309</v>
      </c>
      <c r="F645" s="18" t="s">
        <v>1310</v>
      </c>
      <c r="G645" s="18" t="s">
        <v>74</v>
      </c>
      <c r="H645" s="18" t="n">
        <v>432</v>
      </c>
      <c r="I645" s="19" t="n">
        <v>0</v>
      </c>
      <c r="J645" s="19" t="n">
        <v>1400.01</v>
      </c>
      <c r="K645" s="19" t="n">
        <v>1400.01</v>
      </c>
      <c r="L645" s="19" t="n">
        <v>0</v>
      </c>
      <c r="M645" s="19" t="n">
        <f aca="false">ABS(L645)</f>
        <v>0</v>
      </c>
      <c r="N645" s="18" t="str">
        <f aca="false">IF(L645=0,"Nil balance",IF(G645="AR file",IF(L645&gt;0,"Accounts Receivable","Customer Advances"),IF(L645&lt;0,"Accounts Payable","Supplier Advances")))</f>
        <v>Nil balance</v>
      </c>
      <c r="O645" s="18" t="str">
        <f aca="false">IF(L645=0,"Excluded",IF(Summary!$C$4="By ledger",IF(G645="AR file","Population 1","Population 2"),IF(L645&gt;0,"Population 1","Population 2")))</f>
        <v>Excluded</v>
      </c>
      <c r="P645" s="18" t="str">
        <f aca="false">IF(O645="Excluded","Excluded – nil closing balance",IF(M645&gt;Summary!$C$5,"Above Materiality","Below Materiality"))</f>
        <v>Excluded – nil closing balance</v>
      </c>
      <c r="Q645" s="20" t="str">
        <f aca="false">IF(P645="Below Materiality",T645,"")</f>
        <v/>
      </c>
      <c r="R645" s="21" t="str">
        <f aca="false">IF(P645="Above Materiality",COUNTIFS($O$2:$O$1092,O645,$P$2:$P$1092,"Above Materiality",$M$2:$M$1092,"&gt;"&amp;M645)+COUNTIFS($O$2:$O$1092,O645,$P$2:$P$1092,"Above Materiality",$M$2:$M$1092,M645,$A$2:$A$1092,"&lt;"&amp;A645)+1,"")</f>
        <v/>
      </c>
      <c r="S645" s="21" t="str">
        <f aca="false">IF(P645&lt;&gt;"Below Materiality","",IF(Summary!$C$9="Random",COUNTIFS($O$2:$O$1092,O645,$Q$2:$Q$1092,"&gt;"&amp;Q645)+1,COUNTIFS($O$2:$O$1092,O645,$P$2:$P$1092,"Below Materiality",$M$2:$M$1092,"&gt;"&amp;M645)+COUNTIFS($O$2:$O$1092,O645,$P$2:$P$1092,"Below Materiality",$M$2:$M$1092,M645,$A$2:$A$1092,"&lt;"&amp;A645)+1))</f>
        <v/>
      </c>
      <c r="T645" s="22"/>
      <c r="U645" s="21" t="str">
        <f aca="false">IF(R645="","",O645&amp;"|A|"&amp;R645)</f>
        <v/>
      </c>
      <c r="V645" s="21" t="str">
        <f aca="false">IF(S645="","",O645&amp;"|R|"&amp;S645)</f>
        <v/>
      </c>
    </row>
    <row r="646" customFormat="false" ht="15" hidden="false" customHeight="false" outlineLevel="0" collapsed="false">
      <c r="A646" s="18" t="n">
        <v>645</v>
      </c>
      <c r="B646" s="18"/>
      <c r="C646" s="18"/>
      <c r="D646" s="18"/>
      <c r="E646" s="18" t="s">
        <v>1311</v>
      </c>
      <c r="F646" s="18" t="s">
        <v>860</v>
      </c>
      <c r="G646" s="18" t="s">
        <v>74</v>
      </c>
      <c r="H646" s="18" t="n">
        <v>433</v>
      </c>
      <c r="I646" s="19" t="n">
        <v>0</v>
      </c>
      <c r="J646" s="19" t="n">
        <v>402.5</v>
      </c>
      <c r="K646" s="19" t="n">
        <v>402.5</v>
      </c>
      <c r="L646" s="19" t="n">
        <v>0</v>
      </c>
      <c r="M646" s="19" t="n">
        <f aca="false">ABS(L646)</f>
        <v>0</v>
      </c>
      <c r="N646" s="18" t="str">
        <f aca="false">IF(L646=0,"Nil balance",IF(G646="AR file",IF(L646&gt;0,"Accounts Receivable","Customer Advances"),IF(L646&lt;0,"Accounts Payable","Supplier Advances")))</f>
        <v>Nil balance</v>
      </c>
      <c r="O646" s="18" t="str">
        <f aca="false">IF(L646=0,"Excluded",IF(Summary!$C$4="By ledger",IF(G646="AR file","Population 1","Population 2"),IF(L646&gt;0,"Population 1","Population 2")))</f>
        <v>Excluded</v>
      </c>
      <c r="P646" s="18" t="str">
        <f aca="false">IF(O646="Excluded","Excluded – nil closing balance",IF(M646&gt;Summary!$C$5,"Above Materiality","Below Materiality"))</f>
        <v>Excluded – nil closing balance</v>
      </c>
      <c r="Q646" s="20" t="str">
        <f aca="false">IF(P646="Below Materiality",T646,"")</f>
        <v/>
      </c>
      <c r="R646" s="21" t="str">
        <f aca="false">IF(P646="Above Materiality",COUNTIFS($O$2:$O$1092,O646,$P$2:$P$1092,"Above Materiality",$M$2:$M$1092,"&gt;"&amp;M646)+COUNTIFS($O$2:$O$1092,O646,$P$2:$P$1092,"Above Materiality",$M$2:$M$1092,M646,$A$2:$A$1092,"&lt;"&amp;A646)+1,"")</f>
        <v/>
      </c>
      <c r="S646" s="21" t="str">
        <f aca="false">IF(P646&lt;&gt;"Below Materiality","",IF(Summary!$C$9="Random",COUNTIFS($O$2:$O$1092,O646,$Q$2:$Q$1092,"&gt;"&amp;Q646)+1,COUNTIFS($O$2:$O$1092,O646,$P$2:$P$1092,"Below Materiality",$M$2:$M$1092,"&gt;"&amp;M646)+COUNTIFS($O$2:$O$1092,O646,$P$2:$P$1092,"Below Materiality",$M$2:$M$1092,M646,$A$2:$A$1092,"&lt;"&amp;A646)+1))</f>
        <v/>
      </c>
      <c r="T646" s="22"/>
      <c r="U646" s="21" t="str">
        <f aca="false">IF(R646="","",O646&amp;"|A|"&amp;R646)</f>
        <v/>
      </c>
      <c r="V646" s="21" t="str">
        <f aca="false">IF(S646="","",O646&amp;"|R|"&amp;S646)</f>
        <v/>
      </c>
    </row>
    <row r="647" customFormat="false" ht="15" hidden="false" customHeight="false" outlineLevel="0" collapsed="false">
      <c r="A647" s="18" t="n">
        <v>646</v>
      </c>
      <c r="B647" s="18"/>
      <c r="C647" s="18"/>
      <c r="D647" s="18"/>
      <c r="E647" s="18" t="s">
        <v>1312</v>
      </c>
      <c r="F647" s="18" t="s">
        <v>1313</v>
      </c>
      <c r="G647" s="18" t="s">
        <v>74</v>
      </c>
      <c r="H647" s="18" t="n">
        <v>434</v>
      </c>
      <c r="I647" s="19" t="n">
        <v>0</v>
      </c>
      <c r="J647" s="19" t="n">
        <v>5888</v>
      </c>
      <c r="K647" s="19" t="n">
        <v>5888</v>
      </c>
      <c r="L647" s="19" t="n">
        <v>0</v>
      </c>
      <c r="M647" s="19" t="n">
        <f aca="false">ABS(L647)</f>
        <v>0</v>
      </c>
      <c r="N647" s="18" t="str">
        <f aca="false">IF(L647=0,"Nil balance",IF(G647="AR file",IF(L647&gt;0,"Accounts Receivable","Customer Advances"),IF(L647&lt;0,"Accounts Payable","Supplier Advances")))</f>
        <v>Nil balance</v>
      </c>
      <c r="O647" s="18" t="str">
        <f aca="false">IF(L647=0,"Excluded",IF(Summary!$C$4="By ledger",IF(G647="AR file","Population 1","Population 2"),IF(L647&gt;0,"Population 1","Population 2")))</f>
        <v>Excluded</v>
      </c>
      <c r="P647" s="18" t="str">
        <f aca="false">IF(O647="Excluded","Excluded – nil closing balance",IF(M647&gt;Summary!$C$5,"Above Materiality","Below Materiality"))</f>
        <v>Excluded – nil closing balance</v>
      </c>
      <c r="Q647" s="20" t="str">
        <f aca="false">IF(P647="Below Materiality",T647,"")</f>
        <v/>
      </c>
      <c r="R647" s="21" t="str">
        <f aca="false">IF(P647="Above Materiality",COUNTIFS($O$2:$O$1092,O647,$P$2:$P$1092,"Above Materiality",$M$2:$M$1092,"&gt;"&amp;M647)+COUNTIFS($O$2:$O$1092,O647,$P$2:$P$1092,"Above Materiality",$M$2:$M$1092,M647,$A$2:$A$1092,"&lt;"&amp;A647)+1,"")</f>
        <v/>
      </c>
      <c r="S647" s="21" t="str">
        <f aca="false">IF(P647&lt;&gt;"Below Materiality","",IF(Summary!$C$9="Random",COUNTIFS($O$2:$O$1092,O647,$Q$2:$Q$1092,"&gt;"&amp;Q647)+1,COUNTIFS($O$2:$O$1092,O647,$P$2:$P$1092,"Below Materiality",$M$2:$M$1092,"&gt;"&amp;M647)+COUNTIFS($O$2:$O$1092,O647,$P$2:$P$1092,"Below Materiality",$M$2:$M$1092,M647,$A$2:$A$1092,"&lt;"&amp;A647)+1))</f>
        <v/>
      </c>
      <c r="T647" s="22"/>
      <c r="U647" s="21" t="str">
        <f aca="false">IF(R647="","",O647&amp;"|A|"&amp;R647)</f>
        <v/>
      </c>
      <c r="V647" s="21" t="str">
        <f aca="false">IF(S647="","",O647&amp;"|R|"&amp;S647)</f>
        <v/>
      </c>
    </row>
    <row r="648" customFormat="false" ht="15" hidden="false" customHeight="false" outlineLevel="0" collapsed="false">
      <c r="A648" s="18" t="n">
        <v>647</v>
      </c>
      <c r="B648" s="18"/>
      <c r="C648" s="18"/>
      <c r="D648" s="18"/>
      <c r="E648" s="18" t="s">
        <v>1314</v>
      </c>
      <c r="F648" s="18" t="s">
        <v>340</v>
      </c>
      <c r="G648" s="18" t="s">
        <v>74</v>
      </c>
      <c r="H648" s="18" t="n">
        <v>435</v>
      </c>
      <c r="I648" s="19" t="n">
        <v>0</v>
      </c>
      <c r="J648" s="19" t="n">
        <v>690</v>
      </c>
      <c r="K648" s="19" t="n">
        <v>690</v>
      </c>
      <c r="L648" s="19" t="n">
        <v>0</v>
      </c>
      <c r="M648" s="19" t="n">
        <f aca="false">ABS(L648)</f>
        <v>0</v>
      </c>
      <c r="N648" s="18" t="str">
        <f aca="false">IF(L648=0,"Nil balance",IF(G648="AR file",IF(L648&gt;0,"Accounts Receivable","Customer Advances"),IF(L648&lt;0,"Accounts Payable","Supplier Advances")))</f>
        <v>Nil balance</v>
      </c>
      <c r="O648" s="18" t="str">
        <f aca="false">IF(L648=0,"Excluded",IF(Summary!$C$4="By ledger",IF(G648="AR file","Population 1","Population 2"),IF(L648&gt;0,"Population 1","Population 2")))</f>
        <v>Excluded</v>
      </c>
      <c r="P648" s="18" t="str">
        <f aca="false">IF(O648="Excluded","Excluded – nil closing balance",IF(M648&gt;Summary!$C$5,"Above Materiality","Below Materiality"))</f>
        <v>Excluded – nil closing balance</v>
      </c>
      <c r="Q648" s="20" t="str">
        <f aca="false">IF(P648="Below Materiality",T648,"")</f>
        <v/>
      </c>
      <c r="R648" s="21" t="str">
        <f aca="false">IF(P648="Above Materiality",COUNTIFS($O$2:$O$1092,O648,$P$2:$P$1092,"Above Materiality",$M$2:$M$1092,"&gt;"&amp;M648)+COUNTIFS($O$2:$O$1092,O648,$P$2:$P$1092,"Above Materiality",$M$2:$M$1092,M648,$A$2:$A$1092,"&lt;"&amp;A648)+1,"")</f>
        <v/>
      </c>
      <c r="S648" s="21" t="str">
        <f aca="false">IF(P648&lt;&gt;"Below Materiality","",IF(Summary!$C$9="Random",COUNTIFS($O$2:$O$1092,O648,$Q$2:$Q$1092,"&gt;"&amp;Q648)+1,COUNTIFS($O$2:$O$1092,O648,$P$2:$P$1092,"Below Materiality",$M$2:$M$1092,"&gt;"&amp;M648)+COUNTIFS($O$2:$O$1092,O648,$P$2:$P$1092,"Below Materiality",$M$2:$M$1092,M648,$A$2:$A$1092,"&lt;"&amp;A648)+1))</f>
        <v/>
      </c>
      <c r="T648" s="22"/>
      <c r="U648" s="21" t="str">
        <f aca="false">IF(R648="","",O648&amp;"|A|"&amp;R648)</f>
        <v/>
      </c>
      <c r="V648" s="21" t="str">
        <f aca="false">IF(S648="","",O648&amp;"|R|"&amp;S648)</f>
        <v/>
      </c>
    </row>
    <row r="649" customFormat="false" ht="15" hidden="false" customHeight="false" outlineLevel="0" collapsed="false">
      <c r="A649" s="18" t="n">
        <v>648</v>
      </c>
      <c r="B649" s="18"/>
      <c r="C649" s="18"/>
      <c r="D649" s="18"/>
      <c r="E649" s="18" t="s">
        <v>1315</v>
      </c>
      <c r="F649" s="18" t="s">
        <v>455</v>
      </c>
      <c r="G649" s="18" t="s">
        <v>74</v>
      </c>
      <c r="H649" s="18" t="n">
        <v>436</v>
      </c>
      <c r="I649" s="19" t="n">
        <v>0</v>
      </c>
      <c r="J649" s="19" t="n">
        <v>161</v>
      </c>
      <c r="K649" s="19" t="n">
        <v>161</v>
      </c>
      <c r="L649" s="19" t="n">
        <v>0</v>
      </c>
      <c r="M649" s="19" t="n">
        <f aca="false">ABS(L649)</f>
        <v>0</v>
      </c>
      <c r="N649" s="18" t="str">
        <f aca="false">IF(L649=0,"Nil balance",IF(G649="AR file",IF(L649&gt;0,"Accounts Receivable","Customer Advances"),IF(L649&lt;0,"Accounts Payable","Supplier Advances")))</f>
        <v>Nil balance</v>
      </c>
      <c r="O649" s="18" t="str">
        <f aca="false">IF(L649=0,"Excluded",IF(Summary!$C$4="By ledger",IF(G649="AR file","Population 1","Population 2"),IF(L649&gt;0,"Population 1","Population 2")))</f>
        <v>Excluded</v>
      </c>
      <c r="P649" s="18" t="str">
        <f aca="false">IF(O649="Excluded","Excluded – nil closing balance",IF(M649&gt;Summary!$C$5,"Above Materiality","Below Materiality"))</f>
        <v>Excluded – nil closing balance</v>
      </c>
      <c r="Q649" s="20" t="str">
        <f aca="false">IF(P649="Below Materiality",T649,"")</f>
        <v/>
      </c>
      <c r="R649" s="21" t="str">
        <f aca="false">IF(P649="Above Materiality",COUNTIFS($O$2:$O$1092,O649,$P$2:$P$1092,"Above Materiality",$M$2:$M$1092,"&gt;"&amp;M649)+COUNTIFS($O$2:$O$1092,O649,$P$2:$P$1092,"Above Materiality",$M$2:$M$1092,M649,$A$2:$A$1092,"&lt;"&amp;A649)+1,"")</f>
        <v/>
      </c>
      <c r="S649" s="21" t="str">
        <f aca="false">IF(P649&lt;&gt;"Below Materiality","",IF(Summary!$C$9="Random",COUNTIFS($O$2:$O$1092,O649,$Q$2:$Q$1092,"&gt;"&amp;Q649)+1,COUNTIFS($O$2:$O$1092,O649,$P$2:$P$1092,"Below Materiality",$M$2:$M$1092,"&gt;"&amp;M649)+COUNTIFS($O$2:$O$1092,O649,$P$2:$P$1092,"Below Materiality",$M$2:$M$1092,M649,$A$2:$A$1092,"&lt;"&amp;A649)+1))</f>
        <v/>
      </c>
      <c r="T649" s="22"/>
      <c r="U649" s="21" t="str">
        <f aca="false">IF(R649="","",O649&amp;"|A|"&amp;R649)</f>
        <v/>
      </c>
      <c r="V649" s="21" t="str">
        <f aca="false">IF(S649="","",O649&amp;"|R|"&amp;S649)</f>
        <v/>
      </c>
    </row>
    <row r="650" customFormat="false" ht="15" hidden="false" customHeight="false" outlineLevel="0" collapsed="false">
      <c r="A650" s="18" t="n">
        <v>649</v>
      </c>
      <c r="B650" s="18"/>
      <c r="C650" s="18"/>
      <c r="D650" s="18"/>
      <c r="E650" s="18" t="s">
        <v>1316</v>
      </c>
      <c r="F650" s="18" t="s">
        <v>1159</v>
      </c>
      <c r="G650" s="18" t="s">
        <v>74</v>
      </c>
      <c r="H650" s="18" t="n">
        <v>437</v>
      </c>
      <c r="I650" s="19" t="n">
        <v>0</v>
      </c>
      <c r="J650" s="19" t="n">
        <v>69</v>
      </c>
      <c r="K650" s="19" t="n">
        <v>69</v>
      </c>
      <c r="L650" s="19" t="n">
        <v>0</v>
      </c>
      <c r="M650" s="19" t="n">
        <f aca="false">ABS(L650)</f>
        <v>0</v>
      </c>
      <c r="N650" s="18" t="str">
        <f aca="false">IF(L650=0,"Nil balance",IF(G650="AR file",IF(L650&gt;0,"Accounts Receivable","Customer Advances"),IF(L650&lt;0,"Accounts Payable","Supplier Advances")))</f>
        <v>Nil balance</v>
      </c>
      <c r="O650" s="18" t="str">
        <f aca="false">IF(L650=0,"Excluded",IF(Summary!$C$4="By ledger",IF(G650="AR file","Population 1","Population 2"),IF(L650&gt;0,"Population 1","Population 2")))</f>
        <v>Excluded</v>
      </c>
      <c r="P650" s="18" t="str">
        <f aca="false">IF(O650="Excluded","Excluded – nil closing balance",IF(M650&gt;Summary!$C$5,"Above Materiality","Below Materiality"))</f>
        <v>Excluded – nil closing balance</v>
      </c>
      <c r="Q650" s="20" t="str">
        <f aca="false">IF(P650="Below Materiality",T650,"")</f>
        <v/>
      </c>
      <c r="R650" s="21" t="str">
        <f aca="false">IF(P650="Above Materiality",COUNTIFS($O$2:$O$1092,O650,$P$2:$P$1092,"Above Materiality",$M$2:$M$1092,"&gt;"&amp;M650)+COUNTIFS($O$2:$O$1092,O650,$P$2:$P$1092,"Above Materiality",$M$2:$M$1092,M650,$A$2:$A$1092,"&lt;"&amp;A650)+1,"")</f>
        <v/>
      </c>
      <c r="S650" s="21" t="str">
        <f aca="false">IF(P650&lt;&gt;"Below Materiality","",IF(Summary!$C$9="Random",COUNTIFS($O$2:$O$1092,O650,$Q$2:$Q$1092,"&gt;"&amp;Q650)+1,COUNTIFS($O$2:$O$1092,O650,$P$2:$P$1092,"Below Materiality",$M$2:$M$1092,"&gt;"&amp;M650)+COUNTIFS($O$2:$O$1092,O650,$P$2:$P$1092,"Below Materiality",$M$2:$M$1092,M650,$A$2:$A$1092,"&lt;"&amp;A650)+1))</f>
        <v/>
      </c>
      <c r="T650" s="22"/>
      <c r="U650" s="21" t="str">
        <f aca="false">IF(R650="","",O650&amp;"|A|"&amp;R650)</f>
        <v/>
      </c>
      <c r="V650" s="21" t="str">
        <f aca="false">IF(S650="","",O650&amp;"|R|"&amp;S650)</f>
        <v/>
      </c>
    </row>
    <row r="651" customFormat="false" ht="15" hidden="false" customHeight="false" outlineLevel="0" collapsed="false">
      <c r="A651" s="18" t="n">
        <v>650</v>
      </c>
      <c r="B651" s="18"/>
      <c r="C651" s="18"/>
      <c r="D651" s="18"/>
      <c r="E651" s="18" t="s">
        <v>1317</v>
      </c>
      <c r="F651" s="18" t="s">
        <v>840</v>
      </c>
      <c r="G651" s="18" t="s">
        <v>74</v>
      </c>
      <c r="H651" s="18" t="n">
        <v>438</v>
      </c>
      <c r="I651" s="19" t="n">
        <v>0</v>
      </c>
      <c r="J651" s="19" t="n">
        <v>230</v>
      </c>
      <c r="K651" s="19" t="n">
        <v>230</v>
      </c>
      <c r="L651" s="19" t="n">
        <v>0</v>
      </c>
      <c r="M651" s="19" t="n">
        <f aca="false">ABS(L651)</f>
        <v>0</v>
      </c>
      <c r="N651" s="18" t="str">
        <f aca="false">IF(L651=0,"Nil balance",IF(G651="AR file",IF(L651&gt;0,"Accounts Receivable","Customer Advances"),IF(L651&lt;0,"Accounts Payable","Supplier Advances")))</f>
        <v>Nil balance</v>
      </c>
      <c r="O651" s="18" t="str">
        <f aca="false">IF(L651=0,"Excluded",IF(Summary!$C$4="By ledger",IF(G651="AR file","Population 1","Population 2"),IF(L651&gt;0,"Population 1","Population 2")))</f>
        <v>Excluded</v>
      </c>
      <c r="P651" s="18" t="str">
        <f aca="false">IF(O651="Excluded","Excluded – nil closing balance",IF(M651&gt;Summary!$C$5,"Above Materiality","Below Materiality"))</f>
        <v>Excluded – nil closing balance</v>
      </c>
      <c r="Q651" s="20" t="str">
        <f aca="false">IF(P651="Below Materiality",T651,"")</f>
        <v/>
      </c>
      <c r="R651" s="21" t="str">
        <f aca="false">IF(P651="Above Materiality",COUNTIFS($O$2:$O$1092,O651,$P$2:$P$1092,"Above Materiality",$M$2:$M$1092,"&gt;"&amp;M651)+COUNTIFS($O$2:$O$1092,O651,$P$2:$P$1092,"Above Materiality",$M$2:$M$1092,M651,$A$2:$A$1092,"&lt;"&amp;A651)+1,"")</f>
        <v/>
      </c>
      <c r="S651" s="21" t="str">
        <f aca="false">IF(P651&lt;&gt;"Below Materiality","",IF(Summary!$C$9="Random",COUNTIFS($O$2:$O$1092,O651,$Q$2:$Q$1092,"&gt;"&amp;Q651)+1,COUNTIFS($O$2:$O$1092,O651,$P$2:$P$1092,"Below Materiality",$M$2:$M$1092,"&gt;"&amp;M651)+COUNTIFS($O$2:$O$1092,O651,$P$2:$P$1092,"Below Materiality",$M$2:$M$1092,M651,$A$2:$A$1092,"&lt;"&amp;A651)+1))</f>
        <v/>
      </c>
      <c r="T651" s="22"/>
      <c r="U651" s="21" t="str">
        <f aca="false">IF(R651="","",O651&amp;"|A|"&amp;R651)</f>
        <v/>
      </c>
      <c r="V651" s="21" t="str">
        <f aca="false">IF(S651="","",O651&amp;"|R|"&amp;S651)</f>
        <v/>
      </c>
    </row>
    <row r="652" customFormat="false" ht="15" hidden="false" customHeight="false" outlineLevel="0" collapsed="false">
      <c r="A652" s="18" t="n">
        <v>651</v>
      </c>
      <c r="B652" s="18"/>
      <c r="C652" s="18"/>
      <c r="D652" s="18"/>
      <c r="E652" s="18" t="s">
        <v>1318</v>
      </c>
      <c r="F652" s="18" t="s">
        <v>1319</v>
      </c>
      <c r="G652" s="18" t="s">
        <v>74</v>
      </c>
      <c r="H652" s="18" t="n">
        <v>439</v>
      </c>
      <c r="I652" s="19" t="n">
        <v>0</v>
      </c>
      <c r="J652" s="19" t="n">
        <v>460</v>
      </c>
      <c r="K652" s="19" t="n">
        <v>460</v>
      </c>
      <c r="L652" s="19" t="n">
        <v>0</v>
      </c>
      <c r="M652" s="19" t="n">
        <f aca="false">ABS(L652)</f>
        <v>0</v>
      </c>
      <c r="N652" s="18" t="str">
        <f aca="false">IF(L652=0,"Nil balance",IF(G652="AR file",IF(L652&gt;0,"Accounts Receivable","Customer Advances"),IF(L652&lt;0,"Accounts Payable","Supplier Advances")))</f>
        <v>Nil balance</v>
      </c>
      <c r="O652" s="18" t="str">
        <f aca="false">IF(L652=0,"Excluded",IF(Summary!$C$4="By ledger",IF(G652="AR file","Population 1","Population 2"),IF(L652&gt;0,"Population 1","Population 2")))</f>
        <v>Excluded</v>
      </c>
      <c r="P652" s="18" t="str">
        <f aca="false">IF(O652="Excluded","Excluded – nil closing balance",IF(M652&gt;Summary!$C$5,"Above Materiality","Below Materiality"))</f>
        <v>Excluded – nil closing balance</v>
      </c>
      <c r="Q652" s="20" t="str">
        <f aca="false">IF(P652="Below Materiality",T652,"")</f>
        <v/>
      </c>
      <c r="R652" s="21" t="str">
        <f aca="false">IF(P652="Above Materiality",COUNTIFS($O$2:$O$1092,O652,$P$2:$P$1092,"Above Materiality",$M$2:$M$1092,"&gt;"&amp;M652)+COUNTIFS($O$2:$O$1092,O652,$P$2:$P$1092,"Above Materiality",$M$2:$M$1092,M652,$A$2:$A$1092,"&lt;"&amp;A652)+1,"")</f>
        <v/>
      </c>
      <c r="S652" s="21" t="str">
        <f aca="false">IF(P652&lt;&gt;"Below Materiality","",IF(Summary!$C$9="Random",COUNTIFS($O$2:$O$1092,O652,$Q$2:$Q$1092,"&gt;"&amp;Q652)+1,COUNTIFS($O$2:$O$1092,O652,$P$2:$P$1092,"Below Materiality",$M$2:$M$1092,"&gt;"&amp;M652)+COUNTIFS($O$2:$O$1092,O652,$P$2:$P$1092,"Below Materiality",$M$2:$M$1092,M652,$A$2:$A$1092,"&lt;"&amp;A652)+1))</f>
        <v/>
      </c>
      <c r="T652" s="22"/>
      <c r="U652" s="21" t="str">
        <f aca="false">IF(R652="","",O652&amp;"|A|"&amp;R652)</f>
        <v/>
      </c>
      <c r="V652" s="21" t="str">
        <f aca="false">IF(S652="","",O652&amp;"|R|"&amp;S652)</f>
        <v/>
      </c>
    </row>
    <row r="653" customFormat="false" ht="15" hidden="false" customHeight="false" outlineLevel="0" collapsed="false">
      <c r="A653" s="18" t="n">
        <v>652</v>
      </c>
      <c r="B653" s="18"/>
      <c r="C653" s="18"/>
      <c r="D653" s="18"/>
      <c r="E653" s="18" t="s">
        <v>1320</v>
      </c>
      <c r="F653" s="18" t="s">
        <v>1321</v>
      </c>
      <c r="G653" s="18" t="s">
        <v>74</v>
      </c>
      <c r="H653" s="18" t="n">
        <v>440</v>
      </c>
      <c r="I653" s="19" t="n">
        <v>0</v>
      </c>
      <c r="J653" s="19" t="n">
        <v>1259.25</v>
      </c>
      <c r="K653" s="19" t="n">
        <v>1259.25</v>
      </c>
      <c r="L653" s="19" t="n">
        <v>0</v>
      </c>
      <c r="M653" s="19" t="n">
        <f aca="false">ABS(L653)</f>
        <v>0</v>
      </c>
      <c r="N653" s="18" t="str">
        <f aca="false">IF(L653=0,"Nil balance",IF(G653="AR file",IF(L653&gt;0,"Accounts Receivable","Customer Advances"),IF(L653&lt;0,"Accounts Payable","Supplier Advances")))</f>
        <v>Nil balance</v>
      </c>
      <c r="O653" s="18" t="str">
        <f aca="false">IF(L653=0,"Excluded",IF(Summary!$C$4="By ledger",IF(G653="AR file","Population 1","Population 2"),IF(L653&gt;0,"Population 1","Population 2")))</f>
        <v>Excluded</v>
      </c>
      <c r="P653" s="18" t="str">
        <f aca="false">IF(O653="Excluded","Excluded – nil closing balance",IF(M653&gt;Summary!$C$5,"Above Materiality","Below Materiality"))</f>
        <v>Excluded – nil closing balance</v>
      </c>
      <c r="Q653" s="20" t="str">
        <f aca="false">IF(P653="Below Materiality",T653,"")</f>
        <v/>
      </c>
      <c r="R653" s="21" t="str">
        <f aca="false">IF(P653="Above Materiality",COUNTIFS($O$2:$O$1092,O653,$P$2:$P$1092,"Above Materiality",$M$2:$M$1092,"&gt;"&amp;M653)+COUNTIFS($O$2:$O$1092,O653,$P$2:$P$1092,"Above Materiality",$M$2:$M$1092,M653,$A$2:$A$1092,"&lt;"&amp;A653)+1,"")</f>
        <v/>
      </c>
      <c r="S653" s="21" t="str">
        <f aca="false">IF(P653&lt;&gt;"Below Materiality","",IF(Summary!$C$9="Random",COUNTIFS($O$2:$O$1092,O653,$Q$2:$Q$1092,"&gt;"&amp;Q653)+1,COUNTIFS($O$2:$O$1092,O653,$P$2:$P$1092,"Below Materiality",$M$2:$M$1092,"&gt;"&amp;M653)+COUNTIFS($O$2:$O$1092,O653,$P$2:$P$1092,"Below Materiality",$M$2:$M$1092,M653,$A$2:$A$1092,"&lt;"&amp;A653)+1))</f>
        <v/>
      </c>
      <c r="T653" s="22"/>
      <c r="U653" s="21" t="str">
        <f aca="false">IF(R653="","",O653&amp;"|A|"&amp;R653)</f>
        <v/>
      </c>
      <c r="V653" s="21" t="str">
        <f aca="false">IF(S653="","",O653&amp;"|R|"&amp;S653)</f>
        <v/>
      </c>
    </row>
    <row r="654" customFormat="false" ht="15" hidden="false" customHeight="false" outlineLevel="0" collapsed="false">
      <c r="A654" s="18" t="n">
        <v>653</v>
      </c>
      <c r="B654" s="18"/>
      <c r="C654" s="18"/>
      <c r="D654" s="18"/>
      <c r="E654" s="18" t="s">
        <v>1322</v>
      </c>
      <c r="F654" s="18" t="s">
        <v>1323</v>
      </c>
      <c r="G654" s="18" t="s">
        <v>74</v>
      </c>
      <c r="H654" s="18" t="n">
        <v>441</v>
      </c>
      <c r="I654" s="19" t="n">
        <v>0</v>
      </c>
      <c r="J654" s="19" t="n">
        <v>8683.6</v>
      </c>
      <c r="K654" s="19" t="n">
        <v>8683.6</v>
      </c>
      <c r="L654" s="19" t="n">
        <v>0</v>
      </c>
      <c r="M654" s="19" t="n">
        <f aca="false">ABS(L654)</f>
        <v>0</v>
      </c>
      <c r="N654" s="18" t="str">
        <f aca="false">IF(L654=0,"Nil balance",IF(G654="AR file",IF(L654&gt;0,"Accounts Receivable","Customer Advances"),IF(L654&lt;0,"Accounts Payable","Supplier Advances")))</f>
        <v>Nil balance</v>
      </c>
      <c r="O654" s="18" t="str">
        <f aca="false">IF(L654=0,"Excluded",IF(Summary!$C$4="By ledger",IF(G654="AR file","Population 1","Population 2"),IF(L654&gt;0,"Population 1","Population 2")))</f>
        <v>Excluded</v>
      </c>
      <c r="P654" s="18" t="str">
        <f aca="false">IF(O654="Excluded","Excluded – nil closing balance",IF(M654&gt;Summary!$C$5,"Above Materiality","Below Materiality"))</f>
        <v>Excluded – nil closing balance</v>
      </c>
      <c r="Q654" s="20" t="str">
        <f aca="false">IF(P654="Below Materiality",T654,"")</f>
        <v/>
      </c>
      <c r="R654" s="21" t="str">
        <f aca="false">IF(P654="Above Materiality",COUNTIFS($O$2:$O$1092,O654,$P$2:$P$1092,"Above Materiality",$M$2:$M$1092,"&gt;"&amp;M654)+COUNTIFS($O$2:$O$1092,O654,$P$2:$P$1092,"Above Materiality",$M$2:$M$1092,M654,$A$2:$A$1092,"&lt;"&amp;A654)+1,"")</f>
        <v/>
      </c>
      <c r="S654" s="21" t="str">
        <f aca="false">IF(P654&lt;&gt;"Below Materiality","",IF(Summary!$C$9="Random",COUNTIFS($O$2:$O$1092,O654,$Q$2:$Q$1092,"&gt;"&amp;Q654)+1,COUNTIFS($O$2:$O$1092,O654,$P$2:$P$1092,"Below Materiality",$M$2:$M$1092,"&gt;"&amp;M654)+COUNTIFS($O$2:$O$1092,O654,$P$2:$P$1092,"Below Materiality",$M$2:$M$1092,M654,$A$2:$A$1092,"&lt;"&amp;A654)+1))</f>
        <v/>
      </c>
      <c r="T654" s="22"/>
      <c r="U654" s="21" t="str">
        <f aca="false">IF(R654="","",O654&amp;"|A|"&amp;R654)</f>
        <v/>
      </c>
      <c r="V654" s="21" t="str">
        <f aca="false">IF(S654="","",O654&amp;"|R|"&amp;S654)</f>
        <v/>
      </c>
    </row>
    <row r="655" customFormat="false" ht="15" hidden="false" customHeight="false" outlineLevel="0" collapsed="false">
      <c r="A655" s="18" t="n">
        <v>654</v>
      </c>
      <c r="B655" s="18"/>
      <c r="C655" s="18"/>
      <c r="D655" s="18"/>
      <c r="E655" s="18" t="s">
        <v>1324</v>
      </c>
      <c r="F655" s="18" t="s">
        <v>1190</v>
      </c>
      <c r="G655" s="18" t="s">
        <v>74</v>
      </c>
      <c r="H655" s="18" t="n">
        <v>442</v>
      </c>
      <c r="I655" s="19" t="n">
        <v>0</v>
      </c>
      <c r="J655" s="19" t="n">
        <v>253</v>
      </c>
      <c r="K655" s="19" t="n">
        <v>253</v>
      </c>
      <c r="L655" s="19" t="n">
        <v>0</v>
      </c>
      <c r="M655" s="19" t="n">
        <f aca="false">ABS(L655)</f>
        <v>0</v>
      </c>
      <c r="N655" s="18" t="str">
        <f aca="false">IF(L655=0,"Nil balance",IF(G655="AR file",IF(L655&gt;0,"Accounts Receivable","Customer Advances"),IF(L655&lt;0,"Accounts Payable","Supplier Advances")))</f>
        <v>Nil balance</v>
      </c>
      <c r="O655" s="18" t="str">
        <f aca="false">IF(L655=0,"Excluded",IF(Summary!$C$4="By ledger",IF(G655="AR file","Population 1","Population 2"),IF(L655&gt;0,"Population 1","Population 2")))</f>
        <v>Excluded</v>
      </c>
      <c r="P655" s="18" t="str">
        <f aca="false">IF(O655="Excluded","Excluded – nil closing balance",IF(M655&gt;Summary!$C$5,"Above Materiality","Below Materiality"))</f>
        <v>Excluded – nil closing balance</v>
      </c>
      <c r="Q655" s="20" t="str">
        <f aca="false">IF(P655="Below Materiality",T655,"")</f>
        <v/>
      </c>
      <c r="R655" s="21" t="str">
        <f aca="false">IF(P655="Above Materiality",COUNTIFS($O$2:$O$1092,O655,$P$2:$P$1092,"Above Materiality",$M$2:$M$1092,"&gt;"&amp;M655)+COUNTIFS($O$2:$O$1092,O655,$P$2:$P$1092,"Above Materiality",$M$2:$M$1092,M655,$A$2:$A$1092,"&lt;"&amp;A655)+1,"")</f>
        <v/>
      </c>
      <c r="S655" s="21" t="str">
        <f aca="false">IF(P655&lt;&gt;"Below Materiality","",IF(Summary!$C$9="Random",COUNTIFS($O$2:$O$1092,O655,$Q$2:$Q$1092,"&gt;"&amp;Q655)+1,COUNTIFS($O$2:$O$1092,O655,$P$2:$P$1092,"Below Materiality",$M$2:$M$1092,"&gt;"&amp;M655)+COUNTIFS($O$2:$O$1092,O655,$P$2:$P$1092,"Below Materiality",$M$2:$M$1092,M655,$A$2:$A$1092,"&lt;"&amp;A655)+1))</f>
        <v/>
      </c>
      <c r="T655" s="22"/>
      <c r="U655" s="21" t="str">
        <f aca="false">IF(R655="","",O655&amp;"|A|"&amp;R655)</f>
        <v/>
      </c>
      <c r="V655" s="21" t="str">
        <f aca="false">IF(S655="","",O655&amp;"|R|"&amp;S655)</f>
        <v/>
      </c>
    </row>
    <row r="656" customFormat="false" ht="15" hidden="false" customHeight="false" outlineLevel="0" collapsed="false">
      <c r="A656" s="18" t="n">
        <v>655</v>
      </c>
      <c r="B656" s="18"/>
      <c r="C656" s="18"/>
      <c r="D656" s="18"/>
      <c r="E656" s="18" t="s">
        <v>1325</v>
      </c>
      <c r="F656" s="18" t="s">
        <v>417</v>
      </c>
      <c r="G656" s="18" t="s">
        <v>74</v>
      </c>
      <c r="H656" s="18" t="n">
        <v>443</v>
      </c>
      <c r="I656" s="19" t="n">
        <v>0</v>
      </c>
      <c r="J656" s="19" t="n">
        <v>276</v>
      </c>
      <c r="K656" s="19" t="n">
        <v>276</v>
      </c>
      <c r="L656" s="19" t="n">
        <v>0</v>
      </c>
      <c r="M656" s="19" t="n">
        <f aca="false">ABS(L656)</f>
        <v>0</v>
      </c>
      <c r="N656" s="18" t="str">
        <f aca="false">IF(L656=0,"Nil balance",IF(G656="AR file",IF(L656&gt;0,"Accounts Receivable","Customer Advances"),IF(L656&lt;0,"Accounts Payable","Supplier Advances")))</f>
        <v>Nil balance</v>
      </c>
      <c r="O656" s="18" t="str">
        <f aca="false">IF(L656=0,"Excluded",IF(Summary!$C$4="By ledger",IF(G656="AR file","Population 1","Population 2"),IF(L656&gt;0,"Population 1","Population 2")))</f>
        <v>Excluded</v>
      </c>
      <c r="P656" s="18" t="str">
        <f aca="false">IF(O656="Excluded","Excluded – nil closing balance",IF(M656&gt;Summary!$C$5,"Above Materiality","Below Materiality"))</f>
        <v>Excluded – nil closing balance</v>
      </c>
      <c r="Q656" s="20" t="str">
        <f aca="false">IF(P656="Below Materiality",T656,"")</f>
        <v/>
      </c>
      <c r="R656" s="21" t="str">
        <f aca="false">IF(P656="Above Materiality",COUNTIFS($O$2:$O$1092,O656,$P$2:$P$1092,"Above Materiality",$M$2:$M$1092,"&gt;"&amp;M656)+COUNTIFS($O$2:$O$1092,O656,$P$2:$P$1092,"Above Materiality",$M$2:$M$1092,M656,$A$2:$A$1092,"&lt;"&amp;A656)+1,"")</f>
        <v/>
      </c>
      <c r="S656" s="21" t="str">
        <f aca="false">IF(P656&lt;&gt;"Below Materiality","",IF(Summary!$C$9="Random",COUNTIFS($O$2:$O$1092,O656,$Q$2:$Q$1092,"&gt;"&amp;Q656)+1,COUNTIFS($O$2:$O$1092,O656,$P$2:$P$1092,"Below Materiality",$M$2:$M$1092,"&gt;"&amp;M656)+COUNTIFS($O$2:$O$1092,O656,$P$2:$P$1092,"Below Materiality",$M$2:$M$1092,M656,$A$2:$A$1092,"&lt;"&amp;A656)+1))</f>
        <v/>
      </c>
      <c r="T656" s="22"/>
      <c r="U656" s="21" t="str">
        <f aca="false">IF(R656="","",O656&amp;"|A|"&amp;R656)</f>
        <v/>
      </c>
      <c r="V656" s="21" t="str">
        <f aca="false">IF(S656="","",O656&amp;"|R|"&amp;S656)</f>
        <v/>
      </c>
    </row>
    <row r="657" customFormat="false" ht="15" hidden="false" customHeight="false" outlineLevel="0" collapsed="false">
      <c r="A657" s="18" t="n">
        <v>656</v>
      </c>
      <c r="B657" s="18"/>
      <c r="C657" s="18"/>
      <c r="D657" s="18"/>
      <c r="E657" s="18" t="s">
        <v>1326</v>
      </c>
      <c r="F657" s="18" t="s">
        <v>1327</v>
      </c>
      <c r="G657" s="18" t="s">
        <v>74</v>
      </c>
      <c r="H657" s="18" t="n">
        <v>444</v>
      </c>
      <c r="I657" s="19" t="n">
        <v>0</v>
      </c>
      <c r="J657" s="19" t="n">
        <v>200</v>
      </c>
      <c r="K657" s="19" t="n">
        <v>200</v>
      </c>
      <c r="L657" s="19" t="n">
        <v>0</v>
      </c>
      <c r="M657" s="19" t="n">
        <f aca="false">ABS(L657)</f>
        <v>0</v>
      </c>
      <c r="N657" s="18" t="str">
        <f aca="false">IF(L657=0,"Nil balance",IF(G657="AR file",IF(L657&gt;0,"Accounts Receivable","Customer Advances"),IF(L657&lt;0,"Accounts Payable","Supplier Advances")))</f>
        <v>Nil balance</v>
      </c>
      <c r="O657" s="18" t="str">
        <f aca="false">IF(L657=0,"Excluded",IF(Summary!$C$4="By ledger",IF(G657="AR file","Population 1","Population 2"),IF(L657&gt;0,"Population 1","Population 2")))</f>
        <v>Excluded</v>
      </c>
      <c r="P657" s="18" t="str">
        <f aca="false">IF(O657="Excluded","Excluded – nil closing balance",IF(M657&gt;Summary!$C$5,"Above Materiality","Below Materiality"))</f>
        <v>Excluded – nil closing balance</v>
      </c>
      <c r="Q657" s="20" t="str">
        <f aca="false">IF(P657="Below Materiality",T657,"")</f>
        <v/>
      </c>
      <c r="R657" s="21" t="str">
        <f aca="false">IF(P657="Above Materiality",COUNTIFS($O$2:$O$1092,O657,$P$2:$P$1092,"Above Materiality",$M$2:$M$1092,"&gt;"&amp;M657)+COUNTIFS($O$2:$O$1092,O657,$P$2:$P$1092,"Above Materiality",$M$2:$M$1092,M657,$A$2:$A$1092,"&lt;"&amp;A657)+1,"")</f>
        <v/>
      </c>
      <c r="S657" s="21" t="str">
        <f aca="false">IF(P657&lt;&gt;"Below Materiality","",IF(Summary!$C$9="Random",COUNTIFS($O$2:$O$1092,O657,$Q$2:$Q$1092,"&gt;"&amp;Q657)+1,COUNTIFS($O$2:$O$1092,O657,$P$2:$P$1092,"Below Materiality",$M$2:$M$1092,"&gt;"&amp;M657)+COUNTIFS($O$2:$O$1092,O657,$P$2:$P$1092,"Below Materiality",$M$2:$M$1092,M657,$A$2:$A$1092,"&lt;"&amp;A657)+1))</f>
        <v/>
      </c>
      <c r="T657" s="22"/>
      <c r="U657" s="21" t="str">
        <f aca="false">IF(R657="","",O657&amp;"|A|"&amp;R657)</f>
        <v/>
      </c>
      <c r="V657" s="21" t="str">
        <f aca="false">IF(S657="","",O657&amp;"|R|"&amp;S657)</f>
        <v/>
      </c>
    </row>
    <row r="658" customFormat="false" ht="15" hidden="false" customHeight="false" outlineLevel="0" collapsed="false">
      <c r="A658" s="18" t="n">
        <v>657</v>
      </c>
      <c r="B658" s="18"/>
      <c r="C658" s="18"/>
      <c r="D658" s="18"/>
      <c r="E658" s="18" t="s">
        <v>1328</v>
      </c>
      <c r="F658" s="18" t="s">
        <v>1329</v>
      </c>
      <c r="G658" s="18" t="s">
        <v>74</v>
      </c>
      <c r="H658" s="18" t="n">
        <v>445</v>
      </c>
      <c r="I658" s="19" t="n">
        <v>0</v>
      </c>
      <c r="J658" s="19" t="n">
        <v>80.5</v>
      </c>
      <c r="K658" s="19" t="n">
        <v>80.5</v>
      </c>
      <c r="L658" s="19" t="n">
        <v>0</v>
      </c>
      <c r="M658" s="19" t="n">
        <f aca="false">ABS(L658)</f>
        <v>0</v>
      </c>
      <c r="N658" s="18" t="str">
        <f aca="false">IF(L658=0,"Nil balance",IF(G658="AR file",IF(L658&gt;0,"Accounts Receivable","Customer Advances"),IF(L658&lt;0,"Accounts Payable","Supplier Advances")))</f>
        <v>Nil balance</v>
      </c>
      <c r="O658" s="18" t="str">
        <f aca="false">IF(L658=0,"Excluded",IF(Summary!$C$4="By ledger",IF(G658="AR file","Population 1","Population 2"),IF(L658&gt;0,"Population 1","Population 2")))</f>
        <v>Excluded</v>
      </c>
      <c r="P658" s="18" t="str">
        <f aca="false">IF(O658="Excluded","Excluded – nil closing balance",IF(M658&gt;Summary!$C$5,"Above Materiality","Below Materiality"))</f>
        <v>Excluded – nil closing balance</v>
      </c>
      <c r="Q658" s="20" t="str">
        <f aca="false">IF(P658="Below Materiality",T658,"")</f>
        <v/>
      </c>
      <c r="R658" s="21" t="str">
        <f aca="false">IF(P658="Above Materiality",COUNTIFS($O$2:$O$1092,O658,$P$2:$P$1092,"Above Materiality",$M$2:$M$1092,"&gt;"&amp;M658)+COUNTIFS($O$2:$O$1092,O658,$P$2:$P$1092,"Above Materiality",$M$2:$M$1092,M658,$A$2:$A$1092,"&lt;"&amp;A658)+1,"")</f>
        <v/>
      </c>
      <c r="S658" s="21" t="str">
        <f aca="false">IF(P658&lt;&gt;"Below Materiality","",IF(Summary!$C$9="Random",COUNTIFS($O$2:$O$1092,O658,$Q$2:$Q$1092,"&gt;"&amp;Q658)+1,COUNTIFS($O$2:$O$1092,O658,$P$2:$P$1092,"Below Materiality",$M$2:$M$1092,"&gt;"&amp;M658)+COUNTIFS($O$2:$O$1092,O658,$P$2:$P$1092,"Below Materiality",$M$2:$M$1092,M658,$A$2:$A$1092,"&lt;"&amp;A658)+1))</f>
        <v/>
      </c>
      <c r="T658" s="22"/>
      <c r="U658" s="21" t="str">
        <f aca="false">IF(R658="","",O658&amp;"|A|"&amp;R658)</f>
        <v/>
      </c>
      <c r="V658" s="21" t="str">
        <f aca="false">IF(S658="","",O658&amp;"|R|"&amp;S658)</f>
        <v/>
      </c>
    </row>
    <row r="659" customFormat="false" ht="15" hidden="false" customHeight="false" outlineLevel="0" collapsed="false">
      <c r="A659" s="18" t="n">
        <v>658</v>
      </c>
      <c r="B659" s="18"/>
      <c r="C659" s="18"/>
      <c r="D659" s="18"/>
      <c r="E659" s="18" t="s">
        <v>1330</v>
      </c>
      <c r="F659" s="18" t="s">
        <v>1171</v>
      </c>
      <c r="G659" s="18" t="s">
        <v>74</v>
      </c>
      <c r="H659" s="18" t="n">
        <v>447</v>
      </c>
      <c r="I659" s="19" t="n">
        <v>0</v>
      </c>
      <c r="J659" s="19" t="n">
        <v>1000</v>
      </c>
      <c r="K659" s="19" t="n">
        <v>1000</v>
      </c>
      <c r="L659" s="19" t="n">
        <v>0</v>
      </c>
      <c r="M659" s="19" t="n">
        <f aca="false">ABS(L659)</f>
        <v>0</v>
      </c>
      <c r="N659" s="18" t="str">
        <f aca="false">IF(L659=0,"Nil balance",IF(G659="AR file",IF(L659&gt;0,"Accounts Receivable","Customer Advances"),IF(L659&lt;0,"Accounts Payable","Supplier Advances")))</f>
        <v>Nil balance</v>
      </c>
      <c r="O659" s="18" t="str">
        <f aca="false">IF(L659=0,"Excluded",IF(Summary!$C$4="By ledger",IF(G659="AR file","Population 1","Population 2"),IF(L659&gt;0,"Population 1","Population 2")))</f>
        <v>Excluded</v>
      </c>
      <c r="P659" s="18" t="str">
        <f aca="false">IF(O659="Excluded","Excluded – nil closing balance",IF(M659&gt;Summary!$C$5,"Above Materiality","Below Materiality"))</f>
        <v>Excluded – nil closing balance</v>
      </c>
      <c r="Q659" s="20" t="str">
        <f aca="false">IF(P659="Below Materiality",T659,"")</f>
        <v/>
      </c>
      <c r="R659" s="21" t="str">
        <f aca="false">IF(P659="Above Materiality",COUNTIFS($O$2:$O$1092,O659,$P$2:$P$1092,"Above Materiality",$M$2:$M$1092,"&gt;"&amp;M659)+COUNTIFS($O$2:$O$1092,O659,$P$2:$P$1092,"Above Materiality",$M$2:$M$1092,M659,$A$2:$A$1092,"&lt;"&amp;A659)+1,"")</f>
        <v/>
      </c>
      <c r="S659" s="21" t="str">
        <f aca="false">IF(P659&lt;&gt;"Below Materiality","",IF(Summary!$C$9="Random",COUNTIFS($O$2:$O$1092,O659,$Q$2:$Q$1092,"&gt;"&amp;Q659)+1,COUNTIFS($O$2:$O$1092,O659,$P$2:$P$1092,"Below Materiality",$M$2:$M$1092,"&gt;"&amp;M659)+COUNTIFS($O$2:$O$1092,O659,$P$2:$P$1092,"Below Materiality",$M$2:$M$1092,M659,$A$2:$A$1092,"&lt;"&amp;A659)+1))</f>
        <v/>
      </c>
      <c r="T659" s="22"/>
      <c r="U659" s="21" t="str">
        <f aca="false">IF(R659="","",O659&amp;"|A|"&amp;R659)</f>
        <v/>
      </c>
      <c r="V659" s="21" t="str">
        <f aca="false">IF(S659="","",O659&amp;"|R|"&amp;S659)</f>
        <v/>
      </c>
    </row>
    <row r="660" customFormat="false" ht="15" hidden="false" customHeight="false" outlineLevel="0" collapsed="false">
      <c r="A660" s="18" t="n">
        <v>659</v>
      </c>
      <c r="B660" s="18"/>
      <c r="C660" s="18"/>
      <c r="D660" s="18"/>
      <c r="E660" s="18" t="s">
        <v>1331</v>
      </c>
      <c r="F660" s="18" t="s">
        <v>1332</v>
      </c>
      <c r="G660" s="18" t="s">
        <v>74</v>
      </c>
      <c r="H660" s="18" t="n">
        <v>448</v>
      </c>
      <c r="I660" s="19" t="n">
        <v>0</v>
      </c>
      <c r="J660" s="19" t="n">
        <v>2185</v>
      </c>
      <c r="K660" s="19" t="n">
        <v>2185</v>
      </c>
      <c r="L660" s="19" t="n">
        <v>0</v>
      </c>
      <c r="M660" s="19" t="n">
        <f aca="false">ABS(L660)</f>
        <v>0</v>
      </c>
      <c r="N660" s="18" t="str">
        <f aca="false">IF(L660=0,"Nil balance",IF(G660="AR file",IF(L660&gt;0,"Accounts Receivable","Customer Advances"),IF(L660&lt;0,"Accounts Payable","Supplier Advances")))</f>
        <v>Nil balance</v>
      </c>
      <c r="O660" s="18" t="str">
        <f aca="false">IF(L660=0,"Excluded",IF(Summary!$C$4="By ledger",IF(G660="AR file","Population 1","Population 2"),IF(L660&gt;0,"Population 1","Population 2")))</f>
        <v>Excluded</v>
      </c>
      <c r="P660" s="18" t="str">
        <f aca="false">IF(O660="Excluded","Excluded – nil closing balance",IF(M660&gt;Summary!$C$5,"Above Materiality","Below Materiality"))</f>
        <v>Excluded – nil closing balance</v>
      </c>
      <c r="Q660" s="20" t="str">
        <f aca="false">IF(P660="Below Materiality",T660,"")</f>
        <v/>
      </c>
      <c r="R660" s="21" t="str">
        <f aca="false">IF(P660="Above Materiality",COUNTIFS($O$2:$O$1092,O660,$P$2:$P$1092,"Above Materiality",$M$2:$M$1092,"&gt;"&amp;M660)+COUNTIFS($O$2:$O$1092,O660,$P$2:$P$1092,"Above Materiality",$M$2:$M$1092,M660,$A$2:$A$1092,"&lt;"&amp;A660)+1,"")</f>
        <v/>
      </c>
      <c r="S660" s="21" t="str">
        <f aca="false">IF(P660&lt;&gt;"Below Materiality","",IF(Summary!$C$9="Random",COUNTIFS($O$2:$O$1092,O660,$Q$2:$Q$1092,"&gt;"&amp;Q660)+1,COUNTIFS($O$2:$O$1092,O660,$P$2:$P$1092,"Below Materiality",$M$2:$M$1092,"&gt;"&amp;M660)+COUNTIFS($O$2:$O$1092,O660,$P$2:$P$1092,"Below Materiality",$M$2:$M$1092,M660,$A$2:$A$1092,"&lt;"&amp;A660)+1))</f>
        <v/>
      </c>
      <c r="T660" s="22"/>
      <c r="U660" s="21" t="str">
        <f aca="false">IF(R660="","",O660&amp;"|A|"&amp;R660)</f>
        <v/>
      </c>
      <c r="V660" s="21" t="str">
        <f aca="false">IF(S660="","",O660&amp;"|R|"&amp;S660)</f>
        <v/>
      </c>
    </row>
    <row r="661" customFormat="false" ht="15" hidden="false" customHeight="false" outlineLevel="0" collapsed="false">
      <c r="A661" s="18" t="n">
        <v>660</v>
      </c>
      <c r="B661" s="18"/>
      <c r="C661" s="18"/>
      <c r="D661" s="18"/>
      <c r="E661" s="18" t="s">
        <v>1333</v>
      </c>
      <c r="F661" s="18" t="s">
        <v>1334</v>
      </c>
      <c r="G661" s="18" t="s">
        <v>74</v>
      </c>
      <c r="H661" s="18" t="n">
        <v>449</v>
      </c>
      <c r="I661" s="19" t="n">
        <v>0</v>
      </c>
      <c r="J661" s="19" t="n">
        <v>17.25</v>
      </c>
      <c r="K661" s="19" t="n">
        <v>17.25</v>
      </c>
      <c r="L661" s="19" t="n">
        <v>0</v>
      </c>
      <c r="M661" s="19" t="n">
        <f aca="false">ABS(L661)</f>
        <v>0</v>
      </c>
      <c r="N661" s="18" t="str">
        <f aca="false">IF(L661=0,"Nil balance",IF(G661="AR file",IF(L661&gt;0,"Accounts Receivable","Customer Advances"),IF(L661&lt;0,"Accounts Payable","Supplier Advances")))</f>
        <v>Nil balance</v>
      </c>
      <c r="O661" s="18" t="str">
        <f aca="false">IF(L661=0,"Excluded",IF(Summary!$C$4="By ledger",IF(G661="AR file","Population 1","Population 2"),IF(L661&gt;0,"Population 1","Population 2")))</f>
        <v>Excluded</v>
      </c>
      <c r="P661" s="18" t="str">
        <f aca="false">IF(O661="Excluded","Excluded – nil closing balance",IF(M661&gt;Summary!$C$5,"Above Materiality","Below Materiality"))</f>
        <v>Excluded – nil closing balance</v>
      </c>
      <c r="Q661" s="20" t="str">
        <f aca="false">IF(P661="Below Materiality",T661,"")</f>
        <v/>
      </c>
      <c r="R661" s="21" t="str">
        <f aca="false">IF(P661="Above Materiality",COUNTIFS($O$2:$O$1092,O661,$P$2:$P$1092,"Above Materiality",$M$2:$M$1092,"&gt;"&amp;M661)+COUNTIFS($O$2:$O$1092,O661,$P$2:$P$1092,"Above Materiality",$M$2:$M$1092,M661,$A$2:$A$1092,"&lt;"&amp;A661)+1,"")</f>
        <v/>
      </c>
      <c r="S661" s="21" t="str">
        <f aca="false">IF(P661&lt;&gt;"Below Materiality","",IF(Summary!$C$9="Random",COUNTIFS($O$2:$O$1092,O661,$Q$2:$Q$1092,"&gt;"&amp;Q661)+1,COUNTIFS($O$2:$O$1092,O661,$P$2:$P$1092,"Below Materiality",$M$2:$M$1092,"&gt;"&amp;M661)+COUNTIFS($O$2:$O$1092,O661,$P$2:$P$1092,"Below Materiality",$M$2:$M$1092,M661,$A$2:$A$1092,"&lt;"&amp;A661)+1))</f>
        <v/>
      </c>
      <c r="T661" s="22"/>
      <c r="U661" s="21" t="str">
        <f aca="false">IF(R661="","",O661&amp;"|A|"&amp;R661)</f>
        <v/>
      </c>
      <c r="V661" s="21" t="str">
        <f aca="false">IF(S661="","",O661&amp;"|R|"&amp;S661)</f>
        <v/>
      </c>
    </row>
    <row r="662" customFormat="false" ht="15" hidden="false" customHeight="false" outlineLevel="0" collapsed="false">
      <c r="A662" s="18" t="n">
        <v>661</v>
      </c>
      <c r="B662" s="18"/>
      <c r="C662" s="18"/>
      <c r="D662" s="18"/>
      <c r="E662" s="18" t="s">
        <v>1335</v>
      </c>
      <c r="F662" s="18" t="s">
        <v>1336</v>
      </c>
      <c r="G662" s="18" t="s">
        <v>74</v>
      </c>
      <c r="H662" s="18" t="n">
        <v>450</v>
      </c>
      <c r="I662" s="19" t="n">
        <v>0</v>
      </c>
      <c r="J662" s="19" t="n">
        <v>620</v>
      </c>
      <c r="K662" s="19" t="n">
        <v>620</v>
      </c>
      <c r="L662" s="19" t="n">
        <v>0</v>
      </c>
      <c r="M662" s="19" t="n">
        <f aca="false">ABS(L662)</f>
        <v>0</v>
      </c>
      <c r="N662" s="18" t="str">
        <f aca="false">IF(L662=0,"Nil balance",IF(G662="AR file",IF(L662&gt;0,"Accounts Receivable","Customer Advances"),IF(L662&lt;0,"Accounts Payable","Supplier Advances")))</f>
        <v>Nil balance</v>
      </c>
      <c r="O662" s="18" t="str">
        <f aca="false">IF(L662=0,"Excluded",IF(Summary!$C$4="By ledger",IF(G662="AR file","Population 1","Population 2"),IF(L662&gt;0,"Population 1","Population 2")))</f>
        <v>Excluded</v>
      </c>
      <c r="P662" s="18" t="str">
        <f aca="false">IF(O662="Excluded","Excluded – nil closing balance",IF(M662&gt;Summary!$C$5,"Above Materiality","Below Materiality"))</f>
        <v>Excluded – nil closing balance</v>
      </c>
      <c r="Q662" s="20" t="str">
        <f aca="false">IF(P662="Below Materiality",T662,"")</f>
        <v/>
      </c>
      <c r="R662" s="21" t="str">
        <f aca="false">IF(P662="Above Materiality",COUNTIFS($O$2:$O$1092,O662,$P$2:$P$1092,"Above Materiality",$M$2:$M$1092,"&gt;"&amp;M662)+COUNTIFS($O$2:$O$1092,O662,$P$2:$P$1092,"Above Materiality",$M$2:$M$1092,M662,$A$2:$A$1092,"&lt;"&amp;A662)+1,"")</f>
        <v/>
      </c>
      <c r="S662" s="21" t="str">
        <f aca="false">IF(P662&lt;&gt;"Below Materiality","",IF(Summary!$C$9="Random",COUNTIFS($O$2:$O$1092,O662,$Q$2:$Q$1092,"&gt;"&amp;Q662)+1,COUNTIFS($O$2:$O$1092,O662,$P$2:$P$1092,"Below Materiality",$M$2:$M$1092,"&gt;"&amp;M662)+COUNTIFS($O$2:$O$1092,O662,$P$2:$P$1092,"Below Materiality",$M$2:$M$1092,M662,$A$2:$A$1092,"&lt;"&amp;A662)+1))</f>
        <v/>
      </c>
      <c r="T662" s="22"/>
      <c r="U662" s="21" t="str">
        <f aca="false">IF(R662="","",O662&amp;"|A|"&amp;R662)</f>
        <v/>
      </c>
      <c r="V662" s="21" t="str">
        <f aca="false">IF(S662="","",O662&amp;"|R|"&amp;S662)</f>
        <v/>
      </c>
    </row>
    <row r="663" customFormat="false" ht="15" hidden="false" customHeight="false" outlineLevel="0" collapsed="false">
      <c r="A663" s="18" t="n">
        <v>662</v>
      </c>
      <c r="B663" s="18"/>
      <c r="C663" s="18"/>
      <c r="D663" s="18"/>
      <c r="E663" s="18" t="s">
        <v>1337</v>
      </c>
      <c r="F663" s="18" t="s">
        <v>366</v>
      </c>
      <c r="G663" s="18" t="s">
        <v>74</v>
      </c>
      <c r="H663" s="18" t="n">
        <v>451</v>
      </c>
      <c r="I663" s="19" t="n">
        <v>0</v>
      </c>
      <c r="J663" s="19" t="n">
        <v>100</v>
      </c>
      <c r="K663" s="19" t="n">
        <v>100</v>
      </c>
      <c r="L663" s="19" t="n">
        <v>0</v>
      </c>
      <c r="M663" s="19" t="n">
        <f aca="false">ABS(L663)</f>
        <v>0</v>
      </c>
      <c r="N663" s="18" t="str">
        <f aca="false">IF(L663=0,"Nil balance",IF(G663="AR file",IF(L663&gt;0,"Accounts Receivable","Customer Advances"),IF(L663&lt;0,"Accounts Payable","Supplier Advances")))</f>
        <v>Nil balance</v>
      </c>
      <c r="O663" s="18" t="str">
        <f aca="false">IF(L663=0,"Excluded",IF(Summary!$C$4="By ledger",IF(G663="AR file","Population 1","Population 2"),IF(L663&gt;0,"Population 1","Population 2")))</f>
        <v>Excluded</v>
      </c>
      <c r="P663" s="18" t="str">
        <f aca="false">IF(O663="Excluded","Excluded – nil closing balance",IF(M663&gt;Summary!$C$5,"Above Materiality","Below Materiality"))</f>
        <v>Excluded – nil closing balance</v>
      </c>
      <c r="Q663" s="20" t="str">
        <f aca="false">IF(P663="Below Materiality",T663,"")</f>
        <v/>
      </c>
      <c r="R663" s="21" t="str">
        <f aca="false">IF(P663="Above Materiality",COUNTIFS($O$2:$O$1092,O663,$P$2:$P$1092,"Above Materiality",$M$2:$M$1092,"&gt;"&amp;M663)+COUNTIFS($O$2:$O$1092,O663,$P$2:$P$1092,"Above Materiality",$M$2:$M$1092,M663,$A$2:$A$1092,"&lt;"&amp;A663)+1,"")</f>
        <v/>
      </c>
      <c r="S663" s="21" t="str">
        <f aca="false">IF(P663&lt;&gt;"Below Materiality","",IF(Summary!$C$9="Random",COUNTIFS($O$2:$O$1092,O663,$Q$2:$Q$1092,"&gt;"&amp;Q663)+1,COUNTIFS($O$2:$O$1092,O663,$P$2:$P$1092,"Below Materiality",$M$2:$M$1092,"&gt;"&amp;M663)+COUNTIFS($O$2:$O$1092,O663,$P$2:$P$1092,"Below Materiality",$M$2:$M$1092,M663,$A$2:$A$1092,"&lt;"&amp;A663)+1))</f>
        <v/>
      </c>
      <c r="T663" s="22"/>
      <c r="U663" s="21" t="str">
        <f aca="false">IF(R663="","",O663&amp;"|A|"&amp;R663)</f>
        <v/>
      </c>
      <c r="V663" s="21" t="str">
        <f aca="false">IF(S663="","",O663&amp;"|R|"&amp;S663)</f>
        <v/>
      </c>
    </row>
    <row r="664" customFormat="false" ht="15" hidden="false" customHeight="false" outlineLevel="0" collapsed="false">
      <c r="A664" s="18" t="n">
        <v>663</v>
      </c>
      <c r="B664" s="18"/>
      <c r="C664" s="18"/>
      <c r="D664" s="18"/>
      <c r="E664" s="18" t="s">
        <v>1338</v>
      </c>
      <c r="F664" s="18" t="s">
        <v>1068</v>
      </c>
      <c r="G664" s="18" t="s">
        <v>74</v>
      </c>
      <c r="H664" s="18" t="n">
        <v>452</v>
      </c>
      <c r="I664" s="19" t="n">
        <v>0</v>
      </c>
      <c r="J664" s="19" t="n">
        <v>300</v>
      </c>
      <c r="K664" s="19" t="n">
        <v>300</v>
      </c>
      <c r="L664" s="19" t="n">
        <v>0</v>
      </c>
      <c r="M664" s="19" t="n">
        <f aca="false">ABS(L664)</f>
        <v>0</v>
      </c>
      <c r="N664" s="18" t="str">
        <f aca="false">IF(L664=0,"Nil balance",IF(G664="AR file",IF(L664&gt;0,"Accounts Receivable","Customer Advances"),IF(L664&lt;0,"Accounts Payable","Supplier Advances")))</f>
        <v>Nil balance</v>
      </c>
      <c r="O664" s="18" t="str">
        <f aca="false">IF(L664=0,"Excluded",IF(Summary!$C$4="By ledger",IF(G664="AR file","Population 1","Population 2"),IF(L664&gt;0,"Population 1","Population 2")))</f>
        <v>Excluded</v>
      </c>
      <c r="P664" s="18" t="str">
        <f aca="false">IF(O664="Excluded","Excluded – nil closing balance",IF(M664&gt;Summary!$C$5,"Above Materiality","Below Materiality"))</f>
        <v>Excluded – nil closing balance</v>
      </c>
      <c r="Q664" s="20" t="str">
        <f aca="false">IF(P664="Below Materiality",T664,"")</f>
        <v/>
      </c>
      <c r="R664" s="21" t="str">
        <f aca="false">IF(P664="Above Materiality",COUNTIFS($O$2:$O$1092,O664,$P$2:$P$1092,"Above Materiality",$M$2:$M$1092,"&gt;"&amp;M664)+COUNTIFS($O$2:$O$1092,O664,$P$2:$P$1092,"Above Materiality",$M$2:$M$1092,M664,$A$2:$A$1092,"&lt;"&amp;A664)+1,"")</f>
        <v/>
      </c>
      <c r="S664" s="21" t="str">
        <f aca="false">IF(P664&lt;&gt;"Below Materiality","",IF(Summary!$C$9="Random",COUNTIFS($O$2:$O$1092,O664,$Q$2:$Q$1092,"&gt;"&amp;Q664)+1,COUNTIFS($O$2:$O$1092,O664,$P$2:$P$1092,"Below Materiality",$M$2:$M$1092,"&gt;"&amp;M664)+COUNTIFS($O$2:$O$1092,O664,$P$2:$P$1092,"Below Materiality",$M$2:$M$1092,M664,$A$2:$A$1092,"&lt;"&amp;A664)+1))</f>
        <v/>
      </c>
      <c r="T664" s="22"/>
      <c r="U664" s="21" t="str">
        <f aca="false">IF(R664="","",O664&amp;"|A|"&amp;R664)</f>
        <v/>
      </c>
      <c r="V664" s="21" t="str">
        <f aca="false">IF(S664="","",O664&amp;"|R|"&amp;S664)</f>
        <v/>
      </c>
    </row>
    <row r="665" customFormat="false" ht="15" hidden="false" customHeight="false" outlineLevel="0" collapsed="false">
      <c r="A665" s="18" t="n">
        <v>664</v>
      </c>
      <c r="B665" s="18"/>
      <c r="C665" s="18"/>
      <c r="D665" s="18"/>
      <c r="E665" s="18" t="s">
        <v>1339</v>
      </c>
      <c r="F665" s="18" t="s">
        <v>1340</v>
      </c>
      <c r="G665" s="18" t="s">
        <v>74</v>
      </c>
      <c r="H665" s="18" t="n">
        <v>453</v>
      </c>
      <c r="I665" s="19" t="n">
        <v>0</v>
      </c>
      <c r="J665" s="19" t="n">
        <v>2859</v>
      </c>
      <c r="K665" s="19" t="n">
        <v>2859</v>
      </c>
      <c r="L665" s="19" t="n">
        <v>0</v>
      </c>
      <c r="M665" s="19" t="n">
        <f aca="false">ABS(L665)</f>
        <v>0</v>
      </c>
      <c r="N665" s="18" t="str">
        <f aca="false">IF(L665=0,"Nil balance",IF(G665="AR file",IF(L665&gt;0,"Accounts Receivable","Customer Advances"),IF(L665&lt;0,"Accounts Payable","Supplier Advances")))</f>
        <v>Nil balance</v>
      </c>
      <c r="O665" s="18" t="str">
        <f aca="false">IF(L665=0,"Excluded",IF(Summary!$C$4="By ledger",IF(G665="AR file","Population 1","Population 2"),IF(L665&gt;0,"Population 1","Population 2")))</f>
        <v>Excluded</v>
      </c>
      <c r="P665" s="18" t="str">
        <f aca="false">IF(O665="Excluded","Excluded – nil closing balance",IF(M665&gt;Summary!$C$5,"Above Materiality","Below Materiality"))</f>
        <v>Excluded – nil closing balance</v>
      </c>
      <c r="Q665" s="20" t="str">
        <f aca="false">IF(P665="Below Materiality",T665,"")</f>
        <v/>
      </c>
      <c r="R665" s="21" t="str">
        <f aca="false">IF(P665="Above Materiality",COUNTIFS($O$2:$O$1092,O665,$P$2:$P$1092,"Above Materiality",$M$2:$M$1092,"&gt;"&amp;M665)+COUNTIFS($O$2:$O$1092,O665,$P$2:$P$1092,"Above Materiality",$M$2:$M$1092,M665,$A$2:$A$1092,"&lt;"&amp;A665)+1,"")</f>
        <v/>
      </c>
      <c r="S665" s="21" t="str">
        <f aca="false">IF(P665&lt;&gt;"Below Materiality","",IF(Summary!$C$9="Random",COUNTIFS($O$2:$O$1092,O665,$Q$2:$Q$1092,"&gt;"&amp;Q665)+1,COUNTIFS($O$2:$O$1092,O665,$P$2:$P$1092,"Below Materiality",$M$2:$M$1092,"&gt;"&amp;M665)+COUNTIFS($O$2:$O$1092,O665,$P$2:$P$1092,"Below Materiality",$M$2:$M$1092,M665,$A$2:$A$1092,"&lt;"&amp;A665)+1))</f>
        <v/>
      </c>
      <c r="T665" s="22"/>
      <c r="U665" s="21" t="str">
        <f aca="false">IF(R665="","",O665&amp;"|A|"&amp;R665)</f>
        <v/>
      </c>
      <c r="V665" s="21" t="str">
        <f aca="false">IF(S665="","",O665&amp;"|R|"&amp;S665)</f>
        <v/>
      </c>
    </row>
    <row r="666" customFormat="false" ht="15" hidden="false" customHeight="false" outlineLevel="0" collapsed="false">
      <c r="A666" s="18" t="n">
        <v>665</v>
      </c>
      <c r="B666" s="18"/>
      <c r="C666" s="18"/>
      <c r="D666" s="18"/>
      <c r="E666" s="18" t="s">
        <v>1341</v>
      </c>
      <c r="F666" s="18" t="s">
        <v>1342</v>
      </c>
      <c r="G666" s="18" t="s">
        <v>74</v>
      </c>
      <c r="H666" s="18" t="n">
        <v>455</v>
      </c>
      <c r="I666" s="19" t="n">
        <v>0</v>
      </c>
      <c r="J666" s="19" t="n">
        <v>800</v>
      </c>
      <c r="K666" s="19" t="n">
        <v>800</v>
      </c>
      <c r="L666" s="19" t="n">
        <v>0</v>
      </c>
      <c r="M666" s="19" t="n">
        <f aca="false">ABS(L666)</f>
        <v>0</v>
      </c>
      <c r="N666" s="18" t="str">
        <f aca="false">IF(L666=0,"Nil balance",IF(G666="AR file",IF(L666&gt;0,"Accounts Receivable","Customer Advances"),IF(L666&lt;0,"Accounts Payable","Supplier Advances")))</f>
        <v>Nil balance</v>
      </c>
      <c r="O666" s="18" t="str">
        <f aca="false">IF(L666=0,"Excluded",IF(Summary!$C$4="By ledger",IF(G666="AR file","Population 1","Population 2"),IF(L666&gt;0,"Population 1","Population 2")))</f>
        <v>Excluded</v>
      </c>
      <c r="P666" s="18" t="str">
        <f aca="false">IF(O666="Excluded","Excluded – nil closing balance",IF(M666&gt;Summary!$C$5,"Above Materiality","Below Materiality"))</f>
        <v>Excluded – nil closing balance</v>
      </c>
      <c r="Q666" s="20" t="str">
        <f aca="false">IF(P666="Below Materiality",T666,"")</f>
        <v/>
      </c>
      <c r="R666" s="21" t="str">
        <f aca="false">IF(P666="Above Materiality",COUNTIFS($O$2:$O$1092,O666,$P$2:$P$1092,"Above Materiality",$M$2:$M$1092,"&gt;"&amp;M666)+COUNTIFS($O$2:$O$1092,O666,$P$2:$P$1092,"Above Materiality",$M$2:$M$1092,M666,$A$2:$A$1092,"&lt;"&amp;A666)+1,"")</f>
        <v/>
      </c>
      <c r="S666" s="21" t="str">
        <f aca="false">IF(P666&lt;&gt;"Below Materiality","",IF(Summary!$C$9="Random",COUNTIFS($O$2:$O$1092,O666,$Q$2:$Q$1092,"&gt;"&amp;Q666)+1,COUNTIFS($O$2:$O$1092,O666,$P$2:$P$1092,"Below Materiality",$M$2:$M$1092,"&gt;"&amp;M666)+COUNTIFS($O$2:$O$1092,O666,$P$2:$P$1092,"Below Materiality",$M$2:$M$1092,M666,$A$2:$A$1092,"&lt;"&amp;A666)+1))</f>
        <v/>
      </c>
      <c r="T666" s="22"/>
      <c r="U666" s="21" t="str">
        <f aca="false">IF(R666="","",O666&amp;"|A|"&amp;R666)</f>
        <v/>
      </c>
      <c r="V666" s="21" t="str">
        <f aca="false">IF(S666="","",O666&amp;"|R|"&amp;S666)</f>
        <v/>
      </c>
    </row>
    <row r="667" customFormat="false" ht="15" hidden="false" customHeight="false" outlineLevel="0" collapsed="false">
      <c r="A667" s="18" t="n">
        <v>666</v>
      </c>
      <c r="B667" s="18"/>
      <c r="C667" s="18"/>
      <c r="D667" s="18"/>
      <c r="E667" s="18" t="s">
        <v>1343</v>
      </c>
      <c r="F667" s="18" t="s">
        <v>1344</v>
      </c>
      <c r="G667" s="18" t="s">
        <v>74</v>
      </c>
      <c r="H667" s="18" t="n">
        <v>457</v>
      </c>
      <c r="I667" s="19" t="n">
        <v>0</v>
      </c>
      <c r="J667" s="19" t="n">
        <v>120</v>
      </c>
      <c r="K667" s="19" t="n">
        <v>120</v>
      </c>
      <c r="L667" s="19" t="n">
        <v>0</v>
      </c>
      <c r="M667" s="19" t="n">
        <f aca="false">ABS(L667)</f>
        <v>0</v>
      </c>
      <c r="N667" s="18" t="str">
        <f aca="false">IF(L667=0,"Nil balance",IF(G667="AR file",IF(L667&gt;0,"Accounts Receivable","Customer Advances"),IF(L667&lt;0,"Accounts Payable","Supplier Advances")))</f>
        <v>Nil balance</v>
      </c>
      <c r="O667" s="18" t="str">
        <f aca="false">IF(L667=0,"Excluded",IF(Summary!$C$4="By ledger",IF(G667="AR file","Population 1","Population 2"),IF(L667&gt;0,"Population 1","Population 2")))</f>
        <v>Excluded</v>
      </c>
      <c r="P667" s="18" t="str">
        <f aca="false">IF(O667="Excluded","Excluded – nil closing balance",IF(M667&gt;Summary!$C$5,"Above Materiality","Below Materiality"))</f>
        <v>Excluded – nil closing balance</v>
      </c>
      <c r="Q667" s="20" t="str">
        <f aca="false">IF(P667="Below Materiality",T667,"")</f>
        <v/>
      </c>
      <c r="R667" s="21" t="str">
        <f aca="false">IF(P667="Above Materiality",COUNTIFS($O$2:$O$1092,O667,$P$2:$P$1092,"Above Materiality",$M$2:$M$1092,"&gt;"&amp;M667)+COUNTIFS($O$2:$O$1092,O667,$P$2:$P$1092,"Above Materiality",$M$2:$M$1092,M667,$A$2:$A$1092,"&lt;"&amp;A667)+1,"")</f>
        <v/>
      </c>
      <c r="S667" s="21" t="str">
        <f aca="false">IF(P667&lt;&gt;"Below Materiality","",IF(Summary!$C$9="Random",COUNTIFS($O$2:$O$1092,O667,$Q$2:$Q$1092,"&gt;"&amp;Q667)+1,COUNTIFS($O$2:$O$1092,O667,$P$2:$P$1092,"Below Materiality",$M$2:$M$1092,"&gt;"&amp;M667)+COUNTIFS($O$2:$O$1092,O667,$P$2:$P$1092,"Below Materiality",$M$2:$M$1092,M667,$A$2:$A$1092,"&lt;"&amp;A667)+1))</f>
        <v/>
      </c>
      <c r="T667" s="22"/>
      <c r="U667" s="21" t="str">
        <f aca="false">IF(R667="","",O667&amp;"|A|"&amp;R667)</f>
        <v/>
      </c>
      <c r="V667" s="21" t="str">
        <f aca="false">IF(S667="","",O667&amp;"|R|"&amp;S667)</f>
        <v/>
      </c>
    </row>
    <row r="668" customFormat="false" ht="15" hidden="false" customHeight="false" outlineLevel="0" collapsed="false">
      <c r="A668" s="18" t="n">
        <v>667</v>
      </c>
      <c r="B668" s="18"/>
      <c r="C668" s="18"/>
      <c r="D668" s="18"/>
      <c r="E668" s="18" t="s">
        <v>1345</v>
      </c>
      <c r="F668" s="18" t="s">
        <v>1346</v>
      </c>
      <c r="G668" s="18" t="s">
        <v>74</v>
      </c>
      <c r="H668" s="18" t="n">
        <v>458</v>
      </c>
      <c r="I668" s="19" t="n">
        <v>0</v>
      </c>
      <c r="J668" s="19" t="n">
        <v>350</v>
      </c>
      <c r="K668" s="19" t="n">
        <v>350</v>
      </c>
      <c r="L668" s="19" t="n">
        <v>0</v>
      </c>
      <c r="M668" s="19" t="n">
        <f aca="false">ABS(L668)</f>
        <v>0</v>
      </c>
      <c r="N668" s="18" t="str">
        <f aca="false">IF(L668=0,"Nil balance",IF(G668="AR file",IF(L668&gt;0,"Accounts Receivable","Customer Advances"),IF(L668&lt;0,"Accounts Payable","Supplier Advances")))</f>
        <v>Nil balance</v>
      </c>
      <c r="O668" s="18" t="str">
        <f aca="false">IF(L668=0,"Excluded",IF(Summary!$C$4="By ledger",IF(G668="AR file","Population 1","Population 2"),IF(L668&gt;0,"Population 1","Population 2")))</f>
        <v>Excluded</v>
      </c>
      <c r="P668" s="18" t="str">
        <f aca="false">IF(O668="Excluded","Excluded – nil closing balance",IF(M668&gt;Summary!$C$5,"Above Materiality","Below Materiality"))</f>
        <v>Excluded – nil closing balance</v>
      </c>
      <c r="Q668" s="20" t="str">
        <f aca="false">IF(P668="Below Materiality",T668,"")</f>
        <v/>
      </c>
      <c r="R668" s="21" t="str">
        <f aca="false">IF(P668="Above Materiality",COUNTIFS($O$2:$O$1092,O668,$P$2:$P$1092,"Above Materiality",$M$2:$M$1092,"&gt;"&amp;M668)+COUNTIFS($O$2:$O$1092,O668,$P$2:$P$1092,"Above Materiality",$M$2:$M$1092,M668,$A$2:$A$1092,"&lt;"&amp;A668)+1,"")</f>
        <v/>
      </c>
      <c r="S668" s="21" t="str">
        <f aca="false">IF(P668&lt;&gt;"Below Materiality","",IF(Summary!$C$9="Random",COUNTIFS($O$2:$O$1092,O668,$Q$2:$Q$1092,"&gt;"&amp;Q668)+1,COUNTIFS($O$2:$O$1092,O668,$P$2:$P$1092,"Below Materiality",$M$2:$M$1092,"&gt;"&amp;M668)+COUNTIFS($O$2:$O$1092,O668,$P$2:$P$1092,"Below Materiality",$M$2:$M$1092,M668,$A$2:$A$1092,"&lt;"&amp;A668)+1))</f>
        <v/>
      </c>
      <c r="T668" s="22"/>
      <c r="U668" s="21" t="str">
        <f aca="false">IF(R668="","",O668&amp;"|A|"&amp;R668)</f>
        <v/>
      </c>
      <c r="V668" s="21" t="str">
        <f aca="false">IF(S668="","",O668&amp;"|R|"&amp;S668)</f>
        <v/>
      </c>
    </row>
    <row r="669" customFormat="false" ht="15" hidden="false" customHeight="false" outlineLevel="0" collapsed="false">
      <c r="A669" s="18" t="n">
        <v>668</v>
      </c>
      <c r="B669" s="18"/>
      <c r="C669" s="18"/>
      <c r="D669" s="18"/>
      <c r="E669" s="18" t="s">
        <v>1347</v>
      </c>
      <c r="F669" s="18" t="s">
        <v>1348</v>
      </c>
      <c r="G669" s="18" t="s">
        <v>74</v>
      </c>
      <c r="H669" s="18" t="n">
        <v>459</v>
      </c>
      <c r="I669" s="19" t="n">
        <v>0</v>
      </c>
      <c r="J669" s="19" t="n">
        <v>21624.6</v>
      </c>
      <c r="K669" s="19" t="n">
        <v>21624.6</v>
      </c>
      <c r="L669" s="19" t="n">
        <v>0</v>
      </c>
      <c r="M669" s="19" t="n">
        <f aca="false">ABS(L669)</f>
        <v>0</v>
      </c>
      <c r="N669" s="18" t="str">
        <f aca="false">IF(L669=0,"Nil balance",IF(G669="AR file",IF(L669&gt;0,"Accounts Receivable","Customer Advances"),IF(L669&lt;0,"Accounts Payable","Supplier Advances")))</f>
        <v>Nil balance</v>
      </c>
      <c r="O669" s="18" t="str">
        <f aca="false">IF(L669=0,"Excluded",IF(Summary!$C$4="By ledger",IF(G669="AR file","Population 1","Population 2"),IF(L669&gt;0,"Population 1","Population 2")))</f>
        <v>Excluded</v>
      </c>
      <c r="P669" s="18" t="str">
        <f aca="false">IF(O669="Excluded","Excluded – nil closing balance",IF(M669&gt;Summary!$C$5,"Above Materiality","Below Materiality"))</f>
        <v>Excluded – nil closing balance</v>
      </c>
      <c r="Q669" s="20" t="str">
        <f aca="false">IF(P669="Below Materiality",T669,"")</f>
        <v/>
      </c>
      <c r="R669" s="21" t="str">
        <f aca="false">IF(P669="Above Materiality",COUNTIFS($O$2:$O$1092,O669,$P$2:$P$1092,"Above Materiality",$M$2:$M$1092,"&gt;"&amp;M669)+COUNTIFS($O$2:$O$1092,O669,$P$2:$P$1092,"Above Materiality",$M$2:$M$1092,M669,$A$2:$A$1092,"&lt;"&amp;A669)+1,"")</f>
        <v/>
      </c>
      <c r="S669" s="21" t="str">
        <f aca="false">IF(P669&lt;&gt;"Below Materiality","",IF(Summary!$C$9="Random",COUNTIFS($O$2:$O$1092,O669,$Q$2:$Q$1092,"&gt;"&amp;Q669)+1,COUNTIFS($O$2:$O$1092,O669,$P$2:$P$1092,"Below Materiality",$M$2:$M$1092,"&gt;"&amp;M669)+COUNTIFS($O$2:$O$1092,O669,$P$2:$P$1092,"Below Materiality",$M$2:$M$1092,M669,$A$2:$A$1092,"&lt;"&amp;A669)+1))</f>
        <v/>
      </c>
      <c r="T669" s="22"/>
      <c r="U669" s="21" t="str">
        <f aca="false">IF(R669="","",O669&amp;"|A|"&amp;R669)</f>
        <v/>
      </c>
      <c r="V669" s="21" t="str">
        <f aca="false">IF(S669="","",O669&amp;"|R|"&amp;S669)</f>
        <v/>
      </c>
    </row>
    <row r="670" customFormat="false" ht="15" hidden="false" customHeight="false" outlineLevel="0" collapsed="false">
      <c r="A670" s="18" t="n">
        <v>669</v>
      </c>
      <c r="B670" s="18"/>
      <c r="C670" s="18"/>
      <c r="D670" s="18"/>
      <c r="E670" s="18" t="s">
        <v>1349</v>
      </c>
      <c r="F670" s="18" t="s">
        <v>1350</v>
      </c>
      <c r="G670" s="18" t="s">
        <v>74</v>
      </c>
      <c r="H670" s="18" t="n">
        <v>460</v>
      </c>
      <c r="I670" s="19" t="n">
        <v>0</v>
      </c>
      <c r="J670" s="19" t="n">
        <v>8009.8</v>
      </c>
      <c r="K670" s="19" t="n">
        <v>8009.8</v>
      </c>
      <c r="L670" s="19" t="n">
        <v>0</v>
      </c>
      <c r="M670" s="19" t="n">
        <f aca="false">ABS(L670)</f>
        <v>0</v>
      </c>
      <c r="N670" s="18" t="str">
        <f aca="false">IF(L670=0,"Nil balance",IF(G670="AR file",IF(L670&gt;0,"Accounts Receivable","Customer Advances"),IF(L670&lt;0,"Accounts Payable","Supplier Advances")))</f>
        <v>Nil balance</v>
      </c>
      <c r="O670" s="18" t="str">
        <f aca="false">IF(L670=0,"Excluded",IF(Summary!$C$4="By ledger",IF(G670="AR file","Population 1","Population 2"),IF(L670&gt;0,"Population 1","Population 2")))</f>
        <v>Excluded</v>
      </c>
      <c r="P670" s="18" t="str">
        <f aca="false">IF(O670="Excluded","Excluded – nil closing balance",IF(M670&gt;Summary!$C$5,"Above Materiality","Below Materiality"))</f>
        <v>Excluded – nil closing balance</v>
      </c>
      <c r="Q670" s="20" t="str">
        <f aca="false">IF(P670="Below Materiality",T670,"")</f>
        <v/>
      </c>
      <c r="R670" s="21" t="str">
        <f aca="false">IF(P670="Above Materiality",COUNTIFS($O$2:$O$1092,O670,$P$2:$P$1092,"Above Materiality",$M$2:$M$1092,"&gt;"&amp;M670)+COUNTIFS($O$2:$O$1092,O670,$P$2:$P$1092,"Above Materiality",$M$2:$M$1092,M670,$A$2:$A$1092,"&lt;"&amp;A670)+1,"")</f>
        <v/>
      </c>
      <c r="S670" s="21" t="str">
        <f aca="false">IF(P670&lt;&gt;"Below Materiality","",IF(Summary!$C$9="Random",COUNTIFS($O$2:$O$1092,O670,$Q$2:$Q$1092,"&gt;"&amp;Q670)+1,COUNTIFS($O$2:$O$1092,O670,$P$2:$P$1092,"Below Materiality",$M$2:$M$1092,"&gt;"&amp;M670)+COUNTIFS($O$2:$O$1092,O670,$P$2:$P$1092,"Below Materiality",$M$2:$M$1092,M670,$A$2:$A$1092,"&lt;"&amp;A670)+1))</f>
        <v/>
      </c>
      <c r="T670" s="22"/>
      <c r="U670" s="21" t="str">
        <f aca="false">IF(R670="","",O670&amp;"|A|"&amp;R670)</f>
        <v/>
      </c>
      <c r="V670" s="21" t="str">
        <f aca="false">IF(S670="","",O670&amp;"|R|"&amp;S670)</f>
        <v/>
      </c>
    </row>
    <row r="671" customFormat="false" ht="15" hidden="false" customHeight="false" outlineLevel="0" collapsed="false">
      <c r="A671" s="18" t="n">
        <v>670</v>
      </c>
      <c r="B671" s="18"/>
      <c r="C671" s="18"/>
      <c r="D671" s="18"/>
      <c r="E671" s="18" t="s">
        <v>1351</v>
      </c>
      <c r="F671" s="18" t="s">
        <v>1243</v>
      </c>
      <c r="G671" s="18" t="s">
        <v>74</v>
      </c>
      <c r="H671" s="18" t="n">
        <v>461</v>
      </c>
      <c r="I671" s="19" t="n">
        <v>0</v>
      </c>
      <c r="J671" s="19" t="n">
        <v>310.5</v>
      </c>
      <c r="K671" s="19" t="n">
        <v>310.5</v>
      </c>
      <c r="L671" s="19" t="n">
        <v>0</v>
      </c>
      <c r="M671" s="19" t="n">
        <f aca="false">ABS(L671)</f>
        <v>0</v>
      </c>
      <c r="N671" s="18" t="str">
        <f aca="false">IF(L671=0,"Nil balance",IF(G671="AR file",IF(L671&gt;0,"Accounts Receivable","Customer Advances"),IF(L671&lt;0,"Accounts Payable","Supplier Advances")))</f>
        <v>Nil balance</v>
      </c>
      <c r="O671" s="18" t="str">
        <f aca="false">IF(L671=0,"Excluded",IF(Summary!$C$4="By ledger",IF(G671="AR file","Population 1","Population 2"),IF(L671&gt;0,"Population 1","Population 2")))</f>
        <v>Excluded</v>
      </c>
      <c r="P671" s="18" t="str">
        <f aca="false">IF(O671="Excluded","Excluded – nil closing balance",IF(M671&gt;Summary!$C$5,"Above Materiality","Below Materiality"))</f>
        <v>Excluded – nil closing balance</v>
      </c>
      <c r="Q671" s="20" t="str">
        <f aca="false">IF(P671="Below Materiality",T671,"")</f>
        <v/>
      </c>
      <c r="R671" s="21" t="str">
        <f aca="false">IF(P671="Above Materiality",COUNTIFS($O$2:$O$1092,O671,$P$2:$P$1092,"Above Materiality",$M$2:$M$1092,"&gt;"&amp;M671)+COUNTIFS($O$2:$O$1092,O671,$P$2:$P$1092,"Above Materiality",$M$2:$M$1092,M671,$A$2:$A$1092,"&lt;"&amp;A671)+1,"")</f>
        <v/>
      </c>
      <c r="S671" s="21" t="str">
        <f aca="false">IF(P671&lt;&gt;"Below Materiality","",IF(Summary!$C$9="Random",COUNTIFS($O$2:$O$1092,O671,$Q$2:$Q$1092,"&gt;"&amp;Q671)+1,COUNTIFS($O$2:$O$1092,O671,$P$2:$P$1092,"Below Materiality",$M$2:$M$1092,"&gt;"&amp;M671)+COUNTIFS($O$2:$O$1092,O671,$P$2:$P$1092,"Below Materiality",$M$2:$M$1092,M671,$A$2:$A$1092,"&lt;"&amp;A671)+1))</f>
        <v/>
      </c>
      <c r="T671" s="22"/>
      <c r="U671" s="21" t="str">
        <f aca="false">IF(R671="","",O671&amp;"|A|"&amp;R671)</f>
        <v/>
      </c>
      <c r="V671" s="21" t="str">
        <f aca="false">IF(S671="","",O671&amp;"|R|"&amp;S671)</f>
        <v/>
      </c>
    </row>
    <row r="672" customFormat="false" ht="15" hidden="false" customHeight="false" outlineLevel="0" collapsed="false">
      <c r="A672" s="18" t="n">
        <v>671</v>
      </c>
      <c r="B672" s="18"/>
      <c r="C672" s="18"/>
      <c r="D672" s="18"/>
      <c r="E672" s="18" t="s">
        <v>1352</v>
      </c>
      <c r="F672" s="18" t="s">
        <v>1353</v>
      </c>
      <c r="G672" s="18" t="s">
        <v>74</v>
      </c>
      <c r="H672" s="18" t="n">
        <v>462</v>
      </c>
      <c r="I672" s="19" t="n">
        <v>0</v>
      </c>
      <c r="J672" s="19" t="n">
        <v>4183.5</v>
      </c>
      <c r="K672" s="19" t="n">
        <v>4183.5</v>
      </c>
      <c r="L672" s="19" t="n">
        <v>0</v>
      </c>
      <c r="M672" s="19" t="n">
        <f aca="false">ABS(L672)</f>
        <v>0</v>
      </c>
      <c r="N672" s="18" t="str">
        <f aca="false">IF(L672=0,"Nil balance",IF(G672="AR file",IF(L672&gt;0,"Accounts Receivable","Customer Advances"),IF(L672&lt;0,"Accounts Payable","Supplier Advances")))</f>
        <v>Nil balance</v>
      </c>
      <c r="O672" s="18" t="str">
        <f aca="false">IF(L672=0,"Excluded",IF(Summary!$C$4="By ledger",IF(G672="AR file","Population 1","Population 2"),IF(L672&gt;0,"Population 1","Population 2")))</f>
        <v>Excluded</v>
      </c>
      <c r="P672" s="18" t="str">
        <f aca="false">IF(O672="Excluded","Excluded – nil closing balance",IF(M672&gt;Summary!$C$5,"Above Materiality","Below Materiality"))</f>
        <v>Excluded – nil closing balance</v>
      </c>
      <c r="Q672" s="20" t="str">
        <f aca="false">IF(P672="Below Materiality",T672,"")</f>
        <v/>
      </c>
      <c r="R672" s="21" t="str">
        <f aca="false">IF(P672="Above Materiality",COUNTIFS($O$2:$O$1092,O672,$P$2:$P$1092,"Above Materiality",$M$2:$M$1092,"&gt;"&amp;M672)+COUNTIFS($O$2:$O$1092,O672,$P$2:$P$1092,"Above Materiality",$M$2:$M$1092,M672,$A$2:$A$1092,"&lt;"&amp;A672)+1,"")</f>
        <v/>
      </c>
      <c r="S672" s="21" t="str">
        <f aca="false">IF(P672&lt;&gt;"Below Materiality","",IF(Summary!$C$9="Random",COUNTIFS($O$2:$O$1092,O672,$Q$2:$Q$1092,"&gt;"&amp;Q672)+1,COUNTIFS($O$2:$O$1092,O672,$P$2:$P$1092,"Below Materiality",$M$2:$M$1092,"&gt;"&amp;M672)+COUNTIFS($O$2:$O$1092,O672,$P$2:$P$1092,"Below Materiality",$M$2:$M$1092,M672,$A$2:$A$1092,"&lt;"&amp;A672)+1))</f>
        <v/>
      </c>
      <c r="T672" s="22"/>
      <c r="U672" s="21" t="str">
        <f aca="false">IF(R672="","",O672&amp;"|A|"&amp;R672)</f>
        <v/>
      </c>
      <c r="V672" s="21" t="str">
        <f aca="false">IF(S672="","",O672&amp;"|R|"&amp;S672)</f>
        <v/>
      </c>
    </row>
    <row r="673" customFormat="false" ht="15" hidden="false" customHeight="false" outlineLevel="0" collapsed="false">
      <c r="A673" s="18" t="n">
        <v>672</v>
      </c>
      <c r="B673" s="18"/>
      <c r="C673" s="18"/>
      <c r="D673" s="18"/>
      <c r="E673" s="18" t="s">
        <v>1354</v>
      </c>
      <c r="F673" s="18" t="s">
        <v>1103</v>
      </c>
      <c r="G673" s="18" t="s">
        <v>74</v>
      </c>
      <c r="H673" s="18" t="n">
        <v>463</v>
      </c>
      <c r="I673" s="19" t="n">
        <v>0</v>
      </c>
      <c r="J673" s="19" t="n">
        <v>207</v>
      </c>
      <c r="K673" s="19" t="n">
        <v>207</v>
      </c>
      <c r="L673" s="19" t="n">
        <v>0</v>
      </c>
      <c r="M673" s="19" t="n">
        <f aca="false">ABS(L673)</f>
        <v>0</v>
      </c>
      <c r="N673" s="18" t="str">
        <f aca="false">IF(L673=0,"Nil balance",IF(G673="AR file",IF(L673&gt;0,"Accounts Receivable","Customer Advances"),IF(L673&lt;0,"Accounts Payable","Supplier Advances")))</f>
        <v>Nil balance</v>
      </c>
      <c r="O673" s="18" t="str">
        <f aca="false">IF(L673=0,"Excluded",IF(Summary!$C$4="By ledger",IF(G673="AR file","Population 1","Population 2"),IF(L673&gt;0,"Population 1","Population 2")))</f>
        <v>Excluded</v>
      </c>
      <c r="P673" s="18" t="str">
        <f aca="false">IF(O673="Excluded","Excluded – nil closing balance",IF(M673&gt;Summary!$C$5,"Above Materiality","Below Materiality"))</f>
        <v>Excluded – nil closing balance</v>
      </c>
      <c r="Q673" s="20" t="str">
        <f aca="false">IF(P673="Below Materiality",T673,"")</f>
        <v/>
      </c>
      <c r="R673" s="21" t="str">
        <f aca="false">IF(P673="Above Materiality",COUNTIFS($O$2:$O$1092,O673,$P$2:$P$1092,"Above Materiality",$M$2:$M$1092,"&gt;"&amp;M673)+COUNTIFS($O$2:$O$1092,O673,$P$2:$P$1092,"Above Materiality",$M$2:$M$1092,M673,$A$2:$A$1092,"&lt;"&amp;A673)+1,"")</f>
        <v/>
      </c>
      <c r="S673" s="21" t="str">
        <f aca="false">IF(P673&lt;&gt;"Below Materiality","",IF(Summary!$C$9="Random",COUNTIFS($O$2:$O$1092,O673,$Q$2:$Q$1092,"&gt;"&amp;Q673)+1,COUNTIFS($O$2:$O$1092,O673,$P$2:$P$1092,"Below Materiality",$M$2:$M$1092,"&gt;"&amp;M673)+COUNTIFS($O$2:$O$1092,O673,$P$2:$P$1092,"Below Materiality",$M$2:$M$1092,M673,$A$2:$A$1092,"&lt;"&amp;A673)+1))</f>
        <v/>
      </c>
      <c r="T673" s="22"/>
      <c r="U673" s="21" t="str">
        <f aca="false">IF(R673="","",O673&amp;"|A|"&amp;R673)</f>
        <v/>
      </c>
      <c r="V673" s="21" t="str">
        <f aca="false">IF(S673="","",O673&amp;"|R|"&amp;S673)</f>
        <v/>
      </c>
    </row>
    <row r="674" customFormat="false" ht="15" hidden="false" customHeight="false" outlineLevel="0" collapsed="false">
      <c r="A674" s="18" t="n">
        <v>673</v>
      </c>
      <c r="B674" s="18"/>
      <c r="C674" s="18"/>
      <c r="D674" s="18"/>
      <c r="E674" s="18" t="s">
        <v>1355</v>
      </c>
      <c r="F674" s="18" t="s">
        <v>540</v>
      </c>
      <c r="G674" s="18" t="s">
        <v>74</v>
      </c>
      <c r="H674" s="18" t="n">
        <v>464</v>
      </c>
      <c r="I674" s="19" t="n">
        <v>0</v>
      </c>
      <c r="J674" s="19" t="n">
        <v>345</v>
      </c>
      <c r="K674" s="19" t="n">
        <v>345</v>
      </c>
      <c r="L674" s="19" t="n">
        <v>0</v>
      </c>
      <c r="M674" s="19" t="n">
        <f aca="false">ABS(L674)</f>
        <v>0</v>
      </c>
      <c r="N674" s="18" t="str">
        <f aca="false">IF(L674=0,"Nil balance",IF(G674="AR file",IF(L674&gt;0,"Accounts Receivable","Customer Advances"),IF(L674&lt;0,"Accounts Payable","Supplier Advances")))</f>
        <v>Nil balance</v>
      </c>
      <c r="O674" s="18" t="str">
        <f aca="false">IF(L674=0,"Excluded",IF(Summary!$C$4="By ledger",IF(G674="AR file","Population 1","Population 2"),IF(L674&gt;0,"Population 1","Population 2")))</f>
        <v>Excluded</v>
      </c>
      <c r="P674" s="18" t="str">
        <f aca="false">IF(O674="Excluded","Excluded – nil closing balance",IF(M674&gt;Summary!$C$5,"Above Materiality","Below Materiality"))</f>
        <v>Excluded – nil closing balance</v>
      </c>
      <c r="Q674" s="20" t="str">
        <f aca="false">IF(P674="Below Materiality",T674,"")</f>
        <v/>
      </c>
      <c r="R674" s="21" t="str">
        <f aca="false">IF(P674="Above Materiality",COUNTIFS($O$2:$O$1092,O674,$P$2:$P$1092,"Above Materiality",$M$2:$M$1092,"&gt;"&amp;M674)+COUNTIFS($O$2:$O$1092,O674,$P$2:$P$1092,"Above Materiality",$M$2:$M$1092,M674,$A$2:$A$1092,"&lt;"&amp;A674)+1,"")</f>
        <v/>
      </c>
      <c r="S674" s="21" t="str">
        <f aca="false">IF(P674&lt;&gt;"Below Materiality","",IF(Summary!$C$9="Random",COUNTIFS($O$2:$O$1092,O674,$Q$2:$Q$1092,"&gt;"&amp;Q674)+1,COUNTIFS($O$2:$O$1092,O674,$P$2:$P$1092,"Below Materiality",$M$2:$M$1092,"&gt;"&amp;M674)+COUNTIFS($O$2:$O$1092,O674,$P$2:$P$1092,"Below Materiality",$M$2:$M$1092,M674,$A$2:$A$1092,"&lt;"&amp;A674)+1))</f>
        <v/>
      </c>
      <c r="T674" s="22"/>
      <c r="U674" s="21" t="str">
        <f aca="false">IF(R674="","",O674&amp;"|A|"&amp;R674)</f>
        <v/>
      </c>
      <c r="V674" s="21" t="str">
        <f aca="false">IF(S674="","",O674&amp;"|R|"&amp;S674)</f>
        <v/>
      </c>
    </row>
    <row r="675" customFormat="false" ht="15" hidden="false" customHeight="false" outlineLevel="0" collapsed="false">
      <c r="A675" s="18" t="n">
        <v>674</v>
      </c>
      <c r="B675" s="18"/>
      <c r="C675" s="18"/>
      <c r="D675" s="18"/>
      <c r="E675" s="18" t="s">
        <v>1356</v>
      </c>
      <c r="F675" s="18" t="s">
        <v>1357</v>
      </c>
      <c r="G675" s="18" t="s">
        <v>74</v>
      </c>
      <c r="H675" s="18" t="n">
        <v>467</v>
      </c>
      <c r="I675" s="19" t="n">
        <v>0</v>
      </c>
      <c r="J675" s="19" t="n">
        <v>299</v>
      </c>
      <c r="K675" s="19" t="n">
        <v>299</v>
      </c>
      <c r="L675" s="19" t="n">
        <v>0</v>
      </c>
      <c r="M675" s="19" t="n">
        <f aca="false">ABS(L675)</f>
        <v>0</v>
      </c>
      <c r="N675" s="18" t="str">
        <f aca="false">IF(L675=0,"Nil balance",IF(G675="AR file",IF(L675&gt;0,"Accounts Receivable","Customer Advances"),IF(L675&lt;0,"Accounts Payable","Supplier Advances")))</f>
        <v>Nil balance</v>
      </c>
      <c r="O675" s="18" t="str">
        <f aca="false">IF(L675=0,"Excluded",IF(Summary!$C$4="By ledger",IF(G675="AR file","Population 1","Population 2"),IF(L675&gt;0,"Population 1","Population 2")))</f>
        <v>Excluded</v>
      </c>
      <c r="P675" s="18" t="str">
        <f aca="false">IF(O675="Excluded","Excluded – nil closing balance",IF(M675&gt;Summary!$C$5,"Above Materiality","Below Materiality"))</f>
        <v>Excluded – nil closing balance</v>
      </c>
      <c r="Q675" s="20" t="str">
        <f aca="false">IF(P675="Below Materiality",T675,"")</f>
        <v/>
      </c>
      <c r="R675" s="21" t="str">
        <f aca="false">IF(P675="Above Materiality",COUNTIFS($O$2:$O$1092,O675,$P$2:$P$1092,"Above Materiality",$M$2:$M$1092,"&gt;"&amp;M675)+COUNTIFS($O$2:$O$1092,O675,$P$2:$P$1092,"Above Materiality",$M$2:$M$1092,M675,$A$2:$A$1092,"&lt;"&amp;A675)+1,"")</f>
        <v/>
      </c>
      <c r="S675" s="21" t="str">
        <f aca="false">IF(P675&lt;&gt;"Below Materiality","",IF(Summary!$C$9="Random",COUNTIFS($O$2:$O$1092,O675,$Q$2:$Q$1092,"&gt;"&amp;Q675)+1,COUNTIFS($O$2:$O$1092,O675,$P$2:$P$1092,"Below Materiality",$M$2:$M$1092,"&gt;"&amp;M675)+COUNTIFS($O$2:$O$1092,O675,$P$2:$P$1092,"Below Materiality",$M$2:$M$1092,M675,$A$2:$A$1092,"&lt;"&amp;A675)+1))</f>
        <v/>
      </c>
      <c r="T675" s="22"/>
      <c r="U675" s="21" t="str">
        <f aca="false">IF(R675="","",O675&amp;"|A|"&amp;R675)</f>
        <v/>
      </c>
      <c r="V675" s="21" t="str">
        <f aca="false">IF(S675="","",O675&amp;"|R|"&amp;S675)</f>
        <v/>
      </c>
    </row>
    <row r="676" customFormat="false" ht="15" hidden="false" customHeight="false" outlineLevel="0" collapsed="false">
      <c r="A676" s="18" t="n">
        <v>675</v>
      </c>
      <c r="B676" s="18"/>
      <c r="C676" s="18"/>
      <c r="D676" s="18"/>
      <c r="E676" s="18" t="s">
        <v>1358</v>
      </c>
      <c r="F676" s="18" t="s">
        <v>1302</v>
      </c>
      <c r="G676" s="18" t="s">
        <v>74</v>
      </c>
      <c r="H676" s="18" t="n">
        <v>468</v>
      </c>
      <c r="I676" s="19" t="n">
        <v>0</v>
      </c>
      <c r="J676" s="19" t="n">
        <v>437</v>
      </c>
      <c r="K676" s="19" t="n">
        <v>437</v>
      </c>
      <c r="L676" s="19" t="n">
        <v>0</v>
      </c>
      <c r="M676" s="19" t="n">
        <f aca="false">ABS(L676)</f>
        <v>0</v>
      </c>
      <c r="N676" s="18" t="str">
        <f aca="false">IF(L676=0,"Nil balance",IF(G676="AR file",IF(L676&gt;0,"Accounts Receivable","Customer Advances"),IF(L676&lt;0,"Accounts Payable","Supplier Advances")))</f>
        <v>Nil balance</v>
      </c>
      <c r="O676" s="18" t="str">
        <f aca="false">IF(L676=0,"Excluded",IF(Summary!$C$4="By ledger",IF(G676="AR file","Population 1","Population 2"),IF(L676&gt;0,"Population 1","Population 2")))</f>
        <v>Excluded</v>
      </c>
      <c r="P676" s="18" t="str">
        <f aca="false">IF(O676="Excluded","Excluded – nil closing balance",IF(M676&gt;Summary!$C$5,"Above Materiality","Below Materiality"))</f>
        <v>Excluded – nil closing balance</v>
      </c>
      <c r="Q676" s="20" t="str">
        <f aca="false">IF(P676="Below Materiality",T676,"")</f>
        <v/>
      </c>
      <c r="R676" s="21" t="str">
        <f aca="false">IF(P676="Above Materiality",COUNTIFS($O$2:$O$1092,O676,$P$2:$P$1092,"Above Materiality",$M$2:$M$1092,"&gt;"&amp;M676)+COUNTIFS($O$2:$O$1092,O676,$P$2:$P$1092,"Above Materiality",$M$2:$M$1092,M676,$A$2:$A$1092,"&lt;"&amp;A676)+1,"")</f>
        <v/>
      </c>
      <c r="S676" s="21" t="str">
        <f aca="false">IF(P676&lt;&gt;"Below Materiality","",IF(Summary!$C$9="Random",COUNTIFS($O$2:$O$1092,O676,$Q$2:$Q$1092,"&gt;"&amp;Q676)+1,COUNTIFS($O$2:$O$1092,O676,$P$2:$P$1092,"Below Materiality",$M$2:$M$1092,"&gt;"&amp;M676)+COUNTIFS($O$2:$O$1092,O676,$P$2:$P$1092,"Below Materiality",$M$2:$M$1092,M676,$A$2:$A$1092,"&lt;"&amp;A676)+1))</f>
        <v/>
      </c>
      <c r="T676" s="22"/>
      <c r="U676" s="21" t="str">
        <f aca="false">IF(R676="","",O676&amp;"|A|"&amp;R676)</f>
        <v/>
      </c>
      <c r="V676" s="21" t="str">
        <f aca="false">IF(S676="","",O676&amp;"|R|"&amp;S676)</f>
        <v/>
      </c>
    </row>
    <row r="677" customFormat="false" ht="15" hidden="false" customHeight="false" outlineLevel="0" collapsed="false">
      <c r="A677" s="18" t="n">
        <v>676</v>
      </c>
      <c r="B677" s="18"/>
      <c r="C677" s="18"/>
      <c r="D677" s="18"/>
      <c r="E677" s="18" t="s">
        <v>1359</v>
      </c>
      <c r="F677" s="18" t="s">
        <v>455</v>
      </c>
      <c r="G677" s="18" t="s">
        <v>74</v>
      </c>
      <c r="H677" s="18" t="n">
        <v>469</v>
      </c>
      <c r="I677" s="19" t="n">
        <v>0</v>
      </c>
      <c r="J677" s="19" t="n">
        <v>161</v>
      </c>
      <c r="K677" s="19" t="n">
        <v>161</v>
      </c>
      <c r="L677" s="19" t="n">
        <v>0</v>
      </c>
      <c r="M677" s="19" t="n">
        <f aca="false">ABS(L677)</f>
        <v>0</v>
      </c>
      <c r="N677" s="18" t="str">
        <f aca="false">IF(L677=0,"Nil balance",IF(G677="AR file",IF(L677&gt;0,"Accounts Receivable","Customer Advances"),IF(L677&lt;0,"Accounts Payable","Supplier Advances")))</f>
        <v>Nil balance</v>
      </c>
      <c r="O677" s="18" t="str">
        <f aca="false">IF(L677=0,"Excluded",IF(Summary!$C$4="By ledger",IF(G677="AR file","Population 1","Population 2"),IF(L677&gt;0,"Population 1","Population 2")))</f>
        <v>Excluded</v>
      </c>
      <c r="P677" s="18" t="str">
        <f aca="false">IF(O677="Excluded","Excluded – nil closing balance",IF(M677&gt;Summary!$C$5,"Above Materiality","Below Materiality"))</f>
        <v>Excluded – nil closing balance</v>
      </c>
      <c r="Q677" s="20" t="str">
        <f aca="false">IF(P677="Below Materiality",T677,"")</f>
        <v/>
      </c>
      <c r="R677" s="21" t="str">
        <f aca="false">IF(P677="Above Materiality",COUNTIFS($O$2:$O$1092,O677,$P$2:$P$1092,"Above Materiality",$M$2:$M$1092,"&gt;"&amp;M677)+COUNTIFS($O$2:$O$1092,O677,$P$2:$P$1092,"Above Materiality",$M$2:$M$1092,M677,$A$2:$A$1092,"&lt;"&amp;A677)+1,"")</f>
        <v/>
      </c>
      <c r="S677" s="21" t="str">
        <f aca="false">IF(P677&lt;&gt;"Below Materiality","",IF(Summary!$C$9="Random",COUNTIFS($O$2:$O$1092,O677,$Q$2:$Q$1092,"&gt;"&amp;Q677)+1,COUNTIFS($O$2:$O$1092,O677,$P$2:$P$1092,"Below Materiality",$M$2:$M$1092,"&gt;"&amp;M677)+COUNTIFS($O$2:$O$1092,O677,$P$2:$P$1092,"Below Materiality",$M$2:$M$1092,M677,$A$2:$A$1092,"&lt;"&amp;A677)+1))</f>
        <v/>
      </c>
      <c r="T677" s="22"/>
      <c r="U677" s="21" t="str">
        <f aca="false">IF(R677="","",O677&amp;"|A|"&amp;R677)</f>
        <v/>
      </c>
      <c r="V677" s="21" t="str">
        <f aca="false">IF(S677="","",O677&amp;"|R|"&amp;S677)</f>
        <v/>
      </c>
    </row>
    <row r="678" customFormat="false" ht="15" hidden="false" customHeight="false" outlineLevel="0" collapsed="false">
      <c r="A678" s="18" t="n">
        <v>677</v>
      </c>
      <c r="B678" s="18"/>
      <c r="C678" s="18"/>
      <c r="D678" s="18"/>
      <c r="E678" s="18" t="s">
        <v>1360</v>
      </c>
      <c r="F678" s="18" t="s">
        <v>1329</v>
      </c>
      <c r="G678" s="18" t="s">
        <v>74</v>
      </c>
      <c r="H678" s="18" t="n">
        <v>470</v>
      </c>
      <c r="I678" s="19" t="n">
        <v>0</v>
      </c>
      <c r="J678" s="19" t="n">
        <v>80.5</v>
      </c>
      <c r="K678" s="19" t="n">
        <v>80.5</v>
      </c>
      <c r="L678" s="19" t="n">
        <v>0</v>
      </c>
      <c r="M678" s="19" t="n">
        <f aca="false">ABS(L678)</f>
        <v>0</v>
      </c>
      <c r="N678" s="18" t="str">
        <f aca="false">IF(L678=0,"Nil balance",IF(G678="AR file",IF(L678&gt;0,"Accounts Receivable","Customer Advances"),IF(L678&lt;0,"Accounts Payable","Supplier Advances")))</f>
        <v>Nil balance</v>
      </c>
      <c r="O678" s="18" t="str">
        <f aca="false">IF(L678=0,"Excluded",IF(Summary!$C$4="By ledger",IF(G678="AR file","Population 1","Population 2"),IF(L678&gt;0,"Population 1","Population 2")))</f>
        <v>Excluded</v>
      </c>
      <c r="P678" s="18" t="str">
        <f aca="false">IF(O678="Excluded","Excluded – nil closing balance",IF(M678&gt;Summary!$C$5,"Above Materiality","Below Materiality"))</f>
        <v>Excluded – nil closing balance</v>
      </c>
      <c r="Q678" s="20" t="str">
        <f aca="false">IF(P678="Below Materiality",T678,"")</f>
        <v/>
      </c>
      <c r="R678" s="21" t="str">
        <f aca="false">IF(P678="Above Materiality",COUNTIFS($O$2:$O$1092,O678,$P$2:$P$1092,"Above Materiality",$M$2:$M$1092,"&gt;"&amp;M678)+COUNTIFS($O$2:$O$1092,O678,$P$2:$P$1092,"Above Materiality",$M$2:$M$1092,M678,$A$2:$A$1092,"&lt;"&amp;A678)+1,"")</f>
        <v/>
      </c>
      <c r="S678" s="21" t="str">
        <f aca="false">IF(P678&lt;&gt;"Below Materiality","",IF(Summary!$C$9="Random",COUNTIFS($O$2:$O$1092,O678,$Q$2:$Q$1092,"&gt;"&amp;Q678)+1,COUNTIFS($O$2:$O$1092,O678,$P$2:$P$1092,"Below Materiality",$M$2:$M$1092,"&gt;"&amp;M678)+COUNTIFS($O$2:$O$1092,O678,$P$2:$P$1092,"Below Materiality",$M$2:$M$1092,M678,$A$2:$A$1092,"&lt;"&amp;A678)+1))</f>
        <v/>
      </c>
      <c r="T678" s="22"/>
      <c r="U678" s="21" t="str">
        <f aca="false">IF(R678="","",O678&amp;"|A|"&amp;R678)</f>
        <v/>
      </c>
      <c r="V678" s="21" t="str">
        <f aca="false">IF(S678="","",O678&amp;"|R|"&amp;S678)</f>
        <v/>
      </c>
    </row>
    <row r="679" customFormat="false" ht="15" hidden="false" customHeight="false" outlineLevel="0" collapsed="false">
      <c r="A679" s="18" t="n">
        <v>678</v>
      </c>
      <c r="B679" s="18"/>
      <c r="C679" s="18"/>
      <c r="D679" s="18"/>
      <c r="E679" s="18" t="s">
        <v>1361</v>
      </c>
      <c r="F679" s="18" t="s">
        <v>1103</v>
      </c>
      <c r="G679" s="18" t="s">
        <v>74</v>
      </c>
      <c r="H679" s="18" t="n">
        <v>471</v>
      </c>
      <c r="I679" s="19" t="n">
        <v>0</v>
      </c>
      <c r="J679" s="19" t="n">
        <v>207</v>
      </c>
      <c r="K679" s="19" t="n">
        <v>207</v>
      </c>
      <c r="L679" s="19" t="n">
        <v>0</v>
      </c>
      <c r="M679" s="19" t="n">
        <f aca="false">ABS(L679)</f>
        <v>0</v>
      </c>
      <c r="N679" s="18" t="str">
        <f aca="false">IF(L679=0,"Nil balance",IF(G679="AR file",IF(L679&gt;0,"Accounts Receivable","Customer Advances"),IF(L679&lt;0,"Accounts Payable","Supplier Advances")))</f>
        <v>Nil balance</v>
      </c>
      <c r="O679" s="18" t="str">
        <f aca="false">IF(L679=0,"Excluded",IF(Summary!$C$4="By ledger",IF(G679="AR file","Population 1","Population 2"),IF(L679&gt;0,"Population 1","Population 2")))</f>
        <v>Excluded</v>
      </c>
      <c r="P679" s="18" t="str">
        <f aca="false">IF(O679="Excluded","Excluded – nil closing balance",IF(M679&gt;Summary!$C$5,"Above Materiality","Below Materiality"))</f>
        <v>Excluded – nil closing balance</v>
      </c>
      <c r="Q679" s="20" t="str">
        <f aca="false">IF(P679="Below Materiality",T679,"")</f>
        <v/>
      </c>
      <c r="R679" s="21" t="str">
        <f aca="false">IF(P679="Above Materiality",COUNTIFS($O$2:$O$1092,O679,$P$2:$P$1092,"Above Materiality",$M$2:$M$1092,"&gt;"&amp;M679)+COUNTIFS($O$2:$O$1092,O679,$P$2:$P$1092,"Above Materiality",$M$2:$M$1092,M679,$A$2:$A$1092,"&lt;"&amp;A679)+1,"")</f>
        <v/>
      </c>
      <c r="S679" s="21" t="str">
        <f aca="false">IF(P679&lt;&gt;"Below Materiality","",IF(Summary!$C$9="Random",COUNTIFS($O$2:$O$1092,O679,$Q$2:$Q$1092,"&gt;"&amp;Q679)+1,COUNTIFS($O$2:$O$1092,O679,$P$2:$P$1092,"Below Materiality",$M$2:$M$1092,"&gt;"&amp;M679)+COUNTIFS($O$2:$O$1092,O679,$P$2:$P$1092,"Below Materiality",$M$2:$M$1092,M679,$A$2:$A$1092,"&lt;"&amp;A679)+1))</f>
        <v/>
      </c>
      <c r="T679" s="22"/>
      <c r="U679" s="21" t="str">
        <f aca="false">IF(R679="","",O679&amp;"|A|"&amp;R679)</f>
        <v/>
      </c>
      <c r="V679" s="21" t="str">
        <f aca="false">IF(S679="","",O679&amp;"|R|"&amp;S679)</f>
        <v/>
      </c>
    </row>
    <row r="680" customFormat="false" ht="15" hidden="false" customHeight="false" outlineLevel="0" collapsed="false">
      <c r="A680" s="18" t="n">
        <v>679</v>
      </c>
      <c r="B680" s="18"/>
      <c r="C680" s="18"/>
      <c r="D680" s="18"/>
      <c r="E680" s="18" t="s">
        <v>1362</v>
      </c>
      <c r="F680" s="18" t="s">
        <v>1079</v>
      </c>
      <c r="G680" s="18" t="s">
        <v>74</v>
      </c>
      <c r="H680" s="18" t="n">
        <v>472</v>
      </c>
      <c r="I680" s="19" t="n">
        <v>0</v>
      </c>
      <c r="J680" s="19" t="n">
        <v>172.5</v>
      </c>
      <c r="K680" s="19" t="n">
        <v>172.5</v>
      </c>
      <c r="L680" s="19" t="n">
        <v>0</v>
      </c>
      <c r="M680" s="19" t="n">
        <f aca="false">ABS(L680)</f>
        <v>0</v>
      </c>
      <c r="N680" s="18" t="str">
        <f aca="false">IF(L680=0,"Nil balance",IF(G680="AR file",IF(L680&gt;0,"Accounts Receivable","Customer Advances"),IF(L680&lt;0,"Accounts Payable","Supplier Advances")))</f>
        <v>Nil balance</v>
      </c>
      <c r="O680" s="18" t="str">
        <f aca="false">IF(L680=0,"Excluded",IF(Summary!$C$4="By ledger",IF(G680="AR file","Population 1","Population 2"),IF(L680&gt;0,"Population 1","Population 2")))</f>
        <v>Excluded</v>
      </c>
      <c r="P680" s="18" t="str">
        <f aca="false">IF(O680="Excluded","Excluded – nil closing balance",IF(M680&gt;Summary!$C$5,"Above Materiality","Below Materiality"))</f>
        <v>Excluded – nil closing balance</v>
      </c>
      <c r="Q680" s="20" t="str">
        <f aca="false">IF(P680="Below Materiality",T680,"")</f>
        <v/>
      </c>
      <c r="R680" s="21" t="str">
        <f aca="false">IF(P680="Above Materiality",COUNTIFS($O$2:$O$1092,O680,$P$2:$P$1092,"Above Materiality",$M$2:$M$1092,"&gt;"&amp;M680)+COUNTIFS($O$2:$O$1092,O680,$P$2:$P$1092,"Above Materiality",$M$2:$M$1092,M680,$A$2:$A$1092,"&lt;"&amp;A680)+1,"")</f>
        <v/>
      </c>
      <c r="S680" s="21" t="str">
        <f aca="false">IF(P680&lt;&gt;"Below Materiality","",IF(Summary!$C$9="Random",COUNTIFS($O$2:$O$1092,O680,$Q$2:$Q$1092,"&gt;"&amp;Q680)+1,COUNTIFS($O$2:$O$1092,O680,$P$2:$P$1092,"Below Materiality",$M$2:$M$1092,"&gt;"&amp;M680)+COUNTIFS($O$2:$O$1092,O680,$P$2:$P$1092,"Below Materiality",$M$2:$M$1092,M680,$A$2:$A$1092,"&lt;"&amp;A680)+1))</f>
        <v/>
      </c>
      <c r="T680" s="22"/>
      <c r="U680" s="21" t="str">
        <f aca="false">IF(R680="","",O680&amp;"|A|"&amp;R680)</f>
        <v/>
      </c>
      <c r="V680" s="21" t="str">
        <f aca="false">IF(S680="","",O680&amp;"|R|"&amp;S680)</f>
        <v/>
      </c>
    </row>
    <row r="681" customFormat="false" ht="15" hidden="false" customHeight="false" outlineLevel="0" collapsed="false">
      <c r="A681" s="18" t="n">
        <v>680</v>
      </c>
      <c r="B681" s="18"/>
      <c r="C681" s="18"/>
      <c r="D681" s="18"/>
      <c r="E681" s="18" t="s">
        <v>1363</v>
      </c>
      <c r="F681" s="18" t="s">
        <v>1364</v>
      </c>
      <c r="G681" s="18" t="s">
        <v>74</v>
      </c>
      <c r="H681" s="18" t="n">
        <v>473</v>
      </c>
      <c r="I681" s="19" t="n">
        <v>0</v>
      </c>
      <c r="J681" s="19" t="n">
        <v>4715</v>
      </c>
      <c r="K681" s="19" t="n">
        <v>4715</v>
      </c>
      <c r="L681" s="19" t="n">
        <v>0</v>
      </c>
      <c r="M681" s="19" t="n">
        <f aca="false">ABS(L681)</f>
        <v>0</v>
      </c>
      <c r="N681" s="18" t="str">
        <f aca="false">IF(L681=0,"Nil balance",IF(G681="AR file",IF(L681&gt;0,"Accounts Receivable","Customer Advances"),IF(L681&lt;0,"Accounts Payable","Supplier Advances")))</f>
        <v>Nil balance</v>
      </c>
      <c r="O681" s="18" t="str">
        <f aca="false">IF(L681=0,"Excluded",IF(Summary!$C$4="By ledger",IF(G681="AR file","Population 1","Population 2"),IF(L681&gt;0,"Population 1","Population 2")))</f>
        <v>Excluded</v>
      </c>
      <c r="P681" s="18" t="str">
        <f aca="false">IF(O681="Excluded","Excluded – nil closing balance",IF(M681&gt;Summary!$C$5,"Above Materiality","Below Materiality"))</f>
        <v>Excluded – nil closing balance</v>
      </c>
      <c r="Q681" s="20" t="str">
        <f aca="false">IF(P681="Below Materiality",T681,"")</f>
        <v/>
      </c>
      <c r="R681" s="21" t="str">
        <f aca="false">IF(P681="Above Materiality",COUNTIFS($O$2:$O$1092,O681,$P$2:$P$1092,"Above Materiality",$M$2:$M$1092,"&gt;"&amp;M681)+COUNTIFS($O$2:$O$1092,O681,$P$2:$P$1092,"Above Materiality",$M$2:$M$1092,M681,$A$2:$A$1092,"&lt;"&amp;A681)+1,"")</f>
        <v/>
      </c>
      <c r="S681" s="21" t="str">
        <f aca="false">IF(P681&lt;&gt;"Below Materiality","",IF(Summary!$C$9="Random",COUNTIFS($O$2:$O$1092,O681,$Q$2:$Q$1092,"&gt;"&amp;Q681)+1,COUNTIFS($O$2:$O$1092,O681,$P$2:$P$1092,"Below Materiality",$M$2:$M$1092,"&gt;"&amp;M681)+COUNTIFS($O$2:$O$1092,O681,$P$2:$P$1092,"Below Materiality",$M$2:$M$1092,M681,$A$2:$A$1092,"&lt;"&amp;A681)+1))</f>
        <v/>
      </c>
      <c r="T681" s="22"/>
      <c r="U681" s="21" t="str">
        <f aca="false">IF(R681="","",O681&amp;"|A|"&amp;R681)</f>
        <v/>
      </c>
      <c r="V681" s="21" t="str">
        <f aca="false">IF(S681="","",O681&amp;"|R|"&amp;S681)</f>
        <v/>
      </c>
    </row>
    <row r="682" customFormat="false" ht="15" hidden="false" customHeight="false" outlineLevel="0" collapsed="false">
      <c r="A682" s="18" t="n">
        <v>681</v>
      </c>
      <c r="B682" s="18"/>
      <c r="C682" s="18"/>
      <c r="D682" s="18"/>
      <c r="E682" s="18" t="s">
        <v>1365</v>
      </c>
      <c r="F682" s="18" t="s">
        <v>1366</v>
      </c>
      <c r="G682" s="18" t="s">
        <v>74</v>
      </c>
      <c r="H682" s="18" t="n">
        <v>474</v>
      </c>
      <c r="I682" s="19" t="n">
        <v>0</v>
      </c>
      <c r="J682" s="19" t="n">
        <v>1092.5</v>
      </c>
      <c r="K682" s="19" t="n">
        <v>1092.5</v>
      </c>
      <c r="L682" s="19" t="n">
        <v>0</v>
      </c>
      <c r="M682" s="19" t="n">
        <f aca="false">ABS(L682)</f>
        <v>0</v>
      </c>
      <c r="N682" s="18" t="str">
        <f aca="false">IF(L682=0,"Nil balance",IF(G682="AR file",IF(L682&gt;0,"Accounts Receivable","Customer Advances"),IF(L682&lt;0,"Accounts Payable","Supplier Advances")))</f>
        <v>Nil balance</v>
      </c>
      <c r="O682" s="18" t="str">
        <f aca="false">IF(L682=0,"Excluded",IF(Summary!$C$4="By ledger",IF(G682="AR file","Population 1","Population 2"),IF(L682&gt;0,"Population 1","Population 2")))</f>
        <v>Excluded</v>
      </c>
      <c r="P682" s="18" t="str">
        <f aca="false">IF(O682="Excluded","Excluded – nil closing balance",IF(M682&gt;Summary!$C$5,"Above Materiality","Below Materiality"))</f>
        <v>Excluded – nil closing balance</v>
      </c>
      <c r="Q682" s="20" t="str">
        <f aca="false">IF(P682="Below Materiality",T682,"")</f>
        <v/>
      </c>
      <c r="R682" s="21" t="str">
        <f aca="false">IF(P682="Above Materiality",COUNTIFS($O$2:$O$1092,O682,$P$2:$P$1092,"Above Materiality",$M$2:$M$1092,"&gt;"&amp;M682)+COUNTIFS($O$2:$O$1092,O682,$P$2:$P$1092,"Above Materiality",$M$2:$M$1092,M682,$A$2:$A$1092,"&lt;"&amp;A682)+1,"")</f>
        <v/>
      </c>
      <c r="S682" s="21" t="str">
        <f aca="false">IF(P682&lt;&gt;"Below Materiality","",IF(Summary!$C$9="Random",COUNTIFS($O$2:$O$1092,O682,$Q$2:$Q$1092,"&gt;"&amp;Q682)+1,COUNTIFS($O$2:$O$1092,O682,$P$2:$P$1092,"Below Materiality",$M$2:$M$1092,"&gt;"&amp;M682)+COUNTIFS($O$2:$O$1092,O682,$P$2:$P$1092,"Below Materiality",$M$2:$M$1092,M682,$A$2:$A$1092,"&lt;"&amp;A682)+1))</f>
        <v/>
      </c>
      <c r="T682" s="22"/>
      <c r="U682" s="21" t="str">
        <f aca="false">IF(R682="","",O682&amp;"|A|"&amp;R682)</f>
        <v/>
      </c>
      <c r="V682" s="21" t="str">
        <f aca="false">IF(S682="","",O682&amp;"|R|"&amp;S682)</f>
        <v/>
      </c>
    </row>
    <row r="683" customFormat="false" ht="15" hidden="false" customHeight="false" outlineLevel="0" collapsed="false">
      <c r="A683" s="18" t="n">
        <v>682</v>
      </c>
      <c r="B683" s="18"/>
      <c r="C683" s="18"/>
      <c r="D683" s="18"/>
      <c r="E683" s="18" t="s">
        <v>1367</v>
      </c>
      <c r="F683" s="18" t="s">
        <v>1368</v>
      </c>
      <c r="G683" s="18" t="s">
        <v>74</v>
      </c>
      <c r="H683" s="18" t="n">
        <v>475</v>
      </c>
      <c r="I683" s="19" t="n">
        <v>0</v>
      </c>
      <c r="J683" s="19" t="n">
        <v>2771.5</v>
      </c>
      <c r="K683" s="19" t="n">
        <v>2771.5</v>
      </c>
      <c r="L683" s="19" t="n">
        <v>0</v>
      </c>
      <c r="M683" s="19" t="n">
        <f aca="false">ABS(L683)</f>
        <v>0</v>
      </c>
      <c r="N683" s="18" t="str">
        <f aca="false">IF(L683=0,"Nil balance",IF(G683="AR file",IF(L683&gt;0,"Accounts Receivable","Customer Advances"),IF(L683&lt;0,"Accounts Payable","Supplier Advances")))</f>
        <v>Nil balance</v>
      </c>
      <c r="O683" s="18" t="str">
        <f aca="false">IF(L683=0,"Excluded",IF(Summary!$C$4="By ledger",IF(G683="AR file","Population 1","Population 2"),IF(L683&gt;0,"Population 1","Population 2")))</f>
        <v>Excluded</v>
      </c>
      <c r="P683" s="18" t="str">
        <f aca="false">IF(O683="Excluded","Excluded – nil closing balance",IF(M683&gt;Summary!$C$5,"Above Materiality","Below Materiality"))</f>
        <v>Excluded – nil closing balance</v>
      </c>
      <c r="Q683" s="20" t="str">
        <f aca="false">IF(P683="Below Materiality",T683,"")</f>
        <v/>
      </c>
      <c r="R683" s="21" t="str">
        <f aca="false">IF(P683="Above Materiality",COUNTIFS($O$2:$O$1092,O683,$P$2:$P$1092,"Above Materiality",$M$2:$M$1092,"&gt;"&amp;M683)+COUNTIFS($O$2:$O$1092,O683,$P$2:$P$1092,"Above Materiality",$M$2:$M$1092,M683,$A$2:$A$1092,"&lt;"&amp;A683)+1,"")</f>
        <v/>
      </c>
      <c r="S683" s="21" t="str">
        <f aca="false">IF(P683&lt;&gt;"Below Materiality","",IF(Summary!$C$9="Random",COUNTIFS($O$2:$O$1092,O683,$Q$2:$Q$1092,"&gt;"&amp;Q683)+1,COUNTIFS($O$2:$O$1092,O683,$P$2:$P$1092,"Below Materiality",$M$2:$M$1092,"&gt;"&amp;M683)+COUNTIFS($O$2:$O$1092,O683,$P$2:$P$1092,"Below Materiality",$M$2:$M$1092,M683,$A$2:$A$1092,"&lt;"&amp;A683)+1))</f>
        <v/>
      </c>
      <c r="T683" s="22"/>
      <c r="U683" s="21" t="str">
        <f aca="false">IF(R683="","",O683&amp;"|A|"&amp;R683)</f>
        <v/>
      </c>
      <c r="V683" s="21" t="str">
        <f aca="false">IF(S683="","",O683&amp;"|R|"&amp;S683)</f>
        <v/>
      </c>
    </row>
    <row r="684" customFormat="false" ht="15" hidden="false" customHeight="false" outlineLevel="0" collapsed="false">
      <c r="A684" s="18" t="n">
        <v>683</v>
      </c>
      <c r="B684" s="18"/>
      <c r="C684" s="18"/>
      <c r="D684" s="18"/>
      <c r="E684" s="18" t="s">
        <v>1369</v>
      </c>
      <c r="F684" s="18" t="s">
        <v>1370</v>
      </c>
      <c r="G684" s="18" t="s">
        <v>74</v>
      </c>
      <c r="H684" s="18" t="n">
        <v>476</v>
      </c>
      <c r="I684" s="19" t="n">
        <v>0</v>
      </c>
      <c r="J684" s="19" t="n">
        <v>1817</v>
      </c>
      <c r="K684" s="19" t="n">
        <v>1817</v>
      </c>
      <c r="L684" s="19" t="n">
        <v>0</v>
      </c>
      <c r="M684" s="19" t="n">
        <f aca="false">ABS(L684)</f>
        <v>0</v>
      </c>
      <c r="N684" s="18" t="str">
        <f aca="false">IF(L684=0,"Nil balance",IF(G684="AR file",IF(L684&gt;0,"Accounts Receivable","Customer Advances"),IF(L684&lt;0,"Accounts Payable","Supplier Advances")))</f>
        <v>Nil balance</v>
      </c>
      <c r="O684" s="18" t="str">
        <f aca="false">IF(L684=0,"Excluded",IF(Summary!$C$4="By ledger",IF(G684="AR file","Population 1","Population 2"),IF(L684&gt;0,"Population 1","Population 2")))</f>
        <v>Excluded</v>
      </c>
      <c r="P684" s="18" t="str">
        <f aca="false">IF(O684="Excluded","Excluded – nil closing balance",IF(M684&gt;Summary!$C$5,"Above Materiality","Below Materiality"))</f>
        <v>Excluded – nil closing balance</v>
      </c>
      <c r="Q684" s="20" t="str">
        <f aca="false">IF(P684="Below Materiality",T684,"")</f>
        <v/>
      </c>
      <c r="R684" s="21" t="str">
        <f aca="false">IF(P684="Above Materiality",COUNTIFS($O$2:$O$1092,O684,$P$2:$P$1092,"Above Materiality",$M$2:$M$1092,"&gt;"&amp;M684)+COUNTIFS($O$2:$O$1092,O684,$P$2:$P$1092,"Above Materiality",$M$2:$M$1092,M684,$A$2:$A$1092,"&lt;"&amp;A684)+1,"")</f>
        <v/>
      </c>
      <c r="S684" s="21" t="str">
        <f aca="false">IF(P684&lt;&gt;"Below Materiality","",IF(Summary!$C$9="Random",COUNTIFS($O$2:$O$1092,O684,$Q$2:$Q$1092,"&gt;"&amp;Q684)+1,COUNTIFS($O$2:$O$1092,O684,$P$2:$P$1092,"Below Materiality",$M$2:$M$1092,"&gt;"&amp;M684)+COUNTIFS($O$2:$O$1092,O684,$P$2:$P$1092,"Below Materiality",$M$2:$M$1092,M684,$A$2:$A$1092,"&lt;"&amp;A684)+1))</f>
        <v/>
      </c>
      <c r="T684" s="22"/>
      <c r="U684" s="21" t="str">
        <f aca="false">IF(R684="","",O684&amp;"|A|"&amp;R684)</f>
        <v/>
      </c>
      <c r="V684" s="21" t="str">
        <f aca="false">IF(S684="","",O684&amp;"|R|"&amp;S684)</f>
        <v/>
      </c>
    </row>
    <row r="685" customFormat="false" ht="15" hidden="false" customHeight="false" outlineLevel="0" collapsed="false">
      <c r="A685" s="18" t="n">
        <v>684</v>
      </c>
      <c r="B685" s="18"/>
      <c r="C685" s="18"/>
      <c r="D685" s="18"/>
      <c r="E685" s="18" t="s">
        <v>1371</v>
      </c>
      <c r="F685" s="18" t="s">
        <v>1372</v>
      </c>
      <c r="G685" s="18" t="s">
        <v>74</v>
      </c>
      <c r="H685" s="18" t="n">
        <v>477</v>
      </c>
      <c r="I685" s="19" t="n">
        <v>0</v>
      </c>
      <c r="J685" s="19" t="n">
        <v>7678.2</v>
      </c>
      <c r="K685" s="19" t="n">
        <v>7678.2</v>
      </c>
      <c r="L685" s="19" t="n">
        <v>0</v>
      </c>
      <c r="M685" s="19" t="n">
        <f aca="false">ABS(L685)</f>
        <v>0</v>
      </c>
      <c r="N685" s="18" t="str">
        <f aca="false">IF(L685=0,"Nil balance",IF(G685="AR file",IF(L685&gt;0,"Accounts Receivable","Customer Advances"),IF(L685&lt;0,"Accounts Payable","Supplier Advances")))</f>
        <v>Nil balance</v>
      </c>
      <c r="O685" s="18" t="str">
        <f aca="false">IF(L685=0,"Excluded",IF(Summary!$C$4="By ledger",IF(G685="AR file","Population 1","Population 2"),IF(L685&gt;0,"Population 1","Population 2")))</f>
        <v>Excluded</v>
      </c>
      <c r="P685" s="18" t="str">
        <f aca="false">IF(O685="Excluded","Excluded – nil closing balance",IF(M685&gt;Summary!$C$5,"Above Materiality","Below Materiality"))</f>
        <v>Excluded – nil closing balance</v>
      </c>
      <c r="Q685" s="20" t="str">
        <f aca="false">IF(P685="Below Materiality",T685,"")</f>
        <v/>
      </c>
      <c r="R685" s="21" t="str">
        <f aca="false">IF(P685="Above Materiality",COUNTIFS($O$2:$O$1092,O685,$P$2:$P$1092,"Above Materiality",$M$2:$M$1092,"&gt;"&amp;M685)+COUNTIFS($O$2:$O$1092,O685,$P$2:$P$1092,"Above Materiality",$M$2:$M$1092,M685,$A$2:$A$1092,"&lt;"&amp;A685)+1,"")</f>
        <v/>
      </c>
      <c r="S685" s="21" t="str">
        <f aca="false">IF(P685&lt;&gt;"Below Materiality","",IF(Summary!$C$9="Random",COUNTIFS($O$2:$O$1092,O685,$Q$2:$Q$1092,"&gt;"&amp;Q685)+1,COUNTIFS($O$2:$O$1092,O685,$P$2:$P$1092,"Below Materiality",$M$2:$M$1092,"&gt;"&amp;M685)+COUNTIFS($O$2:$O$1092,O685,$P$2:$P$1092,"Below Materiality",$M$2:$M$1092,M685,$A$2:$A$1092,"&lt;"&amp;A685)+1))</f>
        <v/>
      </c>
      <c r="T685" s="22"/>
      <c r="U685" s="21" t="str">
        <f aca="false">IF(R685="","",O685&amp;"|A|"&amp;R685)</f>
        <v/>
      </c>
      <c r="V685" s="21" t="str">
        <f aca="false">IF(S685="","",O685&amp;"|R|"&amp;S685)</f>
        <v/>
      </c>
    </row>
    <row r="686" customFormat="false" ht="15" hidden="false" customHeight="false" outlineLevel="0" collapsed="false">
      <c r="A686" s="18" t="n">
        <v>685</v>
      </c>
      <c r="B686" s="18"/>
      <c r="C686" s="18"/>
      <c r="D686" s="18"/>
      <c r="E686" s="18" t="s">
        <v>1373</v>
      </c>
      <c r="F686" s="18" t="s">
        <v>1346</v>
      </c>
      <c r="G686" s="18" t="s">
        <v>74</v>
      </c>
      <c r="H686" s="18" t="n">
        <v>479</v>
      </c>
      <c r="I686" s="19" t="n">
        <v>0</v>
      </c>
      <c r="J686" s="19" t="n">
        <v>350</v>
      </c>
      <c r="K686" s="19" t="n">
        <v>350</v>
      </c>
      <c r="L686" s="19" t="n">
        <v>0</v>
      </c>
      <c r="M686" s="19" t="n">
        <f aca="false">ABS(L686)</f>
        <v>0</v>
      </c>
      <c r="N686" s="18" t="str">
        <f aca="false">IF(L686=0,"Nil balance",IF(G686="AR file",IF(L686&gt;0,"Accounts Receivable","Customer Advances"),IF(L686&lt;0,"Accounts Payable","Supplier Advances")))</f>
        <v>Nil balance</v>
      </c>
      <c r="O686" s="18" t="str">
        <f aca="false">IF(L686=0,"Excluded",IF(Summary!$C$4="By ledger",IF(G686="AR file","Population 1","Population 2"),IF(L686&gt;0,"Population 1","Population 2")))</f>
        <v>Excluded</v>
      </c>
      <c r="P686" s="18" t="str">
        <f aca="false">IF(O686="Excluded","Excluded – nil closing balance",IF(M686&gt;Summary!$C$5,"Above Materiality","Below Materiality"))</f>
        <v>Excluded – nil closing balance</v>
      </c>
      <c r="Q686" s="20" t="str">
        <f aca="false">IF(P686="Below Materiality",T686,"")</f>
        <v/>
      </c>
      <c r="R686" s="21" t="str">
        <f aca="false">IF(P686="Above Materiality",COUNTIFS($O$2:$O$1092,O686,$P$2:$P$1092,"Above Materiality",$M$2:$M$1092,"&gt;"&amp;M686)+COUNTIFS($O$2:$O$1092,O686,$P$2:$P$1092,"Above Materiality",$M$2:$M$1092,M686,$A$2:$A$1092,"&lt;"&amp;A686)+1,"")</f>
        <v/>
      </c>
      <c r="S686" s="21" t="str">
        <f aca="false">IF(P686&lt;&gt;"Below Materiality","",IF(Summary!$C$9="Random",COUNTIFS($O$2:$O$1092,O686,$Q$2:$Q$1092,"&gt;"&amp;Q686)+1,COUNTIFS($O$2:$O$1092,O686,$P$2:$P$1092,"Below Materiality",$M$2:$M$1092,"&gt;"&amp;M686)+COUNTIFS($O$2:$O$1092,O686,$P$2:$P$1092,"Below Materiality",$M$2:$M$1092,M686,$A$2:$A$1092,"&lt;"&amp;A686)+1))</f>
        <v/>
      </c>
      <c r="T686" s="22"/>
      <c r="U686" s="21" t="str">
        <f aca="false">IF(R686="","",O686&amp;"|A|"&amp;R686)</f>
        <v/>
      </c>
      <c r="V686" s="21" t="str">
        <f aca="false">IF(S686="","",O686&amp;"|R|"&amp;S686)</f>
        <v/>
      </c>
    </row>
    <row r="687" customFormat="false" ht="15" hidden="false" customHeight="false" outlineLevel="0" collapsed="false">
      <c r="A687" s="18" t="n">
        <v>686</v>
      </c>
      <c r="B687" s="18"/>
      <c r="C687" s="18"/>
      <c r="D687" s="18"/>
      <c r="E687" s="18" t="s">
        <v>1374</v>
      </c>
      <c r="F687" s="18" t="s">
        <v>1375</v>
      </c>
      <c r="G687" s="18" t="s">
        <v>74</v>
      </c>
      <c r="H687" s="18" t="n">
        <v>480</v>
      </c>
      <c r="I687" s="19" t="n">
        <v>0</v>
      </c>
      <c r="J687" s="19" t="n">
        <v>24346.1</v>
      </c>
      <c r="K687" s="19" t="n">
        <v>24346.1</v>
      </c>
      <c r="L687" s="19" t="n">
        <v>0</v>
      </c>
      <c r="M687" s="19" t="n">
        <f aca="false">ABS(L687)</f>
        <v>0</v>
      </c>
      <c r="N687" s="18" t="str">
        <f aca="false">IF(L687=0,"Nil balance",IF(G687="AR file",IF(L687&gt;0,"Accounts Receivable","Customer Advances"),IF(L687&lt;0,"Accounts Payable","Supplier Advances")))</f>
        <v>Nil balance</v>
      </c>
      <c r="O687" s="18" t="str">
        <f aca="false">IF(L687=0,"Excluded",IF(Summary!$C$4="By ledger",IF(G687="AR file","Population 1","Population 2"),IF(L687&gt;0,"Population 1","Population 2")))</f>
        <v>Excluded</v>
      </c>
      <c r="P687" s="18" t="str">
        <f aca="false">IF(O687="Excluded","Excluded – nil closing balance",IF(M687&gt;Summary!$C$5,"Above Materiality","Below Materiality"))</f>
        <v>Excluded – nil closing balance</v>
      </c>
      <c r="Q687" s="20" t="str">
        <f aca="false">IF(P687="Below Materiality",T687,"")</f>
        <v/>
      </c>
      <c r="R687" s="21" t="str">
        <f aca="false">IF(P687="Above Materiality",COUNTIFS($O$2:$O$1092,O687,$P$2:$P$1092,"Above Materiality",$M$2:$M$1092,"&gt;"&amp;M687)+COUNTIFS($O$2:$O$1092,O687,$P$2:$P$1092,"Above Materiality",$M$2:$M$1092,M687,$A$2:$A$1092,"&lt;"&amp;A687)+1,"")</f>
        <v/>
      </c>
      <c r="S687" s="21" t="str">
        <f aca="false">IF(P687&lt;&gt;"Below Materiality","",IF(Summary!$C$9="Random",COUNTIFS($O$2:$O$1092,O687,$Q$2:$Q$1092,"&gt;"&amp;Q687)+1,COUNTIFS($O$2:$O$1092,O687,$P$2:$P$1092,"Below Materiality",$M$2:$M$1092,"&gt;"&amp;M687)+COUNTIFS($O$2:$O$1092,O687,$P$2:$P$1092,"Below Materiality",$M$2:$M$1092,M687,$A$2:$A$1092,"&lt;"&amp;A687)+1))</f>
        <v/>
      </c>
      <c r="T687" s="22"/>
      <c r="U687" s="21" t="str">
        <f aca="false">IF(R687="","",O687&amp;"|A|"&amp;R687)</f>
        <v/>
      </c>
      <c r="V687" s="21" t="str">
        <f aca="false">IF(S687="","",O687&amp;"|R|"&amp;S687)</f>
        <v/>
      </c>
    </row>
    <row r="688" customFormat="false" ht="15" hidden="false" customHeight="false" outlineLevel="0" collapsed="false">
      <c r="A688" s="18" t="n">
        <v>687</v>
      </c>
      <c r="B688" s="18"/>
      <c r="C688" s="18"/>
      <c r="D688" s="18"/>
      <c r="E688" s="18" t="s">
        <v>1376</v>
      </c>
      <c r="F688" s="18" t="s">
        <v>1377</v>
      </c>
      <c r="G688" s="18" t="s">
        <v>74</v>
      </c>
      <c r="H688" s="18" t="n">
        <v>481</v>
      </c>
      <c r="I688" s="19" t="n">
        <v>0</v>
      </c>
      <c r="J688" s="19" t="n">
        <v>1396.1</v>
      </c>
      <c r="K688" s="19" t="n">
        <v>1396.1</v>
      </c>
      <c r="L688" s="19" t="n">
        <v>0</v>
      </c>
      <c r="M688" s="19" t="n">
        <f aca="false">ABS(L688)</f>
        <v>0</v>
      </c>
      <c r="N688" s="18" t="str">
        <f aca="false">IF(L688=0,"Nil balance",IF(G688="AR file",IF(L688&gt;0,"Accounts Receivable","Customer Advances"),IF(L688&lt;0,"Accounts Payable","Supplier Advances")))</f>
        <v>Nil balance</v>
      </c>
      <c r="O688" s="18" t="str">
        <f aca="false">IF(L688=0,"Excluded",IF(Summary!$C$4="By ledger",IF(G688="AR file","Population 1","Population 2"),IF(L688&gt;0,"Population 1","Population 2")))</f>
        <v>Excluded</v>
      </c>
      <c r="P688" s="18" t="str">
        <f aca="false">IF(O688="Excluded","Excluded – nil closing balance",IF(M688&gt;Summary!$C$5,"Above Materiality","Below Materiality"))</f>
        <v>Excluded – nil closing balance</v>
      </c>
      <c r="Q688" s="20" t="str">
        <f aca="false">IF(P688="Below Materiality",T688,"")</f>
        <v/>
      </c>
      <c r="R688" s="21" t="str">
        <f aca="false">IF(P688="Above Materiality",COUNTIFS($O$2:$O$1092,O688,$P$2:$P$1092,"Above Materiality",$M$2:$M$1092,"&gt;"&amp;M688)+COUNTIFS($O$2:$O$1092,O688,$P$2:$P$1092,"Above Materiality",$M$2:$M$1092,M688,$A$2:$A$1092,"&lt;"&amp;A688)+1,"")</f>
        <v/>
      </c>
      <c r="S688" s="21" t="str">
        <f aca="false">IF(P688&lt;&gt;"Below Materiality","",IF(Summary!$C$9="Random",COUNTIFS($O$2:$O$1092,O688,$Q$2:$Q$1092,"&gt;"&amp;Q688)+1,COUNTIFS($O$2:$O$1092,O688,$P$2:$P$1092,"Below Materiality",$M$2:$M$1092,"&gt;"&amp;M688)+COUNTIFS($O$2:$O$1092,O688,$P$2:$P$1092,"Below Materiality",$M$2:$M$1092,M688,$A$2:$A$1092,"&lt;"&amp;A688)+1))</f>
        <v/>
      </c>
      <c r="T688" s="22"/>
      <c r="U688" s="21" t="str">
        <f aca="false">IF(R688="","",O688&amp;"|A|"&amp;R688)</f>
        <v/>
      </c>
      <c r="V688" s="21" t="str">
        <f aca="false">IF(S688="","",O688&amp;"|R|"&amp;S688)</f>
        <v/>
      </c>
    </row>
    <row r="689" customFormat="false" ht="15" hidden="false" customHeight="false" outlineLevel="0" collapsed="false">
      <c r="A689" s="18" t="n">
        <v>688</v>
      </c>
      <c r="B689" s="18"/>
      <c r="C689" s="18"/>
      <c r="D689" s="18"/>
      <c r="E689" s="18" t="s">
        <v>1378</v>
      </c>
      <c r="F689" s="18" t="s">
        <v>1379</v>
      </c>
      <c r="G689" s="18" t="s">
        <v>74</v>
      </c>
      <c r="H689" s="18" t="n">
        <v>482</v>
      </c>
      <c r="I689" s="19" t="n">
        <v>0</v>
      </c>
      <c r="J689" s="19" t="n">
        <v>632.5</v>
      </c>
      <c r="K689" s="19" t="n">
        <v>632.5</v>
      </c>
      <c r="L689" s="19" t="n">
        <v>0</v>
      </c>
      <c r="M689" s="19" t="n">
        <f aca="false">ABS(L689)</f>
        <v>0</v>
      </c>
      <c r="N689" s="18" t="str">
        <f aca="false">IF(L689=0,"Nil balance",IF(G689="AR file",IF(L689&gt;0,"Accounts Receivable","Customer Advances"),IF(L689&lt;0,"Accounts Payable","Supplier Advances")))</f>
        <v>Nil balance</v>
      </c>
      <c r="O689" s="18" t="str">
        <f aca="false">IF(L689=0,"Excluded",IF(Summary!$C$4="By ledger",IF(G689="AR file","Population 1","Population 2"),IF(L689&gt;0,"Population 1","Population 2")))</f>
        <v>Excluded</v>
      </c>
      <c r="P689" s="18" t="str">
        <f aca="false">IF(O689="Excluded","Excluded – nil closing balance",IF(M689&gt;Summary!$C$5,"Above Materiality","Below Materiality"))</f>
        <v>Excluded – nil closing balance</v>
      </c>
      <c r="Q689" s="20" t="str">
        <f aca="false">IF(P689="Below Materiality",T689,"")</f>
        <v/>
      </c>
      <c r="R689" s="21" t="str">
        <f aca="false">IF(P689="Above Materiality",COUNTIFS($O$2:$O$1092,O689,$P$2:$P$1092,"Above Materiality",$M$2:$M$1092,"&gt;"&amp;M689)+COUNTIFS($O$2:$O$1092,O689,$P$2:$P$1092,"Above Materiality",$M$2:$M$1092,M689,$A$2:$A$1092,"&lt;"&amp;A689)+1,"")</f>
        <v/>
      </c>
      <c r="S689" s="21" t="str">
        <f aca="false">IF(P689&lt;&gt;"Below Materiality","",IF(Summary!$C$9="Random",COUNTIFS($O$2:$O$1092,O689,$Q$2:$Q$1092,"&gt;"&amp;Q689)+1,COUNTIFS($O$2:$O$1092,O689,$P$2:$P$1092,"Below Materiality",$M$2:$M$1092,"&gt;"&amp;M689)+COUNTIFS($O$2:$O$1092,O689,$P$2:$P$1092,"Below Materiality",$M$2:$M$1092,M689,$A$2:$A$1092,"&lt;"&amp;A689)+1))</f>
        <v/>
      </c>
      <c r="T689" s="22"/>
      <c r="U689" s="21" t="str">
        <f aca="false">IF(R689="","",O689&amp;"|A|"&amp;R689)</f>
        <v/>
      </c>
      <c r="V689" s="21" t="str">
        <f aca="false">IF(S689="","",O689&amp;"|R|"&amp;S689)</f>
        <v/>
      </c>
    </row>
    <row r="690" customFormat="false" ht="15" hidden="false" customHeight="false" outlineLevel="0" collapsed="false">
      <c r="A690" s="18" t="n">
        <v>689</v>
      </c>
      <c r="B690" s="18"/>
      <c r="C690" s="18"/>
      <c r="D690" s="18"/>
      <c r="E690" s="18" t="s">
        <v>1380</v>
      </c>
      <c r="F690" s="18" t="s">
        <v>1381</v>
      </c>
      <c r="G690" s="18" t="s">
        <v>74</v>
      </c>
      <c r="H690" s="18" t="n">
        <v>483</v>
      </c>
      <c r="I690" s="19" t="n">
        <v>0</v>
      </c>
      <c r="J690" s="19" t="n">
        <v>239</v>
      </c>
      <c r="K690" s="19" t="n">
        <v>239</v>
      </c>
      <c r="L690" s="19" t="n">
        <v>0</v>
      </c>
      <c r="M690" s="19" t="n">
        <f aca="false">ABS(L690)</f>
        <v>0</v>
      </c>
      <c r="N690" s="18" t="str">
        <f aca="false">IF(L690=0,"Nil balance",IF(G690="AR file",IF(L690&gt;0,"Accounts Receivable","Customer Advances"),IF(L690&lt;0,"Accounts Payable","Supplier Advances")))</f>
        <v>Nil balance</v>
      </c>
      <c r="O690" s="18" t="str">
        <f aca="false">IF(L690=0,"Excluded",IF(Summary!$C$4="By ledger",IF(G690="AR file","Population 1","Population 2"),IF(L690&gt;0,"Population 1","Population 2")))</f>
        <v>Excluded</v>
      </c>
      <c r="P690" s="18" t="str">
        <f aca="false">IF(O690="Excluded","Excluded – nil closing balance",IF(M690&gt;Summary!$C$5,"Above Materiality","Below Materiality"))</f>
        <v>Excluded – nil closing balance</v>
      </c>
      <c r="Q690" s="20" t="str">
        <f aca="false">IF(P690="Below Materiality",T690,"")</f>
        <v/>
      </c>
      <c r="R690" s="21" t="str">
        <f aca="false">IF(P690="Above Materiality",COUNTIFS($O$2:$O$1092,O690,$P$2:$P$1092,"Above Materiality",$M$2:$M$1092,"&gt;"&amp;M690)+COUNTIFS($O$2:$O$1092,O690,$P$2:$P$1092,"Above Materiality",$M$2:$M$1092,M690,$A$2:$A$1092,"&lt;"&amp;A690)+1,"")</f>
        <v/>
      </c>
      <c r="S690" s="21" t="str">
        <f aca="false">IF(P690&lt;&gt;"Below Materiality","",IF(Summary!$C$9="Random",COUNTIFS($O$2:$O$1092,O690,$Q$2:$Q$1092,"&gt;"&amp;Q690)+1,COUNTIFS($O$2:$O$1092,O690,$P$2:$P$1092,"Below Materiality",$M$2:$M$1092,"&gt;"&amp;M690)+COUNTIFS($O$2:$O$1092,O690,$P$2:$P$1092,"Below Materiality",$M$2:$M$1092,M690,$A$2:$A$1092,"&lt;"&amp;A690)+1))</f>
        <v/>
      </c>
      <c r="T690" s="22"/>
      <c r="U690" s="21" t="str">
        <f aca="false">IF(R690="","",O690&amp;"|A|"&amp;R690)</f>
        <v/>
      </c>
      <c r="V690" s="21" t="str">
        <f aca="false">IF(S690="","",O690&amp;"|R|"&amp;S690)</f>
        <v/>
      </c>
    </row>
    <row r="691" customFormat="false" ht="15" hidden="false" customHeight="false" outlineLevel="0" collapsed="false">
      <c r="A691" s="18" t="n">
        <v>690</v>
      </c>
      <c r="B691" s="18"/>
      <c r="C691" s="18"/>
      <c r="D691" s="18"/>
      <c r="E691" s="18" t="s">
        <v>1382</v>
      </c>
      <c r="F691" s="18" t="s">
        <v>1383</v>
      </c>
      <c r="G691" s="18" t="s">
        <v>74</v>
      </c>
      <c r="H691" s="18" t="n">
        <v>484</v>
      </c>
      <c r="I691" s="19" t="n">
        <v>0</v>
      </c>
      <c r="J691" s="19" t="n">
        <v>25599</v>
      </c>
      <c r="K691" s="19" t="n">
        <v>25599</v>
      </c>
      <c r="L691" s="19" t="n">
        <v>0</v>
      </c>
      <c r="M691" s="19" t="n">
        <f aca="false">ABS(L691)</f>
        <v>0</v>
      </c>
      <c r="N691" s="18" t="str">
        <f aca="false">IF(L691=0,"Nil balance",IF(G691="AR file",IF(L691&gt;0,"Accounts Receivable","Customer Advances"),IF(L691&lt;0,"Accounts Payable","Supplier Advances")))</f>
        <v>Nil balance</v>
      </c>
      <c r="O691" s="18" t="str">
        <f aca="false">IF(L691=0,"Excluded",IF(Summary!$C$4="By ledger",IF(G691="AR file","Population 1","Population 2"),IF(L691&gt;0,"Population 1","Population 2")))</f>
        <v>Excluded</v>
      </c>
      <c r="P691" s="18" t="str">
        <f aca="false">IF(O691="Excluded","Excluded – nil closing balance",IF(M691&gt;Summary!$C$5,"Above Materiality","Below Materiality"))</f>
        <v>Excluded – nil closing balance</v>
      </c>
      <c r="Q691" s="20" t="str">
        <f aca="false">IF(P691="Below Materiality",T691,"")</f>
        <v/>
      </c>
      <c r="R691" s="21" t="str">
        <f aca="false">IF(P691="Above Materiality",COUNTIFS($O$2:$O$1092,O691,$P$2:$P$1092,"Above Materiality",$M$2:$M$1092,"&gt;"&amp;M691)+COUNTIFS($O$2:$O$1092,O691,$P$2:$P$1092,"Above Materiality",$M$2:$M$1092,M691,$A$2:$A$1092,"&lt;"&amp;A691)+1,"")</f>
        <v/>
      </c>
      <c r="S691" s="21" t="str">
        <f aca="false">IF(P691&lt;&gt;"Below Materiality","",IF(Summary!$C$9="Random",COUNTIFS($O$2:$O$1092,O691,$Q$2:$Q$1092,"&gt;"&amp;Q691)+1,COUNTIFS($O$2:$O$1092,O691,$P$2:$P$1092,"Below Materiality",$M$2:$M$1092,"&gt;"&amp;M691)+COUNTIFS($O$2:$O$1092,O691,$P$2:$P$1092,"Below Materiality",$M$2:$M$1092,M691,$A$2:$A$1092,"&lt;"&amp;A691)+1))</f>
        <v/>
      </c>
      <c r="T691" s="22"/>
      <c r="U691" s="21" t="str">
        <f aca="false">IF(R691="","",O691&amp;"|A|"&amp;R691)</f>
        <v/>
      </c>
      <c r="V691" s="21" t="str">
        <f aca="false">IF(S691="","",O691&amp;"|R|"&amp;S691)</f>
        <v/>
      </c>
    </row>
    <row r="692" customFormat="false" ht="15" hidden="false" customHeight="false" outlineLevel="0" collapsed="false">
      <c r="A692" s="18" t="n">
        <v>691</v>
      </c>
      <c r="B692" s="18"/>
      <c r="C692" s="18"/>
      <c r="D692" s="18"/>
      <c r="E692" s="18" t="s">
        <v>1384</v>
      </c>
      <c r="F692" s="18" t="s">
        <v>1385</v>
      </c>
      <c r="G692" s="18" t="s">
        <v>74</v>
      </c>
      <c r="H692" s="18" t="n">
        <v>485</v>
      </c>
      <c r="I692" s="19" t="n">
        <v>0</v>
      </c>
      <c r="J692" s="19" t="n">
        <v>14869.5</v>
      </c>
      <c r="K692" s="19" t="n">
        <v>14869.5</v>
      </c>
      <c r="L692" s="19" t="n">
        <v>0</v>
      </c>
      <c r="M692" s="19" t="n">
        <f aca="false">ABS(L692)</f>
        <v>0</v>
      </c>
      <c r="N692" s="18" t="str">
        <f aca="false">IF(L692=0,"Nil balance",IF(G692="AR file",IF(L692&gt;0,"Accounts Receivable","Customer Advances"),IF(L692&lt;0,"Accounts Payable","Supplier Advances")))</f>
        <v>Nil balance</v>
      </c>
      <c r="O692" s="18" t="str">
        <f aca="false">IF(L692=0,"Excluded",IF(Summary!$C$4="By ledger",IF(G692="AR file","Population 1","Population 2"),IF(L692&gt;0,"Population 1","Population 2")))</f>
        <v>Excluded</v>
      </c>
      <c r="P692" s="18" t="str">
        <f aca="false">IF(O692="Excluded","Excluded – nil closing balance",IF(M692&gt;Summary!$C$5,"Above Materiality","Below Materiality"))</f>
        <v>Excluded – nil closing balance</v>
      </c>
      <c r="Q692" s="20" t="str">
        <f aca="false">IF(P692="Below Materiality",T692,"")</f>
        <v/>
      </c>
      <c r="R692" s="21" t="str">
        <f aca="false">IF(P692="Above Materiality",COUNTIFS($O$2:$O$1092,O692,$P$2:$P$1092,"Above Materiality",$M$2:$M$1092,"&gt;"&amp;M692)+COUNTIFS($O$2:$O$1092,O692,$P$2:$P$1092,"Above Materiality",$M$2:$M$1092,M692,$A$2:$A$1092,"&lt;"&amp;A692)+1,"")</f>
        <v/>
      </c>
      <c r="S692" s="21" t="str">
        <f aca="false">IF(P692&lt;&gt;"Below Materiality","",IF(Summary!$C$9="Random",COUNTIFS($O$2:$O$1092,O692,$Q$2:$Q$1092,"&gt;"&amp;Q692)+1,COUNTIFS($O$2:$O$1092,O692,$P$2:$P$1092,"Below Materiality",$M$2:$M$1092,"&gt;"&amp;M692)+COUNTIFS($O$2:$O$1092,O692,$P$2:$P$1092,"Below Materiality",$M$2:$M$1092,M692,$A$2:$A$1092,"&lt;"&amp;A692)+1))</f>
        <v/>
      </c>
      <c r="T692" s="22"/>
      <c r="U692" s="21" t="str">
        <f aca="false">IF(R692="","",O692&amp;"|A|"&amp;R692)</f>
        <v/>
      </c>
      <c r="V692" s="21" t="str">
        <f aca="false">IF(S692="","",O692&amp;"|R|"&amp;S692)</f>
        <v/>
      </c>
    </row>
    <row r="693" customFormat="false" ht="15" hidden="false" customHeight="false" outlineLevel="0" collapsed="false">
      <c r="A693" s="18" t="n">
        <v>692</v>
      </c>
      <c r="B693" s="18"/>
      <c r="C693" s="18"/>
      <c r="D693" s="18"/>
      <c r="E693" s="18" t="s">
        <v>1386</v>
      </c>
      <c r="F693" s="18" t="s">
        <v>1387</v>
      </c>
      <c r="G693" s="18" t="s">
        <v>74</v>
      </c>
      <c r="H693" s="18" t="n">
        <v>486</v>
      </c>
      <c r="I693" s="19" t="n">
        <v>0</v>
      </c>
      <c r="J693" s="19" t="n">
        <v>12820</v>
      </c>
      <c r="K693" s="19" t="n">
        <v>12820</v>
      </c>
      <c r="L693" s="19" t="n">
        <v>0</v>
      </c>
      <c r="M693" s="19" t="n">
        <f aca="false">ABS(L693)</f>
        <v>0</v>
      </c>
      <c r="N693" s="18" t="str">
        <f aca="false">IF(L693=0,"Nil balance",IF(G693="AR file",IF(L693&gt;0,"Accounts Receivable","Customer Advances"),IF(L693&lt;0,"Accounts Payable","Supplier Advances")))</f>
        <v>Nil balance</v>
      </c>
      <c r="O693" s="18" t="str">
        <f aca="false">IF(L693=0,"Excluded",IF(Summary!$C$4="By ledger",IF(G693="AR file","Population 1","Population 2"),IF(L693&gt;0,"Population 1","Population 2")))</f>
        <v>Excluded</v>
      </c>
      <c r="P693" s="18" t="str">
        <f aca="false">IF(O693="Excluded","Excluded – nil closing balance",IF(M693&gt;Summary!$C$5,"Above Materiality","Below Materiality"))</f>
        <v>Excluded – nil closing balance</v>
      </c>
      <c r="Q693" s="20" t="str">
        <f aca="false">IF(P693="Below Materiality",T693,"")</f>
        <v/>
      </c>
      <c r="R693" s="21" t="str">
        <f aca="false">IF(P693="Above Materiality",COUNTIFS($O$2:$O$1092,O693,$P$2:$P$1092,"Above Materiality",$M$2:$M$1092,"&gt;"&amp;M693)+COUNTIFS($O$2:$O$1092,O693,$P$2:$P$1092,"Above Materiality",$M$2:$M$1092,M693,$A$2:$A$1092,"&lt;"&amp;A693)+1,"")</f>
        <v/>
      </c>
      <c r="S693" s="21" t="str">
        <f aca="false">IF(P693&lt;&gt;"Below Materiality","",IF(Summary!$C$9="Random",COUNTIFS($O$2:$O$1092,O693,$Q$2:$Q$1092,"&gt;"&amp;Q693)+1,COUNTIFS($O$2:$O$1092,O693,$P$2:$P$1092,"Below Materiality",$M$2:$M$1092,"&gt;"&amp;M693)+COUNTIFS($O$2:$O$1092,O693,$P$2:$P$1092,"Below Materiality",$M$2:$M$1092,M693,$A$2:$A$1092,"&lt;"&amp;A693)+1))</f>
        <v/>
      </c>
      <c r="T693" s="22"/>
      <c r="U693" s="21" t="str">
        <f aca="false">IF(R693="","",O693&amp;"|A|"&amp;R693)</f>
        <v/>
      </c>
      <c r="V693" s="21" t="str">
        <f aca="false">IF(S693="","",O693&amp;"|R|"&amp;S693)</f>
        <v/>
      </c>
    </row>
    <row r="694" customFormat="false" ht="15" hidden="false" customHeight="false" outlineLevel="0" collapsed="false">
      <c r="A694" s="18" t="n">
        <v>693</v>
      </c>
      <c r="B694" s="18"/>
      <c r="C694" s="18"/>
      <c r="D694" s="18"/>
      <c r="E694" s="18" t="s">
        <v>1388</v>
      </c>
      <c r="F694" s="18" t="s">
        <v>1389</v>
      </c>
      <c r="G694" s="18" t="s">
        <v>74</v>
      </c>
      <c r="H694" s="18" t="n">
        <v>487</v>
      </c>
      <c r="I694" s="19" t="n">
        <v>0</v>
      </c>
      <c r="J694" s="19" t="n">
        <v>138</v>
      </c>
      <c r="K694" s="19" t="n">
        <v>138</v>
      </c>
      <c r="L694" s="19" t="n">
        <v>0</v>
      </c>
      <c r="M694" s="19" t="n">
        <f aca="false">ABS(L694)</f>
        <v>0</v>
      </c>
      <c r="N694" s="18" t="str">
        <f aca="false">IF(L694=0,"Nil balance",IF(G694="AR file",IF(L694&gt;0,"Accounts Receivable","Customer Advances"),IF(L694&lt;0,"Accounts Payable","Supplier Advances")))</f>
        <v>Nil balance</v>
      </c>
      <c r="O694" s="18" t="str">
        <f aca="false">IF(L694=0,"Excluded",IF(Summary!$C$4="By ledger",IF(G694="AR file","Population 1","Population 2"),IF(L694&gt;0,"Population 1","Population 2")))</f>
        <v>Excluded</v>
      </c>
      <c r="P694" s="18" t="str">
        <f aca="false">IF(O694="Excluded","Excluded – nil closing balance",IF(M694&gt;Summary!$C$5,"Above Materiality","Below Materiality"))</f>
        <v>Excluded – nil closing balance</v>
      </c>
      <c r="Q694" s="20" t="str">
        <f aca="false">IF(P694="Below Materiality",T694,"")</f>
        <v/>
      </c>
      <c r="R694" s="21" t="str">
        <f aca="false">IF(P694="Above Materiality",COUNTIFS($O$2:$O$1092,O694,$P$2:$P$1092,"Above Materiality",$M$2:$M$1092,"&gt;"&amp;M694)+COUNTIFS($O$2:$O$1092,O694,$P$2:$P$1092,"Above Materiality",$M$2:$M$1092,M694,$A$2:$A$1092,"&lt;"&amp;A694)+1,"")</f>
        <v/>
      </c>
      <c r="S694" s="21" t="str">
        <f aca="false">IF(P694&lt;&gt;"Below Materiality","",IF(Summary!$C$9="Random",COUNTIFS($O$2:$O$1092,O694,$Q$2:$Q$1092,"&gt;"&amp;Q694)+1,COUNTIFS($O$2:$O$1092,O694,$P$2:$P$1092,"Below Materiality",$M$2:$M$1092,"&gt;"&amp;M694)+COUNTIFS($O$2:$O$1092,O694,$P$2:$P$1092,"Below Materiality",$M$2:$M$1092,M694,$A$2:$A$1092,"&lt;"&amp;A694)+1))</f>
        <v/>
      </c>
      <c r="T694" s="22"/>
      <c r="U694" s="21" t="str">
        <f aca="false">IF(R694="","",O694&amp;"|A|"&amp;R694)</f>
        <v/>
      </c>
      <c r="V694" s="21" t="str">
        <f aca="false">IF(S694="","",O694&amp;"|R|"&amp;S694)</f>
        <v/>
      </c>
    </row>
    <row r="695" customFormat="false" ht="15" hidden="false" customHeight="false" outlineLevel="0" collapsed="false">
      <c r="A695" s="18" t="n">
        <v>694</v>
      </c>
      <c r="B695" s="18"/>
      <c r="C695" s="18"/>
      <c r="D695" s="18"/>
      <c r="E695" s="18" t="s">
        <v>1390</v>
      </c>
      <c r="F695" s="18" t="s">
        <v>1391</v>
      </c>
      <c r="G695" s="18" t="s">
        <v>74</v>
      </c>
      <c r="H695" s="18" t="n">
        <v>488</v>
      </c>
      <c r="I695" s="19" t="n">
        <v>0</v>
      </c>
      <c r="J695" s="19" t="n">
        <v>280</v>
      </c>
      <c r="K695" s="19" t="n">
        <v>280</v>
      </c>
      <c r="L695" s="19" t="n">
        <v>0</v>
      </c>
      <c r="M695" s="19" t="n">
        <f aca="false">ABS(L695)</f>
        <v>0</v>
      </c>
      <c r="N695" s="18" t="str">
        <f aca="false">IF(L695=0,"Nil balance",IF(G695="AR file",IF(L695&gt;0,"Accounts Receivable","Customer Advances"),IF(L695&lt;0,"Accounts Payable","Supplier Advances")))</f>
        <v>Nil balance</v>
      </c>
      <c r="O695" s="18" t="str">
        <f aca="false">IF(L695=0,"Excluded",IF(Summary!$C$4="By ledger",IF(G695="AR file","Population 1","Population 2"),IF(L695&gt;0,"Population 1","Population 2")))</f>
        <v>Excluded</v>
      </c>
      <c r="P695" s="18" t="str">
        <f aca="false">IF(O695="Excluded","Excluded – nil closing balance",IF(M695&gt;Summary!$C$5,"Above Materiality","Below Materiality"))</f>
        <v>Excluded – nil closing balance</v>
      </c>
      <c r="Q695" s="20" t="str">
        <f aca="false">IF(P695="Below Materiality",T695,"")</f>
        <v/>
      </c>
      <c r="R695" s="21" t="str">
        <f aca="false">IF(P695="Above Materiality",COUNTIFS($O$2:$O$1092,O695,$P$2:$P$1092,"Above Materiality",$M$2:$M$1092,"&gt;"&amp;M695)+COUNTIFS($O$2:$O$1092,O695,$P$2:$P$1092,"Above Materiality",$M$2:$M$1092,M695,$A$2:$A$1092,"&lt;"&amp;A695)+1,"")</f>
        <v/>
      </c>
      <c r="S695" s="21" t="str">
        <f aca="false">IF(P695&lt;&gt;"Below Materiality","",IF(Summary!$C$9="Random",COUNTIFS($O$2:$O$1092,O695,$Q$2:$Q$1092,"&gt;"&amp;Q695)+1,COUNTIFS($O$2:$O$1092,O695,$P$2:$P$1092,"Below Materiality",$M$2:$M$1092,"&gt;"&amp;M695)+COUNTIFS($O$2:$O$1092,O695,$P$2:$P$1092,"Below Materiality",$M$2:$M$1092,M695,$A$2:$A$1092,"&lt;"&amp;A695)+1))</f>
        <v/>
      </c>
      <c r="T695" s="22"/>
      <c r="U695" s="21" t="str">
        <f aca="false">IF(R695="","",O695&amp;"|A|"&amp;R695)</f>
        <v/>
      </c>
      <c r="V695" s="21" t="str">
        <f aca="false">IF(S695="","",O695&amp;"|R|"&amp;S695)</f>
        <v/>
      </c>
    </row>
    <row r="696" customFormat="false" ht="15" hidden="false" customHeight="false" outlineLevel="0" collapsed="false">
      <c r="A696" s="18" t="n">
        <v>695</v>
      </c>
      <c r="B696" s="18"/>
      <c r="C696" s="18"/>
      <c r="D696" s="18"/>
      <c r="E696" s="18" t="s">
        <v>1392</v>
      </c>
      <c r="F696" s="18" t="s">
        <v>908</v>
      </c>
      <c r="G696" s="18" t="s">
        <v>74</v>
      </c>
      <c r="H696" s="18" t="n">
        <v>489</v>
      </c>
      <c r="I696" s="19" t="n">
        <v>0</v>
      </c>
      <c r="J696" s="19" t="n">
        <v>50</v>
      </c>
      <c r="K696" s="19" t="n">
        <v>50</v>
      </c>
      <c r="L696" s="19" t="n">
        <v>0</v>
      </c>
      <c r="M696" s="19" t="n">
        <f aca="false">ABS(L696)</f>
        <v>0</v>
      </c>
      <c r="N696" s="18" t="str">
        <f aca="false">IF(L696=0,"Nil balance",IF(G696="AR file",IF(L696&gt;0,"Accounts Receivable","Customer Advances"),IF(L696&lt;0,"Accounts Payable","Supplier Advances")))</f>
        <v>Nil balance</v>
      </c>
      <c r="O696" s="18" t="str">
        <f aca="false">IF(L696=0,"Excluded",IF(Summary!$C$4="By ledger",IF(G696="AR file","Population 1","Population 2"),IF(L696&gt;0,"Population 1","Population 2")))</f>
        <v>Excluded</v>
      </c>
      <c r="P696" s="18" t="str">
        <f aca="false">IF(O696="Excluded","Excluded – nil closing balance",IF(M696&gt;Summary!$C$5,"Above Materiality","Below Materiality"))</f>
        <v>Excluded – nil closing balance</v>
      </c>
      <c r="Q696" s="20" t="str">
        <f aca="false">IF(P696="Below Materiality",T696,"")</f>
        <v/>
      </c>
      <c r="R696" s="21" t="str">
        <f aca="false">IF(P696="Above Materiality",COUNTIFS($O$2:$O$1092,O696,$P$2:$P$1092,"Above Materiality",$M$2:$M$1092,"&gt;"&amp;M696)+COUNTIFS($O$2:$O$1092,O696,$P$2:$P$1092,"Above Materiality",$M$2:$M$1092,M696,$A$2:$A$1092,"&lt;"&amp;A696)+1,"")</f>
        <v/>
      </c>
      <c r="S696" s="21" t="str">
        <f aca="false">IF(P696&lt;&gt;"Below Materiality","",IF(Summary!$C$9="Random",COUNTIFS($O$2:$O$1092,O696,$Q$2:$Q$1092,"&gt;"&amp;Q696)+1,COUNTIFS($O$2:$O$1092,O696,$P$2:$P$1092,"Below Materiality",$M$2:$M$1092,"&gt;"&amp;M696)+COUNTIFS($O$2:$O$1092,O696,$P$2:$P$1092,"Below Materiality",$M$2:$M$1092,M696,$A$2:$A$1092,"&lt;"&amp;A696)+1))</f>
        <v/>
      </c>
      <c r="T696" s="22"/>
      <c r="U696" s="21" t="str">
        <f aca="false">IF(R696="","",O696&amp;"|A|"&amp;R696)</f>
        <v/>
      </c>
      <c r="V696" s="21" t="str">
        <f aca="false">IF(S696="","",O696&amp;"|R|"&amp;S696)</f>
        <v/>
      </c>
    </row>
    <row r="697" customFormat="false" ht="15" hidden="false" customHeight="false" outlineLevel="0" collapsed="false">
      <c r="A697" s="18" t="n">
        <v>696</v>
      </c>
      <c r="B697" s="18"/>
      <c r="C697" s="18"/>
      <c r="D697" s="18"/>
      <c r="E697" s="18" t="s">
        <v>1393</v>
      </c>
      <c r="F697" s="18" t="s">
        <v>1394</v>
      </c>
      <c r="G697" s="18" t="s">
        <v>74</v>
      </c>
      <c r="H697" s="18" t="n">
        <v>490</v>
      </c>
      <c r="I697" s="19" t="n">
        <v>0</v>
      </c>
      <c r="J697" s="19" t="n">
        <v>805</v>
      </c>
      <c r="K697" s="19" t="n">
        <v>805</v>
      </c>
      <c r="L697" s="19" t="n">
        <v>0</v>
      </c>
      <c r="M697" s="19" t="n">
        <f aca="false">ABS(L697)</f>
        <v>0</v>
      </c>
      <c r="N697" s="18" t="str">
        <f aca="false">IF(L697=0,"Nil balance",IF(G697="AR file",IF(L697&gt;0,"Accounts Receivable","Customer Advances"),IF(L697&lt;0,"Accounts Payable","Supplier Advances")))</f>
        <v>Nil balance</v>
      </c>
      <c r="O697" s="18" t="str">
        <f aca="false">IF(L697=0,"Excluded",IF(Summary!$C$4="By ledger",IF(G697="AR file","Population 1","Population 2"),IF(L697&gt;0,"Population 1","Population 2")))</f>
        <v>Excluded</v>
      </c>
      <c r="P697" s="18" t="str">
        <f aca="false">IF(O697="Excluded","Excluded – nil closing balance",IF(M697&gt;Summary!$C$5,"Above Materiality","Below Materiality"))</f>
        <v>Excluded – nil closing balance</v>
      </c>
      <c r="Q697" s="20" t="str">
        <f aca="false">IF(P697="Below Materiality",T697,"")</f>
        <v/>
      </c>
      <c r="R697" s="21" t="str">
        <f aca="false">IF(P697="Above Materiality",COUNTIFS($O$2:$O$1092,O697,$P$2:$P$1092,"Above Materiality",$M$2:$M$1092,"&gt;"&amp;M697)+COUNTIFS($O$2:$O$1092,O697,$P$2:$P$1092,"Above Materiality",$M$2:$M$1092,M697,$A$2:$A$1092,"&lt;"&amp;A697)+1,"")</f>
        <v/>
      </c>
      <c r="S697" s="21" t="str">
        <f aca="false">IF(P697&lt;&gt;"Below Materiality","",IF(Summary!$C$9="Random",COUNTIFS($O$2:$O$1092,O697,$Q$2:$Q$1092,"&gt;"&amp;Q697)+1,COUNTIFS($O$2:$O$1092,O697,$P$2:$P$1092,"Below Materiality",$M$2:$M$1092,"&gt;"&amp;M697)+COUNTIFS($O$2:$O$1092,O697,$P$2:$P$1092,"Below Materiality",$M$2:$M$1092,M697,$A$2:$A$1092,"&lt;"&amp;A697)+1))</f>
        <v/>
      </c>
      <c r="T697" s="22"/>
      <c r="U697" s="21" t="str">
        <f aca="false">IF(R697="","",O697&amp;"|A|"&amp;R697)</f>
        <v/>
      </c>
      <c r="V697" s="21" t="str">
        <f aca="false">IF(S697="","",O697&amp;"|R|"&amp;S697)</f>
        <v/>
      </c>
    </row>
    <row r="698" customFormat="false" ht="15" hidden="false" customHeight="false" outlineLevel="0" collapsed="false">
      <c r="A698" s="18" t="n">
        <v>697</v>
      </c>
      <c r="B698" s="18"/>
      <c r="C698" s="18"/>
      <c r="D698" s="18"/>
      <c r="E698" s="18" t="s">
        <v>1395</v>
      </c>
      <c r="F698" s="18" t="s">
        <v>412</v>
      </c>
      <c r="G698" s="18" t="s">
        <v>74</v>
      </c>
      <c r="H698" s="18" t="n">
        <v>491</v>
      </c>
      <c r="I698" s="19" t="n">
        <v>0</v>
      </c>
      <c r="J698" s="19" t="n">
        <v>2530</v>
      </c>
      <c r="K698" s="19" t="n">
        <v>2530</v>
      </c>
      <c r="L698" s="19" t="n">
        <v>0</v>
      </c>
      <c r="M698" s="19" t="n">
        <f aca="false">ABS(L698)</f>
        <v>0</v>
      </c>
      <c r="N698" s="18" t="str">
        <f aca="false">IF(L698=0,"Nil balance",IF(G698="AR file",IF(L698&gt;0,"Accounts Receivable","Customer Advances"),IF(L698&lt;0,"Accounts Payable","Supplier Advances")))</f>
        <v>Nil balance</v>
      </c>
      <c r="O698" s="18" t="str">
        <f aca="false">IF(L698=0,"Excluded",IF(Summary!$C$4="By ledger",IF(G698="AR file","Population 1","Population 2"),IF(L698&gt;0,"Population 1","Population 2")))</f>
        <v>Excluded</v>
      </c>
      <c r="P698" s="18" t="str">
        <f aca="false">IF(O698="Excluded","Excluded – nil closing balance",IF(M698&gt;Summary!$C$5,"Above Materiality","Below Materiality"))</f>
        <v>Excluded – nil closing balance</v>
      </c>
      <c r="Q698" s="20" t="str">
        <f aca="false">IF(P698="Below Materiality",T698,"")</f>
        <v/>
      </c>
      <c r="R698" s="21" t="str">
        <f aca="false">IF(P698="Above Materiality",COUNTIFS($O$2:$O$1092,O698,$P$2:$P$1092,"Above Materiality",$M$2:$M$1092,"&gt;"&amp;M698)+COUNTIFS($O$2:$O$1092,O698,$P$2:$P$1092,"Above Materiality",$M$2:$M$1092,M698,$A$2:$A$1092,"&lt;"&amp;A698)+1,"")</f>
        <v/>
      </c>
      <c r="S698" s="21" t="str">
        <f aca="false">IF(P698&lt;&gt;"Below Materiality","",IF(Summary!$C$9="Random",COUNTIFS($O$2:$O$1092,O698,$Q$2:$Q$1092,"&gt;"&amp;Q698)+1,COUNTIFS($O$2:$O$1092,O698,$P$2:$P$1092,"Below Materiality",$M$2:$M$1092,"&gt;"&amp;M698)+COUNTIFS($O$2:$O$1092,O698,$P$2:$P$1092,"Below Materiality",$M$2:$M$1092,M698,$A$2:$A$1092,"&lt;"&amp;A698)+1))</f>
        <v/>
      </c>
      <c r="T698" s="22"/>
      <c r="U698" s="21" t="str">
        <f aca="false">IF(R698="","",O698&amp;"|A|"&amp;R698)</f>
        <v/>
      </c>
      <c r="V698" s="21" t="str">
        <f aca="false">IF(S698="","",O698&amp;"|R|"&amp;S698)</f>
        <v/>
      </c>
    </row>
    <row r="699" customFormat="false" ht="15" hidden="false" customHeight="false" outlineLevel="0" collapsed="false">
      <c r="A699" s="18" t="n">
        <v>698</v>
      </c>
      <c r="B699" s="18"/>
      <c r="C699" s="18"/>
      <c r="D699" s="18"/>
      <c r="E699" s="18" t="s">
        <v>1396</v>
      </c>
      <c r="F699" s="18" t="s">
        <v>1397</v>
      </c>
      <c r="G699" s="18" t="s">
        <v>74</v>
      </c>
      <c r="H699" s="18" t="n">
        <v>492</v>
      </c>
      <c r="I699" s="19" t="n">
        <v>0</v>
      </c>
      <c r="J699" s="19" t="n">
        <v>235</v>
      </c>
      <c r="K699" s="19" t="n">
        <v>235</v>
      </c>
      <c r="L699" s="19" t="n">
        <v>0</v>
      </c>
      <c r="M699" s="19" t="n">
        <f aca="false">ABS(L699)</f>
        <v>0</v>
      </c>
      <c r="N699" s="18" t="str">
        <f aca="false">IF(L699=0,"Nil balance",IF(G699="AR file",IF(L699&gt;0,"Accounts Receivable","Customer Advances"),IF(L699&lt;0,"Accounts Payable","Supplier Advances")))</f>
        <v>Nil balance</v>
      </c>
      <c r="O699" s="18" t="str">
        <f aca="false">IF(L699=0,"Excluded",IF(Summary!$C$4="By ledger",IF(G699="AR file","Population 1","Population 2"),IF(L699&gt;0,"Population 1","Population 2")))</f>
        <v>Excluded</v>
      </c>
      <c r="P699" s="18" t="str">
        <f aca="false">IF(O699="Excluded","Excluded – nil closing balance",IF(M699&gt;Summary!$C$5,"Above Materiality","Below Materiality"))</f>
        <v>Excluded – nil closing balance</v>
      </c>
      <c r="Q699" s="20" t="str">
        <f aca="false">IF(P699="Below Materiality",T699,"")</f>
        <v/>
      </c>
      <c r="R699" s="21" t="str">
        <f aca="false">IF(P699="Above Materiality",COUNTIFS($O$2:$O$1092,O699,$P$2:$P$1092,"Above Materiality",$M$2:$M$1092,"&gt;"&amp;M699)+COUNTIFS($O$2:$O$1092,O699,$P$2:$P$1092,"Above Materiality",$M$2:$M$1092,M699,$A$2:$A$1092,"&lt;"&amp;A699)+1,"")</f>
        <v/>
      </c>
      <c r="S699" s="21" t="str">
        <f aca="false">IF(P699&lt;&gt;"Below Materiality","",IF(Summary!$C$9="Random",COUNTIFS($O$2:$O$1092,O699,$Q$2:$Q$1092,"&gt;"&amp;Q699)+1,COUNTIFS($O$2:$O$1092,O699,$P$2:$P$1092,"Below Materiality",$M$2:$M$1092,"&gt;"&amp;M699)+COUNTIFS($O$2:$O$1092,O699,$P$2:$P$1092,"Below Materiality",$M$2:$M$1092,M699,$A$2:$A$1092,"&lt;"&amp;A699)+1))</f>
        <v/>
      </c>
      <c r="T699" s="22"/>
      <c r="U699" s="21" t="str">
        <f aca="false">IF(R699="","",O699&amp;"|A|"&amp;R699)</f>
        <v/>
      </c>
      <c r="V699" s="21" t="str">
        <f aca="false">IF(S699="","",O699&amp;"|R|"&amp;S699)</f>
        <v/>
      </c>
    </row>
    <row r="700" customFormat="false" ht="15" hidden="false" customHeight="false" outlineLevel="0" collapsed="false">
      <c r="A700" s="18" t="n">
        <v>699</v>
      </c>
      <c r="B700" s="18"/>
      <c r="C700" s="18"/>
      <c r="D700" s="18"/>
      <c r="E700" s="18" t="s">
        <v>1398</v>
      </c>
      <c r="F700" s="18" t="s">
        <v>1399</v>
      </c>
      <c r="G700" s="18" t="s">
        <v>74</v>
      </c>
      <c r="H700" s="18" t="n">
        <v>493</v>
      </c>
      <c r="I700" s="19" t="n">
        <v>0</v>
      </c>
      <c r="J700" s="19" t="n">
        <v>148.93</v>
      </c>
      <c r="K700" s="19" t="n">
        <v>148.93</v>
      </c>
      <c r="L700" s="19" t="n">
        <v>0</v>
      </c>
      <c r="M700" s="19" t="n">
        <f aca="false">ABS(L700)</f>
        <v>0</v>
      </c>
      <c r="N700" s="18" t="str">
        <f aca="false">IF(L700=0,"Nil balance",IF(G700="AR file",IF(L700&gt;0,"Accounts Receivable","Customer Advances"),IF(L700&lt;0,"Accounts Payable","Supplier Advances")))</f>
        <v>Nil balance</v>
      </c>
      <c r="O700" s="18" t="str">
        <f aca="false">IF(L700=0,"Excluded",IF(Summary!$C$4="By ledger",IF(G700="AR file","Population 1","Population 2"),IF(L700&gt;0,"Population 1","Population 2")))</f>
        <v>Excluded</v>
      </c>
      <c r="P700" s="18" t="str">
        <f aca="false">IF(O700="Excluded","Excluded – nil closing balance",IF(M700&gt;Summary!$C$5,"Above Materiality","Below Materiality"))</f>
        <v>Excluded – nil closing balance</v>
      </c>
      <c r="Q700" s="20" t="str">
        <f aca="false">IF(P700="Below Materiality",T700,"")</f>
        <v/>
      </c>
      <c r="R700" s="21" t="str">
        <f aca="false">IF(P700="Above Materiality",COUNTIFS($O$2:$O$1092,O700,$P$2:$P$1092,"Above Materiality",$M$2:$M$1092,"&gt;"&amp;M700)+COUNTIFS($O$2:$O$1092,O700,$P$2:$P$1092,"Above Materiality",$M$2:$M$1092,M700,$A$2:$A$1092,"&lt;"&amp;A700)+1,"")</f>
        <v/>
      </c>
      <c r="S700" s="21" t="str">
        <f aca="false">IF(P700&lt;&gt;"Below Materiality","",IF(Summary!$C$9="Random",COUNTIFS($O$2:$O$1092,O700,$Q$2:$Q$1092,"&gt;"&amp;Q700)+1,COUNTIFS($O$2:$O$1092,O700,$P$2:$P$1092,"Below Materiality",$M$2:$M$1092,"&gt;"&amp;M700)+COUNTIFS($O$2:$O$1092,O700,$P$2:$P$1092,"Below Materiality",$M$2:$M$1092,M700,$A$2:$A$1092,"&lt;"&amp;A700)+1))</f>
        <v/>
      </c>
      <c r="T700" s="22"/>
      <c r="U700" s="21" t="str">
        <f aca="false">IF(R700="","",O700&amp;"|A|"&amp;R700)</f>
        <v/>
      </c>
      <c r="V700" s="21" t="str">
        <f aca="false">IF(S700="","",O700&amp;"|R|"&amp;S700)</f>
        <v/>
      </c>
    </row>
    <row r="701" customFormat="false" ht="15" hidden="false" customHeight="false" outlineLevel="0" collapsed="false">
      <c r="A701" s="18" t="n">
        <v>700</v>
      </c>
      <c r="B701" s="18"/>
      <c r="C701" s="18"/>
      <c r="D701" s="18"/>
      <c r="E701" s="18" t="s">
        <v>1400</v>
      </c>
      <c r="F701" s="18" t="s">
        <v>1401</v>
      </c>
      <c r="G701" s="18" t="s">
        <v>74</v>
      </c>
      <c r="H701" s="18" t="n">
        <v>494</v>
      </c>
      <c r="I701" s="19" t="n">
        <v>0</v>
      </c>
      <c r="J701" s="19" t="n">
        <v>1322.5</v>
      </c>
      <c r="K701" s="19" t="n">
        <v>1322.5</v>
      </c>
      <c r="L701" s="19" t="n">
        <v>0</v>
      </c>
      <c r="M701" s="19" t="n">
        <f aca="false">ABS(L701)</f>
        <v>0</v>
      </c>
      <c r="N701" s="18" t="str">
        <f aca="false">IF(L701=0,"Nil balance",IF(G701="AR file",IF(L701&gt;0,"Accounts Receivable","Customer Advances"),IF(L701&lt;0,"Accounts Payable","Supplier Advances")))</f>
        <v>Nil balance</v>
      </c>
      <c r="O701" s="18" t="str">
        <f aca="false">IF(L701=0,"Excluded",IF(Summary!$C$4="By ledger",IF(G701="AR file","Population 1","Population 2"),IF(L701&gt;0,"Population 1","Population 2")))</f>
        <v>Excluded</v>
      </c>
      <c r="P701" s="18" t="str">
        <f aca="false">IF(O701="Excluded","Excluded – nil closing balance",IF(M701&gt;Summary!$C$5,"Above Materiality","Below Materiality"))</f>
        <v>Excluded – nil closing balance</v>
      </c>
      <c r="Q701" s="20" t="str">
        <f aca="false">IF(P701="Below Materiality",T701,"")</f>
        <v/>
      </c>
      <c r="R701" s="21" t="str">
        <f aca="false">IF(P701="Above Materiality",COUNTIFS($O$2:$O$1092,O701,$P$2:$P$1092,"Above Materiality",$M$2:$M$1092,"&gt;"&amp;M701)+COUNTIFS($O$2:$O$1092,O701,$P$2:$P$1092,"Above Materiality",$M$2:$M$1092,M701,$A$2:$A$1092,"&lt;"&amp;A701)+1,"")</f>
        <v/>
      </c>
      <c r="S701" s="21" t="str">
        <f aca="false">IF(P701&lt;&gt;"Below Materiality","",IF(Summary!$C$9="Random",COUNTIFS($O$2:$O$1092,O701,$Q$2:$Q$1092,"&gt;"&amp;Q701)+1,COUNTIFS($O$2:$O$1092,O701,$P$2:$P$1092,"Below Materiality",$M$2:$M$1092,"&gt;"&amp;M701)+COUNTIFS($O$2:$O$1092,O701,$P$2:$P$1092,"Below Materiality",$M$2:$M$1092,M701,$A$2:$A$1092,"&lt;"&amp;A701)+1))</f>
        <v/>
      </c>
      <c r="T701" s="22"/>
      <c r="U701" s="21" t="str">
        <f aca="false">IF(R701="","",O701&amp;"|A|"&amp;R701)</f>
        <v/>
      </c>
      <c r="V701" s="21" t="str">
        <f aca="false">IF(S701="","",O701&amp;"|R|"&amp;S701)</f>
        <v/>
      </c>
    </row>
    <row r="702" customFormat="false" ht="15" hidden="false" customHeight="false" outlineLevel="0" collapsed="false">
      <c r="A702" s="18" t="n">
        <v>701</v>
      </c>
      <c r="B702" s="18"/>
      <c r="C702" s="18"/>
      <c r="D702" s="18"/>
      <c r="E702" s="18" t="s">
        <v>1402</v>
      </c>
      <c r="F702" s="18" t="s">
        <v>1403</v>
      </c>
      <c r="G702" s="18" t="s">
        <v>74</v>
      </c>
      <c r="H702" s="18" t="n">
        <v>495</v>
      </c>
      <c r="I702" s="19" t="n">
        <v>0</v>
      </c>
      <c r="J702" s="19" t="n">
        <v>1316</v>
      </c>
      <c r="K702" s="19" t="n">
        <v>1316</v>
      </c>
      <c r="L702" s="19" t="n">
        <v>0</v>
      </c>
      <c r="M702" s="19" t="n">
        <f aca="false">ABS(L702)</f>
        <v>0</v>
      </c>
      <c r="N702" s="18" t="str">
        <f aca="false">IF(L702=0,"Nil balance",IF(G702="AR file",IF(L702&gt;0,"Accounts Receivable","Customer Advances"),IF(L702&lt;0,"Accounts Payable","Supplier Advances")))</f>
        <v>Nil balance</v>
      </c>
      <c r="O702" s="18" t="str">
        <f aca="false">IF(L702=0,"Excluded",IF(Summary!$C$4="By ledger",IF(G702="AR file","Population 1","Population 2"),IF(L702&gt;0,"Population 1","Population 2")))</f>
        <v>Excluded</v>
      </c>
      <c r="P702" s="18" t="str">
        <f aca="false">IF(O702="Excluded","Excluded – nil closing balance",IF(M702&gt;Summary!$C$5,"Above Materiality","Below Materiality"))</f>
        <v>Excluded – nil closing balance</v>
      </c>
      <c r="Q702" s="20" t="str">
        <f aca="false">IF(P702="Below Materiality",T702,"")</f>
        <v/>
      </c>
      <c r="R702" s="21" t="str">
        <f aca="false">IF(P702="Above Materiality",COUNTIFS($O$2:$O$1092,O702,$P$2:$P$1092,"Above Materiality",$M$2:$M$1092,"&gt;"&amp;M702)+COUNTIFS($O$2:$O$1092,O702,$P$2:$P$1092,"Above Materiality",$M$2:$M$1092,M702,$A$2:$A$1092,"&lt;"&amp;A702)+1,"")</f>
        <v/>
      </c>
      <c r="S702" s="21" t="str">
        <f aca="false">IF(P702&lt;&gt;"Below Materiality","",IF(Summary!$C$9="Random",COUNTIFS($O$2:$O$1092,O702,$Q$2:$Q$1092,"&gt;"&amp;Q702)+1,COUNTIFS($O$2:$O$1092,O702,$P$2:$P$1092,"Below Materiality",$M$2:$M$1092,"&gt;"&amp;M702)+COUNTIFS($O$2:$O$1092,O702,$P$2:$P$1092,"Below Materiality",$M$2:$M$1092,M702,$A$2:$A$1092,"&lt;"&amp;A702)+1))</f>
        <v/>
      </c>
      <c r="T702" s="22"/>
      <c r="U702" s="21" t="str">
        <f aca="false">IF(R702="","",O702&amp;"|A|"&amp;R702)</f>
        <v/>
      </c>
      <c r="V702" s="21" t="str">
        <f aca="false">IF(S702="","",O702&amp;"|R|"&amp;S702)</f>
        <v/>
      </c>
    </row>
    <row r="703" customFormat="false" ht="15" hidden="false" customHeight="false" outlineLevel="0" collapsed="false">
      <c r="A703" s="18" t="n">
        <v>702</v>
      </c>
      <c r="B703" s="18"/>
      <c r="C703" s="18"/>
      <c r="D703" s="18"/>
      <c r="E703" s="18" t="s">
        <v>1404</v>
      </c>
      <c r="F703" s="18" t="s">
        <v>908</v>
      </c>
      <c r="G703" s="18" t="s">
        <v>74</v>
      </c>
      <c r="H703" s="18" t="n">
        <v>496</v>
      </c>
      <c r="I703" s="19" t="n">
        <v>0</v>
      </c>
      <c r="J703" s="19" t="n">
        <v>50</v>
      </c>
      <c r="K703" s="19" t="n">
        <v>50</v>
      </c>
      <c r="L703" s="19" t="n">
        <v>0</v>
      </c>
      <c r="M703" s="19" t="n">
        <f aca="false">ABS(L703)</f>
        <v>0</v>
      </c>
      <c r="N703" s="18" t="str">
        <f aca="false">IF(L703=0,"Nil balance",IF(G703="AR file",IF(L703&gt;0,"Accounts Receivable","Customer Advances"),IF(L703&lt;0,"Accounts Payable","Supplier Advances")))</f>
        <v>Nil balance</v>
      </c>
      <c r="O703" s="18" t="str">
        <f aca="false">IF(L703=0,"Excluded",IF(Summary!$C$4="By ledger",IF(G703="AR file","Population 1","Population 2"),IF(L703&gt;0,"Population 1","Population 2")))</f>
        <v>Excluded</v>
      </c>
      <c r="P703" s="18" t="str">
        <f aca="false">IF(O703="Excluded","Excluded – nil closing balance",IF(M703&gt;Summary!$C$5,"Above Materiality","Below Materiality"))</f>
        <v>Excluded – nil closing balance</v>
      </c>
      <c r="Q703" s="20" t="str">
        <f aca="false">IF(P703="Below Materiality",T703,"")</f>
        <v/>
      </c>
      <c r="R703" s="21" t="str">
        <f aca="false">IF(P703="Above Materiality",COUNTIFS($O$2:$O$1092,O703,$P$2:$P$1092,"Above Materiality",$M$2:$M$1092,"&gt;"&amp;M703)+COUNTIFS($O$2:$O$1092,O703,$P$2:$P$1092,"Above Materiality",$M$2:$M$1092,M703,$A$2:$A$1092,"&lt;"&amp;A703)+1,"")</f>
        <v/>
      </c>
      <c r="S703" s="21" t="str">
        <f aca="false">IF(P703&lt;&gt;"Below Materiality","",IF(Summary!$C$9="Random",COUNTIFS($O$2:$O$1092,O703,$Q$2:$Q$1092,"&gt;"&amp;Q703)+1,COUNTIFS($O$2:$O$1092,O703,$P$2:$P$1092,"Below Materiality",$M$2:$M$1092,"&gt;"&amp;M703)+COUNTIFS($O$2:$O$1092,O703,$P$2:$P$1092,"Below Materiality",$M$2:$M$1092,M703,$A$2:$A$1092,"&lt;"&amp;A703)+1))</f>
        <v/>
      </c>
      <c r="T703" s="22"/>
      <c r="U703" s="21" t="str">
        <f aca="false">IF(R703="","",O703&amp;"|A|"&amp;R703)</f>
        <v/>
      </c>
      <c r="V703" s="21" t="str">
        <f aca="false">IF(S703="","",O703&amp;"|R|"&amp;S703)</f>
        <v/>
      </c>
    </row>
    <row r="704" customFormat="false" ht="15" hidden="false" customHeight="false" outlineLevel="0" collapsed="false">
      <c r="A704" s="18" t="n">
        <v>703</v>
      </c>
      <c r="B704" s="18"/>
      <c r="C704" s="18"/>
      <c r="D704" s="18"/>
      <c r="E704" s="18" t="s">
        <v>1405</v>
      </c>
      <c r="F704" s="18" t="s">
        <v>474</v>
      </c>
      <c r="G704" s="18" t="s">
        <v>74</v>
      </c>
      <c r="H704" s="18" t="n">
        <v>497</v>
      </c>
      <c r="I704" s="19" t="n">
        <v>0</v>
      </c>
      <c r="J704" s="19" t="n">
        <v>115</v>
      </c>
      <c r="K704" s="19" t="n">
        <v>115</v>
      </c>
      <c r="L704" s="19" t="n">
        <v>0</v>
      </c>
      <c r="M704" s="19" t="n">
        <f aca="false">ABS(L704)</f>
        <v>0</v>
      </c>
      <c r="N704" s="18" t="str">
        <f aca="false">IF(L704=0,"Nil balance",IF(G704="AR file",IF(L704&gt;0,"Accounts Receivable","Customer Advances"),IF(L704&lt;0,"Accounts Payable","Supplier Advances")))</f>
        <v>Nil balance</v>
      </c>
      <c r="O704" s="18" t="str">
        <f aca="false">IF(L704=0,"Excluded",IF(Summary!$C$4="By ledger",IF(G704="AR file","Population 1","Population 2"),IF(L704&gt;0,"Population 1","Population 2")))</f>
        <v>Excluded</v>
      </c>
      <c r="P704" s="18" t="str">
        <f aca="false">IF(O704="Excluded","Excluded – nil closing balance",IF(M704&gt;Summary!$C$5,"Above Materiality","Below Materiality"))</f>
        <v>Excluded – nil closing balance</v>
      </c>
      <c r="Q704" s="20" t="str">
        <f aca="false">IF(P704="Below Materiality",T704,"")</f>
        <v/>
      </c>
      <c r="R704" s="21" t="str">
        <f aca="false">IF(P704="Above Materiality",COUNTIFS($O$2:$O$1092,O704,$P$2:$P$1092,"Above Materiality",$M$2:$M$1092,"&gt;"&amp;M704)+COUNTIFS($O$2:$O$1092,O704,$P$2:$P$1092,"Above Materiality",$M$2:$M$1092,M704,$A$2:$A$1092,"&lt;"&amp;A704)+1,"")</f>
        <v/>
      </c>
      <c r="S704" s="21" t="str">
        <f aca="false">IF(P704&lt;&gt;"Below Materiality","",IF(Summary!$C$9="Random",COUNTIFS($O$2:$O$1092,O704,$Q$2:$Q$1092,"&gt;"&amp;Q704)+1,COUNTIFS($O$2:$O$1092,O704,$P$2:$P$1092,"Below Materiality",$M$2:$M$1092,"&gt;"&amp;M704)+COUNTIFS($O$2:$O$1092,O704,$P$2:$P$1092,"Below Materiality",$M$2:$M$1092,M704,$A$2:$A$1092,"&lt;"&amp;A704)+1))</f>
        <v/>
      </c>
      <c r="T704" s="22"/>
      <c r="U704" s="21" t="str">
        <f aca="false">IF(R704="","",O704&amp;"|A|"&amp;R704)</f>
        <v/>
      </c>
      <c r="V704" s="21" t="str">
        <f aca="false">IF(S704="","",O704&amp;"|R|"&amp;S704)</f>
        <v/>
      </c>
    </row>
    <row r="705" customFormat="false" ht="15" hidden="false" customHeight="false" outlineLevel="0" collapsed="false">
      <c r="A705" s="18" t="n">
        <v>704</v>
      </c>
      <c r="B705" s="18"/>
      <c r="C705" s="18"/>
      <c r="D705" s="18"/>
      <c r="E705" s="18" t="s">
        <v>1406</v>
      </c>
      <c r="F705" s="18" t="s">
        <v>1407</v>
      </c>
      <c r="G705" s="18" t="s">
        <v>74</v>
      </c>
      <c r="H705" s="18" t="n">
        <v>498</v>
      </c>
      <c r="I705" s="19" t="n">
        <v>0</v>
      </c>
      <c r="J705" s="19" t="n">
        <v>603.75</v>
      </c>
      <c r="K705" s="19" t="n">
        <v>603.75</v>
      </c>
      <c r="L705" s="19" t="n">
        <v>0</v>
      </c>
      <c r="M705" s="19" t="n">
        <f aca="false">ABS(L705)</f>
        <v>0</v>
      </c>
      <c r="N705" s="18" t="str">
        <f aca="false">IF(L705=0,"Nil balance",IF(G705="AR file",IF(L705&gt;0,"Accounts Receivable","Customer Advances"),IF(L705&lt;0,"Accounts Payable","Supplier Advances")))</f>
        <v>Nil balance</v>
      </c>
      <c r="O705" s="18" t="str">
        <f aca="false">IF(L705=0,"Excluded",IF(Summary!$C$4="By ledger",IF(G705="AR file","Population 1","Population 2"),IF(L705&gt;0,"Population 1","Population 2")))</f>
        <v>Excluded</v>
      </c>
      <c r="P705" s="18" t="str">
        <f aca="false">IF(O705="Excluded","Excluded – nil closing balance",IF(M705&gt;Summary!$C$5,"Above Materiality","Below Materiality"))</f>
        <v>Excluded – nil closing balance</v>
      </c>
      <c r="Q705" s="20" t="str">
        <f aca="false">IF(P705="Below Materiality",T705,"")</f>
        <v/>
      </c>
      <c r="R705" s="21" t="str">
        <f aca="false">IF(P705="Above Materiality",COUNTIFS($O$2:$O$1092,O705,$P$2:$P$1092,"Above Materiality",$M$2:$M$1092,"&gt;"&amp;M705)+COUNTIFS($O$2:$O$1092,O705,$P$2:$P$1092,"Above Materiality",$M$2:$M$1092,M705,$A$2:$A$1092,"&lt;"&amp;A705)+1,"")</f>
        <v/>
      </c>
      <c r="S705" s="21" t="str">
        <f aca="false">IF(P705&lt;&gt;"Below Materiality","",IF(Summary!$C$9="Random",COUNTIFS($O$2:$O$1092,O705,$Q$2:$Q$1092,"&gt;"&amp;Q705)+1,COUNTIFS($O$2:$O$1092,O705,$P$2:$P$1092,"Below Materiality",$M$2:$M$1092,"&gt;"&amp;M705)+COUNTIFS($O$2:$O$1092,O705,$P$2:$P$1092,"Below Materiality",$M$2:$M$1092,M705,$A$2:$A$1092,"&lt;"&amp;A705)+1))</f>
        <v/>
      </c>
      <c r="T705" s="22"/>
      <c r="U705" s="21" t="str">
        <f aca="false">IF(R705="","",O705&amp;"|A|"&amp;R705)</f>
        <v/>
      </c>
      <c r="V705" s="21" t="str">
        <f aca="false">IF(S705="","",O705&amp;"|R|"&amp;S705)</f>
        <v/>
      </c>
    </row>
    <row r="706" customFormat="false" ht="15" hidden="false" customHeight="false" outlineLevel="0" collapsed="false">
      <c r="A706" s="18" t="n">
        <v>705</v>
      </c>
      <c r="B706" s="18"/>
      <c r="C706" s="18"/>
      <c r="D706" s="18"/>
      <c r="E706" s="18" t="s">
        <v>1408</v>
      </c>
      <c r="F706" s="18" t="s">
        <v>1409</v>
      </c>
      <c r="G706" s="18" t="s">
        <v>74</v>
      </c>
      <c r="H706" s="18" t="n">
        <v>499</v>
      </c>
      <c r="I706" s="19" t="n">
        <v>0</v>
      </c>
      <c r="J706" s="19" t="n">
        <v>24937.75</v>
      </c>
      <c r="K706" s="19" t="n">
        <v>24937.75</v>
      </c>
      <c r="L706" s="19" t="n">
        <v>0</v>
      </c>
      <c r="M706" s="19" t="n">
        <f aca="false">ABS(L706)</f>
        <v>0</v>
      </c>
      <c r="N706" s="18" t="str">
        <f aca="false">IF(L706=0,"Nil balance",IF(G706="AR file",IF(L706&gt;0,"Accounts Receivable","Customer Advances"),IF(L706&lt;0,"Accounts Payable","Supplier Advances")))</f>
        <v>Nil balance</v>
      </c>
      <c r="O706" s="18" t="str">
        <f aca="false">IF(L706=0,"Excluded",IF(Summary!$C$4="By ledger",IF(G706="AR file","Population 1","Population 2"),IF(L706&gt;0,"Population 1","Population 2")))</f>
        <v>Excluded</v>
      </c>
      <c r="P706" s="18" t="str">
        <f aca="false">IF(O706="Excluded","Excluded – nil closing balance",IF(M706&gt;Summary!$C$5,"Above Materiality","Below Materiality"))</f>
        <v>Excluded – nil closing balance</v>
      </c>
      <c r="Q706" s="20" t="str">
        <f aca="false">IF(P706="Below Materiality",T706,"")</f>
        <v/>
      </c>
      <c r="R706" s="21" t="str">
        <f aca="false">IF(P706="Above Materiality",COUNTIFS($O$2:$O$1092,O706,$P$2:$P$1092,"Above Materiality",$M$2:$M$1092,"&gt;"&amp;M706)+COUNTIFS($O$2:$O$1092,O706,$P$2:$P$1092,"Above Materiality",$M$2:$M$1092,M706,$A$2:$A$1092,"&lt;"&amp;A706)+1,"")</f>
        <v/>
      </c>
      <c r="S706" s="21" t="str">
        <f aca="false">IF(P706&lt;&gt;"Below Materiality","",IF(Summary!$C$9="Random",COUNTIFS($O$2:$O$1092,O706,$Q$2:$Q$1092,"&gt;"&amp;Q706)+1,COUNTIFS($O$2:$O$1092,O706,$P$2:$P$1092,"Below Materiality",$M$2:$M$1092,"&gt;"&amp;M706)+COUNTIFS($O$2:$O$1092,O706,$P$2:$P$1092,"Below Materiality",$M$2:$M$1092,M706,$A$2:$A$1092,"&lt;"&amp;A706)+1))</f>
        <v/>
      </c>
      <c r="T706" s="22"/>
      <c r="U706" s="21" t="str">
        <f aca="false">IF(R706="","",O706&amp;"|A|"&amp;R706)</f>
        <v/>
      </c>
      <c r="V706" s="21" t="str">
        <f aca="false">IF(S706="","",O706&amp;"|R|"&amp;S706)</f>
        <v/>
      </c>
    </row>
    <row r="707" customFormat="false" ht="15" hidden="false" customHeight="false" outlineLevel="0" collapsed="false">
      <c r="A707" s="18" t="n">
        <v>706</v>
      </c>
      <c r="B707" s="18"/>
      <c r="C707" s="18"/>
      <c r="D707" s="18"/>
      <c r="E707" s="18" t="s">
        <v>1410</v>
      </c>
      <c r="F707" s="18" t="s">
        <v>1411</v>
      </c>
      <c r="G707" s="18" t="s">
        <v>74</v>
      </c>
      <c r="H707" s="18" t="n">
        <v>500</v>
      </c>
      <c r="I707" s="19" t="n">
        <v>0</v>
      </c>
      <c r="J707" s="19" t="n">
        <v>3018</v>
      </c>
      <c r="K707" s="19" t="n">
        <v>3018</v>
      </c>
      <c r="L707" s="19" t="n">
        <v>0</v>
      </c>
      <c r="M707" s="19" t="n">
        <f aca="false">ABS(L707)</f>
        <v>0</v>
      </c>
      <c r="N707" s="18" t="str">
        <f aca="false">IF(L707=0,"Nil balance",IF(G707="AR file",IF(L707&gt;0,"Accounts Receivable","Customer Advances"),IF(L707&lt;0,"Accounts Payable","Supplier Advances")))</f>
        <v>Nil balance</v>
      </c>
      <c r="O707" s="18" t="str">
        <f aca="false">IF(L707=0,"Excluded",IF(Summary!$C$4="By ledger",IF(G707="AR file","Population 1","Population 2"),IF(L707&gt;0,"Population 1","Population 2")))</f>
        <v>Excluded</v>
      </c>
      <c r="P707" s="18" t="str">
        <f aca="false">IF(O707="Excluded","Excluded – nil closing balance",IF(M707&gt;Summary!$C$5,"Above Materiality","Below Materiality"))</f>
        <v>Excluded – nil closing balance</v>
      </c>
      <c r="Q707" s="20" t="str">
        <f aca="false">IF(P707="Below Materiality",T707,"")</f>
        <v/>
      </c>
      <c r="R707" s="21" t="str">
        <f aca="false">IF(P707="Above Materiality",COUNTIFS($O$2:$O$1092,O707,$P$2:$P$1092,"Above Materiality",$M$2:$M$1092,"&gt;"&amp;M707)+COUNTIFS($O$2:$O$1092,O707,$P$2:$P$1092,"Above Materiality",$M$2:$M$1092,M707,$A$2:$A$1092,"&lt;"&amp;A707)+1,"")</f>
        <v/>
      </c>
      <c r="S707" s="21" t="str">
        <f aca="false">IF(P707&lt;&gt;"Below Materiality","",IF(Summary!$C$9="Random",COUNTIFS($O$2:$O$1092,O707,$Q$2:$Q$1092,"&gt;"&amp;Q707)+1,COUNTIFS($O$2:$O$1092,O707,$P$2:$P$1092,"Below Materiality",$M$2:$M$1092,"&gt;"&amp;M707)+COUNTIFS($O$2:$O$1092,O707,$P$2:$P$1092,"Below Materiality",$M$2:$M$1092,M707,$A$2:$A$1092,"&lt;"&amp;A707)+1))</f>
        <v/>
      </c>
      <c r="T707" s="22"/>
      <c r="U707" s="21" t="str">
        <f aca="false">IF(R707="","",O707&amp;"|A|"&amp;R707)</f>
        <v/>
      </c>
      <c r="V707" s="21" t="str">
        <f aca="false">IF(S707="","",O707&amp;"|R|"&amp;S707)</f>
        <v/>
      </c>
    </row>
    <row r="708" customFormat="false" ht="15" hidden="false" customHeight="false" outlineLevel="0" collapsed="false">
      <c r="A708" s="18" t="n">
        <v>707</v>
      </c>
      <c r="B708" s="18"/>
      <c r="C708" s="18"/>
      <c r="D708" s="18"/>
      <c r="E708" s="18" t="s">
        <v>1412</v>
      </c>
      <c r="F708" s="18" t="s">
        <v>1413</v>
      </c>
      <c r="G708" s="18" t="s">
        <v>74</v>
      </c>
      <c r="H708" s="18" t="n">
        <v>501</v>
      </c>
      <c r="I708" s="19" t="n">
        <v>0</v>
      </c>
      <c r="J708" s="19" t="n">
        <v>130</v>
      </c>
      <c r="K708" s="19" t="n">
        <v>130</v>
      </c>
      <c r="L708" s="19" t="n">
        <v>0</v>
      </c>
      <c r="M708" s="19" t="n">
        <f aca="false">ABS(L708)</f>
        <v>0</v>
      </c>
      <c r="N708" s="18" t="str">
        <f aca="false">IF(L708=0,"Nil balance",IF(G708="AR file",IF(L708&gt;0,"Accounts Receivable","Customer Advances"),IF(L708&lt;0,"Accounts Payable","Supplier Advances")))</f>
        <v>Nil balance</v>
      </c>
      <c r="O708" s="18" t="str">
        <f aca="false">IF(L708=0,"Excluded",IF(Summary!$C$4="By ledger",IF(G708="AR file","Population 1","Population 2"),IF(L708&gt;0,"Population 1","Population 2")))</f>
        <v>Excluded</v>
      </c>
      <c r="P708" s="18" t="str">
        <f aca="false">IF(O708="Excluded","Excluded – nil closing balance",IF(M708&gt;Summary!$C$5,"Above Materiality","Below Materiality"))</f>
        <v>Excluded – nil closing balance</v>
      </c>
      <c r="Q708" s="20" t="str">
        <f aca="false">IF(P708="Below Materiality",T708,"")</f>
        <v/>
      </c>
      <c r="R708" s="21" t="str">
        <f aca="false">IF(P708="Above Materiality",COUNTIFS($O$2:$O$1092,O708,$P$2:$P$1092,"Above Materiality",$M$2:$M$1092,"&gt;"&amp;M708)+COUNTIFS($O$2:$O$1092,O708,$P$2:$P$1092,"Above Materiality",$M$2:$M$1092,M708,$A$2:$A$1092,"&lt;"&amp;A708)+1,"")</f>
        <v/>
      </c>
      <c r="S708" s="21" t="str">
        <f aca="false">IF(P708&lt;&gt;"Below Materiality","",IF(Summary!$C$9="Random",COUNTIFS($O$2:$O$1092,O708,$Q$2:$Q$1092,"&gt;"&amp;Q708)+1,COUNTIFS($O$2:$O$1092,O708,$P$2:$P$1092,"Below Materiality",$M$2:$M$1092,"&gt;"&amp;M708)+COUNTIFS($O$2:$O$1092,O708,$P$2:$P$1092,"Below Materiality",$M$2:$M$1092,M708,$A$2:$A$1092,"&lt;"&amp;A708)+1))</f>
        <v/>
      </c>
      <c r="T708" s="22"/>
      <c r="U708" s="21" t="str">
        <f aca="false">IF(R708="","",O708&amp;"|A|"&amp;R708)</f>
        <v/>
      </c>
      <c r="V708" s="21" t="str">
        <f aca="false">IF(S708="","",O708&amp;"|R|"&amp;S708)</f>
        <v/>
      </c>
    </row>
    <row r="709" customFormat="false" ht="15" hidden="false" customHeight="false" outlineLevel="0" collapsed="false">
      <c r="A709" s="18" t="n">
        <v>708</v>
      </c>
      <c r="B709" s="18"/>
      <c r="C709" s="18"/>
      <c r="D709" s="18"/>
      <c r="E709" s="18" t="s">
        <v>1414</v>
      </c>
      <c r="F709" s="18" t="s">
        <v>1415</v>
      </c>
      <c r="G709" s="18" t="s">
        <v>74</v>
      </c>
      <c r="H709" s="18" t="n">
        <v>502</v>
      </c>
      <c r="I709" s="19" t="n">
        <v>0</v>
      </c>
      <c r="J709" s="19" t="n">
        <v>9487.5</v>
      </c>
      <c r="K709" s="19" t="n">
        <v>9487.5</v>
      </c>
      <c r="L709" s="19" t="n">
        <v>0</v>
      </c>
      <c r="M709" s="19" t="n">
        <f aca="false">ABS(L709)</f>
        <v>0</v>
      </c>
      <c r="N709" s="18" t="str">
        <f aca="false">IF(L709=0,"Nil balance",IF(G709="AR file",IF(L709&gt;0,"Accounts Receivable","Customer Advances"),IF(L709&lt;0,"Accounts Payable","Supplier Advances")))</f>
        <v>Nil balance</v>
      </c>
      <c r="O709" s="18" t="str">
        <f aca="false">IF(L709=0,"Excluded",IF(Summary!$C$4="By ledger",IF(G709="AR file","Population 1","Population 2"),IF(L709&gt;0,"Population 1","Population 2")))</f>
        <v>Excluded</v>
      </c>
      <c r="P709" s="18" t="str">
        <f aca="false">IF(O709="Excluded","Excluded – nil closing balance",IF(M709&gt;Summary!$C$5,"Above Materiality","Below Materiality"))</f>
        <v>Excluded – nil closing balance</v>
      </c>
      <c r="Q709" s="20" t="str">
        <f aca="false">IF(P709="Below Materiality",T709,"")</f>
        <v/>
      </c>
      <c r="R709" s="21" t="str">
        <f aca="false">IF(P709="Above Materiality",COUNTIFS($O$2:$O$1092,O709,$P$2:$P$1092,"Above Materiality",$M$2:$M$1092,"&gt;"&amp;M709)+COUNTIFS($O$2:$O$1092,O709,$P$2:$P$1092,"Above Materiality",$M$2:$M$1092,M709,$A$2:$A$1092,"&lt;"&amp;A709)+1,"")</f>
        <v/>
      </c>
      <c r="S709" s="21" t="str">
        <f aca="false">IF(P709&lt;&gt;"Below Materiality","",IF(Summary!$C$9="Random",COUNTIFS($O$2:$O$1092,O709,$Q$2:$Q$1092,"&gt;"&amp;Q709)+1,COUNTIFS($O$2:$O$1092,O709,$P$2:$P$1092,"Below Materiality",$M$2:$M$1092,"&gt;"&amp;M709)+COUNTIFS($O$2:$O$1092,O709,$P$2:$P$1092,"Below Materiality",$M$2:$M$1092,M709,$A$2:$A$1092,"&lt;"&amp;A709)+1))</f>
        <v/>
      </c>
      <c r="T709" s="22"/>
      <c r="U709" s="21" t="str">
        <f aca="false">IF(R709="","",O709&amp;"|A|"&amp;R709)</f>
        <v/>
      </c>
      <c r="V709" s="21" t="str">
        <f aca="false">IF(S709="","",O709&amp;"|R|"&amp;S709)</f>
        <v/>
      </c>
    </row>
    <row r="710" customFormat="false" ht="15" hidden="false" customHeight="false" outlineLevel="0" collapsed="false">
      <c r="A710" s="18" t="n">
        <v>709</v>
      </c>
      <c r="B710" s="18"/>
      <c r="C710" s="18"/>
      <c r="D710" s="18"/>
      <c r="E710" s="18" t="s">
        <v>1416</v>
      </c>
      <c r="F710" s="18" t="s">
        <v>482</v>
      </c>
      <c r="G710" s="18" t="s">
        <v>74</v>
      </c>
      <c r="H710" s="18" t="n">
        <v>503</v>
      </c>
      <c r="I710" s="19" t="n">
        <v>0</v>
      </c>
      <c r="J710" s="19" t="n">
        <v>575</v>
      </c>
      <c r="K710" s="19" t="n">
        <v>575</v>
      </c>
      <c r="L710" s="19" t="n">
        <v>0</v>
      </c>
      <c r="M710" s="19" t="n">
        <f aca="false">ABS(L710)</f>
        <v>0</v>
      </c>
      <c r="N710" s="18" t="str">
        <f aca="false">IF(L710=0,"Nil balance",IF(G710="AR file",IF(L710&gt;0,"Accounts Receivable","Customer Advances"),IF(L710&lt;0,"Accounts Payable","Supplier Advances")))</f>
        <v>Nil balance</v>
      </c>
      <c r="O710" s="18" t="str">
        <f aca="false">IF(L710=0,"Excluded",IF(Summary!$C$4="By ledger",IF(G710="AR file","Population 1","Population 2"),IF(L710&gt;0,"Population 1","Population 2")))</f>
        <v>Excluded</v>
      </c>
      <c r="P710" s="18" t="str">
        <f aca="false">IF(O710="Excluded","Excluded – nil closing balance",IF(M710&gt;Summary!$C$5,"Above Materiality","Below Materiality"))</f>
        <v>Excluded – nil closing balance</v>
      </c>
      <c r="Q710" s="20" t="str">
        <f aca="false">IF(P710="Below Materiality",T710,"")</f>
        <v/>
      </c>
      <c r="R710" s="21" t="str">
        <f aca="false">IF(P710="Above Materiality",COUNTIFS($O$2:$O$1092,O710,$P$2:$P$1092,"Above Materiality",$M$2:$M$1092,"&gt;"&amp;M710)+COUNTIFS($O$2:$O$1092,O710,$P$2:$P$1092,"Above Materiality",$M$2:$M$1092,M710,$A$2:$A$1092,"&lt;"&amp;A710)+1,"")</f>
        <v/>
      </c>
      <c r="S710" s="21" t="str">
        <f aca="false">IF(P710&lt;&gt;"Below Materiality","",IF(Summary!$C$9="Random",COUNTIFS($O$2:$O$1092,O710,$Q$2:$Q$1092,"&gt;"&amp;Q710)+1,COUNTIFS($O$2:$O$1092,O710,$P$2:$P$1092,"Below Materiality",$M$2:$M$1092,"&gt;"&amp;M710)+COUNTIFS($O$2:$O$1092,O710,$P$2:$P$1092,"Below Materiality",$M$2:$M$1092,M710,$A$2:$A$1092,"&lt;"&amp;A710)+1))</f>
        <v/>
      </c>
      <c r="T710" s="22"/>
      <c r="U710" s="21" t="str">
        <f aca="false">IF(R710="","",O710&amp;"|A|"&amp;R710)</f>
        <v/>
      </c>
      <c r="V710" s="21" t="str">
        <f aca="false">IF(S710="","",O710&amp;"|R|"&amp;S710)</f>
        <v/>
      </c>
    </row>
    <row r="711" customFormat="false" ht="15" hidden="false" customHeight="false" outlineLevel="0" collapsed="false">
      <c r="A711" s="18" t="n">
        <v>710</v>
      </c>
      <c r="B711" s="18"/>
      <c r="C711" s="18"/>
      <c r="D711" s="18"/>
      <c r="E711" s="18" t="s">
        <v>1417</v>
      </c>
      <c r="F711" s="18" t="s">
        <v>1418</v>
      </c>
      <c r="G711" s="18" t="s">
        <v>74</v>
      </c>
      <c r="H711" s="18" t="n">
        <v>504</v>
      </c>
      <c r="I711" s="19" t="n">
        <v>0</v>
      </c>
      <c r="J711" s="19" t="n">
        <v>776.25</v>
      </c>
      <c r="K711" s="19" t="n">
        <v>776.25</v>
      </c>
      <c r="L711" s="19" t="n">
        <v>0</v>
      </c>
      <c r="M711" s="19" t="n">
        <f aca="false">ABS(L711)</f>
        <v>0</v>
      </c>
      <c r="N711" s="18" t="str">
        <f aca="false">IF(L711=0,"Nil balance",IF(G711="AR file",IF(L711&gt;0,"Accounts Receivable","Customer Advances"),IF(L711&lt;0,"Accounts Payable","Supplier Advances")))</f>
        <v>Nil balance</v>
      </c>
      <c r="O711" s="18" t="str">
        <f aca="false">IF(L711=0,"Excluded",IF(Summary!$C$4="By ledger",IF(G711="AR file","Population 1","Population 2"),IF(L711&gt;0,"Population 1","Population 2")))</f>
        <v>Excluded</v>
      </c>
      <c r="P711" s="18" t="str">
        <f aca="false">IF(O711="Excluded","Excluded – nil closing balance",IF(M711&gt;Summary!$C$5,"Above Materiality","Below Materiality"))</f>
        <v>Excluded – nil closing balance</v>
      </c>
      <c r="Q711" s="20" t="str">
        <f aca="false">IF(P711="Below Materiality",T711,"")</f>
        <v/>
      </c>
      <c r="R711" s="21" t="str">
        <f aca="false">IF(P711="Above Materiality",COUNTIFS($O$2:$O$1092,O711,$P$2:$P$1092,"Above Materiality",$M$2:$M$1092,"&gt;"&amp;M711)+COUNTIFS($O$2:$O$1092,O711,$P$2:$P$1092,"Above Materiality",$M$2:$M$1092,M711,$A$2:$A$1092,"&lt;"&amp;A711)+1,"")</f>
        <v/>
      </c>
      <c r="S711" s="21" t="str">
        <f aca="false">IF(P711&lt;&gt;"Below Materiality","",IF(Summary!$C$9="Random",COUNTIFS($O$2:$O$1092,O711,$Q$2:$Q$1092,"&gt;"&amp;Q711)+1,COUNTIFS($O$2:$O$1092,O711,$P$2:$P$1092,"Below Materiality",$M$2:$M$1092,"&gt;"&amp;M711)+COUNTIFS($O$2:$O$1092,O711,$P$2:$P$1092,"Below Materiality",$M$2:$M$1092,M711,$A$2:$A$1092,"&lt;"&amp;A711)+1))</f>
        <v/>
      </c>
      <c r="T711" s="22"/>
      <c r="U711" s="21" t="str">
        <f aca="false">IF(R711="","",O711&amp;"|A|"&amp;R711)</f>
        <v/>
      </c>
      <c r="V711" s="21" t="str">
        <f aca="false">IF(S711="","",O711&amp;"|R|"&amp;S711)</f>
        <v/>
      </c>
    </row>
    <row r="712" customFormat="false" ht="15" hidden="false" customHeight="false" outlineLevel="0" collapsed="false">
      <c r="A712" s="18" t="n">
        <v>711</v>
      </c>
      <c r="B712" s="18"/>
      <c r="C712" s="18"/>
      <c r="D712" s="18"/>
      <c r="E712" s="18" t="s">
        <v>1419</v>
      </c>
      <c r="F712" s="18" t="s">
        <v>1420</v>
      </c>
      <c r="G712" s="18" t="s">
        <v>74</v>
      </c>
      <c r="H712" s="18" t="n">
        <v>505</v>
      </c>
      <c r="I712" s="19" t="n">
        <v>0</v>
      </c>
      <c r="J712" s="19" t="n">
        <v>968.3</v>
      </c>
      <c r="K712" s="19" t="n">
        <v>968.3</v>
      </c>
      <c r="L712" s="19" t="n">
        <v>0</v>
      </c>
      <c r="M712" s="19" t="n">
        <f aca="false">ABS(L712)</f>
        <v>0</v>
      </c>
      <c r="N712" s="18" t="str">
        <f aca="false">IF(L712=0,"Nil balance",IF(G712="AR file",IF(L712&gt;0,"Accounts Receivable","Customer Advances"),IF(L712&lt;0,"Accounts Payable","Supplier Advances")))</f>
        <v>Nil balance</v>
      </c>
      <c r="O712" s="18" t="str">
        <f aca="false">IF(L712=0,"Excluded",IF(Summary!$C$4="By ledger",IF(G712="AR file","Population 1","Population 2"),IF(L712&gt;0,"Population 1","Population 2")))</f>
        <v>Excluded</v>
      </c>
      <c r="P712" s="18" t="str">
        <f aca="false">IF(O712="Excluded","Excluded – nil closing balance",IF(M712&gt;Summary!$C$5,"Above Materiality","Below Materiality"))</f>
        <v>Excluded – nil closing balance</v>
      </c>
      <c r="Q712" s="20" t="str">
        <f aca="false">IF(P712="Below Materiality",T712,"")</f>
        <v/>
      </c>
      <c r="R712" s="21" t="str">
        <f aca="false">IF(P712="Above Materiality",COUNTIFS($O$2:$O$1092,O712,$P$2:$P$1092,"Above Materiality",$M$2:$M$1092,"&gt;"&amp;M712)+COUNTIFS($O$2:$O$1092,O712,$P$2:$P$1092,"Above Materiality",$M$2:$M$1092,M712,$A$2:$A$1092,"&lt;"&amp;A712)+1,"")</f>
        <v/>
      </c>
      <c r="S712" s="21" t="str">
        <f aca="false">IF(P712&lt;&gt;"Below Materiality","",IF(Summary!$C$9="Random",COUNTIFS($O$2:$O$1092,O712,$Q$2:$Q$1092,"&gt;"&amp;Q712)+1,COUNTIFS($O$2:$O$1092,O712,$P$2:$P$1092,"Below Materiality",$M$2:$M$1092,"&gt;"&amp;M712)+COUNTIFS($O$2:$O$1092,O712,$P$2:$P$1092,"Below Materiality",$M$2:$M$1092,M712,$A$2:$A$1092,"&lt;"&amp;A712)+1))</f>
        <v/>
      </c>
      <c r="T712" s="22"/>
      <c r="U712" s="21" t="str">
        <f aca="false">IF(R712="","",O712&amp;"|A|"&amp;R712)</f>
        <v/>
      </c>
      <c r="V712" s="21" t="str">
        <f aca="false">IF(S712="","",O712&amp;"|R|"&amp;S712)</f>
        <v/>
      </c>
    </row>
    <row r="713" customFormat="false" ht="15" hidden="false" customHeight="false" outlineLevel="0" collapsed="false">
      <c r="A713" s="18" t="n">
        <v>712</v>
      </c>
      <c r="B713" s="18"/>
      <c r="C713" s="18"/>
      <c r="D713" s="18"/>
      <c r="E713" s="18" t="s">
        <v>1421</v>
      </c>
      <c r="F713" s="18" t="s">
        <v>1190</v>
      </c>
      <c r="G713" s="18" t="s">
        <v>74</v>
      </c>
      <c r="H713" s="18" t="n">
        <v>506</v>
      </c>
      <c r="I713" s="19" t="n">
        <v>0</v>
      </c>
      <c r="J713" s="19" t="n">
        <v>253</v>
      </c>
      <c r="K713" s="19" t="n">
        <v>253</v>
      </c>
      <c r="L713" s="19" t="n">
        <v>0</v>
      </c>
      <c r="M713" s="19" t="n">
        <f aca="false">ABS(L713)</f>
        <v>0</v>
      </c>
      <c r="N713" s="18" t="str">
        <f aca="false">IF(L713=0,"Nil balance",IF(G713="AR file",IF(L713&gt;0,"Accounts Receivable","Customer Advances"),IF(L713&lt;0,"Accounts Payable","Supplier Advances")))</f>
        <v>Nil balance</v>
      </c>
      <c r="O713" s="18" t="str">
        <f aca="false">IF(L713=0,"Excluded",IF(Summary!$C$4="By ledger",IF(G713="AR file","Population 1","Population 2"),IF(L713&gt;0,"Population 1","Population 2")))</f>
        <v>Excluded</v>
      </c>
      <c r="P713" s="18" t="str">
        <f aca="false">IF(O713="Excluded","Excluded – nil closing balance",IF(M713&gt;Summary!$C$5,"Above Materiality","Below Materiality"))</f>
        <v>Excluded – nil closing balance</v>
      </c>
      <c r="Q713" s="20" t="str">
        <f aca="false">IF(P713="Below Materiality",T713,"")</f>
        <v/>
      </c>
      <c r="R713" s="21" t="str">
        <f aca="false">IF(P713="Above Materiality",COUNTIFS($O$2:$O$1092,O713,$P$2:$P$1092,"Above Materiality",$M$2:$M$1092,"&gt;"&amp;M713)+COUNTIFS($O$2:$O$1092,O713,$P$2:$P$1092,"Above Materiality",$M$2:$M$1092,M713,$A$2:$A$1092,"&lt;"&amp;A713)+1,"")</f>
        <v/>
      </c>
      <c r="S713" s="21" t="str">
        <f aca="false">IF(P713&lt;&gt;"Below Materiality","",IF(Summary!$C$9="Random",COUNTIFS($O$2:$O$1092,O713,$Q$2:$Q$1092,"&gt;"&amp;Q713)+1,COUNTIFS($O$2:$O$1092,O713,$P$2:$P$1092,"Below Materiality",$M$2:$M$1092,"&gt;"&amp;M713)+COUNTIFS($O$2:$O$1092,O713,$P$2:$P$1092,"Below Materiality",$M$2:$M$1092,M713,$A$2:$A$1092,"&lt;"&amp;A713)+1))</f>
        <v/>
      </c>
      <c r="T713" s="22"/>
      <c r="U713" s="21" t="str">
        <f aca="false">IF(R713="","",O713&amp;"|A|"&amp;R713)</f>
        <v/>
      </c>
      <c r="V713" s="21" t="str">
        <f aca="false">IF(S713="","",O713&amp;"|R|"&amp;S713)</f>
        <v/>
      </c>
    </row>
    <row r="714" customFormat="false" ht="15" hidden="false" customHeight="false" outlineLevel="0" collapsed="false">
      <c r="A714" s="18" t="n">
        <v>713</v>
      </c>
      <c r="B714" s="18"/>
      <c r="C714" s="18"/>
      <c r="D714" s="18"/>
      <c r="E714" s="18" t="s">
        <v>1422</v>
      </c>
      <c r="F714" s="18" t="s">
        <v>1423</v>
      </c>
      <c r="G714" s="18" t="s">
        <v>74</v>
      </c>
      <c r="H714" s="18" t="n">
        <v>507</v>
      </c>
      <c r="I714" s="19" t="n">
        <v>0</v>
      </c>
      <c r="J714" s="19" t="n">
        <v>7779.25</v>
      </c>
      <c r="K714" s="19" t="n">
        <v>7779.25</v>
      </c>
      <c r="L714" s="19" t="n">
        <v>0</v>
      </c>
      <c r="M714" s="19" t="n">
        <f aca="false">ABS(L714)</f>
        <v>0</v>
      </c>
      <c r="N714" s="18" t="str">
        <f aca="false">IF(L714=0,"Nil balance",IF(G714="AR file",IF(L714&gt;0,"Accounts Receivable","Customer Advances"),IF(L714&lt;0,"Accounts Payable","Supplier Advances")))</f>
        <v>Nil balance</v>
      </c>
      <c r="O714" s="18" t="str">
        <f aca="false">IF(L714=0,"Excluded",IF(Summary!$C$4="By ledger",IF(G714="AR file","Population 1","Population 2"),IF(L714&gt;0,"Population 1","Population 2")))</f>
        <v>Excluded</v>
      </c>
      <c r="P714" s="18" t="str">
        <f aca="false">IF(O714="Excluded","Excluded – nil closing balance",IF(M714&gt;Summary!$C$5,"Above Materiality","Below Materiality"))</f>
        <v>Excluded – nil closing balance</v>
      </c>
      <c r="Q714" s="20" t="str">
        <f aca="false">IF(P714="Below Materiality",T714,"")</f>
        <v/>
      </c>
      <c r="R714" s="21" t="str">
        <f aca="false">IF(P714="Above Materiality",COUNTIFS($O$2:$O$1092,O714,$P$2:$P$1092,"Above Materiality",$M$2:$M$1092,"&gt;"&amp;M714)+COUNTIFS($O$2:$O$1092,O714,$P$2:$P$1092,"Above Materiality",$M$2:$M$1092,M714,$A$2:$A$1092,"&lt;"&amp;A714)+1,"")</f>
        <v/>
      </c>
      <c r="S714" s="21" t="str">
        <f aca="false">IF(P714&lt;&gt;"Below Materiality","",IF(Summary!$C$9="Random",COUNTIFS($O$2:$O$1092,O714,$Q$2:$Q$1092,"&gt;"&amp;Q714)+1,COUNTIFS($O$2:$O$1092,O714,$P$2:$P$1092,"Below Materiality",$M$2:$M$1092,"&gt;"&amp;M714)+COUNTIFS($O$2:$O$1092,O714,$P$2:$P$1092,"Below Materiality",$M$2:$M$1092,M714,$A$2:$A$1092,"&lt;"&amp;A714)+1))</f>
        <v/>
      </c>
      <c r="T714" s="22"/>
      <c r="U714" s="21" t="str">
        <f aca="false">IF(R714="","",O714&amp;"|A|"&amp;R714)</f>
        <v/>
      </c>
      <c r="V714" s="21" t="str">
        <f aca="false">IF(S714="","",O714&amp;"|R|"&amp;S714)</f>
        <v/>
      </c>
    </row>
    <row r="715" customFormat="false" ht="15" hidden="false" customHeight="false" outlineLevel="0" collapsed="false">
      <c r="A715" s="18" t="n">
        <v>714</v>
      </c>
      <c r="B715" s="18"/>
      <c r="C715" s="18"/>
      <c r="D715" s="18"/>
      <c r="E715" s="18" t="s">
        <v>1424</v>
      </c>
      <c r="F715" s="18" t="s">
        <v>941</v>
      </c>
      <c r="G715" s="18" t="s">
        <v>74</v>
      </c>
      <c r="H715" s="18" t="n">
        <v>508</v>
      </c>
      <c r="I715" s="19" t="n">
        <v>0</v>
      </c>
      <c r="J715" s="19" t="n">
        <v>356.5</v>
      </c>
      <c r="K715" s="19" t="n">
        <v>356.5</v>
      </c>
      <c r="L715" s="19" t="n">
        <v>0</v>
      </c>
      <c r="M715" s="19" t="n">
        <f aca="false">ABS(L715)</f>
        <v>0</v>
      </c>
      <c r="N715" s="18" t="str">
        <f aca="false">IF(L715=0,"Nil balance",IF(G715="AR file",IF(L715&gt;0,"Accounts Receivable","Customer Advances"),IF(L715&lt;0,"Accounts Payable","Supplier Advances")))</f>
        <v>Nil balance</v>
      </c>
      <c r="O715" s="18" t="str">
        <f aca="false">IF(L715=0,"Excluded",IF(Summary!$C$4="By ledger",IF(G715="AR file","Population 1","Population 2"),IF(L715&gt;0,"Population 1","Population 2")))</f>
        <v>Excluded</v>
      </c>
      <c r="P715" s="18" t="str">
        <f aca="false">IF(O715="Excluded","Excluded – nil closing balance",IF(M715&gt;Summary!$C$5,"Above Materiality","Below Materiality"))</f>
        <v>Excluded – nil closing balance</v>
      </c>
      <c r="Q715" s="20" t="str">
        <f aca="false">IF(P715="Below Materiality",T715,"")</f>
        <v/>
      </c>
      <c r="R715" s="21" t="str">
        <f aca="false">IF(P715="Above Materiality",COUNTIFS($O$2:$O$1092,O715,$P$2:$P$1092,"Above Materiality",$M$2:$M$1092,"&gt;"&amp;M715)+COUNTIFS($O$2:$O$1092,O715,$P$2:$P$1092,"Above Materiality",$M$2:$M$1092,M715,$A$2:$A$1092,"&lt;"&amp;A715)+1,"")</f>
        <v/>
      </c>
      <c r="S715" s="21" t="str">
        <f aca="false">IF(P715&lt;&gt;"Below Materiality","",IF(Summary!$C$9="Random",COUNTIFS($O$2:$O$1092,O715,$Q$2:$Q$1092,"&gt;"&amp;Q715)+1,COUNTIFS($O$2:$O$1092,O715,$P$2:$P$1092,"Below Materiality",$M$2:$M$1092,"&gt;"&amp;M715)+COUNTIFS($O$2:$O$1092,O715,$P$2:$P$1092,"Below Materiality",$M$2:$M$1092,M715,$A$2:$A$1092,"&lt;"&amp;A715)+1))</f>
        <v/>
      </c>
      <c r="T715" s="22"/>
      <c r="U715" s="21" t="str">
        <f aca="false">IF(R715="","",O715&amp;"|A|"&amp;R715)</f>
        <v/>
      </c>
      <c r="V715" s="21" t="str">
        <f aca="false">IF(S715="","",O715&amp;"|R|"&amp;S715)</f>
        <v/>
      </c>
    </row>
    <row r="716" customFormat="false" ht="15" hidden="false" customHeight="false" outlineLevel="0" collapsed="false">
      <c r="A716" s="18" t="n">
        <v>715</v>
      </c>
      <c r="B716" s="18"/>
      <c r="C716" s="18"/>
      <c r="D716" s="18"/>
      <c r="E716" s="18" t="s">
        <v>1425</v>
      </c>
      <c r="F716" s="18" t="s">
        <v>1426</v>
      </c>
      <c r="G716" s="18" t="s">
        <v>74</v>
      </c>
      <c r="H716" s="18" t="n">
        <v>509</v>
      </c>
      <c r="I716" s="19" t="n">
        <v>0</v>
      </c>
      <c r="J716" s="19" t="n">
        <v>483</v>
      </c>
      <c r="K716" s="19" t="n">
        <v>483</v>
      </c>
      <c r="L716" s="19" t="n">
        <v>0</v>
      </c>
      <c r="M716" s="19" t="n">
        <f aca="false">ABS(L716)</f>
        <v>0</v>
      </c>
      <c r="N716" s="18" t="str">
        <f aca="false">IF(L716=0,"Nil balance",IF(G716="AR file",IF(L716&gt;0,"Accounts Receivable","Customer Advances"),IF(L716&lt;0,"Accounts Payable","Supplier Advances")))</f>
        <v>Nil balance</v>
      </c>
      <c r="O716" s="18" t="str">
        <f aca="false">IF(L716=0,"Excluded",IF(Summary!$C$4="By ledger",IF(G716="AR file","Population 1","Population 2"),IF(L716&gt;0,"Population 1","Population 2")))</f>
        <v>Excluded</v>
      </c>
      <c r="P716" s="18" t="str">
        <f aca="false">IF(O716="Excluded","Excluded – nil closing balance",IF(M716&gt;Summary!$C$5,"Above Materiality","Below Materiality"))</f>
        <v>Excluded – nil closing balance</v>
      </c>
      <c r="Q716" s="20" t="str">
        <f aca="false">IF(P716="Below Materiality",T716,"")</f>
        <v/>
      </c>
      <c r="R716" s="21" t="str">
        <f aca="false">IF(P716="Above Materiality",COUNTIFS($O$2:$O$1092,O716,$P$2:$P$1092,"Above Materiality",$M$2:$M$1092,"&gt;"&amp;M716)+COUNTIFS($O$2:$O$1092,O716,$P$2:$P$1092,"Above Materiality",$M$2:$M$1092,M716,$A$2:$A$1092,"&lt;"&amp;A716)+1,"")</f>
        <v/>
      </c>
      <c r="S716" s="21" t="str">
        <f aca="false">IF(P716&lt;&gt;"Below Materiality","",IF(Summary!$C$9="Random",COUNTIFS($O$2:$O$1092,O716,$Q$2:$Q$1092,"&gt;"&amp;Q716)+1,COUNTIFS($O$2:$O$1092,O716,$P$2:$P$1092,"Below Materiality",$M$2:$M$1092,"&gt;"&amp;M716)+COUNTIFS($O$2:$O$1092,O716,$P$2:$P$1092,"Below Materiality",$M$2:$M$1092,M716,$A$2:$A$1092,"&lt;"&amp;A716)+1))</f>
        <v/>
      </c>
      <c r="T716" s="22"/>
      <c r="U716" s="21" t="str">
        <f aca="false">IF(R716="","",O716&amp;"|A|"&amp;R716)</f>
        <v/>
      </c>
      <c r="V716" s="21" t="str">
        <f aca="false">IF(S716="","",O716&amp;"|R|"&amp;S716)</f>
        <v/>
      </c>
    </row>
    <row r="717" customFormat="false" ht="15" hidden="false" customHeight="false" outlineLevel="0" collapsed="false">
      <c r="A717" s="18" t="n">
        <v>716</v>
      </c>
      <c r="B717" s="18"/>
      <c r="C717" s="18"/>
      <c r="D717" s="18"/>
      <c r="E717" s="18" t="s">
        <v>1427</v>
      </c>
      <c r="F717" s="18" t="s">
        <v>1428</v>
      </c>
      <c r="G717" s="18" t="s">
        <v>74</v>
      </c>
      <c r="H717" s="18" t="n">
        <v>510</v>
      </c>
      <c r="I717" s="19" t="n">
        <v>0</v>
      </c>
      <c r="J717" s="19" t="n">
        <v>732.55</v>
      </c>
      <c r="K717" s="19" t="n">
        <v>732.55</v>
      </c>
      <c r="L717" s="19" t="n">
        <v>0</v>
      </c>
      <c r="M717" s="19" t="n">
        <f aca="false">ABS(L717)</f>
        <v>0</v>
      </c>
      <c r="N717" s="18" t="str">
        <f aca="false">IF(L717=0,"Nil balance",IF(G717="AR file",IF(L717&gt;0,"Accounts Receivable","Customer Advances"),IF(L717&lt;0,"Accounts Payable","Supplier Advances")))</f>
        <v>Nil balance</v>
      </c>
      <c r="O717" s="18" t="str">
        <f aca="false">IF(L717=0,"Excluded",IF(Summary!$C$4="By ledger",IF(G717="AR file","Population 1","Population 2"),IF(L717&gt;0,"Population 1","Population 2")))</f>
        <v>Excluded</v>
      </c>
      <c r="P717" s="18" t="str">
        <f aca="false">IF(O717="Excluded","Excluded – nil closing balance",IF(M717&gt;Summary!$C$5,"Above Materiality","Below Materiality"))</f>
        <v>Excluded – nil closing balance</v>
      </c>
      <c r="Q717" s="20" t="str">
        <f aca="false">IF(P717="Below Materiality",T717,"")</f>
        <v/>
      </c>
      <c r="R717" s="21" t="str">
        <f aca="false">IF(P717="Above Materiality",COUNTIFS($O$2:$O$1092,O717,$P$2:$P$1092,"Above Materiality",$M$2:$M$1092,"&gt;"&amp;M717)+COUNTIFS($O$2:$O$1092,O717,$P$2:$P$1092,"Above Materiality",$M$2:$M$1092,M717,$A$2:$A$1092,"&lt;"&amp;A717)+1,"")</f>
        <v/>
      </c>
      <c r="S717" s="21" t="str">
        <f aca="false">IF(P717&lt;&gt;"Below Materiality","",IF(Summary!$C$9="Random",COUNTIFS($O$2:$O$1092,O717,$Q$2:$Q$1092,"&gt;"&amp;Q717)+1,COUNTIFS($O$2:$O$1092,O717,$P$2:$P$1092,"Below Materiality",$M$2:$M$1092,"&gt;"&amp;M717)+COUNTIFS($O$2:$O$1092,O717,$P$2:$P$1092,"Below Materiality",$M$2:$M$1092,M717,$A$2:$A$1092,"&lt;"&amp;A717)+1))</f>
        <v/>
      </c>
      <c r="T717" s="22"/>
      <c r="U717" s="21" t="str">
        <f aca="false">IF(R717="","",O717&amp;"|A|"&amp;R717)</f>
        <v/>
      </c>
      <c r="V717" s="21" t="str">
        <f aca="false">IF(S717="","",O717&amp;"|R|"&amp;S717)</f>
        <v/>
      </c>
    </row>
    <row r="718" customFormat="false" ht="15" hidden="false" customHeight="false" outlineLevel="0" collapsed="false">
      <c r="A718" s="18" t="n">
        <v>717</v>
      </c>
      <c r="B718" s="18"/>
      <c r="C718" s="18"/>
      <c r="D718" s="18"/>
      <c r="E718" s="18" t="s">
        <v>1429</v>
      </c>
      <c r="F718" s="18" t="s">
        <v>1430</v>
      </c>
      <c r="G718" s="18" t="s">
        <v>74</v>
      </c>
      <c r="H718" s="18" t="n">
        <v>511</v>
      </c>
      <c r="I718" s="19" t="n">
        <v>0</v>
      </c>
      <c r="J718" s="19" t="n">
        <v>38079.85</v>
      </c>
      <c r="K718" s="19" t="n">
        <v>38079.85</v>
      </c>
      <c r="L718" s="19" t="n">
        <v>0</v>
      </c>
      <c r="M718" s="19" t="n">
        <f aca="false">ABS(L718)</f>
        <v>0</v>
      </c>
      <c r="N718" s="18" t="str">
        <f aca="false">IF(L718=0,"Nil balance",IF(G718="AR file",IF(L718&gt;0,"Accounts Receivable","Customer Advances"),IF(L718&lt;0,"Accounts Payable","Supplier Advances")))</f>
        <v>Nil balance</v>
      </c>
      <c r="O718" s="18" t="str">
        <f aca="false">IF(L718=0,"Excluded",IF(Summary!$C$4="By ledger",IF(G718="AR file","Population 1","Population 2"),IF(L718&gt;0,"Population 1","Population 2")))</f>
        <v>Excluded</v>
      </c>
      <c r="P718" s="18" t="str">
        <f aca="false">IF(O718="Excluded","Excluded – nil closing balance",IF(M718&gt;Summary!$C$5,"Above Materiality","Below Materiality"))</f>
        <v>Excluded – nil closing balance</v>
      </c>
      <c r="Q718" s="20" t="str">
        <f aca="false">IF(P718="Below Materiality",T718,"")</f>
        <v/>
      </c>
      <c r="R718" s="21" t="str">
        <f aca="false">IF(P718="Above Materiality",COUNTIFS($O$2:$O$1092,O718,$P$2:$P$1092,"Above Materiality",$M$2:$M$1092,"&gt;"&amp;M718)+COUNTIFS($O$2:$O$1092,O718,$P$2:$P$1092,"Above Materiality",$M$2:$M$1092,M718,$A$2:$A$1092,"&lt;"&amp;A718)+1,"")</f>
        <v/>
      </c>
      <c r="S718" s="21" t="str">
        <f aca="false">IF(P718&lt;&gt;"Below Materiality","",IF(Summary!$C$9="Random",COUNTIFS($O$2:$O$1092,O718,$Q$2:$Q$1092,"&gt;"&amp;Q718)+1,COUNTIFS($O$2:$O$1092,O718,$P$2:$P$1092,"Below Materiality",$M$2:$M$1092,"&gt;"&amp;M718)+COUNTIFS($O$2:$O$1092,O718,$P$2:$P$1092,"Below Materiality",$M$2:$M$1092,M718,$A$2:$A$1092,"&lt;"&amp;A718)+1))</f>
        <v/>
      </c>
      <c r="T718" s="22"/>
      <c r="U718" s="21" t="str">
        <f aca="false">IF(R718="","",O718&amp;"|A|"&amp;R718)</f>
        <v/>
      </c>
      <c r="V718" s="21" t="str">
        <f aca="false">IF(S718="","",O718&amp;"|R|"&amp;S718)</f>
        <v/>
      </c>
    </row>
    <row r="719" customFormat="false" ht="15" hidden="false" customHeight="false" outlineLevel="0" collapsed="false">
      <c r="A719" s="18" t="n">
        <v>718</v>
      </c>
      <c r="B719" s="18"/>
      <c r="C719" s="18"/>
      <c r="D719" s="18"/>
      <c r="E719" s="18" t="s">
        <v>1431</v>
      </c>
      <c r="F719" s="18" t="s">
        <v>1432</v>
      </c>
      <c r="G719" s="18" t="s">
        <v>74</v>
      </c>
      <c r="H719" s="18" t="n">
        <v>512</v>
      </c>
      <c r="I719" s="19" t="n">
        <v>0</v>
      </c>
      <c r="J719" s="19" t="n">
        <v>260</v>
      </c>
      <c r="K719" s="19" t="n">
        <v>260</v>
      </c>
      <c r="L719" s="19" t="n">
        <v>0</v>
      </c>
      <c r="M719" s="19" t="n">
        <f aca="false">ABS(L719)</f>
        <v>0</v>
      </c>
      <c r="N719" s="18" t="str">
        <f aca="false">IF(L719=0,"Nil balance",IF(G719="AR file",IF(L719&gt;0,"Accounts Receivable","Customer Advances"),IF(L719&lt;0,"Accounts Payable","Supplier Advances")))</f>
        <v>Nil balance</v>
      </c>
      <c r="O719" s="18" t="str">
        <f aca="false">IF(L719=0,"Excluded",IF(Summary!$C$4="By ledger",IF(G719="AR file","Population 1","Population 2"),IF(L719&gt;0,"Population 1","Population 2")))</f>
        <v>Excluded</v>
      </c>
      <c r="P719" s="18" t="str">
        <f aca="false">IF(O719="Excluded","Excluded – nil closing balance",IF(M719&gt;Summary!$C$5,"Above Materiality","Below Materiality"))</f>
        <v>Excluded – nil closing balance</v>
      </c>
      <c r="Q719" s="20" t="str">
        <f aca="false">IF(P719="Below Materiality",T719,"")</f>
        <v/>
      </c>
      <c r="R719" s="21" t="str">
        <f aca="false">IF(P719="Above Materiality",COUNTIFS($O$2:$O$1092,O719,$P$2:$P$1092,"Above Materiality",$M$2:$M$1092,"&gt;"&amp;M719)+COUNTIFS($O$2:$O$1092,O719,$P$2:$P$1092,"Above Materiality",$M$2:$M$1092,M719,$A$2:$A$1092,"&lt;"&amp;A719)+1,"")</f>
        <v/>
      </c>
      <c r="S719" s="21" t="str">
        <f aca="false">IF(P719&lt;&gt;"Below Materiality","",IF(Summary!$C$9="Random",COUNTIFS($O$2:$O$1092,O719,$Q$2:$Q$1092,"&gt;"&amp;Q719)+1,COUNTIFS($O$2:$O$1092,O719,$P$2:$P$1092,"Below Materiality",$M$2:$M$1092,"&gt;"&amp;M719)+COUNTIFS($O$2:$O$1092,O719,$P$2:$P$1092,"Below Materiality",$M$2:$M$1092,M719,$A$2:$A$1092,"&lt;"&amp;A719)+1))</f>
        <v/>
      </c>
      <c r="T719" s="22"/>
      <c r="U719" s="21" t="str">
        <f aca="false">IF(R719="","",O719&amp;"|A|"&amp;R719)</f>
        <v/>
      </c>
      <c r="V719" s="21" t="str">
        <f aca="false">IF(S719="","",O719&amp;"|R|"&amp;S719)</f>
        <v/>
      </c>
    </row>
    <row r="720" customFormat="false" ht="15" hidden="false" customHeight="false" outlineLevel="0" collapsed="false">
      <c r="A720" s="18" t="n">
        <v>719</v>
      </c>
      <c r="B720" s="18"/>
      <c r="C720" s="18"/>
      <c r="D720" s="18"/>
      <c r="E720" s="18" t="s">
        <v>1433</v>
      </c>
      <c r="F720" s="18" t="s">
        <v>573</v>
      </c>
      <c r="G720" s="18" t="s">
        <v>74</v>
      </c>
      <c r="H720" s="18" t="n">
        <v>513</v>
      </c>
      <c r="I720" s="19" t="n">
        <v>0</v>
      </c>
      <c r="J720" s="19" t="n">
        <v>86.25</v>
      </c>
      <c r="K720" s="19" t="n">
        <v>86.25</v>
      </c>
      <c r="L720" s="19" t="n">
        <v>0</v>
      </c>
      <c r="M720" s="19" t="n">
        <f aca="false">ABS(L720)</f>
        <v>0</v>
      </c>
      <c r="N720" s="18" t="str">
        <f aca="false">IF(L720=0,"Nil balance",IF(G720="AR file",IF(L720&gt;0,"Accounts Receivable","Customer Advances"),IF(L720&lt;0,"Accounts Payable","Supplier Advances")))</f>
        <v>Nil balance</v>
      </c>
      <c r="O720" s="18" t="str">
        <f aca="false">IF(L720=0,"Excluded",IF(Summary!$C$4="By ledger",IF(G720="AR file","Population 1","Population 2"),IF(L720&gt;0,"Population 1","Population 2")))</f>
        <v>Excluded</v>
      </c>
      <c r="P720" s="18" t="str">
        <f aca="false">IF(O720="Excluded","Excluded – nil closing balance",IF(M720&gt;Summary!$C$5,"Above Materiality","Below Materiality"))</f>
        <v>Excluded – nil closing balance</v>
      </c>
      <c r="Q720" s="20" t="str">
        <f aca="false">IF(P720="Below Materiality",T720,"")</f>
        <v/>
      </c>
      <c r="R720" s="21" t="str">
        <f aca="false">IF(P720="Above Materiality",COUNTIFS($O$2:$O$1092,O720,$P$2:$P$1092,"Above Materiality",$M$2:$M$1092,"&gt;"&amp;M720)+COUNTIFS($O$2:$O$1092,O720,$P$2:$P$1092,"Above Materiality",$M$2:$M$1092,M720,$A$2:$A$1092,"&lt;"&amp;A720)+1,"")</f>
        <v/>
      </c>
      <c r="S720" s="21" t="str">
        <f aca="false">IF(P720&lt;&gt;"Below Materiality","",IF(Summary!$C$9="Random",COUNTIFS($O$2:$O$1092,O720,$Q$2:$Q$1092,"&gt;"&amp;Q720)+1,COUNTIFS($O$2:$O$1092,O720,$P$2:$P$1092,"Below Materiality",$M$2:$M$1092,"&gt;"&amp;M720)+COUNTIFS($O$2:$O$1092,O720,$P$2:$P$1092,"Below Materiality",$M$2:$M$1092,M720,$A$2:$A$1092,"&lt;"&amp;A720)+1))</f>
        <v/>
      </c>
      <c r="T720" s="22"/>
      <c r="U720" s="21" t="str">
        <f aca="false">IF(R720="","",O720&amp;"|A|"&amp;R720)</f>
        <v/>
      </c>
      <c r="V720" s="21" t="str">
        <f aca="false">IF(S720="","",O720&amp;"|R|"&amp;S720)</f>
        <v/>
      </c>
    </row>
    <row r="721" customFormat="false" ht="15" hidden="false" customHeight="false" outlineLevel="0" collapsed="false">
      <c r="A721" s="18" t="n">
        <v>720</v>
      </c>
      <c r="B721" s="18"/>
      <c r="C721" s="18"/>
      <c r="D721" s="18"/>
      <c r="E721" s="18" t="s">
        <v>1434</v>
      </c>
      <c r="F721" s="18" t="s">
        <v>1047</v>
      </c>
      <c r="G721" s="18" t="s">
        <v>74</v>
      </c>
      <c r="H721" s="18" t="n">
        <v>514</v>
      </c>
      <c r="I721" s="19" t="n">
        <v>0</v>
      </c>
      <c r="J721" s="19" t="n">
        <v>57.5</v>
      </c>
      <c r="K721" s="19" t="n">
        <v>57.5</v>
      </c>
      <c r="L721" s="19" t="n">
        <v>0</v>
      </c>
      <c r="M721" s="19" t="n">
        <f aca="false">ABS(L721)</f>
        <v>0</v>
      </c>
      <c r="N721" s="18" t="str">
        <f aca="false">IF(L721=0,"Nil balance",IF(G721="AR file",IF(L721&gt;0,"Accounts Receivable","Customer Advances"),IF(L721&lt;0,"Accounts Payable","Supplier Advances")))</f>
        <v>Nil balance</v>
      </c>
      <c r="O721" s="18" t="str">
        <f aca="false">IF(L721=0,"Excluded",IF(Summary!$C$4="By ledger",IF(G721="AR file","Population 1","Population 2"),IF(L721&gt;0,"Population 1","Population 2")))</f>
        <v>Excluded</v>
      </c>
      <c r="P721" s="18" t="str">
        <f aca="false">IF(O721="Excluded","Excluded – nil closing balance",IF(M721&gt;Summary!$C$5,"Above Materiality","Below Materiality"))</f>
        <v>Excluded – nil closing balance</v>
      </c>
      <c r="Q721" s="20" t="str">
        <f aca="false">IF(P721="Below Materiality",T721,"")</f>
        <v/>
      </c>
      <c r="R721" s="21" t="str">
        <f aca="false">IF(P721="Above Materiality",COUNTIFS($O$2:$O$1092,O721,$P$2:$P$1092,"Above Materiality",$M$2:$M$1092,"&gt;"&amp;M721)+COUNTIFS($O$2:$O$1092,O721,$P$2:$P$1092,"Above Materiality",$M$2:$M$1092,M721,$A$2:$A$1092,"&lt;"&amp;A721)+1,"")</f>
        <v/>
      </c>
      <c r="S721" s="21" t="str">
        <f aca="false">IF(P721&lt;&gt;"Below Materiality","",IF(Summary!$C$9="Random",COUNTIFS($O$2:$O$1092,O721,$Q$2:$Q$1092,"&gt;"&amp;Q721)+1,COUNTIFS($O$2:$O$1092,O721,$P$2:$P$1092,"Below Materiality",$M$2:$M$1092,"&gt;"&amp;M721)+COUNTIFS($O$2:$O$1092,O721,$P$2:$P$1092,"Below Materiality",$M$2:$M$1092,M721,$A$2:$A$1092,"&lt;"&amp;A721)+1))</f>
        <v/>
      </c>
      <c r="T721" s="22"/>
      <c r="U721" s="21" t="str">
        <f aca="false">IF(R721="","",O721&amp;"|A|"&amp;R721)</f>
        <v/>
      </c>
      <c r="V721" s="21" t="str">
        <f aca="false">IF(S721="","",O721&amp;"|R|"&amp;S721)</f>
        <v/>
      </c>
    </row>
    <row r="722" customFormat="false" ht="15" hidden="false" customHeight="false" outlineLevel="0" collapsed="false">
      <c r="A722" s="18" t="n">
        <v>721</v>
      </c>
      <c r="B722" s="18"/>
      <c r="C722" s="18"/>
      <c r="D722" s="18"/>
      <c r="E722" s="18" t="s">
        <v>1435</v>
      </c>
      <c r="F722" s="18" t="s">
        <v>1327</v>
      </c>
      <c r="G722" s="18" t="s">
        <v>74</v>
      </c>
      <c r="H722" s="18" t="n">
        <v>515</v>
      </c>
      <c r="I722" s="19" t="n">
        <v>0</v>
      </c>
      <c r="J722" s="19" t="n">
        <v>200</v>
      </c>
      <c r="K722" s="19" t="n">
        <v>200</v>
      </c>
      <c r="L722" s="19" t="n">
        <v>0</v>
      </c>
      <c r="M722" s="19" t="n">
        <f aca="false">ABS(L722)</f>
        <v>0</v>
      </c>
      <c r="N722" s="18" t="str">
        <f aca="false">IF(L722=0,"Nil balance",IF(G722="AR file",IF(L722&gt;0,"Accounts Receivable","Customer Advances"),IF(L722&lt;0,"Accounts Payable","Supplier Advances")))</f>
        <v>Nil balance</v>
      </c>
      <c r="O722" s="18" t="str">
        <f aca="false">IF(L722=0,"Excluded",IF(Summary!$C$4="By ledger",IF(G722="AR file","Population 1","Population 2"),IF(L722&gt;0,"Population 1","Population 2")))</f>
        <v>Excluded</v>
      </c>
      <c r="P722" s="18" t="str">
        <f aca="false">IF(O722="Excluded","Excluded – nil closing balance",IF(M722&gt;Summary!$C$5,"Above Materiality","Below Materiality"))</f>
        <v>Excluded – nil closing balance</v>
      </c>
      <c r="Q722" s="20" t="str">
        <f aca="false">IF(P722="Below Materiality",T722,"")</f>
        <v/>
      </c>
      <c r="R722" s="21" t="str">
        <f aca="false">IF(P722="Above Materiality",COUNTIFS($O$2:$O$1092,O722,$P$2:$P$1092,"Above Materiality",$M$2:$M$1092,"&gt;"&amp;M722)+COUNTIFS($O$2:$O$1092,O722,$P$2:$P$1092,"Above Materiality",$M$2:$M$1092,M722,$A$2:$A$1092,"&lt;"&amp;A722)+1,"")</f>
        <v/>
      </c>
      <c r="S722" s="21" t="str">
        <f aca="false">IF(P722&lt;&gt;"Below Materiality","",IF(Summary!$C$9="Random",COUNTIFS($O$2:$O$1092,O722,$Q$2:$Q$1092,"&gt;"&amp;Q722)+1,COUNTIFS($O$2:$O$1092,O722,$P$2:$P$1092,"Below Materiality",$M$2:$M$1092,"&gt;"&amp;M722)+COUNTIFS($O$2:$O$1092,O722,$P$2:$P$1092,"Below Materiality",$M$2:$M$1092,M722,$A$2:$A$1092,"&lt;"&amp;A722)+1))</f>
        <v/>
      </c>
      <c r="T722" s="22"/>
      <c r="U722" s="21" t="str">
        <f aca="false">IF(R722="","",O722&amp;"|A|"&amp;R722)</f>
        <v/>
      </c>
      <c r="V722" s="21" t="str">
        <f aca="false">IF(S722="","",O722&amp;"|R|"&amp;S722)</f>
        <v/>
      </c>
    </row>
    <row r="723" customFormat="false" ht="15" hidden="false" customHeight="false" outlineLevel="0" collapsed="false">
      <c r="A723" s="18" t="n">
        <v>722</v>
      </c>
      <c r="B723" s="18"/>
      <c r="C723" s="18"/>
      <c r="D723" s="18"/>
      <c r="E723" s="18" t="s">
        <v>1436</v>
      </c>
      <c r="F723" s="18" t="s">
        <v>1437</v>
      </c>
      <c r="G723" s="18" t="s">
        <v>74</v>
      </c>
      <c r="H723" s="18" t="n">
        <v>516</v>
      </c>
      <c r="I723" s="19" t="n">
        <v>0</v>
      </c>
      <c r="J723" s="19" t="n">
        <v>33540.9</v>
      </c>
      <c r="K723" s="19" t="n">
        <v>33540.9</v>
      </c>
      <c r="L723" s="19" t="n">
        <v>0</v>
      </c>
      <c r="M723" s="19" t="n">
        <f aca="false">ABS(L723)</f>
        <v>0</v>
      </c>
      <c r="N723" s="18" t="str">
        <f aca="false">IF(L723=0,"Nil balance",IF(G723="AR file",IF(L723&gt;0,"Accounts Receivable","Customer Advances"),IF(L723&lt;0,"Accounts Payable","Supplier Advances")))</f>
        <v>Nil balance</v>
      </c>
      <c r="O723" s="18" t="str">
        <f aca="false">IF(L723=0,"Excluded",IF(Summary!$C$4="By ledger",IF(G723="AR file","Population 1","Population 2"),IF(L723&gt;0,"Population 1","Population 2")))</f>
        <v>Excluded</v>
      </c>
      <c r="P723" s="18" t="str">
        <f aca="false">IF(O723="Excluded","Excluded – nil closing balance",IF(M723&gt;Summary!$C$5,"Above Materiality","Below Materiality"))</f>
        <v>Excluded – nil closing balance</v>
      </c>
      <c r="Q723" s="20" t="str">
        <f aca="false">IF(P723="Below Materiality",T723,"")</f>
        <v/>
      </c>
      <c r="R723" s="21" t="str">
        <f aca="false">IF(P723="Above Materiality",COUNTIFS($O$2:$O$1092,O723,$P$2:$P$1092,"Above Materiality",$M$2:$M$1092,"&gt;"&amp;M723)+COUNTIFS($O$2:$O$1092,O723,$P$2:$P$1092,"Above Materiality",$M$2:$M$1092,M723,$A$2:$A$1092,"&lt;"&amp;A723)+1,"")</f>
        <v/>
      </c>
      <c r="S723" s="21" t="str">
        <f aca="false">IF(P723&lt;&gt;"Below Materiality","",IF(Summary!$C$9="Random",COUNTIFS($O$2:$O$1092,O723,$Q$2:$Q$1092,"&gt;"&amp;Q723)+1,COUNTIFS($O$2:$O$1092,O723,$P$2:$P$1092,"Below Materiality",$M$2:$M$1092,"&gt;"&amp;M723)+COUNTIFS($O$2:$O$1092,O723,$P$2:$P$1092,"Below Materiality",$M$2:$M$1092,M723,$A$2:$A$1092,"&lt;"&amp;A723)+1))</f>
        <v/>
      </c>
      <c r="T723" s="22"/>
      <c r="U723" s="21" t="str">
        <f aca="false">IF(R723="","",O723&amp;"|A|"&amp;R723)</f>
        <v/>
      </c>
      <c r="V723" s="21" t="str">
        <f aca="false">IF(S723="","",O723&amp;"|R|"&amp;S723)</f>
        <v/>
      </c>
    </row>
    <row r="724" customFormat="false" ht="15" hidden="false" customHeight="false" outlineLevel="0" collapsed="false">
      <c r="A724" s="18" t="n">
        <v>723</v>
      </c>
      <c r="B724" s="18"/>
      <c r="C724" s="18"/>
      <c r="D724" s="18"/>
      <c r="E724" s="18" t="s">
        <v>1438</v>
      </c>
      <c r="F724" s="18" t="s">
        <v>474</v>
      </c>
      <c r="G724" s="18" t="s">
        <v>74</v>
      </c>
      <c r="H724" s="18" t="n">
        <v>517</v>
      </c>
      <c r="I724" s="19" t="n">
        <v>0</v>
      </c>
      <c r="J724" s="19" t="n">
        <v>115</v>
      </c>
      <c r="K724" s="19" t="n">
        <v>115</v>
      </c>
      <c r="L724" s="19" t="n">
        <v>0</v>
      </c>
      <c r="M724" s="19" t="n">
        <f aca="false">ABS(L724)</f>
        <v>0</v>
      </c>
      <c r="N724" s="18" t="str">
        <f aca="false">IF(L724=0,"Nil balance",IF(G724="AR file",IF(L724&gt;0,"Accounts Receivable","Customer Advances"),IF(L724&lt;0,"Accounts Payable","Supplier Advances")))</f>
        <v>Nil balance</v>
      </c>
      <c r="O724" s="18" t="str">
        <f aca="false">IF(L724=0,"Excluded",IF(Summary!$C$4="By ledger",IF(G724="AR file","Population 1","Population 2"),IF(L724&gt;0,"Population 1","Population 2")))</f>
        <v>Excluded</v>
      </c>
      <c r="P724" s="18" t="str">
        <f aca="false">IF(O724="Excluded","Excluded – nil closing balance",IF(M724&gt;Summary!$C$5,"Above Materiality","Below Materiality"))</f>
        <v>Excluded – nil closing balance</v>
      </c>
      <c r="Q724" s="20" t="str">
        <f aca="false">IF(P724="Below Materiality",T724,"")</f>
        <v/>
      </c>
      <c r="R724" s="21" t="str">
        <f aca="false">IF(P724="Above Materiality",COUNTIFS($O$2:$O$1092,O724,$P$2:$P$1092,"Above Materiality",$M$2:$M$1092,"&gt;"&amp;M724)+COUNTIFS($O$2:$O$1092,O724,$P$2:$P$1092,"Above Materiality",$M$2:$M$1092,M724,$A$2:$A$1092,"&lt;"&amp;A724)+1,"")</f>
        <v/>
      </c>
      <c r="S724" s="21" t="str">
        <f aca="false">IF(P724&lt;&gt;"Below Materiality","",IF(Summary!$C$9="Random",COUNTIFS($O$2:$O$1092,O724,$Q$2:$Q$1092,"&gt;"&amp;Q724)+1,COUNTIFS($O$2:$O$1092,O724,$P$2:$P$1092,"Below Materiality",$M$2:$M$1092,"&gt;"&amp;M724)+COUNTIFS($O$2:$O$1092,O724,$P$2:$P$1092,"Below Materiality",$M$2:$M$1092,M724,$A$2:$A$1092,"&lt;"&amp;A724)+1))</f>
        <v/>
      </c>
      <c r="T724" s="22"/>
      <c r="U724" s="21" t="str">
        <f aca="false">IF(R724="","",O724&amp;"|A|"&amp;R724)</f>
        <v/>
      </c>
      <c r="V724" s="21" t="str">
        <f aca="false">IF(S724="","",O724&amp;"|R|"&amp;S724)</f>
        <v/>
      </c>
    </row>
    <row r="725" customFormat="false" ht="15" hidden="false" customHeight="false" outlineLevel="0" collapsed="false">
      <c r="A725" s="18" t="n">
        <v>724</v>
      </c>
      <c r="B725" s="18"/>
      <c r="C725" s="18"/>
      <c r="D725" s="18"/>
      <c r="E725" s="18" t="s">
        <v>1439</v>
      </c>
      <c r="F725" s="18" t="s">
        <v>1418</v>
      </c>
      <c r="G725" s="18" t="s">
        <v>74</v>
      </c>
      <c r="H725" s="18" t="n">
        <v>518</v>
      </c>
      <c r="I725" s="19" t="n">
        <v>0</v>
      </c>
      <c r="J725" s="19" t="n">
        <v>776.25</v>
      </c>
      <c r="K725" s="19" t="n">
        <v>776.25</v>
      </c>
      <c r="L725" s="19" t="n">
        <v>0</v>
      </c>
      <c r="M725" s="19" t="n">
        <f aca="false">ABS(L725)</f>
        <v>0</v>
      </c>
      <c r="N725" s="18" t="str">
        <f aca="false">IF(L725=0,"Nil balance",IF(G725="AR file",IF(L725&gt;0,"Accounts Receivable","Customer Advances"),IF(L725&lt;0,"Accounts Payable","Supplier Advances")))</f>
        <v>Nil balance</v>
      </c>
      <c r="O725" s="18" t="str">
        <f aca="false">IF(L725=0,"Excluded",IF(Summary!$C$4="By ledger",IF(G725="AR file","Population 1","Population 2"),IF(L725&gt;0,"Population 1","Population 2")))</f>
        <v>Excluded</v>
      </c>
      <c r="P725" s="18" t="str">
        <f aca="false">IF(O725="Excluded","Excluded – nil closing balance",IF(M725&gt;Summary!$C$5,"Above Materiality","Below Materiality"))</f>
        <v>Excluded – nil closing balance</v>
      </c>
      <c r="Q725" s="20" t="str">
        <f aca="false">IF(P725="Below Materiality",T725,"")</f>
        <v/>
      </c>
      <c r="R725" s="21" t="str">
        <f aca="false">IF(P725="Above Materiality",COUNTIFS($O$2:$O$1092,O725,$P$2:$P$1092,"Above Materiality",$M$2:$M$1092,"&gt;"&amp;M725)+COUNTIFS($O$2:$O$1092,O725,$P$2:$P$1092,"Above Materiality",$M$2:$M$1092,M725,$A$2:$A$1092,"&lt;"&amp;A725)+1,"")</f>
        <v/>
      </c>
      <c r="S725" s="21" t="str">
        <f aca="false">IF(P725&lt;&gt;"Below Materiality","",IF(Summary!$C$9="Random",COUNTIFS($O$2:$O$1092,O725,$Q$2:$Q$1092,"&gt;"&amp;Q725)+1,COUNTIFS($O$2:$O$1092,O725,$P$2:$P$1092,"Below Materiality",$M$2:$M$1092,"&gt;"&amp;M725)+COUNTIFS($O$2:$O$1092,O725,$P$2:$P$1092,"Below Materiality",$M$2:$M$1092,M725,$A$2:$A$1092,"&lt;"&amp;A725)+1))</f>
        <v/>
      </c>
      <c r="T725" s="22"/>
      <c r="U725" s="21" t="str">
        <f aca="false">IF(R725="","",O725&amp;"|A|"&amp;R725)</f>
        <v/>
      </c>
      <c r="V725" s="21" t="str">
        <f aca="false">IF(S725="","",O725&amp;"|R|"&amp;S725)</f>
        <v/>
      </c>
    </row>
    <row r="726" customFormat="false" ht="15" hidden="false" customHeight="false" outlineLevel="0" collapsed="false">
      <c r="A726" s="18" t="n">
        <v>725</v>
      </c>
      <c r="B726" s="18"/>
      <c r="C726" s="18"/>
      <c r="D726" s="18"/>
      <c r="E726" s="18" t="s">
        <v>1440</v>
      </c>
      <c r="F726" s="18" t="s">
        <v>1441</v>
      </c>
      <c r="G726" s="18" t="s">
        <v>74</v>
      </c>
      <c r="H726" s="18" t="n">
        <v>519</v>
      </c>
      <c r="I726" s="19" t="n">
        <v>0</v>
      </c>
      <c r="J726" s="19" t="n">
        <v>14685.5</v>
      </c>
      <c r="K726" s="19" t="n">
        <v>14685.5</v>
      </c>
      <c r="L726" s="19" t="n">
        <v>0</v>
      </c>
      <c r="M726" s="19" t="n">
        <f aca="false">ABS(L726)</f>
        <v>0</v>
      </c>
      <c r="N726" s="18" t="str">
        <f aca="false">IF(L726=0,"Nil balance",IF(G726="AR file",IF(L726&gt;0,"Accounts Receivable","Customer Advances"),IF(L726&lt;0,"Accounts Payable","Supplier Advances")))</f>
        <v>Nil balance</v>
      </c>
      <c r="O726" s="18" t="str">
        <f aca="false">IF(L726=0,"Excluded",IF(Summary!$C$4="By ledger",IF(G726="AR file","Population 1","Population 2"),IF(L726&gt;0,"Population 1","Population 2")))</f>
        <v>Excluded</v>
      </c>
      <c r="P726" s="18" t="str">
        <f aca="false">IF(O726="Excluded","Excluded – nil closing balance",IF(M726&gt;Summary!$C$5,"Above Materiality","Below Materiality"))</f>
        <v>Excluded – nil closing balance</v>
      </c>
      <c r="Q726" s="20" t="str">
        <f aca="false">IF(P726="Below Materiality",T726,"")</f>
        <v/>
      </c>
      <c r="R726" s="21" t="str">
        <f aca="false">IF(P726="Above Materiality",COUNTIFS($O$2:$O$1092,O726,$P$2:$P$1092,"Above Materiality",$M$2:$M$1092,"&gt;"&amp;M726)+COUNTIFS($O$2:$O$1092,O726,$P$2:$P$1092,"Above Materiality",$M$2:$M$1092,M726,$A$2:$A$1092,"&lt;"&amp;A726)+1,"")</f>
        <v/>
      </c>
      <c r="S726" s="21" t="str">
        <f aca="false">IF(P726&lt;&gt;"Below Materiality","",IF(Summary!$C$9="Random",COUNTIFS($O$2:$O$1092,O726,$Q$2:$Q$1092,"&gt;"&amp;Q726)+1,COUNTIFS($O$2:$O$1092,O726,$P$2:$P$1092,"Below Materiality",$M$2:$M$1092,"&gt;"&amp;M726)+COUNTIFS($O$2:$O$1092,O726,$P$2:$P$1092,"Below Materiality",$M$2:$M$1092,M726,$A$2:$A$1092,"&lt;"&amp;A726)+1))</f>
        <v/>
      </c>
      <c r="T726" s="22"/>
      <c r="U726" s="21" t="str">
        <f aca="false">IF(R726="","",O726&amp;"|A|"&amp;R726)</f>
        <v/>
      </c>
      <c r="V726" s="21" t="str">
        <f aca="false">IF(S726="","",O726&amp;"|R|"&amp;S726)</f>
        <v/>
      </c>
    </row>
    <row r="727" customFormat="false" ht="15" hidden="false" customHeight="false" outlineLevel="0" collapsed="false">
      <c r="A727" s="18" t="n">
        <v>726</v>
      </c>
      <c r="B727" s="18"/>
      <c r="C727" s="18"/>
      <c r="D727" s="18"/>
      <c r="E727" s="18" t="s">
        <v>1442</v>
      </c>
      <c r="F727" s="18" t="s">
        <v>530</v>
      </c>
      <c r="G727" s="18" t="s">
        <v>74</v>
      </c>
      <c r="H727" s="18" t="n">
        <v>520</v>
      </c>
      <c r="I727" s="19" t="n">
        <v>0</v>
      </c>
      <c r="J727" s="19" t="n">
        <v>511.75</v>
      </c>
      <c r="K727" s="19" t="n">
        <v>511.75</v>
      </c>
      <c r="L727" s="19" t="n">
        <v>0</v>
      </c>
      <c r="M727" s="19" t="n">
        <f aca="false">ABS(L727)</f>
        <v>0</v>
      </c>
      <c r="N727" s="18" t="str">
        <f aca="false">IF(L727=0,"Nil balance",IF(G727="AR file",IF(L727&gt;0,"Accounts Receivable","Customer Advances"),IF(L727&lt;0,"Accounts Payable","Supplier Advances")))</f>
        <v>Nil balance</v>
      </c>
      <c r="O727" s="18" t="str">
        <f aca="false">IF(L727=0,"Excluded",IF(Summary!$C$4="By ledger",IF(G727="AR file","Population 1","Population 2"),IF(L727&gt;0,"Population 1","Population 2")))</f>
        <v>Excluded</v>
      </c>
      <c r="P727" s="18" t="str">
        <f aca="false">IF(O727="Excluded","Excluded – nil closing balance",IF(M727&gt;Summary!$C$5,"Above Materiality","Below Materiality"))</f>
        <v>Excluded – nil closing balance</v>
      </c>
      <c r="Q727" s="20" t="str">
        <f aca="false">IF(P727="Below Materiality",T727,"")</f>
        <v/>
      </c>
      <c r="R727" s="21" t="str">
        <f aca="false">IF(P727="Above Materiality",COUNTIFS($O$2:$O$1092,O727,$P$2:$P$1092,"Above Materiality",$M$2:$M$1092,"&gt;"&amp;M727)+COUNTIFS($O$2:$O$1092,O727,$P$2:$P$1092,"Above Materiality",$M$2:$M$1092,M727,$A$2:$A$1092,"&lt;"&amp;A727)+1,"")</f>
        <v/>
      </c>
      <c r="S727" s="21" t="str">
        <f aca="false">IF(P727&lt;&gt;"Below Materiality","",IF(Summary!$C$9="Random",COUNTIFS($O$2:$O$1092,O727,$Q$2:$Q$1092,"&gt;"&amp;Q727)+1,COUNTIFS($O$2:$O$1092,O727,$P$2:$P$1092,"Below Materiality",$M$2:$M$1092,"&gt;"&amp;M727)+COUNTIFS($O$2:$O$1092,O727,$P$2:$P$1092,"Below Materiality",$M$2:$M$1092,M727,$A$2:$A$1092,"&lt;"&amp;A727)+1))</f>
        <v/>
      </c>
      <c r="T727" s="22"/>
      <c r="U727" s="21" t="str">
        <f aca="false">IF(R727="","",O727&amp;"|A|"&amp;R727)</f>
        <v/>
      </c>
      <c r="V727" s="21" t="str">
        <f aca="false">IF(S727="","",O727&amp;"|R|"&amp;S727)</f>
        <v/>
      </c>
    </row>
    <row r="728" customFormat="false" ht="15" hidden="false" customHeight="false" outlineLevel="0" collapsed="false">
      <c r="A728" s="18" t="n">
        <v>727</v>
      </c>
      <c r="B728" s="18"/>
      <c r="C728" s="18"/>
      <c r="D728" s="18"/>
      <c r="E728" s="18" t="s">
        <v>1443</v>
      </c>
      <c r="F728" s="18" t="s">
        <v>398</v>
      </c>
      <c r="G728" s="18" t="s">
        <v>74</v>
      </c>
      <c r="H728" s="18" t="n">
        <v>521</v>
      </c>
      <c r="I728" s="19" t="n">
        <v>0</v>
      </c>
      <c r="J728" s="19" t="n">
        <v>517.5</v>
      </c>
      <c r="K728" s="19" t="n">
        <v>517.5</v>
      </c>
      <c r="L728" s="19" t="n">
        <v>0</v>
      </c>
      <c r="M728" s="19" t="n">
        <f aca="false">ABS(L728)</f>
        <v>0</v>
      </c>
      <c r="N728" s="18" t="str">
        <f aca="false">IF(L728=0,"Nil balance",IF(G728="AR file",IF(L728&gt;0,"Accounts Receivable","Customer Advances"),IF(L728&lt;0,"Accounts Payable","Supplier Advances")))</f>
        <v>Nil balance</v>
      </c>
      <c r="O728" s="18" t="str">
        <f aca="false">IF(L728=0,"Excluded",IF(Summary!$C$4="By ledger",IF(G728="AR file","Population 1","Population 2"),IF(L728&gt;0,"Population 1","Population 2")))</f>
        <v>Excluded</v>
      </c>
      <c r="P728" s="18" t="str">
        <f aca="false">IF(O728="Excluded","Excluded – nil closing balance",IF(M728&gt;Summary!$C$5,"Above Materiality","Below Materiality"))</f>
        <v>Excluded – nil closing balance</v>
      </c>
      <c r="Q728" s="20" t="str">
        <f aca="false">IF(P728="Below Materiality",T728,"")</f>
        <v/>
      </c>
      <c r="R728" s="21" t="str">
        <f aca="false">IF(P728="Above Materiality",COUNTIFS($O$2:$O$1092,O728,$P$2:$P$1092,"Above Materiality",$M$2:$M$1092,"&gt;"&amp;M728)+COUNTIFS($O$2:$O$1092,O728,$P$2:$P$1092,"Above Materiality",$M$2:$M$1092,M728,$A$2:$A$1092,"&lt;"&amp;A728)+1,"")</f>
        <v/>
      </c>
      <c r="S728" s="21" t="str">
        <f aca="false">IF(P728&lt;&gt;"Below Materiality","",IF(Summary!$C$9="Random",COUNTIFS($O$2:$O$1092,O728,$Q$2:$Q$1092,"&gt;"&amp;Q728)+1,COUNTIFS($O$2:$O$1092,O728,$P$2:$P$1092,"Below Materiality",$M$2:$M$1092,"&gt;"&amp;M728)+COUNTIFS($O$2:$O$1092,O728,$P$2:$P$1092,"Below Materiality",$M$2:$M$1092,M728,$A$2:$A$1092,"&lt;"&amp;A728)+1))</f>
        <v/>
      </c>
      <c r="T728" s="22"/>
      <c r="U728" s="21" t="str">
        <f aca="false">IF(R728="","",O728&amp;"|A|"&amp;R728)</f>
        <v/>
      </c>
      <c r="V728" s="21" t="str">
        <f aca="false">IF(S728="","",O728&amp;"|R|"&amp;S728)</f>
        <v/>
      </c>
    </row>
    <row r="729" customFormat="false" ht="15" hidden="false" customHeight="false" outlineLevel="0" collapsed="false">
      <c r="A729" s="18" t="n">
        <v>728</v>
      </c>
      <c r="B729" s="18"/>
      <c r="C729" s="18"/>
      <c r="D729" s="18"/>
      <c r="E729" s="18" t="s">
        <v>1444</v>
      </c>
      <c r="F729" s="18" t="s">
        <v>1445</v>
      </c>
      <c r="G729" s="18" t="s">
        <v>74</v>
      </c>
      <c r="H729" s="18" t="n">
        <v>523</v>
      </c>
      <c r="I729" s="19" t="n">
        <v>0</v>
      </c>
      <c r="J729" s="19" t="n">
        <v>120.75</v>
      </c>
      <c r="K729" s="19" t="n">
        <v>120.75</v>
      </c>
      <c r="L729" s="19" t="n">
        <v>0</v>
      </c>
      <c r="M729" s="19" t="n">
        <f aca="false">ABS(L729)</f>
        <v>0</v>
      </c>
      <c r="N729" s="18" t="str">
        <f aca="false">IF(L729=0,"Nil balance",IF(G729="AR file",IF(L729&gt;0,"Accounts Receivable","Customer Advances"),IF(L729&lt;0,"Accounts Payable","Supplier Advances")))</f>
        <v>Nil balance</v>
      </c>
      <c r="O729" s="18" t="str">
        <f aca="false">IF(L729=0,"Excluded",IF(Summary!$C$4="By ledger",IF(G729="AR file","Population 1","Population 2"),IF(L729&gt;0,"Population 1","Population 2")))</f>
        <v>Excluded</v>
      </c>
      <c r="P729" s="18" t="str">
        <f aca="false">IF(O729="Excluded","Excluded – nil closing balance",IF(M729&gt;Summary!$C$5,"Above Materiality","Below Materiality"))</f>
        <v>Excluded – nil closing balance</v>
      </c>
      <c r="Q729" s="20" t="str">
        <f aca="false">IF(P729="Below Materiality",T729,"")</f>
        <v/>
      </c>
      <c r="R729" s="21" t="str">
        <f aca="false">IF(P729="Above Materiality",COUNTIFS($O$2:$O$1092,O729,$P$2:$P$1092,"Above Materiality",$M$2:$M$1092,"&gt;"&amp;M729)+COUNTIFS($O$2:$O$1092,O729,$P$2:$P$1092,"Above Materiality",$M$2:$M$1092,M729,$A$2:$A$1092,"&lt;"&amp;A729)+1,"")</f>
        <v/>
      </c>
      <c r="S729" s="21" t="str">
        <f aca="false">IF(P729&lt;&gt;"Below Materiality","",IF(Summary!$C$9="Random",COUNTIFS($O$2:$O$1092,O729,$Q$2:$Q$1092,"&gt;"&amp;Q729)+1,COUNTIFS($O$2:$O$1092,O729,$P$2:$P$1092,"Below Materiality",$M$2:$M$1092,"&gt;"&amp;M729)+COUNTIFS($O$2:$O$1092,O729,$P$2:$P$1092,"Below Materiality",$M$2:$M$1092,M729,$A$2:$A$1092,"&lt;"&amp;A729)+1))</f>
        <v/>
      </c>
      <c r="T729" s="22"/>
      <c r="U729" s="21" t="str">
        <f aca="false">IF(R729="","",O729&amp;"|A|"&amp;R729)</f>
        <v/>
      </c>
      <c r="V729" s="21" t="str">
        <f aca="false">IF(S729="","",O729&amp;"|R|"&amp;S729)</f>
        <v/>
      </c>
    </row>
    <row r="730" customFormat="false" ht="15" hidden="false" customHeight="false" outlineLevel="0" collapsed="false">
      <c r="A730" s="18" t="n">
        <v>729</v>
      </c>
      <c r="B730" s="18"/>
      <c r="C730" s="18"/>
      <c r="D730" s="18"/>
      <c r="E730" s="18" t="s">
        <v>1446</v>
      </c>
      <c r="F730" s="18" t="s">
        <v>1447</v>
      </c>
      <c r="G730" s="18" t="s">
        <v>74</v>
      </c>
      <c r="H730" s="18" t="n">
        <v>524</v>
      </c>
      <c r="I730" s="19" t="n">
        <v>0</v>
      </c>
      <c r="J730" s="19" t="n">
        <v>945</v>
      </c>
      <c r="K730" s="19" t="n">
        <v>945</v>
      </c>
      <c r="L730" s="19" t="n">
        <v>0</v>
      </c>
      <c r="M730" s="19" t="n">
        <f aca="false">ABS(L730)</f>
        <v>0</v>
      </c>
      <c r="N730" s="18" t="str">
        <f aca="false">IF(L730=0,"Nil balance",IF(G730="AR file",IF(L730&gt;0,"Accounts Receivable","Customer Advances"),IF(L730&lt;0,"Accounts Payable","Supplier Advances")))</f>
        <v>Nil balance</v>
      </c>
      <c r="O730" s="18" t="str">
        <f aca="false">IF(L730=0,"Excluded",IF(Summary!$C$4="By ledger",IF(G730="AR file","Population 1","Population 2"),IF(L730&gt;0,"Population 1","Population 2")))</f>
        <v>Excluded</v>
      </c>
      <c r="P730" s="18" t="str">
        <f aca="false">IF(O730="Excluded","Excluded – nil closing balance",IF(M730&gt;Summary!$C$5,"Above Materiality","Below Materiality"))</f>
        <v>Excluded – nil closing balance</v>
      </c>
      <c r="Q730" s="20" t="str">
        <f aca="false">IF(P730="Below Materiality",T730,"")</f>
        <v/>
      </c>
      <c r="R730" s="21" t="str">
        <f aca="false">IF(P730="Above Materiality",COUNTIFS($O$2:$O$1092,O730,$P$2:$P$1092,"Above Materiality",$M$2:$M$1092,"&gt;"&amp;M730)+COUNTIFS($O$2:$O$1092,O730,$P$2:$P$1092,"Above Materiality",$M$2:$M$1092,M730,$A$2:$A$1092,"&lt;"&amp;A730)+1,"")</f>
        <v/>
      </c>
      <c r="S730" s="21" t="str">
        <f aca="false">IF(P730&lt;&gt;"Below Materiality","",IF(Summary!$C$9="Random",COUNTIFS($O$2:$O$1092,O730,$Q$2:$Q$1092,"&gt;"&amp;Q730)+1,COUNTIFS($O$2:$O$1092,O730,$P$2:$P$1092,"Below Materiality",$M$2:$M$1092,"&gt;"&amp;M730)+COUNTIFS($O$2:$O$1092,O730,$P$2:$P$1092,"Below Materiality",$M$2:$M$1092,M730,$A$2:$A$1092,"&lt;"&amp;A730)+1))</f>
        <v/>
      </c>
      <c r="T730" s="22"/>
      <c r="U730" s="21" t="str">
        <f aca="false">IF(R730="","",O730&amp;"|A|"&amp;R730)</f>
        <v/>
      </c>
      <c r="V730" s="21" t="str">
        <f aca="false">IF(S730="","",O730&amp;"|R|"&amp;S730)</f>
        <v/>
      </c>
    </row>
    <row r="731" customFormat="false" ht="15" hidden="false" customHeight="false" outlineLevel="0" collapsed="false">
      <c r="A731" s="18" t="n">
        <v>730</v>
      </c>
      <c r="B731" s="18"/>
      <c r="C731" s="18"/>
      <c r="D731" s="18"/>
      <c r="E731" s="18" t="s">
        <v>1448</v>
      </c>
      <c r="F731" s="18" t="s">
        <v>1449</v>
      </c>
      <c r="G731" s="18" t="s">
        <v>74</v>
      </c>
      <c r="H731" s="18" t="n">
        <v>525</v>
      </c>
      <c r="I731" s="19" t="n">
        <v>0</v>
      </c>
      <c r="J731" s="19" t="n">
        <v>2676</v>
      </c>
      <c r="K731" s="19" t="n">
        <v>2676</v>
      </c>
      <c r="L731" s="19" t="n">
        <v>0</v>
      </c>
      <c r="M731" s="19" t="n">
        <f aca="false">ABS(L731)</f>
        <v>0</v>
      </c>
      <c r="N731" s="18" t="str">
        <f aca="false">IF(L731=0,"Nil balance",IF(G731="AR file",IF(L731&gt;0,"Accounts Receivable","Customer Advances"),IF(L731&lt;0,"Accounts Payable","Supplier Advances")))</f>
        <v>Nil balance</v>
      </c>
      <c r="O731" s="18" t="str">
        <f aca="false">IF(L731=0,"Excluded",IF(Summary!$C$4="By ledger",IF(G731="AR file","Population 1","Population 2"),IF(L731&gt;0,"Population 1","Population 2")))</f>
        <v>Excluded</v>
      </c>
      <c r="P731" s="18" t="str">
        <f aca="false">IF(O731="Excluded","Excluded – nil closing balance",IF(M731&gt;Summary!$C$5,"Above Materiality","Below Materiality"))</f>
        <v>Excluded – nil closing balance</v>
      </c>
      <c r="Q731" s="20" t="str">
        <f aca="false">IF(P731="Below Materiality",T731,"")</f>
        <v/>
      </c>
      <c r="R731" s="21" t="str">
        <f aca="false">IF(P731="Above Materiality",COUNTIFS($O$2:$O$1092,O731,$P$2:$P$1092,"Above Materiality",$M$2:$M$1092,"&gt;"&amp;M731)+COUNTIFS($O$2:$O$1092,O731,$P$2:$P$1092,"Above Materiality",$M$2:$M$1092,M731,$A$2:$A$1092,"&lt;"&amp;A731)+1,"")</f>
        <v/>
      </c>
      <c r="S731" s="21" t="str">
        <f aca="false">IF(P731&lt;&gt;"Below Materiality","",IF(Summary!$C$9="Random",COUNTIFS($O$2:$O$1092,O731,$Q$2:$Q$1092,"&gt;"&amp;Q731)+1,COUNTIFS($O$2:$O$1092,O731,$P$2:$P$1092,"Below Materiality",$M$2:$M$1092,"&gt;"&amp;M731)+COUNTIFS($O$2:$O$1092,O731,$P$2:$P$1092,"Below Materiality",$M$2:$M$1092,M731,$A$2:$A$1092,"&lt;"&amp;A731)+1))</f>
        <v/>
      </c>
      <c r="T731" s="22"/>
      <c r="U731" s="21" t="str">
        <f aca="false">IF(R731="","",O731&amp;"|A|"&amp;R731)</f>
        <v/>
      </c>
      <c r="V731" s="21" t="str">
        <f aca="false">IF(S731="","",O731&amp;"|R|"&amp;S731)</f>
        <v/>
      </c>
    </row>
    <row r="732" customFormat="false" ht="15" hidden="false" customHeight="false" outlineLevel="0" collapsed="false">
      <c r="A732" s="18" t="n">
        <v>731</v>
      </c>
      <c r="B732" s="18"/>
      <c r="C732" s="18"/>
      <c r="D732" s="18"/>
      <c r="E732" s="18" t="s">
        <v>1450</v>
      </c>
      <c r="F732" s="18" t="s">
        <v>1451</v>
      </c>
      <c r="G732" s="18" t="s">
        <v>74</v>
      </c>
      <c r="H732" s="18" t="n">
        <v>526</v>
      </c>
      <c r="I732" s="19" t="n">
        <v>0</v>
      </c>
      <c r="J732" s="19" t="n">
        <v>13450</v>
      </c>
      <c r="K732" s="19" t="n">
        <v>13450</v>
      </c>
      <c r="L732" s="19" t="n">
        <v>0</v>
      </c>
      <c r="M732" s="19" t="n">
        <f aca="false">ABS(L732)</f>
        <v>0</v>
      </c>
      <c r="N732" s="18" t="str">
        <f aca="false">IF(L732=0,"Nil balance",IF(G732="AR file",IF(L732&gt;0,"Accounts Receivable","Customer Advances"),IF(L732&lt;0,"Accounts Payable","Supplier Advances")))</f>
        <v>Nil balance</v>
      </c>
      <c r="O732" s="18" t="str">
        <f aca="false">IF(L732=0,"Excluded",IF(Summary!$C$4="By ledger",IF(G732="AR file","Population 1","Population 2"),IF(L732&gt;0,"Population 1","Population 2")))</f>
        <v>Excluded</v>
      </c>
      <c r="P732" s="18" t="str">
        <f aca="false">IF(O732="Excluded","Excluded – nil closing balance",IF(M732&gt;Summary!$C$5,"Above Materiality","Below Materiality"))</f>
        <v>Excluded – nil closing balance</v>
      </c>
      <c r="Q732" s="20" t="str">
        <f aca="false">IF(P732="Below Materiality",T732,"")</f>
        <v/>
      </c>
      <c r="R732" s="21" t="str">
        <f aca="false">IF(P732="Above Materiality",COUNTIFS($O$2:$O$1092,O732,$P$2:$P$1092,"Above Materiality",$M$2:$M$1092,"&gt;"&amp;M732)+COUNTIFS($O$2:$O$1092,O732,$P$2:$P$1092,"Above Materiality",$M$2:$M$1092,M732,$A$2:$A$1092,"&lt;"&amp;A732)+1,"")</f>
        <v/>
      </c>
      <c r="S732" s="21" t="str">
        <f aca="false">IF(P732&lt;&gt;"Below Materiality","",IF(Summary!$C$9="Random",COUNTIFS($O$2:$O$1092,O732,$Q$2:$Q$1092,"&gt;"&amp;Q732)+1,COUNTIFS($O$2:$O$1092,O732,$P$2:$P$1092,"Below Materiality",$M$2:$M$1092,"&gt;"&amp;M732)+COUNTIFS($O$2:$O$1092,O732,$P$2:$P$1092,"Below Materiality",$M$2:$M$1092,M732,$A$2:$A$1092,"&lt;"&amp;A732)+1))</f>
        <v/>
      </c>
      <c r="T732" s="22"/>
      <c r="U732" s="21" t="str">
        <f aca="false">IF(R732="","",O732&amp;"|A|"&amp;R732)</f>
        <v/>
      </c>
      <c r="V732" s="21" t="str">
        <f aca="false">IF(S732="","",O732&amp;"|R|"&amp;S732)</f>
        <v/>
      </c>
    </row>
    <row r="733" customFormat="false" ht="15" hidden="false" customHeight="false" outlineLevel="0" collapsed="false">
      <c r="A733" s="18" t="n">
        <v>732</v>
      </c>
      <c r="B733" s="18"/>
      <c r="C733" s="18"/>
      <c r="D733" s="18"/>
      <c r="E733" s="18" t="s">
        <v>1452</v>
      </c>
      <c r="F733" s="18" t="s">
        <v>1394</v>
      </c>
      <c r="G733" s="18" t="s">
        <v>74</v>
      </c>
      <c r="H733" s="18" t="n">
        <v>527</v>
      </c>
      <c r="I733" s="19" t="n">
        <v>0</v>
      </c>
      <c r="J733" s="19" t="n">
        <v>805</v>
      </c>
      <c r="K733" s="19" t="n">
        <v>805</v>
      </c>
      <c r="L733" s="19" t="n">
        <v>0</v>
      </c>
      <c r="M733" s="19" t="n">
        <f aca="false">ABS(L733)</f>
        <v>0</v>
      </c>
      <c r="N733" s="18" t="str">
        <f aca="false">IF(L733=0,"Nil balance",IF(G733="AR file",IF(L733&gt;0,"Accounts Receivable","Customer Advances"),IF(L733&lt;0,"Accounts Payable","Supplier Advances")))</f>
        <v>Nil balance</v>
      </c>
      <c r="O733" s="18" t="str">
        <f aca="false">IF(L733=0,"Excluded",IF(Summary!$C$4="By ledger",IF(G733="AR file","Population 1","Population 2"),IF(L733&gt;0,"Population 1","Population 2")))</f>
        <v>Excluded</v>
      </c>
      <c r="P733" s="18" t="str">
        <f aca="false">IF(O733="Excluded","Excluded – nil closing balance",IF(M733&gt;Summary!$C$5,"Above Materiality","Below Materiality"))</f>
        <v>Excluded – nil closing balance</v>
      </c>
      <c r="Q733" s="20" t="str">
        <f aca="false">IF(P733="Below Materiality",T733,"")</f>
        <v/>
      </c>
      <c r="R733" s="21" t="str">
        <f aca="false">IF(P733="Above Materiality",COUNTIFS($O$2:$O$1092,O733,$P$2:$P$1092,"Above Materiality",$M$2:$M$1092,"&gt;"&amp;M733)+COUNTIFS($O$2:$O$1092,O733,$P$2:$P$1092,"Above Materiality",$M$2:$M$1092,M733,$A$2:$A$1092,"&lt;"&amp;A733)+1,"")</f>
        <v/>
      </c>
      <c r="S733" s="21" t="str">
        <f aca="false">IF(P733&lt;&gt;"Below Materiality","",IF(Summary!$C$9="Random",COUNTIFS($O$2:$O$1092,O733,$Q$2:$Q$1092,"&gt;"&amp;Q733)+1,COUNTIFS($O$2:$O$1092,O733,$P$2:$P$1092,"Below Materiality",$M$2:$M$1092,"&gt;"&amp;M733)+COUNTIFS($O$2:$O$1092,O733,$P$2:$P$1092,"Below Materiality",$M$2:$M$1092,M733,$A$2:$A$1092,"&lt;"&amp;A733)+1))</f>
        <v/>
      </c>
      <c r="T733" s="22"/>
      <c r="U733" s="21" t="str">
        <f aca="false">IF(R733="","",O733&amp;"|A|"&amp;R733)</f>
        <v/>
      </c>
      <c r="V733" s="21" t="str">
        <f aca="false">IF(S733="","",O733&amp;"|R|"&amp;S733)</f>
        <v/>
      </c>
    </row>
    <row r="734" customFormat="false" ht="15" hidden="false" customHeight="false" outlineLevel="0" collapsed="false">
      <c r="A734" s="18" t="n">
        <v>733</v>
      </c>
      <c r="B734" s="18"/>
      <c r="C734" s="18"/>
      <c r="D734" s="18"/>
      <c r="E734" s="18" t="s">
        <v>1453</v>
      </c>
      <c r="F734" s="18" t="s">
        <v>1454</v>
      </c>
      <c r="G734" s="18" t="s">
        <v>74</v>
      </c>
      <c r="H734" s="18" t="n">
        <v>528</v>
      </c>
      <c r="I734" s="19" t="n">
        <v>0</v>
      </c>
      <c r="J734" s="19" t="n">
        <v>2645</v>
      </c>
      <c r="K734" s="19" t="n">
        <v>2645</v>
      </c>
      <c r="L734" s="19" t="n">
        <v>0</v>
      </c>
      <c r="M734" s="19" t="n">
        <f aca="false">ABS(L734)</f>
        <v>0</v>
      </c>
      <c r="N734" s="18" t="str">
        <f aca="false">IF(L734=0,"Nil balance",IF(G734="AR file",IF(L734&gt;0,"Accounts Receivable","Customer Advances"),IF(L734&lt;0,"Accounts Payable","Supplier Advances")))</f>
        <v>Nil balance</v>
      </c>
      <c r="O734" s="18" t="str">
        <f aca="false">IF(L734=0,"Excluded",IF(Summary!$C$4="By ledger",IF(G734="AR file","Population 1","Population 2"),IF(L734&gt;0,"Population 1","Population 2")))</f>
        <v>Excluded</v>
      </c>
      <c r="P734" s="18" t="str">
        <f aca="false">IF(O734="Excluded","Excluded – nil closing balance",IF(M734&gt;Summary!$C$5,"Above Materiality","Below Materiality"))</f>
        <v>Excluded – nil closing balance</v>
      </c>
      <c r="Q734" s="20" t="str">
        <f aca="false">IF(P734="Below Materiality",T734,"")</f>
        <v/>
      </c>
      <c r="R734" s="21" t="str">
        <f aca="false">IF(P734="Above Materiality",COUNTIFS($O$2:$O$1092,O734,$P$2:$P$1092,"Above Materiality",$M$2:$M$1092,"&gt;"&amp;M734)+COUNTIFS($O$2:$O$1092,O734,$P$2:$P$1092,"Above Materiality",$M$2:$M$1092,M734,$A$2:$A$1092,"&lt;"&amp;A734)+1,"")</f>
        <v/>
      </c>
      <c r="S734" s="21" t="str">
        <f aca="false">IF(P734&lt;&gt;"Below Materiality","",IF(Summary!$C$9="Random",COUNTIFS($O$2:$O$1092,O734,$Q$2:$Q$1092,"&gt;"&amp;Q734)+1,COUNTIFS($O$2:$O$1092,O734,$P$2:$P$1092,"Below Materiality",$M$2:$M$1092,"&gt;"&amp;M734)+COUNTIFS($O$2:$O$1092,O734,$P$2:$P$1092,"Below Materiality",$M$2:$M$1092,M734,$A$2:$A$1092,"&lt;"&amp;A734)+1))</f>
        <v/>
      </c>
      <c r="T734" s="22"/>
      <c r="U734" s="21" t="str">
        <f aca="false">IF(R734="","",O734&amp;"|A|"&amp;R734)</f>
        <v/>
      </c>
      <c r="V734" s="21" t="str">
        <f aca="false">IF(S734="","",O734&amp;"|R|"&amp;S734)</f>
        <v/>
      </c>
    </row>
    <row r="735" customFormat="false" ht="15" hidden="false" customHeight="false" outlineLevel="0" collapsed="false">
      <c r="A735" s="18" t="n">
        <v>734</v>
      </c>
      <c r="B735" s="18"/>
      <c r="C735" s="18"/>
      <c r="D735" s="18"/>
      <c r="E735" s="18" t="s">
        <v>1455</v>
      </c>
      <c r="F735" s="18" t="s">
        <v>1456</v>
      </c>
      <c r="G735" s="18" t="s">
        <v>74</v>
      </c>
      <c r="H735" s="18" t="n">
        <v>529</v>
      </c>
      <c r="I735" s="19" t="n">
        <v>0</v>
      </c>
      <c r="J735" s="19" t="n">
        <v>26658.25</v>
      </c>
      <c r="K735" s="19" t="n">
        <v>26658.25</v>
      </c>
      <c r="L735" s="19" t="n">
        <v>0</v>
      </c>
      <c r="M735" s="19" t="n">
        <f aca="false">ABS(L735)</f>
        <v>0</v>
      </c>
      <c r="N735" s="18" t="str">
        <f aca="false">IF(L735=0,"Nil balance",IF(G735="AR file",IF(L735&gt;0,"Accounts Receivable","Customer Advances"),IF(L735&lt;0,"Accounts Payable","Supplier Advances")))</f>
        <v>Nil balance</v>
      </c>
      <c r="O735" s="18" t="str">
        <f aca="false">IF(L735=0,"Excluded",IF(Summary!$C$4="By ledger",IF(G735="AR file","Population 1","Population 2"),IF(L735&gt;0,"Population 1","Population 2")))</f>
        <v>Excluded</v>
      </c>
      <c r="P735" s="18" t="str">
        <f aca="false">IF(O735="Excluded","Excluded – nil closing balance",IF(M735&gt;Summary!$C$5,"Above Materiality","Below Materiality"))</f>
        <v>Excluded – nil closing balance</v>
      </c>
      <c r="Q735" s="20" t="str">
        <f aca="false">IF(P735="Below Materiality",T735,"")</f>
        <v/>
      </c>
      <c r="R735" s="21" t="str">
        <f aca="false">IF(P735="Above Materiality",COUNTIFS($O$2:$O$1092,O735,$P$2:$P$1092,"Above Materiality",$M$2:$M$1092,"&gt;"&amp;M735)+COUNTIFS($O$2:$O$1092,O735,$P$2:$P$1092,"Above Materiality",$M$2:$M$1092,M735,$A$2:$A$1092,"&lt;"&amp;A735)+1,"")</f>
        <v/>
      </c>
      <c r="S735" s="21" t="str">
        <f aca="false">IF(P735&lt;&gt;"Below Materiality","",IF(Summary!$C$9="Random",COUNTIFS($O$2:$O$1092,O735,$Q$2:$Q$1092,"&gt;"&amp;Q735)+1,COUNTIFS($O$2:$O$1092,O735,$P$2:$P$1092,"Below Materiality",$M$2:$M$1092,"&gt;"&amp;M735)+COUNTIFS($O$2:$O$1092,O735,$P$2:$P$1092,"Below Materiality",$M$2:$M$1092,M735,$A$2:$A$1092,"&lt;"&amp;A735)+1))</f>
        <v/>
      </c>
      <c r="T735" s="22"/>
      <c r="U735" s="21" t="str">
        <f aca="false">IF(R735="","",O735&amp;"|A|"&amp;R735)</f>
        <v/>
      </c>
      <c r="V735" s="21" t="str">
        <f aca="false">IF(S735="","",O735&amp;"|R|"&amp;S735)</f>
        <v/>
      </c>
    </row>
    <row r="736" customFormat="false" ht="15" hidden="false" customHeight="false" outlineLevel="0" collapsed="false">
      <c r="A736" s="18" t="n">
        <v>735</v>
      </c>
      <c r="B736" s="18"/>
      <c r="C736" s="18"/>
      <c r="D736" s="18"/>
      <c r="E736" s="18" t="s">
        <v>1457</v>
      </c>
      <c r="F736" s="18" t="s">
        <v>1458</v>
      </c>
      <c r="G736" s="18" t="s">
        <v>74</v>
      </c>
      <c r="H736" s="18" t="n">
        <v>530</v>
      </c>
      <c r="I736" s="19" t="n">
        <v>0</v>
      </c>
      <c r="J736" s="19" t="n">
        <v>7101.5</v>
      </c>
      <c r="K736" s="19" t="n">
        <v>7101.5</v>
      </c>
      <c r="L736" s="19" t="n">
        <v>0</v>
      </c>
      <c r="M736" s="19" t="n">
        <f aca="false">ABS(L736)</f>
        <v>0</v>
      </c>
      <c r="N736" s="18" t="str">
        <f aca="false">IF(L736=0,"Nil balance",IF(G736="AR file",IF(L736&gt;0,"Accounts Receivable","Customer Advances"),IF(L736&lt;0,"Accounts Payable","Supplier Advances")))</f>
        <v>Nil balance</v>
      </c>
      <c r="O736" s="18" t="str">
        <f aca="false">IF(L736=0,"Excluded",IF(Summary!$C$4="By ledger",IF(G736="AR file","Population 1","Population 2"),IF(L736&gt;0,"Population 1","Population 2")))</f>
        <v>Excluded</v>
      </c>
      <c r="P736" s="18" t="str">
        <f aca="false">IF(O736="Excluded","Excluded – nil closing balance",IF(M736&gt;Summary!$C$5,"Above Materiality","Below Materiality"))</f>
        <v>Excluded – nil closing balance</v>
      </c>
      <c r="Q736" s="20" t="str">
        <f aca="false">IF(P736="Below Materiality",T736,"")</f>
        <v/>
      </c>
      <c r="R736" s="21" t="str">
        <f aca="false">IF(P736="Above Materiality",COUNTIFS($O$2:$O$1092,O736,$P$2:$P$1092,"Above Materiality",$M$2:$M$1092,"&gt;"&amp;M736)+COUNTIFS($O$2:$O$1092,O736,$P$2:$P$1092,"Above Materiality",$M$2:$M$1092,M736,$A$2:$A$1092,"&lt;"&amp;A736)+1,"")</f>
        <v/>
      </c>
      <c r="S736" s="21" t="str">
        <f aca="false">IF(P736&lt;&gt;"Below Materiality","",IF(Summary!$C$9="Random",COUNTIFS($O$2:$O$1092,O736,$Q$2:$Q$1092,"&gt;"&amp;Q736)+1,COUNTIFS($O$2:$O$1092,O736,$P$2:$P$1092,"Below Materiality",$M$2:$M$1092,"&gt;"&amp;M736)+COUNTIFS($O$2:$O$1092,O736,$P$2:$P$1092,"Below Materiality",$M$2:$M$1092,M736,$A$2:$A$1092,"&lt;"&amp;A736)+1))</f>
        <v/>
      </c>
      <c r="T736" s="22"/>
      <c r="U736" s="21" t="str">
        <f aca="false">IF(R736="","",O736&amp;"|A|"&amp;R736)</f>
        <v/>
      </c>
      <c r="V736" s="21" t="str">
        <f aca="false">IF(S736="","",O736&amp;"|R|"&amp;S736)</f>
        <v/>
      </c>
    </row>
    <row r="737" customFormat="false" ht="15" hidden="false" customHeight="false" outlineLevel="0" collapsed="false">
      <c r="A737" s="18" t="n">
        <v>736</v>
      </c>
      <c r="B737" s="18"/>
      <c r="C737" s="18"/>
      <c r="D737" s="18"/>
      <c r="E737" s="18" t="s">
        <v>1459</v>
      </c>
      <c r="F737" s="18" t="s">
        <v>540</v>
      </c>
      <c r="G737" s="18" t="s">
        <v>74</v>
      </c>
      <c r="H737" s="18" t="n">
        <v>531</v>
      </c>
      <c r="I737" s="19" t="n">
        <v>0</v>
      </c>
      <c r="J737" s="19" t="n">
        <v>345</v>
      </c>
      <c r="K737" s="19" t="n">
        <v>345</v>
      </c>
      <c r="L737" s="19" t="n">
        <v>0</v>
      </c>
      <c r="M737" s="19" t="n">
        <f aca="false">ABS(L737)</f>
        <v>0</v>
      </c>
      <c r="N737" s="18" t="str">
        <f aca="false">IF(L737=0,"Nil balance",IF(G737="AR file",IF(L737&gt;0,"Accounts Receivable","Customer Advances"),IF(L737&lt;0,"Accounts Payable","Supplier Advances")))</f>
        <v>Nil balance</v>
      </c>
      <c r="O737" s="18" t="str">
        <f aca="false">IF(L737=0,"Excluded",IF(Summary!$C$4="By ledger",IF(G737="AR file","Population 1","Population 2"),IF(L737&gt;0,"Population 1","Population 2")))</f>
        <v>Excluded</v>
      </c>
      <c r="P737" s="18" t="str">
        <f aca="false">IF(O737="Excluded","Excluded – nil closing balance",IF(M737&gt;Summary!$C$5,"Above Materiality","Below Materiality"))</f>
        <v>Excluded – nil closing balance</v>
      </c>
      <c r="Q737" s="20" t="str">
        <f aca="false">IF(P737="Below Materiality",T737,"")</f>
        <v/>
      </c>
      <c r="R737" s="21" t="str">
        <f aca="false">IF(P737="Above Materiality",COUNTIFS($O$2:$O$1092,O737,$P$2:$P$1092,"Above Materiality",$M$2:$M$1092,"&gt;"&amp;M737)+COUNTIFS($O$2:$O$1092,O737,$P$2:$P$1092,"Above Materiality",$M$2:$M$1092,M737,$A$2:$A$1092,"&lt;"&amp;A737)+1,"")</f>
        <v/>
      </c>
      <c r="S737" s="21" t="str">
        <f aca="false">IF(P737&lt;&gt;"Below Materiality","",IF(Summary!$C$9="Random",COUNTIFS($O$2:$O$1092,O737,$Q$2:$Q$1092,"&gt;"&amp;Q737)+1,COUNTIFS($O$2:$O$1092,O737,$P$2:$P$1092,"Below Materiality",$M$2:$M$1092,"&gt;"&amp;M737)+COUNTIFS($O$2:$O$1092,O737,$P$2:$P$1092,"Below Materiality",$M$2:$M$1092,M737,$A$2:$A$1092,"&lt;"&amp;A737)+1))</f>
        <v/>
      </c>
      <c r="T737" s="22"/>
      <c r="U737" s="21" t="str">
        <f aca="false">IF(R737="","",O737&amp;"|A|"&amp;R737)</f>
        <v/>
      </c>
      <c r="V737" s="21" t="str">
        <f aca="false">IF(S737="","",O737&amp;"|R|"&amp;S737)</f>
        <v/>
      </c>
    </row>
    <row r="738" customFormat="false" ht="15" hidden="false" customHeight="false" outlineLevel="0" collapsed="false">
      <c r="A738" s="18" t="n">
        <v>737</v>
      </c>
      <c r="B738" s="18"/>
      <c r="C738" s="18"/>
      <c r="D738" s="18"/>
      <c r="E738" s="18" t="s">
        <v>1460</v>
      </c>
      <c r="F738" s="18" t="s">
        <v>1379</v>
      </c>
      <c r="G738" s="18" t="s">
        <v>74</v>
      </c>
      <c r="H738" s="18" t="n">
        <v>532</v>
      </c>
      <c r="I738" s="19" t="n">
        <v>0</v>
      </c>
      <c r="J738" s="19" t="n">
        <v>632.5</v>
      </c>
      <c r="K738" s="19" t="n">
        <v>632.5</v>
      </c>
      <c r="L738" s="19" t="n">
        <v>0</v>
      </c>
      <c r="M738" s="19" t="n">
        <f aca="false">ABS(L738)</f>
        <v>0</v>
      </c>
      <c r="N738" s="18" t="str">
        <f aca="false">IF(L738=0,"Nil balance",IF(G738="AR file",IF(L738&gt;0,"Accounts Receivable","Customer Advances"),IF(L738&lt;0,"Accounts Payable","Supplier Advances")))</f>
        <v>Nil balance</v>
      </c>
      <c r="O738" s="18" t="str">
        <f aca="false">IF(L738=0,"Excluded",IF(Summary!$C$4="By ledger",IF(G738="AR file","Population 1","Population 2"),IF(L738&gt;0,"Population 1","Population 2")))</f>
        <v>Excluded</v>
      </c>
      <c r="P738" s="18" t="str">
        <f aca="false">IF(O738="Excluded","Excluded – nil closing balance",IF(M738&gt;Summary!$C$5,"Above Materiality","Below Materiality"))</f>
        <v>Excluded – nil closing balance</v>
      </c>
      <c r="Q738" s="20" t="str">
        <f aca="false">IF(P738="Below Materiality",T738,"")</f>
        <v/>
      </c>
      <c r="R738" s="21" t="str">
        <f aca="false">IF(P738="Above Materiality",COUNTIFS($O$2:$O$1092,O738,$P$2:$P$1092,"Above Materiality",$M$2:$M$1092,"&gt;"&amp;M738)+COUNTIFS($O$2:$O$1092,O738,$P$2:$P$1092,"Above Materiality",$M$2:$M$1092,M738,$A$2:$A$1092,"&lt;"&amp;A738)+1,"")</f>
        <v/>
      </c>
      <c r="S738" s="21" t="str">
        <f aca="false">IF(P738&lt;&gt;"Below Materiality","",IF(Summary!$C$9="Random",COUNTIFS($O$2:$O$1092,O738,$Q$2:$Q$1092,"&gt;"&amp;Q738)+1,COUNTIFS($O$2:$O$1092,O738,$P$2:$P$1092,"Below Materiality",$M$2:$M$1092,"&gt;"&amp;M738)+COUNTIFS($O$2:$O$1092,O738,$P$2:$P$1092,"Below Materiality",$M$2:$M$1092,M738,$A$2:$A$1092,"&lt;"&amp;A738)+1))</f>
        <v/>
      </c>
      <c r="T738" s="22"/>
      <c r="U738" s="21" t="str">
        <f aca="false">IF(R738="","",O738&amp;"|A|"&amp;R738)</f>
        <v/>
      </c>
      <c r="V738" s="21" t="str">
        <f aca="false">IF(S738="","",O738&amp;"|R|"&amp;S738)</f>
        <v/>
      </c>
    </row>
    <row r="739" customFormat="false" ht="15" hidden="false" customHeight="false" outlineLevel="0" collapsed="false">
      <c r="A739" s="18" t="n">
        <v>738</v>
      </c>
      <c r="B739" s="18"/>
      <c r="C739" s="18"/>
      <c r="D739" s="18"/>
      <c r="E739" s="18" t="s">
        <v>1461</v>
      </c>
      <c r="F739" s="18" t="s">
        <v>1462</v>
      </c>
      <c r="G739" s="18" t="s">
        <v>74</v>
      </c>
      <c r="H739" s="18" t="n">
        <v>533</v>
      </c>
      <c r="I739" s="19" t="n">
        <v>0</v>
      </c>
      <c r="J739" s="19" t="n">
        <v>64</v>
      </c>
      <c r="K739" s="19" t="n">
        <v>64</v>
      </c>
      <c r="L739" s="19" t="n">
        <v>0</v>
      </c>
      <c r="M739" s="19" t="n">
        <f aca="false">ABS(L739)</f>
        <v>0</v>
      </c>
      <c r="N739" s="18" t="str">
        <f aca="false">IF(L739=0,"Nil balance",IF(G739="AR file",IF(L739&gt;0,"Accounts Receivable","Customer Advances"),IF(L739&lt;0,"Accounts Payable","Supplier Advances")))</f>
        <v>Nil balance</v>
      </c>
      <c r="O739" s="18" t="str">
        <f aca="false">IF(L739=0,"Excluded",IF(Summary!$C$4="By ledger",IF(G739="AR file","Population 1","Population 2"),IF(L739&gt;0,"Population 1","Population 2")))</f>
        <v>Excluded</v>
      </c>
      <c r="P739" s="18" t="str">
        <f aca="false">IF(O739="Excluded","Excluded – nil closing balance",IF(M739&gt;Summary!$C$5,"Above Materiality","Below Materiality"))</f>
        <v>Excluded – nil closing balance</v>
      </c>
      <c r="Q739" s="20" t="str">
        <f aca="false">IF(P739="Below Materiality",T739,"")</f>
        <v/>
      </c>
      <c r="R739" s="21" t="str">
        <f aca="false">IF(P739="Above Materiality",COUNTIFS($O$2:$O$1092,O739,$P$2:$P$1092,"Above Materiality",$M$2:$M$1092,"&gt;"&amp;M739)+COUNTIFS($O$2:$O$1092,O739,$P$2:$P$1092,"Above Materiality",$M$2:$M$1092,M739,$A$2:$A$1092,"&lt;"&amp;A739)+1,"")</f>
        <v/>
      </c>
      <c r="S739" s="21" t="str">
        <f aca="false">IF(P739&lt;&gt;"Below Materiality","",IF(Summary!$C$9="Random",COUNTIFS($O$2:$O$1092,O739,$Q$2:$Q$1092,"&gt;"&amp;Q739)+1,COUNTIFS($O$2:$O$1092,O739,$P$2:$P$1092,"Below Materiality",$M$2:$M$1092,"&gt;"&amp;M739)+COUNTIFS($O$2:$O$1092,O739,$P$2:$P$1092,"Below Materiality",$M$2:$M$1092,M739,$A$2:$A$1092,"&lt;"&amp;A739)+1))</f>
        <v/>
      </c>
      <c r="T739" s="22"/>
      <c r="U739" s="21" t="str">
        <f aca="false">IF(R739="","",O739&amp;"|A|"&amp;R739)</f>
        <v/>
      </c>
      <c r="V739" s="21" t="str">
        <f aca="false">IF(S739="","",O739&amp;"|R|"&amp;S739)</f>
        <v/>
      </c>
    </row>
    <row r="740" customFormat="false" ht="15" hidden="false" customHeight="false" outlineLevel="0" collapsed="false">
      <c r="A740" s="18" t="n">
        <v>739</v>
      </c>
      <c r="B740" s="18"/>
      <c r="C740" s="18"/>
      <c r="D740" s="18"/>
      <c r="E740" s="18" t="s">
        <v>1463</v>
      </c>
      <c r="F740" s="18" t="s">
        <v>1464</v>
      </c>
      <c r="G740" s="18" t="s">
        <v>74</v>
      </c>
      <c r="H740" s="18" t="n">
        <v>534</v>
      </c>
      <c r="I740" s="19" t="n">
        <v>0</v>
      </c>
      <c r="J740" s="19" t="n">
        <v>1426</v>
      </c>
      <c r="K740" s="19" t="n">
        <v>1426</v>
      </c>
      <c r="L740" s="19" t="n">
        <v>0</v>
      </c>
      <c r="M740" s="19" t="n">
        <f aca="false">ABS(L740)</f>
        <v>0</v>
      </c>
      <c r="N740" s="18" t="str">
        <f aca="false">IF(L740=0,"Nil balance",IF(G740="AR file",IF(L740&gt;0,"Accounts Receivable","Customer Advances"),IF(L740&lt;0,"Accounts Payable","Supplier Advances")))</f>
        <v>Nil balance</v>
      </c>
      <c r="O740" s="18" t="str">
        <f aca="false">IF(L740=0,"Excluded",IF(Summary!$C$4="By ledger",IF(G740="AR file","Population 1","Population 2"),IF(L740&gt;0,"Population 1","Population 2")))</f>
        <v>Excluded</v>
      </c>
      <c r="P740" s="18" t="str">
        <f aca="false">IF(O740="Excluded","Excluded – nil closing balance",IF(M740&gt;Summary!$C$5,"Above Materiality","Below Materiality"))</f>
        <v>Excluded – nil closing balance</v>
      </c>
      <c r="Q740" s="20" t="str">
        <f aca="false">IF(P740="Below Materiality",T740,"")</f>
        <v/>
      </c>
      <c r="R740" s="21" t="str">
        <f aca="false">IF(P740="Above Materiality",COUNTIFS($O$2:$O$1092,O740,$P$2:$P$1092,"Above Materiality",$M$2:$M$1092,"&gt;"&amp;M740)+COUNTIFS($O$2:$O$1092,O740,$P$2:$P$1092,"Above Materiality",$M$2:$M$1092,M740,$A$2:$A$1092,"&lt;"&amp;A740)+1,"")</f>
        <v/>
      </c>
      <c r="S740" s="21" t="str">
        <f aca="false">IF(P740&lt;&gt;"Below Materiality","",IF(Summary!$C$9="Random",COUNTIFS($O$2:$O$1092,O740,$Q$2:$Q$1092,"&gt;"&amp;Q740)+1,COUNTIFS($O$2:$O$1092,O740,$P$2:$P$1092,"Below Materiality",$M$2:$M$1092,"&gt;"&amp;M740)+COUNTIFS($O$2:$O$1092,O740,$P$2:$P$1092,"Below Materiality",$M$2:$M$1092,M740,$A$2:$A$1092,"&lt;"&amp;A740)+1))</f>
        <v/>
      </c>
      <c r="T740" s="22"/>
      <c r="U740" s="21" t="str">
        <f aca="false">IF(R740="","",O740&amp;"|A|"&amp;R740)</f>
        <v/>
      </c>
      <c r="V740" s="21" t="str">
        <f aca="false">IF(S740="","",O740&amp;"|R|"&amp;S740)</f>
        <v/>
      </c>
    </row>
    <row r="741" customFormat="false" ht="15" hidden="false" customHeight="false" outlineLevel="0" collapsed="false">
      <c r="A741" s="18" t="n">
        <v>740</v>
      </c>
      <c r="B741" s="18"/>
      <c r="C741" s="18"/>
      <c r="D741" s="18"/>
      <c r="E741" s="18" t="s">
        <v>1465</v>
      </c>
      <c r="F741" s="18" t="s">
        <v>1466</v>
      </c>
      <c r="G741" s="18" t="s">
        <v>74</v>
      </c>
      <c r="H741" s="18" t="n">
        <v>535</v>
      </c>
      <c r="I741" s="19" t="n">
        <v>0</v>
      </c>
      <c r="J741" s="19" t="n">
        <v>32476</v>
      </c>
      <c r="K741" s="19" t="n">
        <v>32476</v>
      </c>
      <c r="L741" s="19" t="n">
        <v>0</v>
      </c>
      <c r="M741" s="19" t="n">
        <f aca="false">ABS(L741)</f>
        <v>0</v>
      </c>
      <c r="N741" s="18" t="str">
        <f aca="false">IF(L741=0,"Nil balance",IF(G741="AR file",IF(L741&gt;0,"Accounts Receivable","Customer Advances"),IF(L741&lt;0,"Accounts Payable","Supplier Advances")))</f>
        <v>Nil balance</v>
      </c>
      <c r="O741" s="18" t="str">
        <f aca="false">IF(L741=0,"Excluded",IF(Summary!$C$4="By ledger",IF(G741="AR file","Population 1","Population 2"),IF(L741&gt;0,"Population 1","Population 2")))</f>
        <v>Excluded</v>
      </c>
      <c r="P741" s="18" t="str">
        <f aca="false">IF(O741="Excluded","Excluded – nil closing balance",IF(M741&gt;Summary!$C$5,"Above Materiality","Below Materiality"))</f>
        <v>Excluded – nil closing balance</v>
      </c>
      <c r="Q741" s="20" t="str">
        <f aca="false">IF(P741="Below Materiality",T741,"")</f>
        <v/>
      </c>
      <c r="R741" s="21" t="str">
        <f aca="false">IF(P741="Above Materiality",COUNTIFS($O$2:$O$1092,O741,$P$2:$P$1092,"Above Materiality",$M$2:$M$1092,"&gt;"&amp;M741)+COUNTIFS($O$2:$O$1092,O741,$P$2:$P$1092,"Above Materiality",$M$2:$M$1092,M741,$A$2:$A$1092,"&lt;"&amp;A741)+1,"")</f>
        <v/>
      </c>
      <c r="S741" s="21" t="str">
        <f aca="false">IF(P741&lt;&gt;"Below Materiality","",IF(Summary!$C$9="Random",COUNTIFS($O$2:$O$1092,O741,$Q$2:$Q$1092,"&gt;"&amp;Q741)+1,COUNTIFS($O$2:$O$1092,O741,$P$2:$P$1092,"Below Materiality",$M$2:$M$1092,"&gt;"&amp;M741)+COUNTIFS($O$2:$O$1092,O741,$P$2:$P$1092,"Below Materiality",$M$2:$M$1092,M741,$A$2:$A$1092,"&lt;"&amp;A741)+1))</f>
        <v/>
      </c>
      <c r="T741" s="22"/>
      <c r="U741" s="21" t="str">
        <f aca="false">IF(R741="","",O741&amp;"|A|"&amp;R741)</f>
        <v/>
      </c>
      <c r="V741" s="21" t="str">
        <f aca="false">IF(S741="","",O741&amp;"|R|"&amp;S741)</f>
        <v/>
      </c>
    </row>
    <row r="742" customFormat="false" ht="15" hidden="false" customHeight="false" outlineLevel="0" collapsed="false">
      <c r="A742" s="18" t="n">
        <v>741</v>
      </c>
      <c r="B742" s="18"/>
      <c r="C742" s="18"/>
      <c r="D742" s="18"/>
      <c r="E742" s="18" t="s">
        <v>1467</v>
      </c>
      <c r="F742" s="18" t="s">
        <v>1468</v>
      </c>
      <c r="G742" s="18" t="s">
        <v>74</v>
      </c>
      <c r="H742" s="18" t="n">
        <v>536</v>
      </c>
      <c r="I742" s="19" t="n">
        <v>0</v>
      </c>
      <c r="J742" s="19" t="n">
        <v>17019.25</v>
      </c>
      <c r="K742" s="19" t="n">
        <v>17019.25</v>
      </c>
      <c r="L742" s="19" t="n">
        <v>0</v>
      </c>
      <c r="M742" s="19" t="n">
        <f aca="false">ABS(L742)</f>
        <v>0</v>
      </c>
      <c r="N742" s="18" t="str">
        <f aca="false">IF(L742=0,"Nil balance",IF(G742="AR file",IF(L742&gt;0,"Accounts Receivable","Customer Advances"),IF(L742&lt;0,"Accounts Payable","Supplier Advances")))</f>
        <v>Nil balance</v>
      </c>
      <c r="O742" s="18" t="str">
        <f aca="false">IF(L742=0,"Excluded",IF(Summary!$C$4="By ledger",IF(G742="AR file","Population 1","Population 2"),IF(L742&gt;0,"Population 1","Population 2")))</f>
        <v>Excluded</v>
      </c>
      <c r="P742" s="18" t="str">
        <f aca="false">IF(O742="Excluded","Excluded – nil closing balance",IF(M742&gt;Summary!$C$5,"Above Materiality","Below Materiality"))</f>
        <v>Excluded – nil closing balance</v>
      </c>
      <c r="Q742" s="20" t="str">
        <f aca="false">IF(P742="Below Materiality",T742,"")</f>
        <v/>
      </c>
      <c r="R742" s="21" t="str">
        <f aca="false">IF(P742="Above Materiality",COUNTIFS($O$2:$O$1092,O742,$P$2:$P$1092,"Above Materiality",$M$2:$M$1092,"&gt;"&amp;M742)+COUNTIFS($O$2:$O$1092,O742,$P$2:$P$1092,"Above Materiality",$M$2:$M$1092,M742,$A$2:$A$1092,"&lt;"&amp;A742)+1,"")</f>
        <v/>
      </c>
      <c r="S742" s="21" t="str">
        <f aca="false">IF(P742&lt;&gt;"Below Materiality","",IF(Summary!$C$9="Random",COUNTIFS($O$2:$O$1092,O742,$Q$2:$Q$1092,"&gt;"&amp;Q742)+1,COUNTIFS($O$2:$O$1092,O742,$P$2:$P$1092,"Below Materiality",$M$2:$M$1092,"&gt;"&amp;M742)+COUNTIFS($O$2:$O$1092,O742,$P$2:$P$1092,"Below Materiality",$M$2:$M$1092,M742,$A$2:$A$1092,"&lt;"&amp;A742)+1))</f>
        <v/>
      </c>
      <c r="T742" s="22"/>
      <c r="U742" s="21" t="str">
        <f aca="false">IF(R742="","",O742&amp;"|A|"&amp;R742)</f>
        <v/>
      </c>
      <c r="V742" s="21" t="str">
        <f aca="false">IF(S742="","",O742&amp;"|R|"&amp;S742)</f>
        <v/>
      </c>
    </row>
    <row r="743" customFormat="false" ht="15" hidden="false" customHeight="false" outlineLevel="0" collapsed="false">
      <c r="A743" s="18" t="n">
        <v>742</v>
      </c>
      <c r="B743" s="18"/>
      <c r="C743" s="18"/>
      <c r="D743" s="18"/>
      <c r="E743" s="18" t="s">
        <v>1469</v>
      </c>
      <c r="F743" s="18" t="s">
        <v>1470</v>
      </c>
      <c r="G743" s="18" t="s">
        <v>74</v>
      </c>
      <c r="H743" s="18" t="n">
        <v>537</v>
      </c>
      <c r="I743" s="19" t="n">
        <v>0</v>
      </c>
      <c r="J743" s="19" t="n">
        <v>1374.25</v>
      </c>
      <c r="K743" s="19" t="n">
        <v>1374.25</v>
      </c>
      <c r="L743" s="19" t="n">
        <v>0</v>
      </c>
      <c r="M743" s="19" t="n">
        <f aca="false">ABS(L743)</f>
        <v>0</v>
      </c>
      <c r="N743" s="18" t="str">
        <f aca="false">IF(L743=0,"Nil balance",IF(G743="AR file",IF(L743&gt;0,"Accounts Receivable","Customer Advances"),IF(L743&lt;0,"Accounts Payable","Supplier Advances")))</f>
        <v>Nil balance</v>
      </c>
      <c r="O743" s="18" t="str">
        <f aca="false">IF(L743=0,"Excluded",IF(Summary!$C$4="By ledger",IF(G743="AR file","Population 1","Population 2"),IF(L743&gt;0,"Population 1","Population 2")))</f>
        <v>Excluded</v>
      </c>
      <c r="P743" s="18" t="str">
        <f aca="false">IF(O743="Excluded","Excluded – nil closing balance",IF(M743&gt;Summary!$C$5,"Above Materiality","Below Materiality"))</f>
        <v>Excluded – nil closing balance</v>
      </c>
      <c r="Q743" s="20" t="str">
        <f aca="false">IF(P743="Below Materiality",T743,"")</f>
        <v/>
      </c>
      <c r="R743" s="21" t="str">
        <f aca="false">IF(P743="Above Materiality",COUNTIFS($O$2:$O$1092,O743,$P$2:$P$1092,"Above Materiality",$M$2:$M$1092,"&gt;"&amp;M743)+COUNTIFS($O$2:$O$1092,O743,$P$2:$P$1092,"Above Materiality",$M$2:$M$1092,M743,$A$2:$A$1092,"&lt;"&amp;A743)+1,"")</f>
        <v/>
      </c>
      <c r="S743" s="21" t="str">
        <f aca="false">IF(P743&lt;&gt;"Below Materiality","",IF(Summary!$C$9="Random",COUNTIFS($O$2:$O$1092,O743,$Q$2:$Q$1092,"&gt;"&amp;Q743)+1,COUNTIFS($O$2:$O$1092,O743,$P$2:$P$1092,"Below Materiality",$M$2:$M$1092,"&gt;"&amp;M743)+COUNTIFS($O$2:$O$1092,O743,$P$2:$P$1092,"Below Materiality",$M$2:$M$1092,M743,$A$2:$A$1092,"&lt;"&amp;A743)+1))</f>
        <v/>
      </c>
      <c r="T743" s="22"/>
      <c r="U743" s="21" t="str">
        <f aca="false">IF(R743="","",O743&amp;"|A|"&amp;R743)</f>
        <v/>
      </c>
      <c r="V743" s="21" t="str">
        <f aca="false">IF(S743="","",O743&amp;"|R|"&amp;S743)</f>
        <v/>
      </c>
    </row>
    <row r="744" customFormat="false" ht="15" hidden="false" customHeight="false" outlineLevel="0" collapsed="false">
      <c r="A744" s="18" t="n">
        <v>743</v>
      </c>
      <c r="B744" s="18"/>
      <c r="C744" s="18"/>
      <c r="D744" s="18"/>
      <c r="E744" s="18" t="s">
        <v>1471</v>
      </c>
      <c r="F744" s="18" t="s">
        <v>1472</v>
      </c>
      <c r="G744" s="18" t="s">
        <v>74</v>
      </c>
      <c r="H744" s="18" t="n">
        <v>538</v>
      </c>
      <c r="I744" s="19" t="n">
        <v>0</v>
      </c>
      <c r="J744" s="19" t="n">
        <v>1113</v>
      </c>
      <c r="K744" s="19" t="n">
        <v>1113</v>
      </c>
      <c r="L744" s="19" t="n">
        <v>0</v>
      </c>
      <c r="M744" s="19" t="n">
        <f aca="false">ABS(L744)</f>
        <v>0</v>
      </c>
      <c r="N744" s="18" t="str">
        <f aca="false">IF(L744=0,"Nil balance",IF(G744="AR file",IF(L744&gt;0,"Accounts Receivable","Customer Advances"),IF(L744&lt;0,"Accounts Payable","Supplier Advances")))</f>
        <v>Nil balance</v>
      </c>
      <c r="O744" s="18" t="str">
        <f aca="false">IF(L744=0,"Excluded",IF(Summary!$C$4="By ledger",IF(G744="AR file","Population 1","Population 2"),IF(L744&gt;0,"Population 1","Population 2")))</f>
        <v>Excluded</v>
      </c>
      <c r="P744" s="18" t="str">
        <f aca="false">IF(O744="Excluded","Excluded – nil closing balance",IF(M744&gt;Summary!$C$5,"Above Materiality","Below Materiality"))</f>
        <v>Excluded – nil closing balance</v>
      </c>
      <c r="Q744" s="20" t="str">
        <f aca="false">IF(P744="Below Materiality",T744,"")</f>
        <v/>
      </c>
      <c r="R744" s="21" t="str">
        <f aca="false">IF(P744="Above Materiality",COUNTIFS($O$2:$O$1092,O744,$P$2:$P$1092,"Above Materiality",$M$2:$M$1092,"&gt;"&amp;M744)+COUNTIFS($O$2:$O$1092,O744,$P$2:$P$1092,"Above Materiality",$M$2:$M$1092,M744,$A$2:$A$1092,"&lt;"&amp;A744)+1,"")</f>
        <v/>
      </c>
      <c r="S744" s="21" t="str">
        <f aca="false">IF(P744&lt;&gt;"Below Materiality","",IF(Summary!$C$9="Random",COUNTIFS($O$2:$O$1092,O744,$Q$2:$Q$1092,"&gt;"&amp;Q744)+1,COUNTIFS($O$2:$O$1092,O744,$P$2:$P$1092,"Below Materiality",$M$2:$M$1092,"&gt;"&amp;M744)+COUNTIFS($O$2:$O$1092,O744,$P$2:$P$1092,"Below Materiality",$M$2:$M$1092,M744,$A$2:$A$1092,"&lt;"&amp;A744)+1))</f>
        <v/>
      </c>
      <c r="T744" s="22"/>
      <c r="U744" s="21" t="str">
        <f aca="false">IF(R744="","",O744&amp;"|A|"&amp;R744)</f>
        <v/>
      </c>
      <c r="V744" s="21" t="str">
        <f aca="false">IF(S744="","",O744&amp;"|R|"&amp;S744)</f>
        <v/>
      </c>
    </row>
    <row r="745" customFormat="false" ht="15" hidden="false" customHeight="false" outlineLevel="0" collapsed="false">
      <c r="A745" s="18" t="n">
        <v>744</v>
      </c>
      <c r="B745" s="18"/>
      <c r="C745" s="18"/>
      <c r="D745" s="18"/>
      <c r="E745" s="18" t="s">
        <v>1473</v>
      </c>
      <c r="F745" s="18" t="s">
        <v>1474</v>
      </c>
      <c r="G745" s="18" t="s">
        <v>74</v>
      </c>
      <c r="H745" s="18" t="n">
        <v>539</v>
      </c>
      <c r="I745" s="19" t="n">
        <v>0</v>
      </c>
      <c r="J745" s="19" t="n">
        <v>368</v>
      </c>
      <c r="K745" s="19" t="n">
        <v>368</v>
      </c>
      <c r="L745" s="19" t="n">
        <v>0</v>
      </c>
      <c r="M745" s="19" t="n">
        <f aca="false">ABS(L745)</f>
        <v>0</v>
      </c>
      <c r="N745" s="18" t="str">
        <f aca="false">IF(L745=0,"Nil balance",IF(G745="AR file",IF(L745&gt;0,"Accounts Receivable","Customer Advances"),IF(L745&lt;0,"Accounts Payable","Supplier Advances")))</f>
        <v>Nil balance</v>
      </c>
      <c r="O745" s="18" t="str">
        <f aca="false">IF(L745=0,"Excluded",IF(Summary!$C$4="By ledger",IF(G745="AR file","Population 1","Population 2"),IF(L745&gt;0,"Population 1","Population 2")))</f>
        <v>Excluded</v>
      </c>
      <c r="P745" s="18" t="str">
        <f aca="false">IF(O745="Excluded","Excluded – nil closing balance",IF(M745&gt;Summary!$C$5,"Above Materiality","Below Materiality"))</f>
        <v>Excluded – nil closing balance</v>
      </c>
      <c r="Q745" s="20" t="str">
        <f aca="false">IF(P745="Below Materiality",T745,"")</f>
        <v/>
      </c>
      <c r="R745" s="21" t="str">
        <f aca="false">IF(P745="Above Materiality",COUNTIFS($O$2:$O$1092,O745,$P$2:$P$1092,"Above Materiality",$M$2:$M$1092,"&gt;"&amp;M745)+COUNTIFS($O$2:$O$1092,O745,$P$2:$P$1092,"Above Materiality",$M$2:$M$1092,M745,$A$2:$A$1092,"&lt;"&amp;A745)+1,"")</f>
        <v/>
      </c>
      <c r="S745" s="21" t="str">
        <f aca="false">IF(P745&lt;&gt;"Below Materiality","",IF(Summary!$C$9="Random",COUNTIFS($O$2:$O$1092,O745,$Q$2:$Q$1092,"&gt;"&amp;Q745)+1,COUNTIFS($O$2:$O$1092,O745,$P$2:$P$1092,"Below Materiality",$M$2:$M$1092,"&gt;"&amp;M745)+COUNTIFS($O$2:$O$1092,O745,$P$2:$P$1092,"Below Materiality",$M$2:$M$1092,M745,$A$2:$A$1092,"&lt;"&amp;A745)+1))</f>
        <v/>
      </c>
      <c r="T745" s="22"/>
      <c r="U745" s="21" t="str">
        <f aca="false">IF(R745="","",O745&amp;"|A|"&amp;R745)</f>
        <v/>
      </c>
      <c r="V745" s="21" t="str">
        <f aca="false">IF(S745="","",O745&amp;"|R|"&amp;S745)</f>
        <v/>
      </c>
    </row>
    <row r="746" customFormat="false" ht="15" hidden="false" customHeight="false" outlineLevel="0" collapsed="false">
      <c r="A746" s="18" t="n">
        <v>745</v>
      </c>
      <c r="B746" s="18"/>
      <c r="C746" s="18"/>
      <c r="D746" s="18"/>
      <c r="E746" s="18" t="s">
        <v>1475</v>
      </c>
      <c r="F746" s="18" t="s">
        <v>1327</v>
      </c>
      <c r="G746" s="18" t="s">
        <v>74</v>
      </c>
      <c r="H746" s="18" t="n">
        <v>540</v>
      </c>
      <c r="I746" s="19" t="n">
        <v>0</v>
      </c>
      <c r="J746" s="19" t="n">
        <v>200</v>
      </c>
      <c r="K746" s="19" t="n">
        <v>200</v>
      </c>
      <c r="L746" s="19" t="n">
        <v>0</v>
      </c>
      <c r="M746" s="19" t="n">
        <f aca="false">ABS(L746)</f>
        <v>0</v>
      </c>
      <c r="N746" s="18" t="str">
        <f aca="false">IF(L746=0,"Nil balance",IF(G746="AR file",IF(L746&gt;0,"Accounts Receivable","Customer Advances"),IF(L746&lt;0,"Accounts Payable","Supplier Advances")))</f>
        <v>Nil balance</v>
      </c>
      <c r="O746" s="18" t="str">
        <f aca="false">IF(L746=0,"Excluded",IF(Summary!$C$4="By ledger",IF(G746="AR file","Population 1","Population 2"),IF(L746&gt;0,"Population 1","Population 2")))</f>
        <v>Excluded</v>
      </c>
      <c r="P746" s="18" t="str">
        <f aca="false">IF(O746="Excluded","Excluded – nil closing balance",IF(M746&gt;Summary!$C$5,"Above Materiality","Below Materiality"))</f>
        <v>Excluded – nil closing balance</v>
      </c>
      <c r="Q746" s="20" t="str">
        <f aca="false">IF(P746="Below Materiality",T746,"")</f>
        <v/>
      </c>
      <c r="R746" s="21" t="str">
        <f aca="false">IF(P746="Above Materiality",COUNTIFS($O$2:$O$1092,O746,$P$2:$P$1092,"Above Materiality",$M$2:$M$1092,"&gt;"&amp;M746)+COUNTIFS($O$2:$O$1092,O746,$P$2:$P$1092,"Above Materiality",$M$2:$M$1092,M746,$A$2:$A$1092,"&lt;"&amp;A746)+1,"")</f>
        <v/>
      </c>
      <c r="S746" s="21" t="str">
        <f aca="false">IF(P746&lt;&gt;"Below Materiality","",IF(Summary!$C$9="Random",COUNTIFS($O$2:$O$1092,O746,$Q$2:$Q$1092,"&gt;"&amp;Q746)+1,COUNTIFS($O$2:$O$1092,O746,$P$2:$P$1092,"Below Materiality",$M$2:$M$1092,"&gt;"&amp;M746)+COUNTIFS($O$2:$O$1092,O746,$P$2:$P$1092,"Below Materiality",$M$2:$M$1092,M746,$A$2:$A$1092,"&lt;"&amp;A746)+1))</f>
        <v/>
      </c>
      <c r="T746" s="22"/>
      <c r="U746" s="21" t="str">
        <f aca="false">IF(R746="","",O746&amp;"|A|"&amp;R746)</f>
        <v/>
      </c>
      <c r="V746" s="21" t="str">
        <f aca="false">IF(S746="","",O746&amp;"|R|"&amp;S746)</f>
        <v/>
      </c>
    </row>
    <row r="747" customFormat="false" ht="15" hidden="false" customHeight="false" outlineLevel="0" collapsed="false">
      <c r="A747" s="18" t="n">
        <v>746</v>
      </c>
      <c r="B747" s="18"/>
      <c r="C747" s="18"/>
      <c r="D747" s="18"/>
      <c r="E747" s="18" t="s">
        <v>1476</v>
      </c>
      <c r="F747" s="18" t="s">
        <v>1477</v>
      </c>
      <c r="G747" s="18" t="s">
        <v>74</v>
      </c>
      <c r="H747" s="18" t="n">
        <v>541</v>
      </c>
      <c r="I747" s="19" t="n">
        <v>0</v>
      </c>
      <c r="J747" s="19" t="n">
        <v>355</v>
      </c>
      <c r="K747" s="19" t="n">
        <v>355</v>
      </c>
      <c r="L747" s="19" t="n">
        <v>0</v>
      </c>
      <c r="M747" s="19" t="n">
        <f aca="false">ABS(L747)</f>
        <v>0</v>
      </c>
      <c r="N747" s="18" t="str">
        <f aca="false">IF(L747=0,"Nil balance",IF(G747="AR file",IF(L747&gt;0,"Accounts Receivable","Customer Advances"),IF(L747&lt;0,"Accounts Payable","Supplier Advances")))</f>
        <v>Nil balance</v>
      </c>
      <c r="O747" s="18" t="str">
        <f aca="false">IF(L747=0,"Excluded",IF(Summary!$C$4="By ledger",IF(G747="AR file","Population 1","Population 2"),IF(L747&gt;0,"Population 1","Population 2")))</f>
        <v>Excluded</v>
      </c>
      <c r="P747" s="18" t="str">
        <f aca="false">IF(O747="Excluded","Excluded – nil closing balance",IF(M747&gt;Summary!$C$5,"Above Materiality","Below Materiality"))</f>
        <v>Excluded – nil closing balance</v>
      </c>
      <c r="Q747" s="20" t="str">
        <f aca="false">IF(P747="Below Materiality",T747,"")</f>
        <v/>
      </c>
      <c r="R747" s="21" t="str">
        <f aca="false">IF(P747="Above Materiality",COUNTIFS($O$2:$O$1092,O747,$P$2:$P$1092,"Above Materiality",$M$2:$M$1092,"&gt;"&amp;M747)+COUNTIFS($O$2:$O$1092,O747,$P$2:$P$1092,"Above Materiality",$M$2:$M$1092,M747,$A$2:$A$1092,"&lt;"&amp;A747)+1,"")</f>
        <v/>
      </c>
      <c r="S747" s="21" t="str">
        <f aca="false">IF(P747&lt;&gt;"Below Materiality","",IF(Summary!$C$9="Random",COUNTIFS($O$2:$O$1092,O747,$Q$2:$Q$1092,"&gt;"&amp;Q747)+1,COUNTIFS($O$2:$O$1092,O747,$P$2:$P$1092,"Below Materiality",$M$2:$M$1092,"&gt;"&amp;M747)+COUNTIFS($O$2:$O$1092,O747,$P$2:$P$1092,"Below Materiality",$M$2:$M$1092,M747,$A$2:$A$1092,"&lt;"&amp;A747)+1))</f>
        <v/>
      </c>
      <c r="T747" s="22"/>
      <c r="U747" s="21" t="str">
        <f aca="false">IF(R747="","",O747&amp;"|A|"&amp;R747)</f>
        <v/>
      </c>
      <c r="V747" s="21" t="str">
        <f aca="false">IF(S747="","",O747&amp;"|R|"&amp;S747)</f>
        <v/>
      </c>
    </row>
    <row r="748" customFormat="false" ht="15" hidden="false" customHeight="false" outlineLevel="0" collapsed="false">
      <c r="A748" s="18" t="n">
        <v>747</v>
      </c>
      <c r="B748" s="18"/>
      <c r="C748" s="18"/>
      <c r="D748" s="18"/>
      <c r="E748" s="18" t="s">
        <v>1478</v>
      </c>
      <c r="F748" s="18" t="s">
        <v>1479</v>
      </c>
      <c r="G748" s="18" t="s">
        <v>74</v>
      </c>
      <c r="H748" s="18" t="n">
        <v>542</v>
      </c>
      <c r="I748" s="19" t="n">
        <v>0</v>
      </c>
      <c r="J748" s="19" t="n">
        <v>585</v>
      </c>
      <c r="K748" s="19" t="n">
        <v>585</v>
      </c>
      <c r="L748" s="19" t="n">
        <v>0</v>
      </c>
      <c r="M748" s="19" t="n">
        <f aca="false">ABS(L748)</f>
        <v>0</v>
      </c>
      <c r="N748" s="18" t="str">
        <f aca="false">IF(L748=0,"Nil balance",IF(G748="AR file",IF(L748&gt;0,"Accounts Receivable","Customer Advances"),IF(L748&lt;0,"Accounts Payable","Supplier Advances")))</f>
        <v>Nil balance</v>
      </c>
      <c r="O748" s="18" t="str">
        <f aca="false">IF(L748=0,"Excluded",IF(Summary!$C$4="By ledger",IF(G748="AR file","Population 1","Population 2"),IF(L748&gt;0,"Population 1","Population 2")))</f>
        <v>Excluded</v>
      </c>
      <c r="P748" s="18" t="str">
        <f aca="false">IF(O748="Excluded","Excluded – nil closing balance",IF(M748&gt;Summary!$C$5,"Above Materiality","Below Materiality"))</f>
        <v>Excluded – nil closing balance</v>
      </c>
      <c r="Q748" s="20" t="str">
        <f aca="false">IF(P748="Below Materiality",T748,"")</f>
        <v/>
      </c>
      <c r="R748" s="21" t="str">
        <f aca="false">IF(P748="Above Materiality",COUNTIFS($O$2:$O$1092,O748,$P$2:$P$1092,"Above Materiality",$M$2:$M$1092,"&gt;"&amp;M748)+COUNTIFS($O$2:$O$1092,O748,$P$2:$P$1092,"Above Materiality",$M$2:$M$1092,M748,$A$2:$A$1092,"&lt;"&amp;A748)+1,"")</f>
        <v/>
      </c>
      <c r="S748" s="21" t="str">
        <f aca="false">IF(P748&lt;&gt;"Below Materiality","",IF(Summary!$C$9="Random",COUNTIFS($O$2:$O$1092,O748,$Q$2:$Q$1092,"&gt;"&amp;Q748)+1,COUNTIFS($O$2:$O$1092,O748,$P$2:$P$1092,"Below Materiality",$M$2:$M$1092,"&gt;"&amp;M748)+COUNTIFS($O$2:$O$1092,O748,$P$2:$P$1092,"Below Materiality",$M$2:$M$1092,M748,$A$2:$A$1092,"&lt;"&amp;A748)+1))</f>
        <v/>
      </c>
      <c r="T748" s="22"/>
      <c r="U748" s="21" t="str">
        <f aca="false">IF(R748="","",O748&amp;"|A|"&amp;R748)</f>
        <v/>
      </c>
      <c r="V748" s="21" t="str">
        <f aca="false">IF(S748="","",O748&amp;"|R|"&amp;S748)</f>
        <v/>
      </c>
    </row>
    <row r="749" customFormat="false" ht="15" hidden="false" customHeight="false" outlineLevel="0" collapsed="false">
      <c r="A749" s="18" t="n">
        <v>748</v>
      </c>
      <c r="B749" s="18"/>
      <c r="C749" s="18"/>
      <c r="D749" s="18"/>
      <c r="E749" s="18" t="s">
        <v>1480</v>
      </c>
      <c r="F749" s="18" t="s">
        <v>1481</v>
      </c>
      <c r="G749" s="18" t="s">
        <v>74</v>
      </c>
      <c r="H749" s="18" t="n">
        <v>543</v>
      </c>
      <c r="I749" s="19" t="n">
        <v>0</v>
      </c>
      <c r="J749" s="19" t="n">
        <v>12880</v>
      </c>
      <c r="K749" s="19" t="n">
        <v>12880</v>
      </c>
      <c r="L749" s="19" t="n">
        <v>0</v>
      </c>
      <c r="M749" s="19" t="n">
        <f aca="false">ABS(L749)</f>
        <v>0</v>
      </c>
      <c r="N749" s="18" t="str">
        <f aca="false">IF(L749=0,"Nil balance",IF(G749="AR file",IF(L749&gt;0,"Accounts Receivable","Customer Advances"),IF(L749&lt;0,"Accounts Payable","Supplier Advances")))</f>
        <v>Nil balance</v>
      </c>
      <c r="O749" s="18" t="str">
        <f aca="false">IF(L749=0,"Excluded",IF(Summary!$C$4="By ledger",IF(G749="AR file","Population 1","Population 2"),IF(L749&gt;0,"Population 1","Population 2")))</f>
        <v>Excluded</v>
      </c>
      <c r="P749" s="18" t="str">
        <f aca="false">IF(O749="Excluded","Excluded – nil closing balance",IF(M749&gt;Summary!$C$5,"Above Materiality","Below Materiality"))</f>
        <v>Excluded – nil closing balance</v>
      </c>
      <c r="Q749" s="20" t="str">
        <f aca="false">IF(P749="Below Materiality",T749,"")</f>
        <v/>
      </c>
      <c r="R749" s="21" t="str">
        <f aca="false">IF(P749="Above Materiality",COUNTIFS($O$2:$O$1092,O749,$P$2:$P$1092,"Above Materiality",$M$2:$M$1092,"&gt;"&amp;M749)+COUNTIFS($O$2:$O$1092,O749,$P$2:$P$1092,"Above Materiality",$M$2:$M$1092,M749,$A$2:$A$1092,"&lt;"&amp;A749)+1,"")</f>
        <v/>
      </c>
      <c r="S749" s="21" t="str">
        <f aca="false">IF(P749&lt;&gt;"Below Materiality","",IF(Summary!$C$9="Random",COUNTIFS($O$2:$O$1092,O749,$Q$2:$Q$1092,"&gt;"&amp;Q749)+1,COUNTIFS($O$2:$O$1092,O749,$P$2:$P$1092,"Below Materiality",$M$2:$M$1092,"&gt;"&amp;M749)+COUNTIFS($O$2:$O$1092,O749,$P$2:$P$1092,"Below Materiality",$M$2:$M$1092,M749,$A$2:$A$1092,"&lt;"&amp;A749)+1))</f>
        <v/>
      </c>
      <c r="T749" s="22"/>
      <c r="U749" s="21" t="str">
        <f aca="false">IF(R749="","",O749&amp;"|A|"&amp;R749)</f>
        <v/>
      </c>
      <c r="V749" s="21" t="str">
        <f aca="false">IF(S749="","",O749&amp;"|R|"&amp;S749)</f>
        <v/>
      </c>
    </row>
    <row r="750" customFormat="false" ht="15" hidden="false" customHeight="false" outlineLevel="0" collapsed="false">
      <c r="A750" s="18" t="n">
        <v>749</v>
      </c>
      <c r="B750" s="18"/>
      <c r="C750" s="18"/>
      <c r="D750" s="18"/>
      <c r="E750" s="18" t="s">
        <v>1482</v>
      </c>
      <c r="F750" s="18" t="s">
        <v>1483</v>
      </c>
      <c r="G750" s="18" t="s">
        <v>74</v>
      </c>
      <c r="H750" s="18" t="n">
        <v>544</v>
      </c>
      <c r="I750" s="19" t="n">
        <v>0</v>
      </c>
      <c r="J750" s="19" t="n">
        <v>830.5</v>
      </c>
      <c r="K750" s="19" t="n">
        <v>830.5</v>
      </c>
      <c r="L750" s="19" t="n">
        <v>0</v>
      </c>
      <c r="M750" s="19" t="n">
        <f aca="false">ABS(L750)</f>
        <v>0</v>
      </c>
      <c r="N750" s="18" t="str">
        <f aca="false">IF(L750=0,"Nil balance",IF(G750="AR file",IF(L750&gt;0,"Accounts Receivable","Customer Advances"),IF(L750&lt;0,"Accounts Payable","Supplier Advances")))</f>
        <v>Nil balance</v>
      </c>
      <c r="O750" s="18" t="str">
        <f aca="false">IF(L750=0,"Excluded",IF(Summary!$C$4="By ledger",IF(G750="AR file","Population 1","Population 2"),IF(L750&gt;0,"Population 1","Population 2")))</f>
        <v>Excluded</v>
      </c>
      <c r="P750" s="18" t="str">
        <f aca="false">IF(O750="Excluded","Excluded – nil closing balance",IF(M750&gt;Summary!$C$5,"Above Materiality","Below Materiality"))</f>
        <v>Excluded – nil closing balance</v>
      </c>
      <c r="Q750" s="20" t="str">
        <f aca="false">IF(P750="Below Materiality",T750,"")</f>
        <v/>
      </c>
      <c r="R750" s="21" t="str">
        <f aca="false">IF(P750="Above Materiality",COUNTIFS($O$2:$O$1092,O750,$P$2:$P$1092,"Above Materiality",$M$2:$M$1092,"&gt;"&amp;M750)+COUNTIFS($O$2:$O$1092,O750,$P$2:$P$1092,"Above Materiality",$M$2:$M$1092,M750,$A$2:$A$1092,"&lt;"&amp;A750)+1,"")</f>
        <v/>
      </c>
      <c r="S750" s="21" t="str">
        <f aca="false">IF(P750&lt;&gt;"Below Materiality","",IF(Summary!$C$9="Random",COUNTIFS($O$2:$O$1092,O750,$Q$2:$Q$1092,"&gt;"&amp;Q750)+1,COUNTIFS($O$2:$O$1092,O750,$P$2:$P$1092,"Below Materiality",$M$2:$M$1092,"&gt;"&amp;M750)+COUNTIFS($O$2:$O$1092,O750,$P$2:$P$1092,"Below Materiality",$M$2:$M$1092,M750,$A$2:$A$1092,"&lt;"&amp;A750)+1))</f>
        <v/>
      </c>
      <c r="T750" s="22"/>
      <c r="U750" s="21" t="str">
        <f aca="false">IF(R750="","",O750&amp;"|A|"&amp;R750)</f>
        <v/>
      </c>
      <c r="V750" s="21" t="str">
        <f aca="false">IF(S750="","",O750&amp;"|R|"&amp;S750)</f>
        <v/>
      </c>
    </row>
    <row r="751" customFormat="false" ht="15" hidden="false" customHeight="false" outlineLevel="0" collapsed="false">
      <c r="A751" s="18" t="n">
        <v>750</v>
      </c>
      <c r="B751" s="18"/>
      <c r="C751" s="18"/>
      <c r="D751" s="18"/>
      <c r="E751" s="18" t="s">
        <v>1484</v>
      </c>
      <c r="F751" s="18" t="s">
        <v>1485</v>
      </c>
      <c r="G751" s="18" t="s">
        <v>74</v>
      </c>
      <c r="H751" s="18" t="n">
        <v>545</v>
      </c>
      <c r="I751" s="19" t="n">
        <v>0</v>
      </c>
      <c r="J751" s="19" t="n">
        <v>4814.82</v>
      </c>
      <c r="K751" s="19" t="n">
        <v>4814.82</v>
      </c>
      <c r="L751" s="19" t="n">
        <v>0</v>
      </c>
      <c r="M751" s="19" t="n">
        <f aca="false">ABS(L751)</f>
        <v>0</v>
      </c>
      <c r="N751" s="18" t="str">
        <f aca="false">IF(L751=0,"Nil balance",IF(G751="AR file",IF(L751&gt;0,"Accounts Receivable","Customer Advances"),IF(L751&lt;0,"Accounts Payable","Supplier Advances")))</f>
        <v>Nil balance</v>
      </c>
      <c r="O751" s="18" t="str">
        <f aca="false">IF(L751=0,"Excluded",IF(Summary!$C$4="By ledger",IF(G751="AR file","Population 1","Population 2"),IF(L751&gt;0,"Population 1","Population 2")))</f>
        <v>Excluded</v>
      </c>
      <c r="P751" s="18" t="str">
        <f aca="false">IF(O751="Excluded","Excluded – nil closing balance",IF(M751&gt;Summary!$C$5,"Above Materiality","Below Materiality"))</f>
        <v>Excluded – nil closing balance</v>
      </c>
      <c r="Q751" s="20" t="str">
        <f aca="false">IF(P751="Below Materiality",T751,"")</f>
        <v/>
      </c>
      <c r="R751" s="21" t="str">
        <f aca="false">IF(P751="Above Materiality",COUNTIFS($O$2:$O$1092,O751,$P$2:$P$1092,"Above Materiality",$M$2:$M$1092,"&gt;"&amp;M751)+COUNTIFS($O$2:$O$1092,O751,$P$2:$P$1092,"Above Materiality",$M$2:$M$1092,M751,$A$2:$A$1092,"&lt;"&amp;A751)+1,"")</f>
        <v/>
      </c>
      <c r="S751" s="21" t="str">
        <f aca="false">IF(P751&lt;&gt;"Below Materiality","",IF(Summary!$C$9="Random",COUNTIFS($O$2:$O$1092,O751,$Q$2:$Q$1092,"&gt;"&amp;Q751)+1,COUNTIFS($O$2:$O$1092,O751,$P$2:$P$1092,"Below Materiality",$M$2:$M$1092,"&gt;"&amp;M751)+COUNTIFS($O$2:$O$1092,O751,$P$2:$P$1092,"Below Materiality",$M$2:$M$1092,M751,$A$2:$A$1092,"&lt;"&amp;A751)+1))</f>
        <v/>
      </c>
      <c r="T751" s="22"/>
      <c r="U751" s="21" t="str">
        <f aca="false">IF(R751="","",O751&amp;"|A|"&amp;R751)</f>
        <v/>
      </c>
      <c r="V751" s="21" t="str">
        <f aca="false">IF(S751="","",O751&amp;"|R|"&amp;S751)</f>
        <v/>
      </c>
    </row>
    <row r="752" customFormat="false" ht="15" hidden="false" customHeight="false" outlineLevel="0" collapsed="false">
      <c r="A752" s="18" t="n">
        <v>751</v>
      </c>
      <c r="B752" s="18"/>
      <c r="C752" s="18"/>
      <c r="D752" s="18"/>
      <c r="E752" s="18" t="s">
        <v>1486</v>
      </c>
      <c r="F752" s="18" t="s">
        <v>439</v>
      </c>
      <c r="G752" s="18" t="s">
        <v>74</v>
      </c>
      <c r="H752" s="18" t="n">
        <v>546</v>
      </c>
      <c r="I752" s="19" t="n">
        <v>0</v>
      </c>
      <c r="J752" s="19" t="n">
        <v>145</v>
      </c>
      <c r="K752" s="19" t="n">
        <v>145</v>
      </c>
      <c r="L752" s="19" t="n">
        <v>0</v>
      </c>
      <c r="M752" s="19" t="n">
        <f aca="false">ABS(L752)</f>
        <v>0</v>
      </c>
      <c r="N752" s="18" t="str">
        <f aca="false">IF(L752=0,"Nil balance",IF(G752="AR file",IF(L752&gt;0,"Accounts Receivable","Customer Advances"),IF(L752&lt;0,"Accounts Payable","Supplier Advances")))</f>
        <v>Nil balance</v>
      </c>
      <c r="O752" s="18" t="str">
        <f aca="false">IF(L752=0,"Excluded",IF(Summary!$C$4="By ledger",IF(G752="AR file","Population 1","Population 2"),IF(L752&gt;0,"Population 1","Population 2")))</f>
        <v>Excluded</v>
      </c>
      <c r="P752" s="18" t="str">
        <f aca="false">IF(O752="Excluded","Excluded – nil closing balance",IF(M752&gt;Summary!$C$5,"Above Materiality","Below Materiality"))</f>
        <v>Excluded – nil closing balance</v>
      </c>
      <c r="Q752" s="20" t="str">
        <f aca="false">IF(P752="Below Materiality",T752,"")</f>
        <v/>
      </c>
      <c r="R752" s="21" t="str">
        <f aca="false">IF(P752="Above Materiality",COUNTIFS($O$2:$O$1092,O752,$P$2:$P$1092,"Above Materiality",$M$2:$M$1092,"&gt;"&amp;M752)+COUNTIFS($O$2:$O$1092,O752,$P$2:$P$1092,"Above Materiality",$M$2:$M$1092,M752,$A$2:$A$1092,"&lt;"&amp;A752)+1,"")</f>
        <v/>
      </c>
      <c r="S752" s="21" t="str">
        <f aca="false">IF(P752&lt;&gt;"Below Materiality","",IF(Summary!$C$9="Random",COUNTIFS($O$2:$O$1092,O752,$Q$2:$Q$1092,"&gt;"&amp;Q752)+1,COUNTIFS($O$2:$O$1092,O752,$P$2:$P$1092,"Below Materiality",$M$2:$M$1092,"&gt;"&amp;M752)+COUNTIFS($O$2:$O$1092,O752,$P$2:$P$1092,"Below Materiality",$M$2:$M$1092,M752,$A$2:$A$1092,"&lt;"&amp;A752)+1))</f>
        <v/>
      </c>
      <c r="T752" s="22"/>
      <c r="U752" s="21" t="str">
        <f aca="false">IF(R752="","",O752&amp;"|A|"&amp;R752)</f>
        <v/>
      </c>
      <c r="V752" s="21" t="str">
        <f aca="false">IF(S752="","",O752&amp;"|R|"&amp;S752)</f>
        <v/>
      </c>
    </row>
    <row r="753" customFormat="false" ht="15" hidden="false" customHeight="false" outlineLevel="0" collapsed="false">
      <c r="A753" s="18" t="n">
        <v>752</v>
      </c>
      <c r="B753" s="18"/>
      <c r="C753" s="18"/>
      <c r="D753" s="18"/>
      <c r="E753" s="18" t="s">
        <v>1487</v>
      </c>
      <c r="F753" s="18" t="s">
        <v>1488</v>
      </c>
      <c r="G753" s="18" t="s">
        <v>74</v>
      </c>
      <c r="H753" s="18" t="n">
        <v>547</v>
      </c>
      <c r="I753" s="19" t="n">
        <v>0</v>
      </c>
      <c r="J753" s="19" t="n">
        <v>284.5</v>
      </c>
      <c r="K753" s="19" t="n">
        <v>284.5</v>
      </c>
      <c r="L753" s="19" t="n">
        <v>0</v>
      </c>
      <c r="M753" s="19" t="n">
        <f aca="false">ABS(L753)</f>
        <v>0</v>
      </c>
      <c r="N753" s="18" t="str">
        <f aca="false">IF(L753=0,"Nil balance",IF(G753="AR file",IF(L753&gt;0,"Accounts Receivable","Customer Advances"),IF(L753&lt;0,"Accounts Payable","Supplier Advances")))</f>
        <v>Nil balance</v>
      </c>
      <c r="O753" s="18" t="str">
        <f aca="false">IF(L753=0,"Excluded",IF(Summary!$C$4="By ledger",IF(G753="AR file","Population 1","Population 2"),IF(L753&gt;0,"Population 1","Population 2")))</f>
        <v>Excluded</v>
      </c>
      <c r="P753" s="18" t="str">
        <f aca="false">IF(O753="Excluded","Excluded – nil closing balance",IF(M753&gt;Summary!$C$5,"Above Materiality","Below Materiality"))</f>
        <v>Excluded – nil closing balance</v>
      </c>
      <c r="Q753" s="20" t="str">
        <f aca="false">IF(P753="Below Materiality",T753,"")</f>
        <v/>
      </c>
      <c r="R753" s="21" t="str">
        <f aca="false">IF(P753="Above Materiality",COUNTIFS($O$2:$O$1092,O753,$P$2:$P$1092,"Above Materiality",$M$2:$M$1092,"&gt;"&amp;M753)+COUNTIFS($O$2:$O$1092,O753,$P$2:$P$1092,"Above Materiality",$M$2:$M$1092,M753,$A$2:$A$1092,"&lt;"&amp;A753)+1,"")</f>
        <v/>
      </c>
      <c r="S753" s="21" t="str">
        <f aca="false">IF(P753&lt;&gt;"Below Materiality","",IF(Summary!$C$9="Random",COUNTIFS($O$2:$O$1092,O753,$Q$2:$Q$1092,"&gt;"&amp;Q753)+1,COUNTIFS($O$2:$O$1092,O753,$P$2:$P$1092,"Below Materiality",$M$2:$M$1092,"&gt;"&amp;M753)+COUNTIFS($O$2:$O$1092,O753,$P$2:$P$1092,"Below Materiality",$M$2:$M$1092,M753,$A$2:$A$1092,"&lt;"&amp;A753)+1))</f>
        <v/>
      </c>
      <c r="T753" s="22"/>
      <c r="U753" s="21" t="str">
        <f aca="false">IF(R753="","",O753&amp;"|A|"&amp;R753)</f>
        <v/>
      </c>
      <c r="V753" s="21" t="str">
        <f aca="false">IF(S753="","",O753&amp;"|R|"&amp;S753)</f>
        <v/>
      </c>
    </row>
    <row r="754" customFormat="false" ht="15" hidden="false" customHeight="false" outlineLevel="0" collapsed="false">
      <c r="A754" s="18" t="n">
        <v>753</v>
      </c>
      <c r="B754" s="18"/>
      <c r="C754" s="18"/>
      <c r="D754" s="18"/>
      <c r="E754" s="18" t="s">
        <v>1489</v>
      </c>
      <c r="F754" s="18" t="s">
        <v>1490</v>
      </c>
      <c r="G754" s="18" t="s">
        <v>74</v>
      </c>
      <c r="H754" s="18" t="n">
        <v>548</v>
      </c>
      <c r="I754" s="19" t="n">
        <v>0</v>
      </c>
      <c r="J754" s="19" t="n">
        <v>235.01</v>
      </c>
      <c r="K754" s="19" t="n">
        <v>235.01</v>
      </c>
      <c r="L754" s="19" t="n">
        <v>0</v>
      </c>
      <c r="M754" s="19" t="n">
        <f aca="false">ABS(L754)</f>
        <v>0</v>
      </c>
      <c r="N754" s="18" t="str">
        <f aca="false">IF(L754=0,"Nil balance",IF(G754="AR file",IF(L754&gt;0,"Accounts Receivable","Customer Advances"),IF(L754&lt;0,"Accounts Payable","Supplier Advances")))</f>
        <v>Nil balance</v>
      </c>
      <c r="O754" s="18" t="str">
        <f aca="false">IF(L754=0,"Excluded",IF(Summary!$C$4="By ledger",IF(G754="AR file","Population 1","Population 2"),IF(L754&gt;0,"Population 1","Population 2")))</f>
        <v>Excluded</v>
      </c>
      <c r="P754" s="18" t="str">
        <f aca="false">IF(O754="Excluded","Excluded – nil closing balance",IF(M754&gt;Summary!$C$5,"Above Materiality","Below Materiality"))</f>
        <v>Excluded – nil closing balance</v>
      </c>
      <c r="Q754" s="20" t="str">
        <f aca="false">IF(P754="Below Materiality",T754,"")</f>
        <v/>
      </c>
      <c r="R754" s="21" t="str">
        <f aca="false">IF(P754="Above Materiality",COUNTIFS($O$2:$O$1092,O754,$P$2:$P$1092,"Above Materiality",$M$2:$M$1092,"&gt;"&amp;M754)+COUNTIFS($O$2:$O$1092,O754,$P$2:$P$1092,"Above Materiality",$M$2:$M$1092,M754,$A$2:$A$1092,"&lt;"&amp;A754)+1,"")</f>
        <v/>
      </c>
      <c r="S754" s="21" t="str">
        <f aca="false">IF(P754&lt;&gt;"Below Materiality","",IF(Summary!$C$9="Random",COUNTIFS($O$2:$O$1092,O754,$Q$2:$Q$1092,"&gt;"&amp;Q754)+1,COUNTIFS($O$2:$O$1092,O754,$P$2:$P$1092,"Below Materiality",$M$2:$M$1092,"&gt;"&amp;M754)+COUNTIFS($O$2:$O$1092,O754,$P$2:$P$1092,"Below Materiality",$M$2:$M$1092,M754,$A$2:$A$1092,"&lt;"&amp;A754)+1))</f>
        <v/>
      </c>
      <c r="T754" s="22"/>
      <c r="U754" s="21" t="str">
        <f aca="false">IF(R754="","",O754&amp;"|A|"&amp;R754)</f>
        <v/>
      </c>
      <c r="V754" s="21" t="str">
        <f aca="false">IF(S754="","",O754&amp;"|R|"&amp;S754)</f>
        <v/>
      </c>
    </row>
    <row r="755" customFormat="false" ht="15" hidden="false" customHeight="false" outlineLevel="0" collapsed="false">
      <c r="A755" s="18" t="n">
        <v>754</v>
      </c>
      <c r="B755" s="18"/>
      <c r="C755" s="18"/>
      <c r="D755" s="18"/>
      <c r="E755" s="18" t="s">
        <v>1491</v>
      </c>
      <c r="F755" s="18" t="s">
        <v>634</v>
      </c>
      <c r="G755" s="18" t="s">
        <v>74</v>
      </c>
      <c r="H755" s="18" t="n">
        <v>549</v>
      </c>
      <c r="I755" s="19" t="n">
        <v>0</v>
      </c>
      <c r="J755" s="19" t="n">
        <v>92</v>
      </c>
      <c r="K755" s="19" t="n">
        <v>92</v>
      </c>
      <c r="L755" s="19" t="n">
        <v>0</v>
      </c>
      <c r="M755" s="19" t="n">
        <f aca="false">ABS(L755)</f>
        <v>0</v>
      </c>
      <c r="N755" s="18" t="str">
        <f aca="false">IF(L755=0,"Nil balance",IF(G755="AR file",IF(L755&gt;0,"Accounts Receivable","Customer Advances"),IF(L755&lt;0,"Accounts Payable","Supplier Advances")))</f>
        <v>Nil balance</v>
      </c>
      <c r="O755" s="18" t="str">
        <f aca="false">IF(L755=0,"Excluded",IF(Summary!$C$4="By ledger",IF(G755="AR file","Population 1","Population 2"),IF(L755&gt;0,"Population 1","Population 2")))</f>
        <v>Excluded</v>
      </c>
      <c r="P755" s="18" t="str">
        <f aca="false">IF(O755="Excluded","Excluded – nil closing balance",IF(M755&gt;Summary!$C$5,"Above Materiality","Below Materiality"))</f>
        <v>Excluded – nil closing balance</v>
      </c>
      <c r="Q755" s="20" t="str">
        <f aca="false">IF(P755="Below Materiality",T755,"")</f>
        <v/>
      </c>
      <c r="R755" s="21" t="str">
        <f aca="false">IF(P755="Above Materiality",COUNTIFS($O$2:$O$1092,O755,$P$2:$P$1092,"Above Materiality",$M$2:$M$1092,"&gt;"&amp;M755)+COUNTIFS($O$2:$O$1092,O755,$P$2:$P$1092,"Above Materiality",$M$2:$M$1092,M755,$A$2:$A$1092,"&lt;"&amp;A755)+1,"")</f>
        <v/>
      </c>
      <c r="S755" s="21" t="str">
        <f aca="false">IF(P755&lt;&gt;"Below Materiality","",IF(Summary!$C$9="Random",COUNTIFS($O$2:$O$1092,O755,$Q$2:$Q$1092,"&gt;"&amp;Q755)+1,COUNTIFS($O$2:$O$1092,O755,$P$2:$P$1092,"Below Materiality",$M$2:$M$1092,"&gt;"&amp;M755)+COUNTIFS($O$2:$O$1092,O755,$P$2:$P$1092,"Below Materiality",$M$2:$M$1092,M755,$A$2:$A$1092,"&lt;"&amp;A755)+1))</f>
        <v/>
      </c>
      <c r="T755" s="22"/>
      <c r="U755" s="21" t="str">
        <f aca="false">IF(R755="","",O755&amp;"|A|"&amp;R755)</f>
        <v/>
      </c>
      <c r="V755" s="21" t="str">
        <f aca="false">IF(S755="","",O755&amp;"|R|"&amp;S755)</f>
        <v/>
      </c>
    </row>
    <row r="756" customFormat="false" ht="15" hidden="false" customHeight="false" outlineLevel="0" collapsed="false">
      <c r="A756" s="18" t="n">
        <v>755</v>
      </c>
      <c r="B756" s="18"/>
      <c r="C756" s="18"/>
      <c r="D756" s="18"/>
      <c r="E756" s="18" t="s">
        <v>1492</v>
      </c>
      <c r="F756" s="18" t="s">
        <v>1493</v>
      </c>
      <c r="G756" s="18" t="s">
        <v>74</v>
      </c>
      <c r="H756" s="18" t="n">
        <v>550</v>
      </c>
      <c r="I756" s="19" t="n">
        <v>0</v>
      </c>
      <c r="J756" s="19" t="n">
        <v>2070</v>
      </c>
      <c r="K756" s="19" t="n">
        <v>2070</v>
      </c>
      <c r="L756" s="19" t="n">
        <v>0</v>
      </c>
      <c r="M756" s="19" t="n">
        <f aca="false">ABS(L756)</f>
        <v>0</v>
      </c>
      <c r="N756" s="18" t="str">
        <f aca="false">IF(L756=0,"Nil balance",IF(G756="AR file",IF(L756&gt;0,"Accounts Receivable","Customer Advances"),IF(L756&lt;0,"Accounts Payable","Supplier Advances")))</f>
        <v>Nil balance</v>
      </c>
      <c r="O756" s="18" t="str">
        <f aca="false">IF(L756=0,"Excluded",IF(Summary!$C$4="By ledger",IF(G756="AR file","Population 1","Population 2"),IF(L756&gt;0,"Population 1","Population 2")))</f>
        <v>Excluded</v>
      </c>
      <c r="P756" s="18" t="str">
        <f aca="false">IF(O756="Excluded","Excluded – nil closing balance",IF(M756&gt;Summary!$C$5,"Above Materiality","Below Materiality"))</f>
        <v>Excluded – nil closing balance</v>
      </c>
      <c r="Q756" s="20" t="str">
        <f aca="false">IF(P756="Below Materiality",T756,"")</f>
        <v/>
      </c>
      <c r="R756" s="21" t="str">
        <f aca="false">IF(P756="Above Materiality",COUNTIFS($O$2:$O$1092,O756,$P$2:$P$1092,"Above Materiality",$M$2:$M$1092,"&gt;"&amp;M756)+COUNTIFS($O$2:$O$1092,O756,$P$2:$P$1092,"Above Materiality",$M$2:$M$1092,M756,$A$2:$A$1092,"&lt;"&amp;A756)+1,"")</f>
        <v/>
      </c>
      <c r="S756" s="21" t="str">
        <f aca="false">IF(P756&lt;&gt;"Below Materiality","",IF(Summary!$C$9="Random",COUNTIFS($O$2:$O$1092,O756,$Q$2:$Q$1092,"&gt;"&amp;Q756)+1,COUNTIFS($O$2:$O$1092,O756,$P$2:$P$1092,"Below Materiality",$M$2:$M$1092,"&gt;"&amp;M756)+COUNTIFS($O$2:$O$1092,O756,$P$2:$P$1092,"Below Materiality",$M$2:$M$1092,M756,$A$2:$A$1092,"&lt;"&amp;A756)+1))</f>
        <v/>
      </c>
      <c r="T756" s="22"/>
      <c r="U756" s="21" t="str">
        <f aca="false">IF(R756="","",O756&amp;"|A|"&amp;R756)</f>
        <v/>
      </c>
      <c r="V756" s="21" t="str">
        <f aca="false">IF(S756="","",O756&amp;"|R|"&amp;S756)</f>
        <v/>
      </c>
    </row>
    <row r="757" customFormat="false" ht="15" hidden="false" customHeight="false" outlineLevel="0" collapsed="false">
      <c r="A757" s="18" t="n">
        <v>756</v>
      </c>
      <c r="B757" s="18"/>
      <c r="C757" s="18"/>
      <c r="D757" s="18"/>
      <c r="E757" s="18" t="s">
        <v>1494</v>
      </c>
      <c r="F757" s="18" t="s">
        <v>1495</v>
      </c>
      <c r="G757" s="18" t="s">
        <v>74</v>
      </c>
      <c r="H757" s="18" t="n">
        <v>552</v>
      </c>
      <c r="I757" s="19" t="n">
        <v>0</v>
      </c>
      <c r="J757" s="19" t="n">
        <v>19180</v>
      </c>
      <c r="K757" s="19" t="n">
        <v>19180</v>
      </c>
      <c r="L757" s="19" t="n">
        <v>0</v>
      </c>
      <c r="M757" s="19" t="n">
        <f aca="false">ABS(L757)</f>
        <v>0</v>
      </c>
      <c r="N757" s="18" t="str">
        <f aca="false">IF(L757=0,"Nil balance",IF(G757="AR file",IF(L757&gt;0,"Accounts Receivable","Customer Advances"),IF(L757&lt;0,"Accounts Payable","Supplier Advances")))</f>
        <v>Nil balance</v>
      </c>
      <c r="O757" s="18" t="str">
        <f aca="false">IF(L757=0,"Excluded",IF(Summary!$C$4="By ledger",IF(G757="AR file","Population 1","Population 2"),IF(L757&gt;0,"Population 1","Population 2")))</f>
        <v>Excluded</v>
      </c>
      <c r="P757" s="18" t="str">
        <f aca="false">IF(O757="Excluded","Excluded – nil closing balance",IF(M757&gt;Summary!$C$5,"Above Materiality","Below Materiality"))</f>
        <v>Excluded – nil closing balance</v>
      </c>
      <c r="Q757" s="20" t="str">
        <f aca="false">IF(P757="Below Materiality",T757,"")</f>
        <v/>
      </c>
      <c r="R757" s="21" t="str">
        <f aca="false">IF(P757="Above Materiality",COUNTIFS($O$2:$O$1092,O757,$P$2:$P$1092,"Above Materiality",$M$2:$M$1092,"&gt;"&amp;M757)+COUNTIFS($O$2:$O$1092,O757,$P$2:$P$1092,"Above Materiality",$M$2:$M$1092,M757,$A$2:$A$1092,"&lt;"&amp;A757)+1,"")</f>
        <v/>
      </c>
      <c r="S757" s="21" t="str">
        <f aca="false">IF(P757&lt;&gt;"Below Materiality","",IF(Summary!$C$9="Random",COUNTIFS($O$2:$O$1092,O757,$Q$2:$Q$1092,"&gt;"&amp;Q757)+1,COUNTIFS($O$2:$O$1092,O757,$P$2:$P$1092,"Below Materiality",$M$2:$M$1092,"&gt;"&amp;M757)+COUNTIFS($O$2:$O$1092,O757,$P$2:$P$1092,"Below Materiality",$M$2:$M$1092,M757,$A$2:$A$1092,"&lt;"&amp;A757)+1))</f>
        <v/>
      </c>
      <c r="T757" s="22"/>
      <c r="U757" s="21" t="str">
        <f aca="false">IF(R757="","",O757&amp;"|A|"&amp;R757)</f>
        <v/>
      </c>
      <c r="V757" s="21" t="str">
        <f aca="false">IF(S757="","",O757&amp;"|R|"&amp;S757)</f>
        <v/>
      </c>
    </row>
    <row r="758" customFormat="false" ht="15" hidden="false" customHeight="false" outlineLevel="0" collapsed="false">
      <c r="A758" s="18" t="n">
        <v>757</v>
      </c>
      <c r="B758" s="18"/>
      <c r="C758" s="18"/>
      <c r="D758" s="18"/>
      <c r="E758" s="18" t="s">
        <v>1496</v>
      </c>
      <c r="F758" s="18" t="s">
        <v>1497</v>
      </c>
      <c r="G758" s="18" t="s">
        <v>74</v>
      </c>
      <c r="H758" s="18" t="n">
        <v>553</v>
      </c>
      <c r="I758" s="19" t="n">
        <v>0</v>
      </c>
      <c r="J758" s="19" t="n">
        <v>2149.62</v>
      </c>
      <c r="K758" s="19" t="n">
        <v>2149.62</v>
      </c>
      <c r="L758" s="19" t="n">
        <v>0</v>
      </c>
      <c r="M758" s="19" t="n">
        <f aca="false">ABS(L758)</f>
        <v>0</v>
      </c>
      <c r="N758" s="18" t="str">
        <f aca="false">IF(L758=0,"Nil balance",IF(G758="AR file",IF(L758&gt;0,"Accounts Receivable","Customer Advances"),IF(L758&lt;0,"Accounts Payable","Supplier Advances")))</f>
        <v>Nil balance</v>
      </c>
      <c r="O758" s="18" t="str">
        <f aca="false">IF(L758=0,"Excluded",IF(Summary!$C$4="By ledger",IF(G758="AR file","Population 1","Population 2"),IF(L758&gt;0,"Population 1","Population 2")))</f>
        <v>Excluded</v>
      </c>
      <c r="P758" s="18" t="str">
        <f aca="false">IF(O758="Excluded","Excluded – nil closing balance",IF(M758&gt;Summary!$C$5,"Above Materiality","Below Materiality"))</f>
        <v>Excluded – nil closing balance</v>
      </c>
      <c r="Q758" s="20" t="str">
        <f aca="false">IF(P758="Below Materiality",T758,"")</f>
        <v/>
      </c>
      <c r="R758" s="21" t="str">
        <f aca="false">IF(P758="Above Materiality",COUNTIFS($O$2:$O$1092,O758,$P$2:$P$1092,"Above Materiality",$M$2:$M$1092,"&gt;"&amp;M758)+COUNTIFS($O$2:$O$1092,O758,$P$2:$P$1092,"Above Materiality",$M$2:$M$1092,M758,$A$2:$A$1092,"&lt;"&amp;A758)+1,"")</f>
        <v/>
      </c>
      <c r="S758" s="21" t="str">
        <f aca="false">IF(P758&lt;&gt;"Below Materiality","",IF(Summary!$C$9="Random",COUNTIFS($O$2:$O$1092,O758,$Q$2:$Q$1092,"&gt;"&amp;Q758)+1,COUNTIFS($O$2:$O$1092,O758,$P$2:$P$1092,"Below Materiality",$M$2:$M$1092,"&gt;"&amp;M758)+COUNTIFS($O$2:$O$1092,O758,$P$2:$P$1092,"Below Materiality",$M$2:$M$1092,M758,$A$2:$A$1092,"&lt;"&amp;A758)+1))</f>
        <v/>
      </c>
      <c r="T758" s="22"/>
      <c r="U758" s="21" t="str">
        <f aca="false">IF(R758="","",O758&amp;"|A|"&amp;R758)</f>
        <v/>
      </c>
      <c r="V758" s="21" t="str">
        <f aca="false">IF(S758="","",O758&amp;"|R|"&amp;S758)</f>
        <v/>
      </c>
    </row>
    <row r="759" customFormat="false" ht="15" hidden="false" customHeight="false" outlineLevel="0" collapsed="false">
      <c r="A759" s="18" t="n">
        <v>758</v>
      </c>
      <c r="B759" s="18"/>
      <c r="C759" s="18"/>
      <c r="D759" s="18"/>
      <c r="E759" s="18" t="s">
        <v>1498</v>
      </c>
      <c r="F759" s="18" t="s">
        <v>600</v>
      </c>
      <c r="G759" s="18" t="s">
        <v>74</v>
      </c>
      <c r="H759" s="18" t="n">
        <v>554</v>
      </c>
      <c r="I759" s="19" t="n">
        <v>0</v>
      </c>
      <c r="J759" s="19" t="n">
        <v>80</v>
      </c>
      <c r="K759" s="19" t="n">
        <v>80</v>
      </c>
      <c r="L759" s="19" t="n">
        <v>0</v>
      </c>
      <c r="M759" s="19" t="n">
        <f aca="false">ABS(L759)</f>
        <v>0</v>
      </c>
      <c r="N759" s="18" t="str">
        <f aca="false">IF(L759=0,"Nil balance",IF(G759="AR file",IF(L759&gt;0,"Accounts Receivable","Customer Advances"),IF(L759&lt;0,"Accounts Payable","Supplier Advances")))</f>
        <v>Nil balance</v>
      </c>
      <c r="O759" s="18" t="str">
        <f aca="false">IF(L759=0,"Excluded",IF(Summary!$C$4="By ledger",IF(G759="AR file","Population 1","Population 2"),IF(L759&gt;0,"Population 1","Population 2")))</f>
        <v>Excluded</v>
      </c>
      <c r="P759" s="18" t="str">
        <f aca="false">IF(O759="Excluded","Excluded – nil closing balance",IF(M759&gt;Summary!$C$5,"Above Materiality","Below Materiality"))</f>
        <v>Excluded – nil closing balance</v>
      </c>
      <c r="Q759" s="20" t="str">
        <f aca="false">IF(P759="Below Materiality",T759,"")</f>
        <v/>
      </c>
      <c r="R759" s="21" t="str">
        <f aca="false">IF(P759="Above Materiality",COUNTIFS($O$2:$O$1092,O759,$P$2:$P$1092,"Above Materiality",$M$2:$M$1092,"&gt;"&amp;M759)+COUNTIFS($O$2:$O$1092,O759,$P$2:$P$1092,"Above Materiality",$M$2:$M$1092,M759,$A$2:$A$1092,"&lt;"&amp;A759)+1,"")</f>
        <v/>
      </c>
      <c r="S759" s="21" t="str">
        <f aca="false">IF(P759&lt;&gt;"Below Materiality","",IF(Summary!$C$9="Random",COUNTIFS($O$2:$O$1092,O759,$Q$2:$Q$1092,"&gt;"&amp;Q759)+1,COUNTIFS($O$2:$O$1092,O759,$P$2:$P$1092,"Below Materiality",$M$2:$M$1092,"&gt;"&amp;M759)+COUNTIFS($O$2:$O$1092,O759,$P$2:$P$1092,"Below Materiality",$M$2:$M$1092,M759,$A$2:$A$1092,"&lt;"&amp;A759)+1))</f>
        <v/>
      </c>
      <c r="T759" s="22"/>
      <c r="U759" s="21" t="str">
        <f aca="false">IF(R759="","",O759&amp;"|A|"&amp;R759)</f>
        <v/>
      </c>
      <c r="V759" s="21" t="str">
        <f aca="false">IF(S759="","",O759&amp;"|R|"&amp;S759)</f>
        <v/>
      </c>
    </row>
    <row r="760" customFormat="false" ht="15" hidden="false" customHeight="false" outlineLevel="0" collapsed="false">
      <c r="A760" s="18" t="n">
        <v>759</v>
      </c>
      <c r="B760" s="18"/>
      <c r="C760" s="18"/>
      <c r="D760" s="18"/>
      <c r="E760" s="18" t="s">
        <v>1499</v>
      </c>
      <c r="F760" s="18" t="s">
        <v>540</v>
      </c>
      <c r="G760" s="18" t="s">
        <v>74</v>
      </c>
      <c r="H760" s="18" t="n">
        <v>555</v>
      </c>
      <c r="I760" s="19" t="n">
        <v>0</v>
      </c>
      <c r="J760" s="19" t="n">
        <v>345</v>
      </c>
      <c r="K760" s="19" t="n">
        <v>345</v>
      </c>
      <c r="L760" s="19" t="n">
        <v>0</v>
      </c>
      <c r="M760" s="19" t="n">
        <f aca="false">ABS(L760)</f>
        <v>0</v>
      </c>
      <c r="N760" s="18" t="str">
        <f aca="false">IF(L760=0,"Nil balance",IF(G760="AR file",IF(L760&gt;0,"Accounts Receivable","Customer Advances"),IF(L760&lt;0,"Accounts Payable","Supplier Advances")))</f>
        <v>Nil balance</v>
      </c>
      <c r="O760" s="18" t="str">
        <f aca="false">IF(L760=0,"Excluded",IF(Summary!$C$4="By ledger",IF(G760="AR file","Population 1","Population 2"),IF(L760&gt;0,"Population 1","Population 2")))</f>
        <v>Excluded</v>
      </c>
      <c r="P760" s="18" t="str">
        <f aca="false">IF(O760="Excluded","Excluded – nil closing balance",IF(M760&gt;Summary!$C$5,"Above Materiality","Below Materiality"))</f>
        <v>Excluded – nil closing balance</v>
      </c>
      <c r="Q760" s="20" t="str">
        <f aca="false">IF(P760="Below Materiality",T760,"")</f>
        <v/>
      </c>
      <c r="R760" s="21" t="str">
        <f aca="false">IF(P760="Above Materiality",COUNTIFS($O$2:$O$1092,O760,$P$2:$P$1092,"Above Materiality",$M$2:$M$1092,"&gt;"&amp;M760)+COUNTIFS($O$2:$O$1092,O760,$P$2:$P$1092,"Above Materiality",$M$2:$M$1092,M760,$A$2:$A$1092,"&lt;"&amp;A760)+1,"")</f>
        <v/>
      </c>
      <c r="S760" s="21" t="str">
        <f aca="false">IF(P760&lt;&gt;"Below Materiality","",IF(Summary!$C$9="Random",COUNTIFS($O$2:$O$1092,O760,$Q$2:$Q$1092,"&gt;"&amp;Q760)+1,COUNTIFS($O$2:$O$1092,O760,$P$2:$P$1092,"Below Materiality",$M$2:$M$1092,"&gt;"&amp;M760)+COUNTIFS($O$2:$O$1092,O760,$P$2:$P$1092,"Below Materiality",$M$2:$M$1092,M760,$A$2:$A$1092,"&lt;"&amp;A760)+1))</f>
        <v/>
      </c>
      <c r="T760" s="22"/>
      <c r="U760" s="21" t="str">
        <f aca="false">IF(R760="","",O760&amp;"|A|"&amp;R760)</f>
        <v/>
      </c>
      <c r="V760" s="21" t="str">
        <f aca="false">IF(S760="","",O760&amp;"|R|"&amp;S760)</f>
        <v/>
      </c>
    </row>
    <row r="761" customFormat="false" ht="15" hidden="false" customHeight="false" outlineLevel="0" collapsed="false">
      <c r="A761" s="18" t="n">
        <v>760</v>
      </c>
      <c r="B761" s="18"/>
      <c r="C761" s="18"/>
      <c r="D761" s="18"/>
      <c r="E761" s="18" t="s">
        <v>1500</v>
      </c>
      <c r="F761" s="18" t="s">
        <v>1501</v>
      </c>
      <c r="G761" s="18" t="s">
        <v>74</v>
      </c>
      <c r="H761" s="18" t="n">
        <v>556</v>
      </c>
      <c r="I761" s="19" t="n">
        <v>0</v>
      </c>
      <c r="J761" s="19" t="n">
        <v>6166</v>
      </c>
      <c r="K761" s="19" t="n">
        <v>6166</v>
      </c>
      <c r="L761" s="19" t="n">
        <v>0</v>
      </c>
      <c r="M761" s="19" t="n">
        <f aca="false">ABS(L761)</f>
        <v>0</v>
      </c>
      <c r="N761" s="18" t="str">
        <f aca="false">IF(L761=0,"Nil balance",IF(G761="AR file",IF(L761&gt;0,"Accounts Receivable","Customer Advances"),IF(L761&lt;0,"Accounts Payable","Supplier Advances")))</f>
        <v>Nil balance</v>
      </c>
      <c r="O761" s="18" t="str">
        <f aca="false">IF(L761=0,"Excluded",IF(Summary!$C$4="By ledger",IF(G761="AR file","Population 1","Population 2"),IF(L761&gt;0,"Population 1","Population 2")))</f>
        <v>Excluded</v>
      </c>
      <c r="P761" s="18" t="str">
        <f aca="false">IF(O761="Excluded","Excluded – nil closing balance",IF(M761&gt;Summary!$C$5,"Above Materiality","Below Materiality"))</f>
        <v>Excluded – nil closing balance</v>
      </c>
      <c r="Q761" s="20" t="str">
        <f aca="false">IF(P761="Below Materiality",T761,"")</f>
        <v/>
      </c>
      <c r="R761" s="21" t="str">
        <f aca="false">IF(P761="Above Materiality",COUNTIFS($O$2:$O$1092,O761,$P$2:$P$1092,"Above Materiality",$M$2:$M$1092,"&gt;"&amp;M761)+COUNTIFS($O$2:$O$1092,O761,$P$2:$P$1092,"Above Materiality",$M$2:$M$1092,M761,$A$2:$A$1092,"&lt;"&amp;A761)+1,"")</f>
        <v/>
      </c>
      <c r="S761" s="21" t="str">
        <f aca="false">IF(P761&lt;&gt;"Below Materiality","",IF(Summary!$C$9="Random",COUNTIFS($O$2:$O$1092,O761,$Q$2:$Q$1092,"&gt;"&amp;Q761)+1,COUNTIFS($O$2:$O$1092,O761,$P$2:$P$1092,"Below Materiality",$M$2:$M$1092,"&gt;"&amp;M761)+COUNTIFS($O$2:$O$1092,O761,$P$2:$P$1092,"Below Materiality",$M$2:$M$1092,M761,$A$2:$A$1092,"&lt;"&amp;A761)+1))</f>
        <v/>
      </c>
      <c r="T761" s="22"/>
      <c r="U761" s="21" t="str">
        <f aca="false">IF(R761="","",O761&amp;"|A|"&amp;R761)</f>
        <v/>
      </c>
      <c r="V761" s="21" t="str">
        <f aca="false">IF(S761="","",O761&amp;"|R|"&amp;S761)</f>
        <v/>
      </c>
    </row>
    <row r="762" customFormat="false" ht="15" hidden="false" customHeight="false" outlineLevel="0" collapsed="false">
      <c r="A762" s="18" t="n">
        <v>761</v>
      </c>
      <c r="B762" s="18"/>
      <c r="C762" s="18"/>
      <c r="D762" s="18"/>
      <c r="E762" s="18" t="s">
        <v>1502</v>
      </c>
      <c r="F762" s="18" t="s">
        <v>1503</v>
      </c>
      <c r="G762" s="18" t="s">
        <v>74</v>
      </c>
      <c r="H762" s="18" t="n">
        <v>557</v>
      </c>
      <c r="I762" s="19" t="n">
        <v>0</v>
      </c>
      <c r="J762" s="19" t="n">
        <v>18400</v>
      </c>
      <c r="K762" s="19" t="n">
        <v>18400</v>
      </c>
      <c r="L762" s="19" t="n">
        <v>0</v>
      </c>
      <c r="M762" s="19" t="n">
        <f aca="false">ABS(L762)</f>
        <v>0</v>
      </c>
      <c r="N762" s="18" t="str">
        <f aca="false">IF(L762=0,"Nil balance",IF(G762="AR file",IF(L762&gt;0,"Accounts Receivable","Customer Advances"),IF(L762&lt;0,"Accounts Payable","Supplier Advances")))</f>
        <v>Nil balance</v>
      </c>
      <c r="O762" s="18" t="str">
        <f aca="false">IF(L762=0,"Excluded",IF(Summary!$C$4="By ledger",IF(G762="AR file","Population 1","Population 2"),IF(L762&gt;0,"Population 1","Population 2")))</f>
        <v>Excluded</v>
      </c>
      <c r="P762" s="18" t="str">
        <f aca="false">IF(O762="Excluded","Excluded – nil closing balance",IF(M762&gt;Summary!$C$5,"Above Materiality","Below Materiality"))</f>
        <v>Excluded – nil closing balance</v>
      </c>
      <c r="Q762" s="20" t="str">
        <f aca="false">IF(P762="Below Materiality",T762,"")</f>
        <v/>
      </c>
      <c r="R762" s="21" t="str">
        <f aca="false">IF(P762="Above Materiality",COUNTIFS($O$2:$O$1092,O762,$P$2:$P$1092,"Above Materiality",$M$2:$M$1092,"&gt;"&amp;M762)+COUNTIFS($O$2:$O$1092,O762,$P$2:$P$1092,"Above Materiality",$M$2:$M$1092,M762,$A$2:$A$1092,"&lt;"&amp;A762)+1,"")</f>
        <v/>
      </c>
      <c r="S762" s="21" t="str">
        <f aca="false">IF(P762&lt;&gt;"Below Materiality","",IF(Summary!$C$9="Random",COUNTIFS($O$2:$O$1092,O762,$Q$2:$Q$1092,"&gt;"&amp;Q762)+1,COUNTIFS($O$2:$O$1092,O762,$P$2:$P$1092,"Below Materiality",$M$2:$M$1092,"&gt;"&amp;M762)+COUNTIFS($O$2:$O$1092,O762,$P$2:$P$1092,"Below Materiality",$M$2:$M$1092,M762,$A$2:$A$1092,"&lt;"&amp;A762)+1))</f>
        <v/>
      </c>
      <c r="T762" s="22"/>
      <c r="U762" s="21" t="str">
        <f aca="false">IF(R762="","",O762&amp;"|A|"&amp;R762)</f>
        <v/>
      </c>
      <c r="V762" s="21" t="str">
        <f aca="false">IF(S762="","",O762&amp;"|R|"&amp;S762)</f>
        <v/>
      </c>
    </row>
    <row r="763" customFormat="false" ht="15" hidden="false" customHeight="false" outlineLevel="0" collapsed="false">
      <c r="A763" s="18" t="n">
        <v>762</v>
      </c>
      <c r="B763" s="18"/>
      <c r="C763" s="18"/>
      <c r="D763" s="18"/>
      <c r="E763" s="18" t="s">
        <v>1504</v>
      </c>
      <c r="F763" s="18" t="s">
        <v>1505</v>
      </c>
      <c r="G763" s="18" t="s">
        <v>74</v>
      </c>
      <c r="H763" s="18" t="n">
        <v>558</v>
      </c>
      <c r="I763" s="19" t="n">
        <v>0</v>
      </c>
      <c r="J763" s="19" t="n">
        <v>977.5</v>
      </c>
      <c r="K763" s="19" t="n">
        <v>977.5</v>
      </c>
      <c r="L763" s="19" t="n">
        <v>0</v>
      </c>
      <c r="M763" s="19" t="n">
        <f aca="false">ABS(L763)</f>
        <v>0</v>
      </c>
      <c r="N763" s="18" t="str">
        <f aca="false">IF(L763=0,"Nil balance",IF(G763="AR file",IF(L763&gt;0,"Accounts Receivable","Customer Advances"),IF(L763&lt;0,"Accounts Payable","Supplier Advances")))</f>
        <v>Nil balance</v>
      </c>
      <c r="O763" s="18" t="str">
        <f aca="false">IF(L763=0,"Excluded",IF(Summary!$C$4="By ledger",IF(G763="AR file","Population 1","Population 2"),IF(L763&gt;0,"Population 1","Population 2")))</f>
        <v>Excluded</v>
      </c>
      <c r="P763" s="18" t="str">
        <f aca="false">IF(O763="Excluded","Excluded – nil closing balance",IF(M763&gt;Summary!$C$5,"Above Materiality","Below Materiality"))</f>
        <v>Excluded – nil closing balance</v>
      </c>
      <c r="Q763" s="20" t="str">
        <f aca="false">IF(P763="Below Materiality",T763,"")</f>
        <v/>
      </c>
      <c r="R763" s="21" t="str">
        <f aca="false">IF(P763="Above Materiality",COUNTIFS($O$2:$O$1092,O763,$P$2:$P$1092,"Above Materiality",$M$2:$M$1092,"&gt;"&amp;M763)+COUNTIFS($O$2:$O$1092,O763,$P$2:$P$1092,"Above Materiality",$M$2:$M$1092,M763,$A$2:$A$1092,"&lt;"&amp;A763)+1,"")</f>
        <v/>
      </c>
      <c r="S763" s="21" t="str">
        <f aca="false">IF(P763&lt;&gt;"Below Materiality","",IF(Summary!$C$9="Random",COUNTIFS($O$2:$O$1092,O763,$Q$2:$Q$1092,"&gt;"&amp;Q763)+1,COUNTIFS($O$2:$O$1092,O763,$P$2:$P$1092,"Below Materiality",$M$2:$M$1092,"&gt;"&amp;M763)+COUNTIFS($O$2:$O$1092,O763,$P$2:$P$1092,"Below Materiality",$M$2:$M$1092,M763,$A$2:$A$1092,"&lt;"&amp;A763)+1))</f>
        <v/>
      </c>
      <c r="T763" s="22"/>
      <c r="U763" s="21" t="str">
        <f aca="false">IF(R763="","",O763&amp;"|A|"&amp;R763)</f>
        <v/>
      </c>
      <c r="V763" s="21" t="str">
        <f aca="false">IF(S763="","",O763&amp;"|R|"&amp;S763)</f>
        <v/>
      </c>
    </row>
    <row r="764" customFormat="false" ht="15" hidden="false" customHeight="false" outlineLevel="0" collapsed="false">
      <c r="A764" s="18" t="n">
        <v>763</v>
      </c>
      <c r="B764" s="18"/>
      <c r="C764" s="18"/>
      <c r="D764" s="18"/>
      <c r="E764" s="18" t="s">
        <v>1506</v>
      </c>
      <c r="F764" s="18" t="s">
        <v>482</v>
      </c>
      <c r="G764" s="18" t="s">
        <v>74</v>
      </c>
      <c r="H764" s="18" t="n">
        <v>559</v>
      </c>
      <c r="I764" s="19" t="n">
        <v>0</v>
      </c>
      <c r="J764" s="19" t="n">
        <v>575</v>
      </c>
      <c r="K764" s="19" t="n">
        <v>575</v>
      </c>
      <c r="L764" s="19" t="n">
        <v>0</v>
      </c>
      <c r="M764" s="19" t="n">
        <f aca="false">ABS(L764)</f>
        <v>0</v>
      </c>
      <c r="N764" s="18" t="str">
        <f aca="false">IF(L764=0,"Nil balance",IF(G764="AR file",IF(L764&gt;0,"Accounts Receivable","Customer Advances"),IF(L764&lt;0,"Accounts Payable","Supplier Advances")))</f>
        <v>Nil balance</v>
      </c>
      <c r="O764" s="18" t="str">
        <f aca="false">IF(L764=0,"Excluded",IF(Summary!$C$4="By ledger",IF(G764="AR file","Population 1","Population 2"),IF(L764&gt;0,"Population 1","Population 2")))</f>
        <v>Excluded</v>
      </c>
      <c r="P764" s="18" t="str">
        <f aca="false">IF(O764="Excluded","Excluded – nil closing balance",IF(M764&gt;Summary!$C$5,"Above Materiality","Below Materiality"))</f>
        <v>Excluded – nil closing balance</v>
      </c>
      <c r="Q764" s="20" t="str">
        <f aca="false">IF(P764="Below Materiality",T764,"")</f>
        <v/>
      </c>
      <c r="R764" s="21" t="str">
        <f aca="false">IF(P764="Above Materiality",COUNTIFS($O$2:$O$1092,O764,$P$2:$P$1092,"Above Materiality",$M$2:$M$1092,"&gt;"&amp;M764)+COUNTIFS($O$2:$O$1092,O764,$P$2:$P$1092,"Above Materiality",$M$2:$M$1092,M764,$A$2:$A$1092,"&lt;"&amp;A764)+1,"")</f>
        <v/>
      </c>
      <c r="S764" s="21" t="str">
        <f aca="false">IF(P764&lt;&gt;"Below Materiality","",IF(Summary!$C$9="Random",COUNTIFS($O$2:$O$1092,O764,$Q$2:$Q$1092,"&gt;"&amp;Q764)+1,COUNTIFS($O$2:$O$1092,O764,$P$2:$P$1092,"Below Materiality",$M$2:$M$1092,"&gt;"&amp;M764)+COUNTIFS($O$2:$O$1092,O764,$P$2:$P$1092,"Below Materiality",$M$2:$M$1092,M764,$A$2:$A$1092,"&lt;"&amp;A764)+1))</f>
        <v/>
      </c>
      <c r="T764" s="22"/>
      <c r="U764" s="21" t="str">
        <f aca="false">IF(R764="","",O764&amp;"|A|"&amp;R764)</f>
        <v/>
      </c>
      <c r="V764" s="21" t="str">
        <f aca="false">IF(S764="","",O764&amp;"|R|"&amp;S764)</f>
        <v/>
      </c>
    </row>
    <row r="765" customFormat="false" ht="15" hidden="false" customHeight="false" outlineLevel="0" collapsed="false">
      <c r="A765" s="18" t="n">
        <v>764</v>
      </c>
      <c r="B765" s="18"/>
      <c r="C765" s="18"/>
      <c r="D765" s="18"/>
      <c r="E765" s="18" t="s">
        <v>1507</v>
      </c>
      <c r="F765" s="18" t="s">
        <v>1508</v>
      </c>
      <c r="G765" s="18" t="s">
        <v>74</v>
      </c>
      <c r="H765" s="18" t="n">
        <v>560</v>
      </c>
      <c r="I765" s="19" t="n">
        <v>0</v>
      </c>
      <c r="J765" s="19" t="n">
        <v>862.5</v>
      </c>
      <c r="K765" s="19" t="n">
        <v>862.5</v>
      </c>
      <c r="L765" s="19" t="n">
        <v>0</v>
      </c>
      <c r="M765" s="19" t="n">
        <f aca="false">ABS(L765)</f>
        <v>0</v>
      </c>
      <c r="N765" s="18" t="str">
        <f aca="false">IF(L765=0,"Nil balance",IF(G765="AR file",IF(L765&gt;0,"Accounts Receivable","Customer Advances"),IF(L765&lt;0,"Accounts Payable","Supplier Advances")))</f>
        <v>Nil balance</v>
      </c>
      <c r="O765" s="18" t="str">
        <f aca="false">IF(L765=0,"Excluded",IF(Summary!$C$4="By ledger",IF(G765="AR file","Population 1","Population 2"),IF(L765&gt;0,"Population 1","Population 2")))</f>
        <v>Excluded</v>
      </c>
      <c r="P765" s="18" t="str">
        <f aca="false">IF(O765="Excluded","Excluded – nil closing balance",IF(M765&gt;Summary!$C$5,"Above Materiality","Below Materiality"))</f>
        <v>Excluded – nil closing balance</v>
      </c>
      <c r="Q765" s="20" t="str">
        <f aca="false">IF(P765="Below Materiality",T765,"")</f>
        <v/>
      </c>
      <c r="R765" s="21" t="str">
        <f aca="false">IF(P765="Above Materiality",COUNTIFS($O$2:$O$1092,O765,$P$2:$P$1092,"Above Materiality",$M$2:$M$1092,"&gt;"&amp;M765)+COUNTIFS($O$2:$O$1092,O765,$P$2:$P$1092,"Above Materiality",$M$2:$M$1092,M765,$A$2:$A$1092,"&lt;"&amp;A765)+1,"")</f>
        <v/>
      </c>
      <c r="S765" s="21" t="str">
        <f aca="false">IF(P765&lt;&gt;"Below Materiality","",IF(Summary!$C$9="Random",COUNTIFS($O$2:$O$1092,O765,$Q$2:$Q$1092,"&gt;"&amp;Q765)+1,COUNTIFS($O$2:$O$1092,O765,$P$2:$P$1092,"Below Materiality",$M$2:$M$1092,"&gt;"&amp;M765)+COUNTIFS($O$2:$O$1092,O765,$P$2:$P$1092,"Below Materiality",$M$2:$M$1092,M765,$A$2:$A$1092,"&lt;"&amp;A765)+1))</f>
        <v/>
      </c>
      <c r="T765" s="22"/>
      <c r="U765" s="21" t="str">
        <f aca="false">IF(R765="","",O765&amp;"|A|"&amp;R765)</f>
        <v/>
      </c>
      <c r="V765" s="21" t="str">
        <f aca="false">IF(S765="","",O765&amp;"|R|"&amp;S765)</f>
        <v/>
      </c>
    </row>
    <row r="766" customFormat="false" ht="15" hidden="false" customHeight="false" outlineLevel="0" collapsed="false">
      <c r="A766" s="18" t="n">
        <v>765</v>
      </c>
      <c r="B766" s="18"/>
      <c r="C766" s="18"/>
      <c r="D766" s="18"/>
      <c r="E766" s="18" t="s">
        <v>1509</v>
      </c>
      <c r="F766" s="18" t="s">
        <v>1510</v>
      </c>
      <c r="G766" s="18" t="s">
        <v>74</v>
      </c>
      <c r="H766" s="18" t="n">
        <v>561</v>
      </c>
      <c r="I766" s="19" t="n">
        <v>0</v>
      </c>
      <c r="J766" s="19" t="n">
        <v>1141.5</v>
      </c>
      <c r="K766" s="19" t="n">
        <v>1141.5</v>
      </c>
      <c r="L766" s="19" t="n">
        <v>0</v>
      </c>
      <c r="M766" s="19" t="n">
        <f aca="false">ABS(L766)</f>
        <v>0</v>
      </c>
      <c r="N766" s="18" t="str">
        <f aca="false">IF(L766=0,"Nil balance",IF(G766="AR file",IF(L766&gt;0,"Accounts Receivable","Customer Advances"),IF(L766&lt;0,"Accounts Payable","Supplier Advances")))</f>
        <v>Nil balance</v>
      </c>
      <c r="O766" s="18" t="str">
        <f aca="false">IF(L766=0,"Excluded",IF(Summary!$C$4="By ledger",IF(G766="AR file","Population 1","Population 2"),IF(L766&gt;0,"Population 1","Population 2")))</f>
        <v>Excluded</v>
      </c>
      <c r="P766" s="18" t="str">
        <f aca="false">IF(O766="Excluded","Excluded – nil closing balance",IF(M766&gt;Summary!$C$5,"Above Materiality","Below Materiality"))</f>
        <v>Excluded – nil closing balance</v>
      </c>
      <c r="Q766" s="20" t="str">
        <f aca="false">IF(P766="Below Materiality",T766,"")</f>
        <v/>
      </c>
      <c r="R766" s="21" t="str">
        <f aca="false">IF(P766="Above Materiality",COUNTIFS($O$2:$O$1092,O766,$P$2:$P$1092,"Above Materiality",$M$2:$M$1092,"&gt;"&amp;M766)+COUNTIFS($O$2:$O$1092,O766,$P$2:$P$1092,"Above Materiality",$M$2:$M$1092,M766,$A$2:$A$1092,"&lt;"&amp;A766)+1,"")</f>
        <v/>
      </c>
      <c r="S766" s="21" t="str">
        <f aca="false">IF(P766&lt;&gt;"Below Materiality","",IF(Summary!$C$9="Random",COUNTIFS($O$2:$O$1092,O766,$Q$2:$Q$1092,"&gt;"&amp;Q766)+1,COUNTIFS($O$2:$O$1092,O766,$P$2:$P$1092,"Below Materiality",$M$2:$M$1092,"&gt;"&amp;M766)+COUNTIFS($O$2:$O$1092,O766,$P$2:$P$1092,"Below Materiality",$M$2:$M$1092,M766,$A$2:$A$1092,"&lt;"&amp;A766)+1))</f>
        <v/>
      </c>
      <c r="T766" s="22"/>
      <c r="U766" s="21" t="str">
        <f aca="false">IF(R766="","",O766&amp;"|A|"&amp;R766)</f>
        <v/>
      </c>
      <c r="V766" s="21" t="str">
        <f aca="false">IF(S766="","",O766&amp;"|R|"&amp;S766)</f>
        <v/>
      </c>
    </row>
    <row r="767" customFormat="false" ht="15" hidden="false" customHeight="false" outlineLevel="0" collapsed="false">
      <c r="A767" s="18" t="n">
        <v>766</v>
      </c>
      <c r="B767" s="18"/>
      <c r="C767" s="18"/>
      <c r="D767" s="18"/>
      <c r="E767" s="18" t="s">
        <v>1511</v>
      </c>
      <c r="F767" s="18" t="s">
        <v>750</v>
      </c>
      <c r="G767" s="18" t="s">
        <v>74</v>
      </c>
      <c r="H767" s="18" t="n">
        <v>562</v>
      </c>
      <c r="I767" s="19" t="n">
        <v>0</v>
      </c>
      <c r="J767" s="19" t="n">
        <v>455.4</v>
      </c>
      <c r="K767" s="19" t="n">
        <v>455.4</v>
      </c>
      <c r="L767" s="19" t="n">
        <v>0</v>
      </c>
      <c r="M767" s="19" t="n">
        <f aca="false">ABS(L767)</f>
        <v>0</v>
      </c>
      <c r="N767" s="18" t="str">
        <f aca="false">IF(L767=0,"Nil balance",IF(G767="AR file",IF(L767&gt;0,"Accounts Receivable","Customer Advances"),IF(L767&lt;0,"Accounts Payable","Supplier Advances")))</f>
        <v>Nil balance</v>
      </c>
      <c r="O767" s="18" t="str">
        <f aca="false">IF(L767=0,"Excluded",IF(Summary!$C$4="By ledger",IF(G767="AR file","Population 1","Population 2"),IF(L767&gt;0,"Population 1","Population 2")))</f>
        <v>Excluded</v>
      </c>
      <c r="P767" s="18" t="str">
        <f aca="false">IF(O767="Excluded","Excluded – nil closing balance",IF(M767&gt;Summary!$C$5,"Above Materiality","Below Materiality"))</f>
        <v>Excluded – nil closing balance</v>
      </c>
      <c r="Q767" s="20" t="str">
        <f aca="false">IF(P767="Below Materiality",T767,"")</f>
        <v/>
      </c>
      <c r="R767" s="21" t="str">
        <f aca="false">IF(P767="Above Materiality",COUNTIFS($O$2:$O$1092,O767,$P$2:$P$1092,"Above Materiality",$M$2:$M$1092,"&gt;"&amp;M767)+COUNTIFS($O$2:$O$1092,O767,$P$2:$P$1092,"Above Materiality",$M$2:$M$1092,M767,$A$2:$A$1092,"&lt;"&amp;A767)+1,"")</f>
        <v/>
      </c>
      <c r="S767" s="21" t="str">
        <f aca="false">IF(P767&lt;&gt;"Below Materiality","",IF(Summary!$C$9="Random",COUNTIFS($O$2:$O$1092,O767,$Q$2:$Q$1092,"&gt;"&amp;Q767)+1,COUNTIFS($O$2:$O$1092,O767,$P$2:$P$1092,"Below Materiality",$M$2:$M$1092,"&gt;"&amp;M767)+COUNTIFS($O$2:$O$1092,O767,$P$2:$P$1092,"Below Materiality",$M$2:$M$1092,M767,$A$2:$A$1092,"&lt;"&amp;A767)+1))</f>
        <v/>
      </c>
      <c r="T767" s="22"/>
      <c r="U767" s="21" t="str">
        <f aca="false">IF(R767="","",O767&amp;"|A|"&amp;R767)</f>
        <v/>
      </c>
      <c r="V767" s="21" t="str">
        <f aca="false">IF(S767="","",O767&amp;"|R|"&amp;S767)</f>
        <v/>
      </c>
    </row>
    <row r="768" customFormat="false" ht="15" hidden="false" customHeight="false" outlineLevel="0" collapsed="false">
      <c r="A768" s="18" t="n">
        <v>767</v>
      </c>
      <c r="B768" s="18"/>
      <c r="C768" s="18"/>
      <c r="D768" s="18"/>
      <c r="E768" s="18" t="s">
        <v>1512</v>
      </c>
      <c r="F768" s="18" t="s">
        <v>1513</v>
      </c>
      <c r="G768" s="18" t="s">
        <v>74</v>
      </c>
      <c r="H768" s="18" t="n">
        <v>564</v>
      </c>
      <c r="I768" s="19" t="n">
        <v>0</v>
      </c>
      <c r="J768" s="19" t="n">
        <v>2760</v>
      </c>
      <c r="K768" s="19" t="n">
        <v>2760</v>
      </c>
      <c r="L768" s="19" t="n">
        <v>0</v>
      </c>
      <c r="M768" s="19" t="n">
        <f aca="false">ABS(L768)</f>
        <v>0</v>
      </c>
      <c r="N768" s="18" t="str">
        <f aca="false">IF(L768=0,"Nil balance",IF(G768="AR file",IF(L768&gt;0,"Accounts Receivable","Customer Advances"),IF(L768&lt;0,"Accounts Payable","Supplier Advances")))</f>
        <v>Nil balance</v>
      </c>
      <c r="O768" s="18" t="str">
        <f aca="false">IF(L768=0,"Excluded",IF(Summary!$C$4="By ledger",IF(G768="AR file","Population 1","Population 2"),IF(L768&gt;0,"Population 1","Population 2")))</f>
        <v>Excluded</v>
      </c>
      <c r="P768" s="18" t="str">
        <f aca="false">IF(O768="Excluded","Excluded – nil closing balance",IF(M768&gt;Summary!$C$5,"Above Materiality","Below Materiality"))</f>
        <v>Excluded – nil closing balance</v>
      </c>
      <c r="Q768" s="20" t="str">
        <f aca="false">IF(P768="Below Materiality",T768,"")</f>
        <v/>
      </c>
      <c r="R768" s="21" t="str">
        <f aca="false">IF(P768="Above Materiality",COUNTIFS($O$2:$O$1092,O768,$P$2:$P$1092,"Above Materiality",$M$2:$M$1092,"&gt;"&amp;M768)+COUNTIFS($O$2:$O$1092,O768,$P$2:$P$1092,"Above Materiality",$M$2:$M$1092,M768,$A$2:$A$1092,"&lt;"&amp;A768)+1,"")</f>
        <v/>
      </c>
      <c r="S768" s="21" t="str">
        <f aca="false">IF(P768&lt;&gt;"Below Materiality","",IF(Summary!$C$9="Random",COUNTIFS($O$2:$O$1092,O768,$Q$2:$Q$1092,"&gt;"&amp;Q768)+1,COUNTIFS($O$2:$O$1092,O768,$P$2:$P$1092,"Below Materiality",$M$2:$M$1092,"&gt;"&amp;M768)+COUNTIFS($O$2:$O$1092,O768,$P$2:$P$1092,"Below Materiality",$M$2:$M$1092,M768,$A$2:$A$1092,"&lt;"&amp;A768)+1))</f>
        <v/>
      </c>
      <c r="T768" s="22"/>
      <c r="U768" s="21" t="str">
        <f aca="false">IF(R768="","",O768&amp;"|A|"&amp;R768)</f>
        <v/>
      </c>
      <c r="V768" s="21" t="str">
        <f aca="false">IF(S768="","",O768&amp;"|R|"&amp;S768)</f>
        <v/>
      </c>
    </row>
    <row r="769" customFormat="false" ht="15" hidden="false" customHeight="false" outlineLevel="0" collapsed="false">
      <c r="A769" s="18" t="n">
        <v>768</v>
      </c>
      <c r="B769" s="18"/>
      <c r="C769" s="18"/>
      <c r="D769" s="18"/>
      <c r="E769" s="18" t="s">
        <v>1514</v>
      </c>
      <c r="F769" s="18" t="s">
        <v>1171</v>
      </c>
      <c r="G769" s="18" t="s">
        <v>74</v>
      </c>
      <c r="H769" s="18" t="n">
        <v>565</v>
      </c>
      <c r="I769" s="19" t="n">
        <v>0</v>
      </c>
      <c r="J769" s="19" t="n">
        <v>1000</v>
      </c>
      <c r="K769" s="19" t="n">
        <v>1000</v>
      </c>
      <c r="L769" s="19" t="n">
        <v>0</v>
      </c>
      <c r="M769" s="19" t="n">
        <f aca="false">ABS(L769)</f>
        <v>0</v>
      </c>
      <c r="N769" s="18" t="str">
        <f aca="false">IF(L769=0,"Nil balance",IF(G769="AR file",IF(L769&gt;0,"Accounts Receivable","Customer Advances"),IF(L769&lt;0,"Accounts Payable","Supplier Advances")))</f>
        <v>Nil balance</v>
      </c>
      <c r="O769" s="18" t="str">
        <f aca="false">IF(L769=0,"Excluded",IF(Summary!$C$4="By ledger",IF(G769="AR file","Population 1","Population 2"),IF(L769&gt;0,"Population 1","Population 2")))</f>
        <v>Excluded</v>
      </c>
      <c r="P769" s="18" t="str">
        <f aca="false">IF(O769="Excluded","Excluded – nil closing balance",IF(M769&gt;Summary!$C$5,"Above Materiality","Below Materiality"))</f>
        <v>Excluded – nil closing balance</v>
      </c>
      <c r="Q769" s="20" t="str">
        <f aca="false">IF(P769="Below Materiality",T769,"")</f>
        <v/>
      </c>
      <c r="R769" s="21" t="str">
        <f aca="false">IF(P769="Above Materiality",COUNTIFS($O$2:$O$1092,O769,$P$2:$P$1092,"Above Materiality",$M$2:$M$1092,"&gt;"&amp;M769)+COUNTIFS($O$2:$O$1092,O769,$P$2:$P$1092,"Above Materiality",$M$2:$M$1092,M769,$A$2:$A$1092,"&lt;"&amp;A769)+1,"")</f>
        <v/>
      </c>
      <c r="S769" s="21" t="str">
        <f aca="false">IF(P769&lt;&gt;"Below Materiality","",IF(Summary!$C$9="Random",COUNTIFS($O$2:$O$1092,O769,$Q$2:$Q$1092,"&gt;"&amp;Q769)+1,COUNTIFS($O$2:$O$1092,O769,$P$2:$P$1092,"Below Materiality",$M$2:$M$1092,"&gt;"&amp;M769)+COUNTIFS($O$2:$O$1092,O769,$P$2:$P$1092,"Below Materiality",$M$2:$M$1092,M769,$A$2:$A$1092,"&lt;"&amp;A769)+1))</f>
        <v/>
      </c>
      <c r="T769" s="22"/>
      <c r="U769" s="21" t="str">
        <f aca="false">IF(R769="","",O769&amp;"|A|"&amp;R769)</f>
        <v/>
      </c>
      <c r="V769" s="21" t="str">
        <f aca="false">IF(S769="","",O769&amp;"|R|"&amp;S769)</f>
        <v/>
      </c>
    </row>
    <row r="770" customFormat="false" ht="15" hidden="false" customHeight="false" outlineLevel="0" collapsed="false">
      <c r="A770" s="18" t="n">
        <v>769</v>
      </c>
      <c r="B770" s="18"/>
      <c r="C770" s="18"/>
      <c r="D770" s="18"/>
      <c r="E770" s="18" t="s">
        <v>1515</v>
      </c>
      <c r="F770" s="18" t="s">
        <v>1389</v>
      </c>
      <c r="G770" s="18" t="s">
        <v>74</v>
      </c>
      <c r="H770" s="18" t="n">
        <v>566</v>
      </c>
      <c r="I770" s="19" t="n">
        <v>0</v>
      </c>
      <c r="J770" s="19" t="n">
        <v>138</v>
      </c>
      <c r="K770" s="19" t="n">
        <v>138</v>
      </c>
      <c r="L770" s="19" t="n">
        <v>0</v>
      </c>
      <c r="M770" s="19" t="n">
        <f aca="false">ABS(L770)</f>
        <v>0</v>
      </c>
      <c r="N770" s="18" t="str">
        <f aca="false">IF(L770=0,"Nil balance",IF(G770="AR file",IF(L770&gt;0,"Accounts Receivable","Customer Advances"),IF(L770&lt;0,"Accounts Payable","Supplier Advances")))</f>
        <v>Nil balance</v>
      </c>
      <c r="O770" s="18" t="str">
        <f aca="false">IF(L770=0,"Excluded",IF(Summary!$C$4="By ledger",IF(G770="AR file","Population 1","Population 2"),IF(L770&gt;0,"Population 1","Population 2")))</f>
        <v>Excluded</v>
      </c>
      <c r="P770" s="18" t="str">
        <f aca="false">IF(O770="Excluded","Excluded – nil closing balance",IF(M770&gt;Summary!$C$5,"Above Materiality","Below Materiality"))</f>
        <v>Excluded – nil closing balance</v>
      </c>
      <c r="Q770" s="20" t="str">
        <f aca="false">IF(P770="Below Materiality",T770,"")</f>
        <v/>
      </c>
      <c r="R770" s="21" t="str">
        <f aca="false">IF(P770="Above Materiality",COUNTIFS($O$2:$O$1092,O770,$P$2:$P$1092,"Above Materiality",$M$2:$M$1092,"&gt;"&amp;M770)+COUNTIFS($O$2:$O$1092,O770,$P$2:$P$1092,"Above Materiality",$M$2:$M$1092,M770,$A$2:$A$1092,"&lt;"&amp;A770)+1,"")</f>
        <v/>
      </c>
      <c r="S770" s="21" t="str">
        <f aca="false">IF(P770&lt;&gt;"Below Materiality","",IF(Summary!$C$9="Random",COUNTIFS($O$2:$O$1092,O770,$Q$2:$Q$1092,"&gt;"&amp;Q770)+1,COUNTIFS($O$2:$O$1092,O770,$P$2:$P$1092,"Below Materiality",$M$2:$M$1092,"&gt;"&amp;M770)+COUNTIFS($O$2:$O$1092,O770,$P$2:$P$1092,"Below Materiality",$M$2:$M$1092,M770,$A$2:$A$1092,"&lt;"&amp;A770)+1))</f>
        <v/>
      </c>
      <c r="T770" s="22"/>
      <c r="U770" s="21" t="str">
        <f aca="false">IF(R770="","",O770&amp;"|A|"&amp;R770)</f>
        <v/>
      </c>
      <c r="V770" s="21" t="str">
        <f aca="false">IF(S770="","",O770&amp;"|R|"&amp;S770)</f>
        <v/>
      </c>
    </row>
    <row r="771" customFormat="false" ht="15" hidden="false" customHeight="false" outlineLevel="0" collapsed="false">
      <c r="A771" s="18" t="n">
        <v>770</v>
      </c>
      <c r="B771" s="18"/>
      <c r="C771" s="18"/>
      <c r="D771" s="18"/>
      <c r="E771" s="18" t="s">
        <v>1516</v>
      </c>
      <c r="F771" s="18" t="s">
        <v>1517</v>
      </c>
      <c r="G771" s="18" t="s">
        <v>74</v>
      </c>
      <c r="H771" s="18" t="n">
        <v>567</v>
      </c>
      <c r="I771" s="19" t="n">
        <v>0</v>
      </c>
      <c r="J771" s="19" t="n">
        <v>914.02</v>
      </c>
      <c r="K771" s="19" t="n">
        <v>914.02</v>
      </c>
      <c r="L771" s="19" t="n">
        <v>0</v>
      </c>
      <c r="M771" s="19" t="n">
        <f aca="false">ABS(L771)</f>
        <v>0</v>
      </c>
      <c r="N771" s="18" t="str">
        <f aca="false">IF(L771=0,"Nil balance",IF(G771="AR file",IF(L771&gt;0,"Accounts Receivable","Customer Advances"),IF(L771&lt;0,"Accounts Payable","Supplier Advances")))</f>
        <v>Nil balance</v>
      </c>
      <c r="O771" s="18" t="str">
        <f aca="false">IF(L771=0,"Excluded",IF(Summary!$C$4="By ledger",IF(G771="AR file","Population 1","Population 2"),IF(L771&gt;0,"Population 1","Population 2")))</f>
        <v>Excluded</v>
      </c>
      <c r="P771" s="18" t="str">
        <f aca="false">IF(O771="Excluded","Excluded – nil closing balance",IF(M771&gt;Summary!$C$5,"Above Materiality","Below Materiality"))</f>
        <v>Excluded – nil closing balance</v>
      </c>
      <c r="Q771" s="20" t="str">
        <f aca="false">IF(P771="Below Materiality",T771,"")</f>
        <v/>
      </c>
      <c r="R771" s="21" t="str">
        <f aca="false">IF(P771="Above Materiality",COUNTIFS($O$2:$O$1092,O771,$P$2:$P$1092,"Above Materiality",$M$2:$M$1092,"&gt;"&amp;M771)+COUNTIFS($O$2:$O$1092,O771,$P$2:$P$1092,"Above Materiality",$M$2:$M$1092,M771,$A$2:$A$1092,"&lt;"&amp;A771)+1,"")</f>
        <v/>
      </c>
      <c r="S771" s="21" t="str">
        <f aca="false">IF(P771&lt;&gt;"Below Materiality","",IF(Summary!$C$9="Random",COUNTIFS($O$2:$O$1092,O771,$Q$2:$Q$1092,"&gt;"&amp;Q771)+1,COUNTIFS($O$2:$O$1092,O771,$P$2:$P$1092,"Below Materiality",$M$2:$M$1092,"&gt;"&amp;M771)+COUNTIFS($O$2:$O$1092,O771,$P$2:$P$1092,"Below Materiality",$M$2:$M$1092,M771,$A$2:$A$1092,"&lt;"&amp;A771)+1))</f>
        <v/>
      </c>
      <c r="T771" s="22"/>
      <c r="U771" s="21" t="str">
        <f aca="false">IF(R771="","",O771&amp;"|A|"&amp;R771)</f>
        <v/>
      </c>
      <c r="V771" s="21" t="str">
        <f aca="false">IF(S771="","",O771&amp;"|R|"&amp;S771)</f>
        <v/>
      </c>
    </row>
    <row r="772" customFormat="false" ht="15" hidden="false" customHeight="false" outlineLevel="0" collapsed="false">
      <c r="A772" s="18" t="n">
        <v>771</v>
      </c>
      <c r="B772" s="18"/>
      <c r="C772" s="18"/>
      <c r="D772" s="18"/>
      <c r="E772" s="18" t="s">
        <v>1518</v>
      </c>
      <c r="F772" s="18" t="s">
        <v>1519</v>
      </c>
      <c r="G772" s="18" t="s">
        <v>74</v>
      </c>
      <c r="H772" s="18" t="n">
        <v>568</v>
      </c>
      <c r="I772" s="19" t="n">
        <v>0</v>
      </c>
      <c r="J772" s="19" t="n">
        <v>89</v>
      </c>
      <c r="K772" s="19" t="n">
        <v>89</v>
      </c>
      <c r="L772" s="19" t="n">
        <v>0</v>
      </c>
      <c r="M772" s="19" t="n">
        <f aca="false">ABS(L772)</f>
        <v>0</v>
      </c>
      <c r="N772" s="18" t="str">
        <f aca="false">IF(L772=0,"Nil balance",IF(G772="AR file",IF(L772&gt;0,"Accounts Receivable","Customer Advances"),IF(L772&lt;0,"Accounts Payable","Supplier Advances")))</f>
        <v>Nil balance</v>
      </c>
      <c r="O772" s="18" t="str">
        <f aca="false">IF(L772=0,"Excluded",IF(Summary!$C$4="By ledger",IF(G772="AR file","Population 1","Population 2"),IF(L772&gt;0,"Population 1","Population 2")))</f>
        <v>Excluded</v>
      </c>
      <c r="P772" s="18" t="str">
        <f aca="false">IF(O772="Excluded","Excluded – nil closing balance",IF(M772&gt;Summary!$C$5,"Above Materiality","Below Materiality"))</f>
        <v>Excluded – nil closing balance</v>
      </c>
      <c r="Q772" s="20" t="str">
        <f aca="false">IF(P772="Below Materiality",T772,"")</f>
        <v/>
      </c>
      <c r="R772" s="21" t="str">
        <f aca="false">IF(P772="Above Materiality",COUNTIFS($O$2:$O$1092,O772,$P$2:$P$1092,"Above Materiality",$M$2:$M$1092,"&gt;"&amp;M772)+COUNTIFS($O$2:$O$1092,O772,$P$2:$P$1092,"Above Materiality",$M$2:$M$1092,M772,$A$2:$A$1092,"&lt;"&amp;A772)+1,"")</f>
        <v/>
      </c>
      <c r="S772" s="21" t="str">
        <f aca="false">IF(P772&lt;&gt;"Below Materiality","",IF(Summary!$C$9="Random",COUNTIFS($O$2:$O$1092,O772,$Q$2:$Q$1092,"&gt;"&amp;Q772)+1,COUNTIFS($O$2:$O$1092,O772,$P$2:$P$1092,"Below Materiality",$M$2:$M$1092,"&gt;"&amp;M772)+COUNTIFS($O$2:$O$1092,O772,$P$2:$P$1092,"Below Materiality",$M$2:$M$1092,M772,$A$2:$A$1092,"&lt;"&amp;A772)+1))</f>
        <v/>
      </c>
      <c r="T772" s="22"/>
      <c r="U772" s="21" t="str">
        <f aca="false">IF(R772="","",O772&amp;"|A|"&amp;R772)</f>
        <v/>
      </c>
      <c r="V772" s="21" t="str">
        <f aca="false">IF(S772="","",O772&amp;"|R|"&amp;S772)</f>
        <v/>
      </c>
    </row>
    <row r="773" customFormat="false" ht="15" hidden="false" customHeight="false" outlineLevel="0" collapsed="false">
      <c r="A773" s="18" t="n">
        <v>772</v>
      </c>
      <c r="B773" s="18"/>
      <c r="C773" s="18"/>
      <c r="D773" s="18"/>
      <c r="E773" s="18" t="s">
        <v>1520</v>
      </c>
      <c r="F773" s="18" t="s">
        <v>1521</v>
      </c>
      <c r="G773" s="18" t="s">
        <v>74</v>
      </c>
      <c r="H773" s="18" t="n">
        <v>569</v>
      </c>
      <c r="I773" s="19" t="n">
        <v>0</v>
      </c>
      <c r="J773" s="19" t="n">
        <v>1952.7</v>
      </c>
      <c r="K773" s="19" t="n">
        <v>1952.7</v>
      </c>
      <c r="L773" s="19" t="n">
        <v>0</v>
      </c>
      <c r="M773" s="19" t="n">
        <f aca="false">ABS(L773)</f>
        <v>0</v>
      </c>
      <c r="N773" s="18" t="str">
        <f aca="false">IF(L773=0,"Nil balance",IF(G773="AR file",IF(L773&gt;0,"Accounts Receivable","Customer Advances"),IF(L773&lt;0,"Accounts Payable","Supplier Advances")))</f>
        <v>Nil balance</v>
      </c>
      <c r="O773" s="18" t="str">
        <f aca="false">IF(L773=0,"Excluded",IF(Summary!$C$4="By ledger",IF(G773="AR file","Population 1","Population 2"),IF(L773&gt;0,"Population 1","Population 2")))</f>
        <v>Excluded</v>
      </c>
      <c r="P773" s="18" t="str">
        <f aca="false">IF(O773="Excluded","Excluded – nil closing balance",IF(M773&gt;Summary!$C$5,"Above Materiality","Below Materiality"))</f>
        <v>Excluded – nil closing balance</v>
      </c>
      <c r="Q773" s="20" t="str">
        <f aca="false">IF(P773="Below Materiality",T773,"")</f>
        <v/>
      </c>
      <c r="R773" s="21" t="str">
        <f aca="false">IF(P773="Above Materiality",COUNTIFS($O$2:$O$1092,O773,$P$2:$P$1092,"Above Materiality",$M$2:$M$1092,"&gt;"&amp;M773)+COUNTIFS($O$2:$O$1092,O773,$P$2:$P$1092,"Above Materiality",$M$2:$M$1092,M773,$A$2:$A$1092,"&lt;"&amp;A773)+1,"")</f>
        <v/>
      </c>
      <c r="S773" s="21" t="str">
        <f aca="false">IF(P773&lt;&gt;"Below Materiality","",IF(Summary!$C$9="Random",COUNTIFS($O$2:$O$1092,O773,$Q$2:$Q$1092,"&gt;"&amp;Q773)+1,COUNTIFS($O$2:$O$1092,O773,$P$2:$P$1092,"Below Materiality",$M$2:$M$1092,"&gt;"&amp;M773)+COUNTIFS($O$2:$O$1092,O773,$P$2:$P$1092,"Below Materiality",$M$2:$M$1092,M773,$A$2:$A$1092,"&lt;"&amp;A773)+1))</f>
        <v/>
      </c>
      <c r="T773" s="22"/>
      <c r="U773" s="21" t="str">
        <f aca="false">IF(R773="","",O773&amp;"|A|"&amp;R773)</f>
        <v/>
      </c>
      <c r="V773" s="21" t="str">
        <f aca="false">IF(S773="","",O773&amp;"|R|"&amp;S773)</f>
        <v/>
      </c>
    </row>
    <row r="774" customFormat="false" ht="15" hidden="false" customHeight="false" outlineLevel="0" collapsed="false">
      <c r="A774" s="18" t="n">
        <v>773</v>
      </c>
      <c r="B774" s="18"/>
      <c r="C774" s="18"/>
      <c r="D774" s="18"/>
      <c r="E774" s="18" t="s">
        <v>1522</v>
      </c>
      <c r="F774" s="18" t="s">
        <v>1523</v>
      </c>
      <c r="G774" s="18" t="s">
        <v>74</v>
      </c>
      <c r="H774" s="18" t="n">
        <v>570</v>
      </c>
      <c r="I774" s="19" t="n">
        <v>0</v>
      </c>
      <c r="J774" s="19" t="n">
        <v>700</v>
      </c>
      <c r="K774" s="19" t="n">
        <v>700</v>
      </c>
      <c r="L774" s="19" t="n">
        <v>0</v>
      </c>
      <c r="M774" s="19" t="n">
        <f aca="false">ABS(L774)</f>
        <v>0</v>
      </c>
      <c r="N774" s="18" t="str">
        <f aca="false">IF(L774=0,"Nil balance",IF(G774="AR file",IF(L774&gt;0,"Accounts Receivable","Customer Advances"),IF(L774&lt;0,"Accounts Payable","Supplier Advances")))</f>
        <v>Nil balance</v>
      </c>
      <c r="O774" s="18" t="str">
        <f aca="false">IF(L774=0,"Excluded",IF(Summary!$C$4="By ledger",IF(G774="AR file","Population 1","Population 2"),IF(L774&gt;0,"Population 1","Population 2")))</f>
        <v>Excluded</v>
      </c>
      <c r="P774" s="18" t="str">
        <f aca="false">IF(O774="Excluded","Excluded – nil closing balance",IF(M774&gt;Summary!$C$5,"Above Materiality","Below Materiality"))</f>
        <v>Excluded – nil closing balance</v>
      </c>
      <c r="Q774" s="20" t="str">
        <f aca="false">IF(P774="Below Materiality",T774,"")</f>
        <v/>
      </c>
      <c r="R774" s="21" t="str">
        <f aca="false">IF(P774="Above Materiality",COUNTIFS($O$2:$O$1092,O774,$P$2:$P$1092,"Above Materiality",$M$2:$M$1092,"&gt;"&amp;M774)+COUNTIFS($O$2:$O$1092,O774,$P$2:$P$1092,"Above Materiality",$M$2:$M$1092,M774,$A$2:$A$1092,"&lt;"&amp;A774)+1,"")</f>
        <v/>
      </c>
      <c r="S774" s="21" t="str">
        <f aca="false">IF(P774&lt;&gt;"Below Materiality","",IF(Summary!$C$9="Random",COUNTIFS($O$2:$O$1092,O774,$Q$2:$Q$1092,"&gt;"&amp;Q774)+1,COUNTIFS($O$2:$O$1092,O774,$P$2:$P$1092,"Below Materiality",$M$2:$M$1092,"&gt;"&amp;M774)+COUNTIFS($O$2:$O$1092,O774,$P$2:$P$1092,"Below Materiality",$M$2:$M$1092,M774,$A$2:$A$1092,"&lt;"&amp;A774)+1))</f>
        <v/>
      </c>
      <c r="T774" s="22"/>
      <c r="U774" s="21" t="str">
        <f aca="false">IF(R774="","",O774&amp;"|A|"&amp;R774)</f>
        <v/>
      </c>
      <c r="V774" s="21" t="str">
        <f aca="false">IF(S774="","",O774&amp;"|R|"&amp;S774)</f>
        <v/>
      </c>
    </row>
    <row r="775" customFormat="false" ht="15" hidden="false" customHeight="false" outlineLevel="0" collapsed="false">
      <c r="A775" s="18" t="n">
        <v>774</v>
      </c>
      <c r="B775" s="18"/>
      <c r="C775" s="18"/>
      <c r="D775" s="18"/>
      <c r="E775" s="18" t="s">
        <v>1524</v>
      </c>
      <c r="F775" s="18" t="s">
        <v>1525</v>
      </c>
      <c r="G775" s="18" t="s">
        <v>74</v>
      </c>
      <c r="H775" s="18" t="n">
        <v>571</v>
      </c>
      <c r="I775" s="19" t="n">
        <v>0</v>
      </c>
      <c r="J775" s="19" t="n">
        <v>3333.2</v>
      </c>
      <c r="K775" s="19" t="n">
        <v>3333.2</v>
      </c>
      <c r="L775" s="19" t="n">
        <v>0</v>
      </c>
      <c r="M775" s="19" t="n">
        <f aca="false">ABS(L775)</f>
        <v>0</v>
      </c>
      <c r="N775" s="18" t="str">
        <f aca="false">IF(L775=0,"Nil balance",IF(G775="AR file",IF(L775&gt;0,"Accounts Receivable","Customer Advances"),IF(L775&lt;0,"Accounts Payable","Supplier Advances")))</f>
        <v>Nil balance</v>
      </c>
      <c r="O775" s="18" t="str">
        <f aca="false">IF(L775=0,"Excluded",IF(Summary!$C$4="By ledger",IF(G775="AR file","Population 1","Population 2"),IF(L775&gt;0,"Population 1","Population 2")))</f>
        <v>Excluded</v>
      </c>
      <c r="P775" s="18" t="str">
        <f aca="false">IF(O775="Excluded","Excluded – nil closing balance",IF(M775&gt;Summary!$C$5,"Above Materiality","Below Materiality"))</f>
        <v>Excluded – nil closing balance</v>
      </c>
      <c r="Q775" s="20" t="str">
        <f aca="false">IF(P775="Below Materiality",T775,"")</f>
        <v/>
      </c>
      <c r="R775" s="21" t="str">
        <f aca="false">IF(P775="Above Materiality",COUNTIFS($O$2:$O$1092,O775,$P$2:$P$1092,"Above Materiality",$M$2:$M$1092,"&gt;"&amp;M775)+COUNTIFS($O$2:$O$1092,O775,$P$2:$P$1092,"Above Materiality",$M$2:$M$1092,M775,$A$2:$A$1092,"&lt;"&amp;A775)+1,"")</f>
        <v/>
      </c>
      <c r="S775" s="21" t="str">
        <f aca="false">IF(P775&lt;&gt;"Below Materiality","",IF(Summary!$C$9="Random",COUNTIFS($O$2:$O$1092,O775,$Q$2:$Q$1092,"&gt;"&amp;Q775)+1,COUNTIFS($O$2:$O$1092,O775,$P$2:$P$1092,"Below Materiality",$M$2:$M$1092,"&gt;"&amp;M775)+COUNTIFS($O$2:$O$1092,O775,$P$2:$P$1092,"Below Materiality",$M$2:$M$1092,M775,$A$2:$A$1092,"&lt;"&amp;A775)+1))</f>
        <v/>
      </c>
      <c r="T775" s="22"/>
      <c r="U775" s="21" t="str">
        <f aca="false">IF(R775="","",O775&amp;"|A|"&amp;R775)</f>
        <v/>
      </c>
      <c r="V775" s="21" t="str">
        <f aca="false">IF(S775="","",O775&amp;"|R|"&amp;S775)</f>
        <v/>
      </c>
    </row>
    <row r="776" customFormat="false" ht="15" hidden="false" customHeight="false" outlineLevel="0" collapsed="false">
      <c r="A776" s="18" t="n">
        <v>775</v>
      </c>
      <c r="B776" s="18"/>
      <c r="C776" s="18"/>
      <c r="D776" s="18"/>
      <c r="E776" s="18" t="s">
        <v>1526</v>
      </c>
      <c r="F776" s="18" t="s">
        <v>1527</v>
      </c>
      <c r="G776" s="18" t="s">
        <v>74</v>
      </c>
      <c r="H776" s="18" t="n">
        <v>572</v>
      </c>
      <c r="I776" s="19" t="n">
        <v>0</v>
      </c>
      <c r="J776" s="19" t="n">
        <v>322</v>
      </c>
      <c r="K776" s="19" t="n">
        <v>322</v>
      </c>
      <c r="L776" s="19" t="n">
        <v>0</v>
      </c>
      <c r="M776" s="19" t="n">
        <f aca="false">ABS(L776)</f>
        <v>0</v>
      </c>
      <c r="N776" s="18" t="str">
        <f aca="false">IF(L776=0,"Nil balance",IF(G776="AR file",IF(L776&gt;0,"Accounts Receivable","Customer Advances"),IF(L776&lt;0,"Accounts Payable","Supplier Advances")))</f>
        <v>Nil balance</v>
      </c>
      <c r="O776" s="18" t="str">
        <f aca="false">IF(L776=0,"Excluded",IF(Summary!$C$4="By ledger",IF(G776="AR file","Population 1","Population 2"),IF(L776&gt;0,"Population 1","Population 2")))</f>
        <v>Excluded</v>
      </c>
      <c r="P776" s="18" t="str">
        <f aca="false">IF(O776="Excluded","Excluded – nil closing balance",IF(M776&gt;Summary!$C$5,"Above Materiality","Below Materiality"))</f>
        <v>Excluded – nil closing balance</v>
      </c>
      <c r="Q776" s="20" t="str">
        <f aca="false">IF(P776="Below Materiality",T776,"")</f>
        <v/>
      </c>
      <c r="R776" s="21" t="str">
        <f aca="false">IF(P776="Above Materiality",COUNTIFS($O$2:$O$1092,O776,$P$2:$P$1092,"Above Materiality",$M$2:$M$1092,"&gt;"&amp;M776)+COUNTIFS($O$2:$O$1092,O776,$P$2:$P$1092,"Above Materiality",$M$2:$M$1092,M776,$A$2:$A$1092,"&lt;"&amp;A776)+1,"")</f>
        <v/>
      </c>
      <c r="S776" s="21" t="str">
        <f aca="false">IF(P776&lt;&gt;"Below Materiality","",IF(Summary!$C$9="Random",COUNTIFS($O$2:$O$1092,O776,$Q$2:$Q$1092,"&gt;"&amp;Q776)+1,COUNTIFS($O$2:$O$1092,O776,$P$2:$P$1092,"Below Materiality",$M$2:$M$1092,"&gt;"&amp;M776)+COUNTIFS($O$2:$O$1092,O776,$P$2:$P$1092,"Below Materiality",$M$2:$M$1092,M776,$A$2:$A$1092,"&lt;"&amp;A776)+1))</f>
        <v/>
      </c>
      <c r="T776" s="22"/>
      <c r="U776" s="21" t="str">
        <f aca="false">IF(R776="","",O776&amp;"|A|"&amp;R776)</f>
        <v/>
      </c>
      <c r="V776" s="21" t="str">
        <f aca="false">IF(S776="","",O776&amp;"|R|"&amp;S776)</f>
        <v/>
      </c>
    </row>
    <row r="777" customFormat="false" ht="15" hidden="false" customHeight="false" outlineLevel="0" collapsed="false">
      <c r="A777" s="18" t="n">
        <v>776</v>
      </c>
      <c r="B777" s="18"/>
      <c r="C777" s="18"/>
      <c r="D777" s="18"/>
      <c r="E777" s="18" t="s">
        <v>1528</v>
      </c>
      <c r="F777" s="18" t="s">
        <v>1418</v>
      </c>
      <c r="G777" s="18" t="s">
        <v>74</v>
      </c>
      <c r="H777" s="18" t="n">
        <v>574</v>
      </c>
      <c r="I777" s="19" t="n">
        <v>0</v>
      </c>
      <c r="J777" s="19" t="n">
        <v>776.25</v>
      </c>
      <c r="K777" s="19" t="n">
        <v>776.25</v>
      </c>
      <c r="L777" s="19" t="n">
        <v>0</v>
      </c>
      <c r="M777" s="19" t="n">
        <f aca="false">ABS(L777)</f>
        <v>0</v>
      </c>
      <c r="N777" s="18" t="str">
        <f aca="false">IF(L777=0,"Nil balance",IF(G777="AR file",IF(L777&gt;0,"Accounts Receivable","Customer Advances"),IF(L777&lt;0,"Accounts Payable","Supplier Advances")))</f>
        <v>Nil balance</v>
      </c>
      <c r="O777" s="18" t="str">
        <f aca="false">IF(L777=0,"Excluded",IF(Summary!$C$4="By ledger",IF(G777="AR file","Population 1","Population 2"),IF(L777&gt;0,"Population 1","Population 2")))</f>
        <v>Excluded</v>
      </c>
      <c r="P777" s="18" t="str">
        <f aca="false">IF(O777="Excluded","Excluded – nil closing balance",IF(M777&gt;Summary!$C$5,"Above Materiality","Below Materiality"))</f>
        <v>Excluded – nil closing balance</v>
      </c>
      <c r="Q777" s="20" t="str">
        <f aca="false">IF(P777="Below Materiality",T777,"")</f>
        <v/>
      </c>
      <c r="R777" s="21" t="str">
        <f aca="false">IF(P777="Above Materiality",COUNTIFS($O$2:$O$1092,O777,$P$2:$P$1092,"Above Materiality",$M$2:$M$1092,"&gt;"&amp;M777)+COUNTIFS($O$2:$O$1092,O777,$P$2:$P$1092,"Above Materiality",$M$2:$M$1092,M777,$A$2:$A$1092,"&lt;"&amp;A777)+1,"")</f>
        <v/>
      </c>
      <c r="S777" s="21" t="str">
        <f aca="false">IF(P777&lt;&gt;"Below Materiality","",IF(Summary!$C$9="Random",COUNTIFS($O$2:$O$1092,O777,$Q$2:$Q$1092,"&gt;"&amp;Q777)+1,COUNTIFS($O$2:$O$1092,O777,$P$2:$P$1092,"Below Materiality",$M$2:$M$1092,"&gt;"&amp;M777)+COUNTIFS($O$2:$O$1092,O777,$P$2:$P$1092,"Below Materiality",$M$2:$M$1092,M777,$A$2:$A$1092,"&lt;"&amp;A777)+1))</f>
        <v/>
      </c>
      <c r="T777" s="22"/>
      <c r="U777" s="21" t="str">
        <f aca="false">IF(R777="","",O777&amp;"|A|"&amp;R777)</f>
        <v/>
      </c>
      <c r="V777" s="21" t="str">
        <f aca="false">IF(S777="","",O777&amp;"|R|"&amp;S777)</f>
        <v/>
      </c>
    </row>
    <row r="778" customFormat="false" ht="15" hidden="false" customHeight="false" outlineLevel="0" collapsed="false">
      <c r="A778" s="18" t="n">
        <v>777</v>
      </c>
      <c r="B778" s="18"/>
      <c r="C778" s="18"/>
      <c r="D778" s="18"/>
      <c r="E778" s="18" t="s">
        <v>1529</v>
      </c>
      <c r="F778" s="18" t="s">
        <v>1530</v>
      </c>
      <c r="G778" s="18" t="s">
        <v>74</v>
      </c>
      <c r="H778" s="18" t="n">
        <v>575</v>
      </c>
      <c r="I778" s="19" t="n">
        <v>0</v>
      </c>
      <c r="J778" s="19" t="n">
        <v>126.5</v>
      </c>
      <c r="K778" s="19" t="n">
        <v>126.5</v>
      </c>
      <c r="L778" s="19" t="n">
        <v>0</v>
      </c>
      <c r="M778" s="19" t="n">
        <f aca="false">ABS(L778)</f>
        <v>0</v>
      </c>
      <c r="N778" s="18" t="str">
        <f aca="false">IF(L778=0,"Nil balance",IF(G778="AR file",IF(L778&gt;0,"Accounts Receivable","Customer Advances"),IF(L778&lt;0,"Accounts Payable","Supplier Advances")))</f>
        <v>Nil balance</v>
      </c>
      <c r="O778" s="18" t="str">
        <f aca="false">IF(L778=0,"Excluded",IF(Summary!$C$4="By ledger",IF(G778="AR file","Population 1","Population 2"),IF(L778&gt;0,"Population 1","Population 2")))</f>
        <v>Excluded</v>
      </c>
      <c r="P778" s="18" t="str">
        <f aca="false">IF(O778="Excluded","Excluded – nil closing balance",IF(M778&gt;Summary!$C$5,"Above Materiality","Below Materiality"))</f>
        <v>Excluded – nil closing balance</v>
      </c>
      <c r="Q778" s="20" t="str">
        <f aca="false">IF(P778="Below Materiality",T778,"")</f>
        <v/>
      </c>
      <c r="R778" s="21" t="str">
        <f aca="false">IF(P778="Above Materiality",COUNTIFS($O$2:$O$1092,O778,$P$2:$P$1092,"Above Materiality",$M$2:$M$1092,"&gt;"&amp;M778)+COUNTIFS($O$2:$O$1092,O778,$P$2:$P$1092,"Above Materiality",$M$2:$M$1092,M778,$A$2:$A$1092,"&lt;"&amp;A778)+1,"")</f>
        <v/>
      </c>
      <c r="S778" s="21" t="str">
        <f aca="false">IF(P778&lt;&gt;"Below Materiality","",IF(Summary!$C$9="Random",COUNTIFS($O$2:$O$1092,O778,$Q$2:$Q$1092,"&gt;"&amp;Q778)+1,COUNTIFS($O$2:$O$1092,O778,$P$2:$P$1092,"Below Materiality",$M$2:$M$1092,"&gt;"&amp;M778)+COUNTIFS($O$2:$O$1092,O778,$P$2:$P$1092,"Below Materiality",$M$2:$M$1092,M778,$A$2:$A$1092,"&lt;"&amp;A778)+1))</f>
        <v/>
      </c>
      <c r="T778" s="22"/>
      <c r="U778" s="21" t="str">
        <f aca="false">IF(R778="","",O778&amp;"|A|"&amp;R778)</f>
        <v/>
      </c>
      <c r="V778" s="21" t="str">
        <f aca="false">IF(S778="","",O778&amp;"|R|"&amp;S778)</f>
        <v/>
      </c>
    </row>
    <row r="779" customFormat="false" ht="15" hidden="false" customHeight="false" outlineLevel="0" collapsed="false">
      <c r="A779" s="18" t="n">
        <v>778</v>
      </c>
      <c r="B779" s="18"/>
      <c r="C779" s="18"/>
      <c r="D779" s="18"/>
      <c r="E779" s="18" t="s">
        <v>1531</v>
      </c>
      <c r="F779" s="18" t="s">
        <v>1532</v>
      </c>
      <c r="G779" s="18" t="s">
        <v>74</v>
      </c>
      <c r="H779" s="18" t="n">
        <v>576</v>
      </c>
      <c r="I779" s="19" t="n">
        <v>0</v>
      </c>
      <c r="J779" s="19" t="n">
        <v>120.33</v>
      </c>
      <c r="K779" s="19" t="n">
        <v>120.33</v>
      </c>
      <c r="L779" s="19" t="n">
        <v>0</v>
      </c>
      <c r="M779" s="19" t="n">
        <f aca="false">ABS(L779)</f>
        <v>0</v>
      </c>
      <c r="N779" s="18" t="str">
        <f aca="false">IF(L779=0,"Nil balance",IF(G779="AR file",IF(L779&gt;0,"Accounts Receivable","Customer Advances"),IF(L779&lt;0,"Accounts Payable","Supplier Advances")))</f>
        <v>Nil balance</v>
      </c>
      <c r="O779" s="18" t="str">
        <f aca="false">IF(L779=0,"Excluded",IF(Summary!$C$4="By ledger",IF(G779="AR file","Population 1","Population 2"),IF(L779&gt;0,"Population 1","Population 2")))</f>
        <v>Excluded</v>
      </c>
      <c r="P779" s="18" t="str">
        <f aca="false">IF(O779="Excluded","Excluded – nil closing balance",IF(M779&gt;Summary!$C$5,"Above Materiality","Below Materiality"))</f>
        <v>Excluded – nil closing balance</v>
      </c>
      <c r="Q779" s="20" t="str">
        <f aca="false">IF(P779="Below Materiality",T779,"")</f>
        <v/>
      </c>
      <c r="R779" s="21" t="str">
        <f aca="false">IF(P779="Above Materiality",COUNTIFS($O$2:$O$1092,O779,$P$2:$P$1092,"Above Materiality",$M$2:$M$1092,"&gt;"&amp;M779)+COUNTIFS($O$2:$O$1092,O779,$P$2:$P$1092,"Above Materiality",$M$2:$M$1092,M779,$A$2:$A$1092,"&lt;"&amp;A779)+1,"")</f>
        <v/>
      </c>
      <c r="S779" s="21" t="str">
        <f aca="false">IF(P779&lt;&gt;"Below Materiality","",IF(Summary!$C$9="Random",COUNTIFS($O$2:$O$1092,O779,$Q$2:$Q$1092,"&gt;"&amp;Q779)+1,COUNTIFS($O$2:$O$1092,O779,$P$2:$P$1092,"Below Materiality",$M$2:$M$1092,"&gt;"&amp;M779)+COUNTIFS($O$2:$O$1092,O779,$P$2:$P$1092,"Below Materiality",$M$2:$M$1092,M779,$A$2:$A$1092,"&lt;"&amp;A779)+1))</f>
        <v/>
      </c>
      <c r="T779" s="22"/>
      <c r="U779" s="21" t="str">
        <f aca="false">IF(R779="","",O779&amp;"|A|"&amp;R779)</f>
        <v/>
      </c>
      <c r="V779" s="21" t="str">
        <f aca="false">IF(S779="","",O779&amp;"|R|"&amp;S779)</f>
        <v/>
      </c>
    </row>
    <row r="780" customFormat="false" ht="15" hidden="false" customHeight="false" outlineLevel="0" collapsed="false">
      <c r="A780" s="18" t="n">
        <v>779</v>
      </c>
      <c r="B780" s="18"/>
      <c r="C780" s="18"/>
      <c r="D780" s="18"/>
      <c r="E780" s="18" t="s">
        <v>1533</v>
      </c>
      <c r="F780" s="18" t="s">
        <v>1534</v>
      </c>
      <c r="G780" s="18" t="s">
        <v>74</v>
      </c>
      <c r="H780" s="18" t="n">
        <v>577</v>
      </c>
      <c r="I780" s="19" t="n">
        <v>0</v>
      </c>
      <c r="J780" s="19" t="n">
        <v>15032.75</v>
      </c>
      <c r="K780" s="19" t="n">
        <v>15032.75</v>
      </c>
      <c r="L780" s="19" t="n">
        <v>0</v>
      </c>
      <c r="M780" s="19" t="n">
        <f aca="false">ABS(L780)</f>
        <v>0</v>
      </c>
      <c r="N780" s="18" t="str">
        <f aca="false">IF(L780=0,"Nil balance",IF(G780="AR file",IF(L780&gt;0,"Accounts Receivable","Customer Advances"),IF(L780&lt;0,"Accounts Payable","Supplier Advances")))</f>
        <v>Nil balance</v>
      </c>
      <c r="O780" s="18" t="str">
        <f aca="false">IF(L780=0,"Excluded",IF(Summary!$C$4="By ledger",IF(G780="AR file","Population 1","Population 2"),IF(L780&gt;0,"Population 1","Population 2")))</f>
        <v>Excluded</v>
      </c>
      <c r="P780" s="18" t="str">
        <f aca="false">IF(O780="Excluded","Excluded – nil closing balance",IF(M780&gt;Summary!$C$5,"Above Materiality","Below Materiality"))</f>
        <v>Excluded – nil closing balance</v>
      </c>
      <c r="Q780" s="20" t="str">
        <f aca="false">IF(P780="Below Materiality",T780,"")</f>
        <v/>
      </c>
      <c r="R780" s="21" t="str">
        <f aca="false">IF(P780="Above Materiality",COUNTIFS($O$2:$O$1092,O780,$P$2:$P$1092,"Above Materiality",$M$2:$M$1092,"&gt;"&amp;M780)+COUNTIFS($O$2:$O$1092,O780,$P$2:$P$1092,"Above Materiality",$M$2:$M$1092,M780,$A$2:$A$1092,"&lt;"&amp;A780)+1,"")</f>
        <v/>
      </c>
      <c r="S780" s="21" t="str">
        <f aca="false">IF(P780&lt;&gt;"Below Materiality","",IF(Summary!$C$9="Random",COUNTIFS($O$2:$O$1092,O780,$Q$2:$Q$1092,"&gt;"&amp;Q780)+1,COUNTIFS($O$2:$O$1092,O780,$P$2:$P$1092,"Below Materiality",$M$2:$M$1092,"&gt;"&amp;M780)+COUNTIFS($O$2:$O$1092,O780,$P$2:$P$1092,"Below Materiality",$M$2:$M$1092,M780,$A$2:$A$1092,"&lt;"&amp;A780)+1))</f>
        <v/>
      </c>
      <c r="T780" s="22"/>
      <c r="U780" s="21" t="str">
        <f aca="false">IF(R780="","",O780&amp;"|A|"&amp;R780)</f>
        <v/>
      </c>
      <c r="V780" s="21" t="str">
        <f aca="false">IF(S780="","",O780&amp;"|R|"&amp;S780)</f>
        <v/>
      </c>
    </row>
    <row r="781" customFormat="false" ht="15" hidden="false" customHeight="false" outlineLevel="0" collapsed="false">
      <c r="A781" s="18" t="n">
        <v>780</v>
      </c>
      <c r="B781" s="18"/>
      <c r="C781" s="18"/>
      <c r="D781" s="18"/>
      <c r="E781" s="18" t="s">
        <v>1535</v>
      </c>
      <c r="F781" s="18" t="s">
        <v>1536</v>
      </c>
      <c r="G781" s="18" t="s">
        <v>74</v>
      </c>
      <c r="H781" s="18" t="n">
        <v>579</v>
      </c>
      <c r="I781" s="19" t="n">
        <v>0</v>
      </c>
      <c r="J781" s="19" t="n">
        <v>1368.26</v>
      </c>
      <c r="K781" s="19" t="n">
        <v>1368.26</v>
      </c>
      <c r="L781" s="19" t="n">
        <v>0</v>
      </c>
      <c r="M781" s="19" t="n">
        <f aca="false">ABS(L781)</f>
        <v>0</v>
      </c>
      <c r="N781" s="18" t="str">
        <f aca="false">IF(L781=0,"Nil balance",IF(G781="AR file",IF(L781&gt;0,"Accounts Receivable","Customer Advances"),IF(L781&lt;0,"Accounts Payable","Supplier Advances")))</f>
        <v>Nil balance</v>
      </c>
      <c r="O781" s="18" t="str">
        <f aca="false">IF(L781=0,"Excluded",IF(Summary!$C$4="By ledger",IF(G781="AR file","Population 1","Population 2"),IF(L781&gt;0,"Population 1","Population 2")))</f>
        <v>Excluded</v>
      </c>
      <c r="P781" s="18" t="str">
        <f aca="false">IF(O781="Excluded","Excluded – nil closing balance",IF(M781&gt;Summary!$C$5,"Above Materiality","Below Materiality"))</f>
        <v>Excluded – nil closing balance</v>
      </c>
      <c r="Q781" s="20" t="str">
        <f aca="false">IF(P781="Below Materiality",T781,"")</f>
        <v/>
      </c>
      <c r="R781" s="21" t="str">
        <f aca="false">IF(P781="Above Materiality",COUNTIFS($O$2:$O$1092,O781,$P$2:$P$1092,"Above Materiality",$M$2:$M$1092,"&gt;"&amp;M781)+COUNTIFS($O$2:$O$1092,O781,$P$2:$P$1092,"Above Materiality",$M$2:$M$1092,M781,$A$2:$A$1092,"&lt;"&amp;A781)+1,"")</f>
        <v/>
      </c>
      <c r="S781" s="21" t="str">
        <f aca="false">IF(P781&lt;&gt;"Below Materiality","",IF(Summary!$C$9="Random",COUNTIFS($O$2:$O$1092,O781,$Q$2:$Q$1092,"&gt;"&amp;Q781)+1,COUNTIFS($O$2:$O$1092,O781,$P$2:$P$1092,"Below Materiality",$M$2:$M$1092,"&gt;"&amp;M781)+COUNTIFS($O$2:$O$1092,O781,$P$2:$P$1092,"Below Materiality",$M$2:$M$1092,M781,$A$2:$A$1092,"&lt;"&amp;A781)+1))</f>
        <v/>
      </c>
      <c r="T781" s="22"/>
      <c r="U781" s="21" t="str">
        <f aca="false">IF(R781="","",O781&amp;"|A|"&amp;R781)</f>
        <v/>
      </c>
      <c r="V781" s="21" t="str">
        <f aca="false">IF(S781="","",O781&amp;"|R|"&amp;S781)</f>
        <v/>
      </c>
    </row>
    <row r="782" customFormat="false" ht="15" hidden="false" customHeight="false" outlineLevel="0" collapsed="false">
      <c r="A782" s="18" t="n">
        <v>781</v>
      </c>
      <c r="B782" s="18"/>
      <c r="C782" s="18"/>
      <c r="D782" s="18"/>
      <c r="E782" s="18" t="s">
        <v>1537</v>
      </c>
      <c r="F782" s="18" t="s">
        <v>1144</v>
      </c>
      <c r="G782" s="18" t="s">
        <v>74</v>
      </c>
      <c r="H782" s="18" t="n">
        <v>580</v>
      </c>
      <c r="I782" s="19" t="n">
        <v>0</v>
      </c>
      <c r="J782" s="19" t="n">
        <v>184</v>
      </c>
      <c r="K782" s="19" t="n">
        <v>184</v>
      </c>
      <c r="L782" s="19" t="n">
        <v>0</v>
      </c>
      <c r="M782" s="19" t="n">
        <f aca="false">ABS(L782)</f>
        <v>0</v>
      </c>
      <c r="N782" s="18" t="str">
        <f aca="false">IF(L782=0,"Nil balance",IF(G782="AR file",IF(L782&gt;0,"Accounts Receivable","Customer Advances"),IF(L782&lt;0,"Accounts Payable","Supplier Advances")))</f>
        <v>Nil balance</v>
      </c>
      <c r="O782" s="18" t="str">
        <f aca="false">IF(L782=0,"Excluded",IF(Summary!$C$4="By ledger",IF(G782="AR file","Population 1","Population 2"),IF(L782&gt;0,"Population 1","Population 2")))</f>
        <v>Excluded</v>
      </c>
      <c r="P782" s="18" t="str">
        <f aca="false">IF(O782="Excluded","Excluded – nil closing balance",IF(M782&gt;Summary!$C$5,"Above Materiality","Below Materiality"))</f>
        <v>Excluded – nil closing balance</v>
      </c>
      <c r="Q782" s="20" t="str">
        <f aca="false">IF(P782="Below Materiality",T782,"")</f>
        <v/>
      </c>
      <c r="R782" s="21" t="str">
        <f aca="false">IF(P782="Above Materiality",COUNTIFS($O$2:$O$1092,O782,$P$2:$P$1092,"Above Materiality",$M$2:$M$1092,"&gt;"&amp;M782)+COUNTIFS($O$2:$O$1092,O782,$P$2:$P$1092,"Above Materiality",$M$2:$M$1092,M782,$A$2:$A$1092,"&lt;"&amp;A782)+1,"")</f>
        <v/>
      </c>
      <c r="S782" s="21" t="str">
        <f aca="false">IF(P782&lt;&gt;"Below Materiality","",IF(Summary!$C$9="Random",COUNTIFS($O$2:$O$1092,O782,$Q$2:$Q$1092,"&gt;"&amp;Q782)+1,COUNTIFS($O$2:$O$1092,O782,$P$2:$P$1092,"Below Materiality",$M$2:$M$1092,"&gt;"&amp;M782)+COUNTIFS($O$2:$O$1092,O782,$P$2:$P$1092,"Below Materiality",$M$2:$M$1092,M782,$A$2:$A$1092,"&lt;"&amp;A782)+1))</f>
        <v/>
      </c>
      <c r="T782" s="22"/>
      <c r="U782" s="21" t="str">
        <f aca="false">IF(R782="","",O782&amp;"|A|"&amp;R782)</f>
        <v/>
      </c>
      <c r="V782" s="21" t="str">
        <f aca="false">IF(S782="","",O782&amp;"|R|"&amp;S782)</f>
        <v/>
      </c>
    </row>
    <row r="783" customFormat="false" ht="15" hidden="false" customHeight="false" outlineLevel="0" collapsed="false">
      <c r="A783" s="18" t="n">
        <v>782</v>
      </c>
      <c r="B783" s="18"/>
      <c r="C783" s="18"/>
      <c r="D783" s="18"/>
      <c r="E783" s="18" t="s">
        <v>1538</v>
      </c>
      <c r="F783" s="18" t="s">
        <v>425</v>
      </c>
      <c r="G783" s="18" t="s">
        <v>74</v>
      </c>
      <c r="H783" s="18" t="n">
        <v>581</v>
      </c>
      <c r="I783" s="19" t="n">
        <v>0</v>
      </c>
      <c r="J783" s="19" t="n">
        <v>34.5</v>
      </c>
      <c r="K783" s="19" t="n">
        <v>34.5</v>
      </c>
      <c r="L783" s="19" t="n">
        <v>0</v>
      </c>
      <c r="M783" s="19" t="n">
        <f aca="false">ABS(L783)</f>
        <v>0</v>
      </c>
      <c r="N783" s="18" t="str">
        <f aca="false">IF(L783=0,"Nil balance",IF(G783="AR file",IF(L783&gt;0,"Accounts Receivable","Customer Advances"),IF(L783&lt;0,"Accounts Payable","Supplier Advances")))</f>
        <v>Nil balance</v>
      </c>
      <c r="O783" s="18" t="str">
        <f aca="false">IF(L783=0,"Excluded",IF(Summary!$C$4="By ledger",IF(G783="AR file","Population 1","Population 2"),IF(L783&gt;0,"Population 1","Population 2")))</f>
        <v>Excluded</v>
      </c>
      <c r="P783" s="18" t="str">
        <f aca="false">IF(O783="Excluded","Excluded – nil closing balance",IF(M783&gt;Summary!$C$5,"Above Materiality","Below Materiality"))</f>
        <v>Excluded – nil closing balance</v>
      </c>
      <c r="Q783" s="20" t="str">
        <f aca="false">IF(P783="Below Materiality",T783,"")</f>
        <v/>
      </c>
      <c r="R783" s="21" t="str">
        <f aca="false">IF(P783="Above Materiality",COUNTIFS($O$2:$O$1092,O783,$P$2:$P$1092,"Above Materiality",$M$2:$M$1092,"&gt;"&amp;M783)+COUNTIFS($O$2:$O$1092,O783,$P$2:$P$1092,"Above Materiality",$M$2:$M$1092,M783,$A$2:$A$1092,"&lt;"&amp;A783)+1,"")</f>
        <v/>
      </c>
      <c r="S783" s="21" t="str">
        <f aca="false">IF(P783&lt;&gt;"Below Materiality","",IF(Summary!$C$9="Random",COUNTIFS($O$2:$O$1092,O783,$Q$2:$Q$1092,"&gt;"&amp;Q783)+1,COUNTIFS($O$2:$O$1092,O783,$P$2:$P$1092,"Below Materiality",$M$2:$M$1092,"&gt;"&amp;M783)+COUNTIFS($O$2:$O$1092,O783,$P$2:$P$1092,"Below Materiality",$M$2:$M$1092,M783,$A$2:$A$1092,"&lt;"&amp;A783)+1))</f>
        <v/>
      </c>
      <c r="T783" s="22"/>
      <c r="U783" s="21" t="str">
        <f aca="false">IF(R783="","",O783&amp;"|A|"&amp;R783)</f>
        <v/>
      </c>
      <c r="V783" s="21" t="str">
        <f aca="false">IF(S783="","",O783&amp;"|R|"&amp;S783)</f>
        <v/>
      </c>
    </row>
    <row r="784" customFormat="false" ht="15" hidden="false" customHeight="false" outlineLevel="0" collapsed="false">
      <c r="A784" s="18" t="n">
        <v>783</v>
      </c>
      <c r="B784" s="18"/>
      <c r="C784" s="18"/>
      <c r="D784" s="18"/>
      <c r="E784" s="18" t="s">
        <v>1539</v>
      </c>
      <c r="F784" s="18" t="s">
        <v>1540</v>
      </c>
      <c r="G784" s="18" t="s">
        <v>74</v>
      </c>
      <c r="H784" s="18" t="n">
        <v>582</v>
      </c>
      <c r="I784" s="19" t="n">
        <v>0</v>
      </c>
      <c r="J784" s="19" t="n">
        <v>657.8</v>
      </c>
      <c r="K784" s="19" t="n">
        <v>657.8</v>
      </c>
      <c r="L784" s="19" t="n">
        <v>0</v>
      </c>
      <c r="M784" s="19" t="n">
        <f aca="false">ABS(L784)</f>
        <v>0</v>
      </c>
      <c r="N784" s="18" t="str">
        <f aca="false">IF(L784=0,"Nil balance",IF(G784="AR file",IF(L784&gt;0,"Accounts Receivable","Customer Advances"),IF(L784&lt;0,"Accounts Payable","Supplier Advances")))</f>
        <v>Nil balance</v>
      </c>
      <c r="O784" s="18" t="str">
        <f aca="false">IF(L784=0,"Excluded",IF(Summary!$C$4="By ledger",IF(G784="AR file","Population 1","Population 2"),IF(L784&gt;0,"Population 1","Population 2")))</f>
        <v>Excluded</v>
      </c>
      <c r="P784" s="18" t="str">
        <f aca="false">IF(O784="Excluded","Excluded – nil closing balance",IF(M784&gt;Summary!$C$5,"Above Materiality","Below Materiality"))</f>
        <v>Excluded – nil closing balance</v>
      </c>
      <c r="Q784" s="20" t="str">
        <f aca="false">IF(P784="Below Materiality",T784,"")</f>
        <v/>
      </c>
      <c r="R784" s="21" t="str">
        <f aca="false">IF(P784="Above Materiality",COUNTIFS($O$2:$O$1092,O784,$P$2:$P$1092,"Above Materiality",$M$2:$M$1092,"&gt;"&amp;M784)+COUNTIFS($O$2:$O$1092,O784,$P$2:$P$1092,"Above Materiality",$M$2:$M$1092,M784,$A$2:$A$1092,"&lt;"&amp;A784)+1,"")</f>
        <v/>
      </c>
      <c r="S784" s="21" t="str">
        <f aca="false">IF(P784&lt;&gt;"Below Materiality","",IF(Summary!$C$9="Random",COUNTIFS($O$2:$O$1092,O784,$Q$2:$Q$1092,"&gt;"&amp;Q784)+1,COUNTIFS($O$2:$O$1092,O784,$P$2:$P$1092,"Below Materiality",$M$2:$M$1092,"&gt;"&amp;M784)+COUNTIFS($O$2:$O$1092,O784,$P$2:$P$1092,"Below Materiality",$M$2:$M$1092,M784,$A$2:$A$1092,"&lt;"&amp;A784)+1))</f>
        <v/>
      </c>
      <c r="T784" s="22"/>
      <c r="U784" s="21" t="str">
        <f aca="false">IF(R784="","",O784&amp;"|A|"&amp;R784)</f>
        <v/>
      </c>
      <c r="V784" s="21" t="str">
        <f aca="false">IF(S784="","",O784&amp;"|R|"&amp;S784)</f>
        <v/>
      </c>
    </row>
    <row r="785" customFormat="false" ht="15" hidden="false" customHeight="false" outlineLevel="0" collapsed="false">
      <c r="A785" s="18" t="n">
        <v>784</v>
      </c>
      <c r="B785" s="18"/>
      <c r="C785" s="18"/>
      <c r="D785" s="18"/>
      <c r="E785" s="18" t="s">
        <v>1541</v>
      </c>
      <c r="F785" s="18" t="s">
        <v>1542</v>
      </c>
      <c r="G785" s="18" t="s">
        <v>74</v>
      </c>
      <c r="H785" s="18" t="n">
        <v>583</v>
      </c>
      <c r="I785" s="19" t="n">
        <v>0</v>
      </c>
      <c r="J785" s="19" t="n">
        <v>333.5</v>
      </c>
      <c r="K785" s="19" t="n">
        <v>333.5</v>
      </c>
      <c r="L785" s="19" t="n">
        <v>0</v>
      </c>
      <c r="M785" s="19" t="n">
        <f aca="false">ABS(L785)</f>
        <v>0</v>
      </c>
      <c r="N785" s="18" t="str">
        <f aca="false">IF(L785=0,"Nil balance",IF(G785="AR file",IF(L785&gt;0,"Accounts Receivable","Customer Advances"),IF(L785&lt;0,"Accounts Payable","Supplier Advances")))</f>
        <v>Nil balance</v>
      </c>
      <c r="O785" s="18" t="str">
        <f aca="false">IF(L785=0,"Excluded",IF(Summary!$C$4="By ledger",IF(G785="AR file","Population 1","Population 2"),IF(L785&gt;0,"Population 1","Population 2")))</f>
        <v>Excluded</v>
      </c>
      <c r="P785" s="18" t="str">
        <f aca="false">IF(O785="Excluded","Excluded – nil closing balance",IF(M785&gt;Summary!$C$5,"Above Materiality","Below Materiality"))</f>
        <v>Excluded – nil closing balance</v>
      </c>
      <c r="Q785" s="20" t="str">
        <f aca="false">IF(P785="Below Materiality",T785,"")</f>
        <v/>
      </c>
      <c r="R785" s="21" t="str">
        <f aca="false">IF(P785="Above Materiality",COUNTIFS($O$2:$O$1092,O785,$P$2:$P$1092,"Above Materiality",$M$2:$M$1092,"&gt;"&amp;M785)+COUNTIFS($O$2:$O$1092,O785,$P$2:$P$1092,"Above Materiality",$M$2:$M$1092,M785,$A$2:$A$1092,"&lt;"&amp;A785)+1,"")</f>
        <v/>
      </c>
      <c r="S785" s="21" t="str">
        <f aca="false">IF(P785&lt;&gt;"Below Materiality","",IF(Summary!$C$9="Random",COUNTIFS($O$2:$O$1092,O785,$Q$2:$Q$1092,"&gt;"&amp;Q785)+1,COUNTIFS($O$2:$O$1092,O785,$P$2:$P$1092,"Below Materiality",$M$2:$M$1092,"&gt;"&amp;M785)+COUNTIFS($O$2:$O$1092,O785,$P$2:$P$1092,"Below Materiality",$M$2:$M$1092,M785,$A$2:$A$1092,"&lt;"&amp;A785)+1))</f>
        <v/>
      </c>
      <c r="T785" s="22"/>
      <c r="U785" s="21" t="str">
        <f aca="false">IF(R785="","",O785&amp;"|A|"&amp;R785)</f>
        <v/>
      </c>
      <c r="V785" s="21" t="str">
        <f aca="false">IF(S785="","",O785&amp;"|R|"&amp;S785)</f>
        <v/>
      </c>
    </row>
    <row r="786" customFormat="false" ht="15" hidden="false" customHeight="false" outlineLevel="0" collapsed="false">
      <c r="A786" s="18" t="n">
        <v>785</v>
      </c>
      <c r="B786" s="18"/>
      <c r="C786" s="18"/>
      <c r="D786" s="18"/>
      <c r="E786" s="18" t="s">
        <v>1543</v>
      </c>
      <c r="F786" s="18" t="s">
        <v>366</v>
      </c>
      <c r="G786" s="18" t="s">
        <v>74</v>
      </c>
      <c r="H786" s="18" t="n">
        <v>584</v>
      </c>
      <c r="I786" s="19" t="n">
        <v>0</v>
      </c>
      <c r="J786" s="19" t="n">
        <v>100</v>
      </c>
      <c r="K786" s="19" t="n">
        <v>100</v>
      </c>
      <c r="L786" s="19" t="n">
        <v>0</v>
      </c>
      <c r="M786" s="19" t="n">
        <f aca="false">ABS(L786)</f>
        <v>0</v>
      </c>
      <c r="N786" s="18" t="str">
        <f aca="false">IF(L786=0,"Nil balance",IF(G786="AR file",IF(L786&gt;0,"Accounts Receivable","Customer Advances"),IF(L786&lt;0,"Accounts Payable","Supplier Advances")))</f>
        <v>Nil balance</v>
      </c>
      <c r="O786" s="18" t="str">
        <f aca="false">IF(L786=0,"Excluded",IF(Summary!$C$4="By ledger",IF(G786="AR file","Population 1","Population 2"),IF(L786&gt;0,"Population 1","Population 2")))</f>
        <v>Excluded</v>
      </c>
      <c r="P786" s="18" t="str">
        <f aca="false">IF(O786="Excluded","Excluded – nil closing balance",IF(M786&gt;Summary!$C$5,"Above Materiality","Below Materiality"))</f>
        <v>Excluded – nil closing balance</v>
      </c>
      <c r="Q786" s="20" t="str">
        <f aca="false">IF(P786="Below Materiality",T786,"")</f>
        <v/>
      </c>
      <c r="R786" s="21" t="str">
        <f aca="false">IF(P786="Above Materiality",COUNTIFS($O$2:$O$1092,O786,$P$2:$P$1092,"Above Materiality",$M$2:$M$1092,"&gt;"&amp;M786)+COUNTIFS($O$2:$O$1092,O786,$P$2:$P$1092,"Above Materiality",$M$2:$M$1092,M786,$A$2:$A$1092,"&lt;"&amp;A786)+1,"")</f>
        <v/>
      </c>
      <c r="S786" s="21" t="str">
        <f aca="false">IF(P786&lt;&gt;"Below Materiality","",IF(Summary!$C$9="Random",COUNTIFS($O$2:$O$1092,O786,$Q$2:$Q$1092,"&gt;"&amp;Q786)+1,COUNTIFS($O$2:$O$1092,O786,$P$2:$P$1092,"Below Materiality",$M$2:$M$1092,"&gt;"&amp;M786)+COUNTIFS($O$2:$O$1092,O786,$P$2:$P$1092,"Below Materiality",$M$2:$M$1092,M786,$A$2:$A$1092,"&lt;"&amp;A786)+1))</f>
        <v/>
      </c>
      <c r="T786" s="22"/>
      <c r="U786" s="21" t="str">
        <f aca="false">IF(R786="","",O786&amp;"|A|"&amp;R786)</f>
        <v/>
      </c>
      <c r="V786" s="21" t="str">
        <f aca="false">IF(S786="","",O786&amp;"|R|"&amp;S786)</f>
        <v/>
      </c>
    </row>
    <row r="787" customFormat="false" ht="15" hidden="false" customHeight="false" outlineLevel="0" collapsed="false">
      <c r="A787" s="18" t="n">
        <v>786</v>
      </c>
      <c r="B787" s="18"/>
      <c r="C787" s="18"/>
      <c r="D787" s="18"/>
      <c r="E787" s="18" t="s">
        <v>1544</v>
      </c>
      <c r="F787" s="18" t="s">
        <v>1545</v>
      </c>
      <c r="G787" s="18" t="s">
        <v>74</v>
      </c>
      <c r="H787" s="18" t="n">
        <v>585</v>
      </c>
      <c r="I787" s="19" t="n">
        <v>0</v>
      </c>
      <c r="J787" s="19" t="n">
        <v>2116</v>
      </c>
      <c r="K787" s="19" t="n">
        <v>2116</v>
      </c>
      <c r="L787" s="19" t="n">
        <v>0</v>
      </c>
      <c r="M787" s="19" t="n">
        <f aca="false">ABS(L787)</f>
        <v>0</v>
      </c>
      <c r="N787" s="18" t="str">
        <f aca="false">IF(L787=0,"Nil balance",IF(G787="AR file",IF(L787&gt;0,"Accounts Receivable","Customer Advances"),IF(L787&lt;0,"Accounts Payable","Supplier Advances")))</f>
        <v>Nil balance</v>
      </c>
      <c r="O787" s="18" t="str">
        <f aca="false">IF(L787=0,"Excluded",IF(Summary!$C$4="By ledger",IF(G787="AR file","Population 1","Population 2"),IF(L787&gt;0,"Population 1","Population 2")))</f>
        <v>Excluded</v>
      </c>
      <c r="P787" s="18" t="str">
        <f aca="false">IF(O787="Excluded","Excluded – nil closing balance",IF(M787&gt;Summary!$C$5,"Above Materiality","Below Materiality"))</f>
        <v>Excluded – nil closing balance</v>
      </c>
      <c r="Q787" s="20" t="str">
        <f aca="false">IF(P787="Below Materiality",T787,"")</f>
        <v/>
      </c>
      <c r="R787" s="21" t="str">
        <f aca="false">IF(P787="Above Materiality",COUNTIFS($O$2:$O$1092,O787,$P$2:$P$1092,"Above Materiality",$M$2:$M$1092,"&gt;"&amp;M787)+COUNTIFS($O$2:$O$1092,O787,$P$2:$P$1092,"Above Materiality",$M$2:$M$1092,M787,$A$2:$A$1092,"&lt;"&amp;A787)+1,"")</f>
        <v/>
      </c>
      <c r="S787" s="21" t="str">
        <f aca="false">IF(P787&lt;&gt;"Below Materiality","",IF(Summary!$C$9="Random",COUNTIFS($O$2:$O$1092,O787,$Q$2:$Q$1092,"&gt;"&amp;Q787)+1,COUNTIFS($O$2:$O$1092,O787,$P$2:$P$1092,"Below Materiality",$M$2:$M$1092,"&gt;"&amp;M787)+COUNTIFS($O$2:$O$1092,O787,$P$2:$P$1092,"Below Materiality",$M$2:$M$1092,M787,$A$2:$A$1092,"&lt;"&amp;A787)+1))</f>
        <v/>
      </c>
      <c r="T787" s="22"/>
      <c r="U787" s="21" t="str">
        <f aca="false">IF(R787="","",O787&amp;"|A|"&amp;R787)</f>
        <v/>
      </c>
      <c r="V787" s="21" t="str">
        <f aca="false">IF(S787="","",O787&amp;"|R|"&amp;S787)</f>
        <v/>
      </c>
    </row>
    <row r="788" customFormat="false" ht="15" hidden="false" customHeight="false" outlineLevel="0" collapsed="false">
      <c r="A788" s="18" t="n">
        <v>787</v>
      </c>
      <c r="B788" s="18"/>
      <c r="C788" s="18"/>
      <c r="D788" s="18"/>
      <c r="E788" s="18" t="s">
        <v>1546</v>
      </c>
      <c r="F788" s="18" t="s">
        <v>1547</v>
      </c>
      <c r="G788" s="18" t="s">
        <v>74</v>
      </c>
      <c r="H788" s="18" t="n">
        <v>587</v>
      </c>
      <c r="I788" s="19" t="n">
        <v>0</v>
      </c>
      <c r="J788" s="19" t="n">
        <v>12650.01</v>
      </c>
      <c r="K788" s="19" t="n">
        <v>12650.01</v>
      </c>
      <c r="L788" s="19" t="n">
        <v>0</v>
      </c>
      <c r="M788" s="19" t="n">
        <f aca="false">ABS(L788)</f>
        <v>0</v>
      </c>
      <c r="N788" s="18" t="str">
        <f aca="false">IF(L788=0,"Nil balance",IF(G788="AR file",IF(L788&gt;0,"Accounts Receivable","Customer Advances"),IF(L788&lt;0,"Accounts Payable","Supplier Advances")))</f>
        <v>Nil balance</v>
      </c>
      <c r="O788" s="18" t="str">
        <f aca="false">IF(L788=0,"Excluded",IF(Summary!$C$4="By ledger",IF(G788="AR file","Population 1","Population 2"),IF(L788&gt;0,"Population 1","Population 2")))</f>
        <v>Excluded</v>
      </c>
      <c r="P788" s="18" t="str">
        <f aca="false">IF(O788="Excluded","Excluded – nil closing balance",IF(M788&gt;Summary!$C$5,"Above Materiality","Below Materiality"))</f>
        <v>Excluded – nil closing balance</v>
      </c>
      <c r="Q788" s="20" t="str">
        <f aca="false">IF(P788="Below Materiality",T788,"")</f>
        <v/>
      </c>
      <c r="R788" s="21" t="str">
        <f aca="false">IF(P788="Above Materiality",COUNTIFS($O$2:$O$1092,O788,$P$2:$P$1092,"Above Materiality",$M$2:$M$1092,"&gt;"&amp;M788)+COUNTIFS($O$2:$O$1092,O788,$P$2:$P$1092,"Above Materiality",$M$2:$M$1092,M788,$A$2:$A$1092,"&lt;"&amp;A788)+1,"")</f>
        <v/>
      </c>
      <c r="S788" s="21" t="str">
        <f aca="false">IF(P788&lt;&gt;"Below Materiality","",IF(Summary!$C$9="Random",COUNTIFS($O$2:$O$1092,O788,$Q$2:$Q$1092,"&gt;"&amp;Q788)+1,COUNTIFS($O$2:$O$1092,O788,$P$2:$P$1092,"Below Materiality",$M$2:$M$1092,"&gt;"&amp;M788)+COUNTIFS($O$2:$O$1092,O788,$P$2:$P$1092,"Below Materiality",$M$2:$M$1092,M788,$A$2:$A$1092,"&lt;"&amp;A788)+1))</f>
        <v/>
      </c>
      <c r="T788" s="22"/>
      <c r="U788" s="21" t="str">
        <f aca="false">IF(R788="","",O788&amp;"|A|"&amp;R788)</f>
        <v/>
      </c>
      <c r="V788" s="21" t="str">
        <f aca="false">IF(S788="","",O788&amp;"|R|"&amp;S788)</f>
        <v/>
      </c>
    </row>
    <row r="789" customFormat="false" ht="15" hidden="false" customHeight="false" outlineLevel="0" collapsed="false">
      <c r="A789" s="18" t="n">
        <v>788</v>
      </c>
      <c r="B789" s="18"/>
      <c r="C789" s="18"/>
      <c r="D789" s="18"/>
      <c r="E789" s="18" t="s">
        <v>1548</v>
      </c>
      <c r="F789" s="18" t="s">
        <v>1329</v>
      </c>
      <c r="G789" s="18" t="s">
        <v>74</v>
      </c>
      <c r="H789" s="18" t="n">
        <v>588</v>
      </c>
      <c r="I789" s="19" t="n">
        <v>0</v>
      </c>
      <c r="J789" s="19" t="n">
        <v>80.5</v>
      </c>
      <c r="K789" s="19" t="n">
        <v>80.5</v>
      </c>
      <c r="L789" s="19" t="n">
        <v>0</v>
      </c>
      <c r="M789" s="19" t="n">
        <f aca="false">ABS(L789)</f>
        <v>0</v>
      </c>
      <c r="N789" s="18" t="str">
        <f aca="false">IF(L789=0,"Nil balance",IF(G789="AR file",IF(L789&gt;0,"Accounts Receivable","Customer Advances"),IF(L789&lt;0,"Accounts Payable","Supplier Advances")))</f>
        <v>Nil balance</v>
      </c>
      <c r="O789" s="18" t="str">
        <f aca="false">IF(L789=0,"Excluded",IF(Summary!$C$4="By ledger",IF(G789="AR file","Population 1","Population 2"),IF(L789&gt;0,"Population 1","Population 2")))</f>
        <v>Excluded</v>
      </c>
      <c r="P789" s="18" t="str">
        <f aca="false">IF(O789="Excluded","Excluded – nil closing balance",IF(M789&gt;Summary!$C$5,"Above Materiality","Below Materiality"))</f>
        <v>Excluded – nil closing balance</v>
      </c>
      <c r="Q789" s="20" t="str">
        <f aca="false">IF(P789="Below Materiality",T789,"")</f>
        <v/>
      </c>
      <c r="R789" s="21" t="str">
        <f aca="false">IF(P789="Above Materiality",COUNTIFS($O$2:$O$1092,O789,$P$2:$P$1092,"Above Materiality",$M$2:$M$1092,"&gt;"&amp;M789)+COUNTIFS($O$2:$O$1092,O789,$P$2:$P$1092,"Above Materiality",$M$2:$M$1092,M789,$A$2:$A$1092,"&lt;"&amp;A789)+1,"")</f>
        <v/>
      </c>
      <c r="S789" s="21" t="str">
        <f aca="false">IF(P789&lt;&gt;"Below Materiality","",IF(Summary!$C$9="Random",COUNTIFS($O$2:$O$1092,O789,$Q$2:$Q$1092,"&gt;"&amp;Q789)+1,COUNTIFS($O$2:$O$1092,O789,$P$2:$P$1092,"Below Materiality",$M$2:$M$1092,"&gt;"&amp;M789)+COUNTIFS($O$2:$O$1092,O789,$P$2:$P$1092,"Below Materiality",$M$2:$M$1092,M789,$A$2:$A$1092,"&lt;"&amp;A789)+1))</f>
        <v/>
      </c>
      <c r="T789" s="22"/>
      <c r="U789" s="21" t="str">
        <f aca="false">IF(R789="","",O789&amp;"|A|"&amp;R789)</f>
        <v/>
      </c>
      <c r="V789" s="21" t="str">
        <f aca="false">IF(S789="","",O789&amp;"|R|"&amp;S789)</f>
        <v/>
      </c>
    </row>
    <row r="790" customFormat="false" ht="15" hidden="false" customHeight="false" outlineLevel="0" collapsed="false">
      <c r="A790" s="18" t="n">
        <v>789</v>
      </c>
      <c r="B790" s="18"/>
      <c r="C790" s="18"/>
      <c r="D790" s="18"/>
      <c r="E790" s="18" t="s">
        <v>1549</v>
      </c>
      <c r="F790" s="18" t="s">
        <v>764</v>
      </c>
      <c r="G790" s="18" t="s">
        <v>74</v>
      </c>
      <c r="H790" s="18" t="n">
        <v>589</v>
      </c>
      <c r="I790" s="19" t="n">
        <v>0</v>
      </c>
      <c r="J790" s="19" t="n">
        <v>920</v>
      </c>
      <c r="K790" s="19" t="n">
        <v>920</v>
      </c>
      <c r="L790" s="19" t="n">
        <v>0</v>
      </c>
      <c r="M790" s="19" t="n">
        <f aca="false">ABS(L790)</f>
        <v>0</v>
      </c>
      <c r="N790" s="18" t="str">
        <f aca="false">IF(L790=0,"Nil balance",IF(G790="AR file",IF(L790&gt;0,"Accounts Receivable","Customer Advances"),IF(L790&lt;0,"Accounts Payable","Supplier Advances")))</f>
        <v>Nil balance</v>
      </c>
      <c r="O790" s="18" t="str">
        <f aca="false">IF(L790=0,"Excluded",IF(Summary!$C$4="By ledger",IF(G790="AR file","Population 1","Population 2"),IF(L790&gt;0,"Population 1","Population 2")))</f>
        <v>Excluded</v>
      </c>
      <c r="P790" s="18" t="str">
        <f aca="false">IF(O790="Excluded","Excluded – nil closing balance",IF(M790&gt;Summary!$C$5,"Above Materiality","Below Materiality"))</f>
        <v>Excluded – nil closing balance</v>
      </c>
      <c r="Q790" s="20" t="str">
        <f aca="false">IF(P790="Below Materiality",T790,"")</f>
        <v/>
      </c>
      <c r="R790" s="21" t="str">
        <f aca="false">IF(P790="Above Materiality",COUNTIFS($O$2:$O$1092,O790,$P$2:$P$1092,"Above Materiality",$M$2:$M$1092,"&gt;"&amp;M790)+COUNTIFS($O$2:$O$1092,O790,$P$2:$P$1092,"Above Materiality",$M$2:$M$1092,M790,$A$2:$A$1092,"&lt;"&amp;A790)+1,"")</f>
        <v/>
      </c>
      <c r="S790" s="21" t="str">
        <f aca="false">IF(P790&lt;&gt;"Below Materiality","",IF(Summary!$C$9="Random",COUNTIFS($O$2:$O$1092,O790,$Q$2:$Q$1092,"&gt;"&amp;Q790)+1,COUNTIFS($O$2:$O$1092,O790,$P$2:$P$1092,"Below Materiality",$M$2:$M$1092,"&gt;"&amp;M790)+COUNTIFS($O$2:$O$1092,O790,$P$2:$P$1092,"Below Materiality",$M$2:$M$1092,M790,$A$2:$A$1092,"&lt;"&amp;A790)+1))</f>
        <v/>
      </c>
      <c r="T790" s="22"/>
      <c r="U790" s="21" t="str">
        <f aca="false">IF(R790="","",O790&amp;"|A|"&amp;R790)</f>
        <v/>
      </c>
      <c r="V790" s="21" t="str">
        <f aca="false">IF(S790="","",O790&amp;"|R|"&amp;S790)</f>
        <v/>
      </c>
    </row>
    <row r="791" customFormat="false" ht="15" hidden="false" customHeight="false" outlineLevel="0" collapsed="false">
      <c r="A791" s="18" t="n">
        <v>790</v>
      </c>
      <c r="B791" s="18"/>
      <c r="C791" s="18"/>
      <c r="D791" s="18"/>
      <c r="E791" s="18" t="s">
        <v>1550</v>
      </c>
      <c r="F791" s="18" t="s">
        <v>1551</v>
      </c>
      <c r="G791" s="18" t="s">
        <v>74</v>
      </c>
      <c r="H791" s="18" t="n">
        <v>590</v>
      </c>
      <c r="I791" s="19" t="n">
        <v>0</v>
      </c>
      <c r="J791" s="19" t="n">
        <v>860</v>
      </c>
      <c r="K791" s="19" t="n">
        <v>860</v>
      </c>
      <c r="L791" s="19" t="n">
        <v>0</v>
      </c>
      <c r="M791" s="19" t="n">
        <f aca="false">ABS(L791)</f>
        <v>0</v>
      </c>
      <c r="N791" s="18" t="str">
        <f aca="false">IF(L791=0,"Nil balance",IF(G791="AR file",IF(L791&gt;0,"Accounts Receivable","Customer Advances"),IF(L791&lt;0,"Accounts Payable","Supplier Advances")))</f>
        <v>Nil balance</v>
      </c>
      <c r="O791" s="18" t="str">
        <f aca="false">IF(L791=0,"Excluded",IF(Summary!$C$4="By ledger",IF(G791="AR file","Population 1","Population 2"),IF(L791&gt;0,"Population 1","Population 2")))</f>
        <v>Excluded</v>
      </c>
      <c r="P791" s="18" t="str">
        <f aca="false">IF(O791="Excluded","Excluded – nil closing balance",IF(M791&gt;Summary!$C$5,"Above Materiality","Below Materiality"))</f>
        <v>Excluded – nil closing balance</v>
      </c>
      <c r="Q791" s="20" t="str">
        <f aca="false">IF(P791="Below Materiality",T791,"")</f>
        <v/>
      </c>
      <c r="R791" s="21" t="str">
        <f aca="false">IF(P791="Above Materiality",COUNTIFS($O$2:$O$1092,O791,$P$2:$P$1092,"Above Materiality",$M$2:$M$1092,"&gt;"&amp;M791)+COUNTIFS($O$2:$O$1092,O791,$P$2:$P$1092,"Above Materiality",$M$2:$M$1092,M791,$A$2:$A$1092,"&lt;"&amp;A791)+1,"")</f>
        <v/>
      </c>
      <c r="S791" s="21" t="str">
        <f aca="false">IF(P791&lt;&gt;"Below Materiality","",IF(Summary!$C$9="Random",COUNTIFS($O$2:$O$1092,O791,$Q$2:$Q$1092,"&gt;"&amp;Q791)+1,COUNTIFS($O$2:$O$1092,O791,$P$2:$P$1092,"Below Materiality",$M$2:$M$1092,"&gt;"&amp;M791)+COUNTIFS($O$2:$O$1092,O791,$P$2:$P$1092,"Below Materiality",$M$2:$M$1092,M791,$A$2:$A$1092,"&lt;"&amp;A791)+1))</f>
        <v/>
      </c>
      <c r="T791" s="22"/>
      <c r="U791" s="21" t="str">
        <f aca="false">IF(R791="","",O791&amp;"|A|"&amp;R791)</f>
        <v/>
      </c>
      <c r="V791" s="21" t="str">
        <f aca="false">IF(S791="","",O791&amp;"|R|"&amp;S791)</f>
        <v/>
      </c>
    </row>
    <row r="792" customFormat="false" ht="15" hidden="false" customHeight="false" outlineLevel="0" collapsed="false">
      <c r="A792" s="18" t="n">
        <v>791</v>
      </c>
      <c r="B792" s="18"/>
      <c r="C792" s="18"/>
      <c r="D792" s="18"/>
      <c r="E792" s="18" t="s">
        <v>1552</v>
      </c>
      <c r="F792" s="18" t="s">
        <v>1553</v>
      </c>
      <c r="G792" s="18" t="s">
        <v>74</v>
      </c>
      <c r="H792" s="18" t="n">
        <v>591</v>
      </c>
      <c r="I792" s="19" t="n">
        <v>0</v>
      </c>
      <c r="J792" s="19" t="n">
        <v>1160</v>
      </c>
      <c r="K792" s="19" t="n">
        <v>1160</v>
      </c>
      <c r="L792" s="19" t="n">
        <v>0</v>
      </c>
      <c r="M792" s="19" t="n">
        <f aca="false">ABS(L792)</f>
        <v>0</v>
      </c>
      <c r="N792" s="18" t="str">
        <f aca="false">IF(L792=0,"Nil balance",IF(G792="AR file",IF(L792&gt;0,"Accounts Receivable","Customer Advances"),IF(L792&lt;0,"Accounts Payable","Supplier Advances")))</f>
        <v>Nil balance</v>
      </c>
      <c r="O792" s="18" t="str">
        <f aca="false">IF(L792=0,"Excluded",IF(Summary!$C$4="By ledger",IF(G792="AR file","Population 1","Population 2"),IF(L792&gt;0,"Population 1","Population 2")))</f>
        <v>Excluded</v>
      </c>
      <c r="P792" s="18" t="str">
        <f aca="false">IF(O792="Excluded","Excluded – nil closing balance",IF(M792&gt;Summary!$C$5,"Above Materiality","Below Materiality"))</f>
        <v>Excluded – nil closing balance</v>
      </c>
      <c r="Q792" s="20" t="str">
        <f aca="false">IF(P792="Below Materiality",T792,"")</f>
        <v/>
      </c>
      <c r="R792" s="21" t="str">
        <f aca="false">IF(P792="Above Materiality",COUNTIFS($O$2:$O$1092,O792,$P$2:$P$1092,"Above Materiality",$M$2:$M$1092,"&gt;"&amp;M792)+COUNTIFS($O$2:$O$1092,O792,$P$2:$P$1092,"Above Materiality",$M$2:$M$1092,M792,$A$2:$A$1092,"&lt;"&amp;A792)+1,"")</f>
        <v/>
      </c>
      <c r="S792" s="21" t="str">
        <f aca="false">IF(P792&lt;&gt;"Below Materiality","",IF(Summary!$C$9="Random",COUNTIFS($O$2:$O$1092,O792,$Q$2:$Q$1092,"&gt;"&amp;Q792)+1,COUNTIFS($O$2:$O$1092,O792,$P$2:$P$1092,"Below Materiality",$M$2:$M$1092,"&gt;"&amp;M792)+COUNTIFS($O$2:$O$1092,O792,$P$2:$P$1092,"Below Materiality",$M$2:$M$1092,M792,$A$2:$A$1092,"&lt;"&amp;A792)+1))</f>
        <v/>
      </c>
      <c r="T792" s="22"/>
      <c r="U792" s="21" t="str">
        <f aca="false">IF(R792="","",O792&amp;"|A|"&amp;R792)</f>
        <v/>
      </c>
      <c r="V792" s="21" t="str">
        <f aca="false">IF(S792="","",O792&amp;"|R|"&amp;S792)</f>
        <v/>
      </c>
    </row>
    <row r="793" customFormat="false" ht="15" hidden="false" customHeight="false" outlineLevel="0" collapsed="false">
      <c r="A793" s="18" t="n">
        <v>792</v>
      </c>
      <c r="B793" s="18"/>
      <c r="C793" s="18"/>
      <c r="D793" s="18"/>
      <c r="E793" s="18" t="s">
        <v>1554</v>
      </c>
      <c r="F793" s="18" t="s">
        <v>1555</v>
      </c>
      <c r="G793" s="18" t="s">
        <v>74</v>
      </c>
      <c r="H793" s="18" t="n">
        <v>592</v>
      </c>
      <c r="I793" s="19" t="n">
        <v>0</v>
      </c>
      <c r="J793" s="19" t="n">
        <v>1600</v>
      </c>
      <c r="K793" s="19" t="n">
        <v>1600</v>
      </c>
      <c r="L793" s="19" t="n">
        <v>0</v>
      </c>
      <c r="M793" s="19" t="n">
        <f aca="false">ABS(L793)</f>
        <v>0</v>
      </c>
      <c r="N793" s="18" t="str">
        <f aca="false">IF(L793=0,"Nil balance",IF(G793="AR file",IF(L793&gt;0,"Accounts Receivable","Customer Advances"),IF(L793&lt;0,"Accounts Payable","Supplier Advances")))</f>
        <v>Nil balance</v>
      </c>
      <c r="O793" s="18" t="str">
        <f aca="false">IF(L793=0,"Excluded",IF(Summary!$C$4="By ledger",IF(G793="AR file","Population 1","Population 2"),IF(L793&gt;0,"Population 1","Population 2")))</f>
        <v>Excluded</v>
      </c>
      <c r="P793" s="18" t="str">
        <f aca="false">IF(O793="Excluded","Excluded – nil closing balance",IF(M793&gt;Summary!$C$5,"Above Materiality","Below Materiality"))</f>
        <v>Excluded – nil closing balance</v>
      </c>
      <c r="Q793" s="20" t="str">
        <f aca="false">IF(P793="Below Materiality",T793,"")</f>
        <v/>
      </c>
      <c r="R793" s="21" t="str">
        <f aca="false">IF(P793="Above Materiality",COUNTIFS($O$2:$O$1092,O793,$P$2:$P$1092,"Above Materiality",$M$2:$M$1092,"&gt;"&amp;M793)+COUNTIFS($O$2:$O$1092,O793,$P$2:$P$1092,"Above Materiality",$M$2:$M$1092,M793,$A$2:$A$1092,"&lt;"&amp;A793)+1,"")</f>
        <v/>
      </c>
      <c r="S793" s="21" t="str">
        <f aca="false">IF(P793&lt;&gt;"Below Materiality","",IF(Summary!$C$9="Random",COUNTIFS($O$2:$O$1092,O793,$Q$2:$Q$1092,"&gt;"&amp;Q793)+1,COUNTIFS($O$2:$O$1092,O793,$P$2:$P$1092,"Below Materiality",$M$2:$M$1092,"&gt;"&amp;M793)+COUNTIFS($O$2:$O$1092,O793,$P$2:$P$1092,"Below Materiality",$M$2:$M$1092,M793,$A$2:$A$1092,"&lt;"&amp;A793)+1))</f>
        <v/>
      </c>
      <c r="T793" s="22"/>
      <c r="U793" s="21" t="str">
        <f aca="false">IF(R793="","",O793&amp;"|A|"&amp;R793)</f>
        <v/>
      </c>
      <c r="V793" s="21" t="str">
        <f aca="false">IF(S793="","",O793&amp;"|R|"&amp;S793)</f>
        <v/>
      </c>
    </row>
    <row r="794" customFormat="false" ht="15" hidden="false" customHeight="false" outlineLevel="0" collapsed="false">
      <c r="A794" s="18" t="n">
        <v>793</v>
      </c>
      <c r="B794" s="18"/>
      <c r="C794" s="18"/>
      <c r="D794" s="18"/>
      <c r="E794" s="18" t="s">
        <v>1556</v>
      </c>
      <c r="F794" s="18" t="s">
        <v>1557</v>
      </c>
      <c r="G794" s="18" t="s">
        <v>74</v>
      </c>
      <c r="H794" s="18" t="n">
        <v>593</v>
      </c>
      <c r="I794" s="19" t="n">
        <v>0</v>
      </c>
      <c r="J794" s="19" t="n">
        <v>309.5</v>
      </c>
      <c r="K794" s="19" t="n">
        <v>309.5</v>
      </c>
      <c r="L794" s="19" t="n">
        <v>0</v>
      </c>
      <c r="M794" s="19" t="n">
        <f aca="false">ABS(L794)</f>
        <v>0</v>
      </c>
      <c r="N794" s="18" t="str">
        <f aca="false">IF(L794=0,"Nil balance",IF(G794="AR file",IF(L794&gt;0,"Accounts Receivable","Customer Advances"),IF(L794&lt;0,"Accounts Payable","Supplier Advances")))</f>
        <v>Nil balance</v>
      </c>
      <c r="O794" s="18" t="str">
        <f aca="false">IF(L794=0,"Excluded",IF(Summary!$C$4="By ledger",IF(G794="AR file","Population 1","Population 2"),IF(L794&gt;0,"Population 1","Population 2")))</f>
        <v>Excluded</v>
      </c>
      <c r="P794" s="18" t="str">
        <f aca="false">IF(O794="Excluded","Excluded – nil closing balance",IF(M794&gt;Summary!$C$5,"Above Materiality","Below Materiality"))</f>
        <v>Excluded – nil closing balance</v>
      </c>
      <c r="Q794" s="20" t="str">
        <f aca="false">IF(P794="Below Materiality",T794,"")</f>
        <v/>
      </c>
      <c r="R794" s="21" t="str">
        <f aca="false">IF(P794="Above Materiality",COUNTIFS($O$2:$O$1092,O794,$P$2:$P$1092,"Above Materiality",$M$2:$M$1092,"&gt;"&amp;M794)+COUNTIFS($O$2:$O$1092,O794,$P$2:$P$1092,"Above Materiality",$M$2:$M$1092,M794,$A$2:$A$1092,"&lt;"&amp;A794)+1,"")</f>
        <v/>
      </c>
      <c r="S794" s="21" t="str">
        <f aca="false">IF(P794&lt;&gt;"Below Materiality","",IF(Summary!$C$9="Random",COUNTIFS($O$2:$O$1092,O794,$Q$2:$Q$1092,"&gt;"&amp;Q794)+1,COUNTIFS($O$2:$O$1092,O794,$P$2:$P$1092,"Below Materiality",$M$2:$M$1092,"&gt;"&amp;M794)+COUNTIFS($O$2:$O$1092,O794,$P$2:$P$1092,"Below Materiality",$M$2:$M$1092,M794,$A$2:$A$1092,"&lt;"&amp;A794)+1))</f>
        <v/>
      </c>
      <c r="T794" s="22"/>
      <c r="U794" s="21" t="str">
        <f aca="false">IF(R794="","",O794&amp;"|A|"&amp;R794)</f>
        <v/>
      </c>
      <c r="V794" s="21" t="str">
        <f aca="false">IF(S794="","",O794&amp;"|R|"&amp;S794)</f>
        <v/>
      </c>
    </row>
    <row r="795" customFormat="false" ht="15" hidden="false" customHeight="false" outlineLevel="0" collapsed="false">
      <c r="A795" s="18" t="n">
        <v>794</v>
      </c>
      <c r="B795" s="18"/>
      <c r="C795" s="18"/>
      <c r="D795" s="18"/>
      <c r="E795" s="18" t="s">
        <v>1558</v>
      </c>
      <c r="F795" s="18" t="s">
        <v>1559</v>
      </c>
      <c r="G795" s="18" t="s">
        <v>74</v>
      </c>
      <c r="H795" s="18" t="n">
        <v>594</v>
      </c>
      <c r="I795" s="19" t="n">
        <v>0</v>
      </c>
      <c r="J795" s="19" t="n">
        <v>6900</v>
      </c>
      <c r="K795" s="19" t="n">
        <v>6900</v>
      </c>
      <c r="L795" s="19" t="n">
        <v>0</v>
      </c>
      <c r="M795" s="19" t="n">
        <f aca="false">ABS(L795)</f>
        <v>0</v>
      </c>
      <c r="N795" s="18" t="str">
        <f aca="false">IF(L795=0,"Nil balance",IF(G795="AR file",IF(L795&gt;0,"Accounts Receivable","Customer Advances"),IF(L795&lt;0,"Accounts Payable","Supplier Advances")))</f>
        <v>Nil balance</v>
      </c>
      <c r="O795" s="18" t="str">
        <f aca="false">IF(L795=0,"Excluded",IF(Summary!$C$4="By ledger",IF(G795="AR file","Population 1","Population 2"),IF(L795&gt;0,"Population 1","Population 2")))</f>
        <v>Excluded</v>
      </c>
      <c r="P795" s="18" t="str">
        <f aca="false">IF(O795="Excluded","Excluded – nil closing balance",IF(M795&gt;Summary!$C$5,"Above Materiality","Below Materiality"))</f>
        <v>Excluded – nil closing balance</v>
      </c>
      <c r="Q795" s="20" t="str">
        <f aca="false">IF(P795="Below Materiality",T795,"")</f>
        <v/>
      </c>
      <c r="R795" s="21" t="str">
        <f aca="false">IF(P795="Above Materiality",COUNTIFS($O$2:$O$1092,O795,$P$2:$P$1092,"Above Materiality",$M$2:$M$1092,"&gt;"&amp;M795)+COUNTIFS($O$2:$O$1092,O795,$P$2:$P$1092,"Above Materiality",$M$2:$M$1092,M795,$A$2:$A$1092,"&lt;"&amp;A795)+1,"")</f>
        <v/>
      </c>
      <c r="S795" s="21" t="str">
        <f aca="false">IF(P795&lt;&gt;"Below Materiality","",IF(Summary!$C$9="Random",COUNTIFS($O$2:$O$1092,O795,$Q$2:$Q$1092,"&gt;"&amp;Q795)+1,COUNTIFS($O$2:$O$1092,O795,$P$2:$P$1092,"Below Materiality",$M$2:$M$1092,"&gt;"&amp;M795)+COUNTIFS($O$2:$O$1092,O795,$P$2:$P$1092,"Below Materiality",$M$2:$M$1092,M795,$A$2:$A$1092,"&lt;"&amp;A795)+1))</f>
        <v/>
      </c>
      <c r="T795" s="22"/>
      <c r="U795" s="21" t="str">
        <f aca="false">IF(R795="","",O795&amp;"|A|"&amp;R795)</f>
        <v/>
      </c>
      <c r="V795" s="21" t="str">
        <f aca="false">IF(S795="","",O795&amp;"|R|"&amp;S795)</f>
        <v/>
      </c>
    </row>
    <row r="796" customFormat="false" ht="15" hidden="false" customHeight="false" outlineLevel="0" collapsed="false">
      <c r="A796" s="18" t="n">
        <v>795</v>
      </c>
      <c r="B796" s="18"/>
      <c r="C796" s="18"/>
      <c r="D796" s="18"/>
      <c r="E796" s="18" t="s">
        <v>1560</v>
      </c>
      <c r="F796" s="18" t="s">
        <v>1561</v>
      </c>
      <c r="G796" s="18" t="s">
        <v>74</v>
      </c>
      <c r="H796" s="18" t="n">
        <v>595</v>
      </c>
      <c r="I796" s="19" t="n">
        <v>0</v>
      </c>
      <c r="J796" s="19" t="n">
        <v>555</v>
      </c>
      <c r="K796" s="19" t="n">
        <v>555</v>
      </c>
      <c r="L796" s="19" t="n">
        <v>0</v>
      </c>
      <c r="M796" s="19" t="n">
        <f aca="false">ABS(L796)</f>
        <v>0</v>
      </c>
      <c r="N796" s="18" t="str">
        <f aca="false">IF(L796=0,"Nil balance",IF(G796="AR file",IF(L796&gt;0,"Accounts Receivable","Customer Advances"),IF(L796&lt;0,"Accounts Payable","Supplier Advances")))</f>
        <v>Nil balance</v>
      </c>
      <c r="O796" s="18" t="str">
        <f aca="false">IF(L796=0,"Excluded",IF(Summary!$C$4="By ledger",IF(G796="AR file","Population 1","Population 2"),IF(L796&gt;0,"Population 1","Population 2")))</f>
        <v>Excluded</v>
      </c>
      <c r="P796" s="18" t="str">
        <f aca="false">IF(O796="Excluded","Excluded – nil closing balance",IF(M796&gt;Summary!$C$5,"Above Materiality","Below Materiality"))</f>
        <v>Excluded – nil closing balance</v>
      </c>
      <c r="Q796" s="20" t="str">
        <f aca="false">IF(P796="Below Materiality",T796,"")</f>
        <v/>
      </c>
      <c r="R796" s="21" t="str">
        <f aca="false">IF(P796="Above Materiality",COUNTIFS($O$2:$O$1092,O796,$P$2:$P$1092,"Above Materiality",$M$2:$M$1092,"&gt;"&amp;M796)+COUNTIFS($O$2:$O$1092,O796,$P$2:$P$1092,"Above Materiality",$M$2:$M$1092,M796,$A$2:$A$1092,"&lt;"&amp;A796)+1,"")</f>
        <v/>
      </c>
      <c r="S796" s="21" t="str">
        <f aca="false">IF(P796&lt;&gt;"Below Materiality","",IF(Summary!$C$9="Random",COUNTIFS($O$2:$O$1092,O796,$Q$2:$Q$1092,"&gt;"&amp;Q796)+1,COUNTIFS($O$2:$O$1092,O796,$P$2:$P$1092,"Below Materiality",$M$2:$M$1092,"&gt;"&amp;M796)+COUNTIFS($O$2:$O$1092,O796,$P$2:$P$1092,"Below Materiality",$M$2:$M$1092,M796,$A$2:$A$1092,"&lt;"&amp;A796)+1))</f>
        <v/>
      </c>
      <c r="T796" s="22"/>
      <c r="U796" s="21" t="str">
        <f aca="false">IF(R796="","",O796&amp;"|A|"&amp;R796)</f>
        <v/>
      </c>
      <c r="V796" s="21" t="str">
        <f aca="false">IF(S796="","",O796&amp;"|R|"&amp;S796)</f>
        <v/>
      </c>
    </row>
    <row r="797" customFormat="false" ht="15" hidden="false" customHeight="false" outlineLevel="0" collapsed="false">
      <c r="A797" s="18" t="n">
        <v>796</v>
      </c>
      <c r="B797" s="18"/>
      <c r="C797" s="18"/>
      <c r="D797" s="18"/>
      <c r="E797" s="18" t="s">
        <v>1562</v>
      </c>
      <c r="F797" s="18" t="s">
        <v>1563</v>
      </c>
      <c r="G797" s="18" t="s">
        <v>74</v>
      </c>
      <c r="H797" s="18" t="n">
        <v>596</v>
      </c>
      <c r="I797" s="19" t="n">
        <v>0</v>
      </c>
      <c r="J797" s="19" t="n">
        <v>510</v>
      </c>
      <c r="K797" s="19" t="n">
        <v>510</v>
      </c>
      <c r="L797" s="19" t="n">
        <v>0</v>
      </c>
      <c r="M797" s="19" t="n">
        <f aca="false">ABS(L797)</f>
        <v>0</v>
      </c>
      <c r="N797" s="18" t="str">
        <f aca="false">IF(L797=0,"Nil balance",IF(G797="AR file",IF(L797&gt;0,"Accounts Receivable","Customer Advances"),IF(L797&lt;0,"Accounts Payable","Supplier Advances")))</f>
        <v>Nil balance</v>
      </c>
      <c r="O797" s="18" t="str">
        <f aca="false">IF(L797=0,"Excluded",IF(Summary!$C$4="By ledger",IF(G797="AR file","Population 1","Population 2"),IF(L797&gt;0,"Population 1","Population 2")))</f>
        <v>Excluded</v>
      </c>
      <c r="P797" s="18" t="str">
        <f aca="false">IF(O797="Excluded","Excluded – nil closing balance",IF(M797&gt;Summary!$C$5,"Above Materiality","Below Materiality"))</f>
        <v>Excluded – nil closing balance</v>
      </c>
      <c r="Q797" s="20" t="str">
        <f aca="false">IF(P797="Below Materiality",T797,"")</f>
        <v/>
      </c>
      <c r="R797" s="21" t="str">
        <f aca="false">IF(P797="Above Materiality",COUNTIFS($O$2:$O$1092,O797,$P$2:$P$1092,"Above Materiality",$M$2:$M$1092,"&gt;"&amp;M797)+COUNTIFS($O$2:$O$1092,O797,$P$2:$P$1092,"Above Materiality",$M$2:$M$1092,M797,$A$2:$A$1092,"&lt;"&amp;A797)+1,"")</f>
        <v/>
      </c>
      <c r="S797" s="21" t="str">
        <f aca="false">IF(P797&lt;&gt;"Below Materiality","",IF(Summary!$C$9="Random",COUNTIFS($O$2:$O$1092,O797,$Q$2:$Q$1092,"&gt;"&amp;Q797)+1,COUNTIFS($O$2:$O$1092,O797,$P$2:$P$1092,"Below Materiality",$M$2:$M$1092,"&gt;"&amp;M797)+COUNTIFS($O$2:$O$1092,O797,$P$2:$P$1092,"Below Materiality",$M$2:$M$1092,M797,$A$2:$A$1092,"&lt;"&amp;A797)+1))</f>
        <v/>
      </c>
      <c r="T797" s="22"/>
      <c r="U797" s="21" t="str">
        <f aca="false">IF(R797="","",O797&amp;"|A|"&amp;R797)</f>
        <v/>
      </c>
      <c r="V797" s="21" t="str">
        <f aca="false">IF(S797="","",O797&amp;"|R|"&amp;S797)</f>
        <v/>
      </c>
    </row>
    <row r="798" customFormat="false" ht="15" hidden="false" customHeight="false" outlineLevel="0" collapsed="false">
      <c r="A798" s="18" t="n">
        <v>797</v>
      </c>
      <c r="B798" s="18"/>
      <c r="C798" s="18"/>
      <c r="D798" s="18"/>
      <c r="E798" s="18" t="s">
        <v>1564</v>
      </c>
      <c r="F798" s="18" t="s">
        <v>425</v>
      </c>
      <c r="G798" s="18" t="s">
        <v>74</v>
      </c>
      <c r="H798" s="18" t="n">
        <v>597</v>
      </c>
      <c r="I798" s="19" t="n">
        <v>0</v>
      </c>
      <c r="J798" s="19" t="n">
        <v>34.5</v>
      </c>
      <c r="K798" s="19" t="n">
        <v>34.5</v>
      </c>
      <c r="L798" s="19" t="n">
        <v>0</v>
      </c>
      <c r="M798" s="19" t="n">
        <f aca="false">ABS(L798)</f>
        <v>0</v>
      </c>
      <c r="N798" s="18" t="str">
        <f aca="false">IF(L798=0,"Nil balance",IF(G798="AR file",IF(L798&gt;0,"Accounts Receivable","Customer Advances"),IF(L798&lt;0,"Accounts Payable","Supplier Advances")))</f>
        <v>Nil balance</v>
      </c>
      <c r="O798" s="18" t="str">
        <f aca="false">IF(L798=0,"Excluded",IF(Summary!$C$4="By ledger",IF(G798="AR file","Population 1","Population 2"),IF(L798&gt;0,"Population 1","Population 2")))</f>
        <v>Excluded</v>
      </c>
      <c r="P798" s="18" t="str">
        <f aca="false">IF(O798="Excluded","Excluded – nil closing balance",IF(M798&gt;Summary!$C$5,"Above Materiality","Below Materiality"))</f>
        <v>Excluded – nil closing balance</v>
      </c>
      <c r="Q798" s="20" t="str">
        <f aca="false">IF(P798="Below Materiality",T798,"")</f>
        <v/>
      </c>
      <c r="R798" s="21" t="str">
        <f aca="false">IF(P798="Above Materiality",COUNTIFS($O$2:$O$1092,O798,$P$2:$P$1092,"Above Materiality",$M$2:$M$1092,"&gt;"&amp;M798)+COUNTIFS($O$2:$O$1092,O798,$P$2:$P$1092,"Above Materiality",$M$2:$M$1092,M798,$A$2:$A$1092,"&lt;"&amp;A798)+1,"")</f>
        <v/>
      </c>
      <c r="S798" s="21" t="str">
        <f aca="false">IF(P798&lt;&gt;"Below Materiality","",IF(Summary!$C$9="Random",COUNTIFS($O$2:$O$1092,O798,$Q$2:$Q$1092,"&gt;"&amp;Q798)+1,COUNTIFS($O$2:$O$1092,O798,$P$2:$P$1092,"Below Materiality",$M$2:$M$1092,"&gt;"&amp;M798)+COUNTIFS($O$2:$O$1092,O798,$P$2:$P$1092,"Below Materiality",$M$2:$M$1092,M798,$A$2:$A$1092,"&lt;"&amp;A798)+1))</f>
        <v/>
      </c>
      <c r="T798" s="22"/>
      <c r="U798" s="21" t="str">
        <f aca="false">IF(R798="","",O798&amp;"|A|"&amp;R798)</f>
        <v/>
      </c>
      <c r="V798" s="21" t="str">
        <f aca="false">IF(S798="","",O798&amp;"|R|"&amp;S798)</f>
        <v/>
      </c>
    </row>
    <row r="799" customFormat="false" ht="15" hidden="false" customHeight="false" outlineLevel="0" collapsed="false">
      <c r="A799" s="18" t="n">
        <v>798</v>
      </c>
      <c r="B799" s="18"/>
      <c r="C799" s="18"/>
      <c r="D799" s="18"/>
      <c r="E799" s="18" t="s">
        <v>1565</v>
      </c>
      <c r="F799" s="18" t="s">
        <v>1566</v>
      </c>
      <c r="G799" s="18" t="s">
        <v>74</v>
      </c>
      <c r="H799" s="18" t="n">
        <v>598</v>
      </c>
      <c r="I799" s="19" t="n">
        <v>0</v>
      </c>
      <c r="J799" s="19" t="n">
        <v>461</v>
      </c>
      <c r="K799" s="19" t="n">
        <v>461</v>
      </c>
      <c r="L799" s="19" t="n">
        <v>0</v>
      </c>
      <c r="M799" s="19" t="n">
        <f aca="false">ABS(L799)</f>
        <v>0</v>
      </c>
      <c r="N799" s="18" t="str">
        <f aca="false">IF(L799=0,"Nil balance",IF(G799="AR file",IF(L799&gt;0,"Accounts Receivable","Customer Advances"),IF(L799&lt;0,"Accounts Payable","Supplier Advances")))</f>
        <v>Nil balance</v>
      </c>
      <c r="O799" s="18" t="str">
        <f aca="false">IF(L799=0,"Excluded",IF(Summary!$C$4="By ledger",IF(G799="AR file","Population 1","Population 2"),IF(L799&gt;0,"Population 1","Population 2")))</f>
        <v>Excluded</v>
      </c>
      <c r="P799" s="18" t="str">
        <f aca="false">IF(O799="Excluded","Excluded – nil closing balance",IF(M799&gt;Summary!$C$5,"Above Materiality","Below Materiality"))</f>
        <v>Excluded – nil closing balance</v>
      </c>
      <c r="Q799" s="20" t="str">
        <f aca="false">IF(P799="Below Materiality",T799,"")</f>
        <v/>
      </c>
      <c r="R799" s="21" t="str">
        <f aca="false">IF(P799="Above Materiality",COUNTIFS($O$2:$O$1092,O799,$P$2:$P$1092,"Above Materiality",$M$2:$M$1092,"&gt;"&amp;M799)+COUNTIFS($O$2:$O$1092,O799,$P$2:$P$1092,"Above Materiality",$M$2:$M$1092,M799,$A$2:$A$1092,"&lt;"&amp;A799)+1,"")</f>
        <v/>
      </c>
      <c r="S799" s="21" t="str">
        <f aca="false">IF(P799&lt;&gt;"Below Materiality","",IF(Summary!$C$9="Random",COUNTIFS($O$2:$O$1092,O799,$Q$2:$Q$1092,"&gt;"&amp;Q799)+1,COUNTIFS($O$2:$O$1092,O799,$P$2:$P$1092,"Below Materiality",$M$2:$M$1092,"&gt;"&amp;M799)+COUNTIFS($O$2:$O$1092,O799,$P$2:$P$1092,"Below Materiality",$M$2:$M$1092,M799,$A$2:$A$1092,"&lt;"&amp;A799)+1))</f>
        <v/>
      </c>
      <c r="T799" s="22"/>
      <c r="U799" s="21" t="str">
        <f aca="false">IF(R799="","",O799&amp;"|A|"&amp;R799)</f>
        <v/>
      </c>
      <c r="V799" s="21" t="str">
        <f aca="false">IF(S799="","",O799&amp;"|R|"&amp;S799)</f>
        <v/>
      </c>
    </row>
    <row r="800" customFormat="false" ht="15" hidden="false" customHeight="false" outlineLevel="0" collapsed="false">
      <c r="A800" s="18" t="n">
        <v>799</v>
      </c>
      <c r="B800" s="18"/>
      <c r="C800" s="18"/>
      <c r="D800" s="18"/>
      <c r="E800" s="18" t="s">
        <v>1567</v>
      </c>
      <c r="F800" s="18" t="s">
        <v>1568</v>
      </c>
      <c r="G800" s="18" t="s">
        <v>74</v>
      </c>
      <c r="H800" s="18" t="n">
        <v>599</v>
      </c>
      <c r="I800" s="19" t="n">
        <v>0</v>
      </c>
      <c r="J800" s="19" t="n">
        <v>7299.05</v>
      </c>
      <c r="K800" s="19" t="n">
        <v>7299.05</v>
      </c>
      <c r="L800" s="19" t="n">
        <v>0</v>
      </c>
      <c r="M800" s="19" t="n">
        <f aca="false">ABS(L800)</f>
        <v>0</v>
      </c>
      <c r="N800" s="18" t="str">
        <f aca="false">IF(L800=0,"Nil balance",IF(G800="AR file",IF(L800&gt;0,"Accounts Receivable","Customer Advances"),IF(L800&lt;0,"Accounts Payable","Supplier Advances")))</f>
        <v>Nil balance</v>
      </c>
      <c r="O800" s="18" t="str">
        <f aca="false">IF(L800=0,"Excluded",IF(Summary!$C$4="By ledger",IF(G800="AR file","Population 1","Population 2"),IF(L800&gt;0,"Population 1","Population 2")))</f>
        <v>Excluded</v>
      </c>
      <c r="P800" s="18" t="str">
        <f aca="false">IF(O800="Excluded","Excluded – nil closing balance",IF(M800&gt;Summary!$C$5,"Above Materiality","Below Materiality"))</f>
        <v>Excluded – nil closing balance</v>
      </c>
      <c r="Q800" s="20" t="str">
        <f aca="false">IF(P800="Below Materiality",T800,"")</f>
        <v/>
      </c>
      <c r="R800" s="21" t="str">
        <f aca="false">IF(P800="Above Materiality",COUNTIFS($O$2:$O$1092,O800,$P$2:$P$1092,"Above Materiality",$M$2:$M$1092,"&gt;"&amp;M800)+COUNTIFS($O$2:$O$1092,O800,$P$2:$P$1092,"Above Materiality",$M$2:$M$1092,M800,$A$2:$A$1092,"&lt;"&amp;A800)+1,"")</f>
        <v/>
      </c>
      <c r="S800" s="21" t="str">
        <f aca="false">IF(P800&lt;&gt;"Below Materiality","",IF(Summary!$C$9="Random",COUNTIFS($O$2:$O$1092,O800,$Q$2:$Q$1092,"&gt;"&amp;Q800)+1,COUNTIFS($O$2:$O$1092,O800,$P$2:$P$1092,"Below Materiality",$M$2:$M$1092,"&gt;"&amp;M800)+COUNTIFS($O$2:$O$1092,O800,$P$2:$P$1092,"Below Materiality",$M$2:$M$1092,M800,$A$2:$A$1092,"&lt;"&amp;A800)+1))</f>
        <v/>
      </c>
      <c r="T800" s="22"/>
      <c r="U800" s="21" t="str">
        <f aca="false">IF(R800="","",O800&amp;"|A|"&amp;R800)</f>
        <v/>
      </c>
      <c r="V800" s="21" t="str">
        <f aca="false">IF(S800="","",O800&amp;"|R|"&amp;S800)</f>
        <v/>
      </c>
    </row>
    <row r="801" customFormat="false" ht="15" hidden="false" customHeight="false" outlineLevel="0" collapsed="false">
      <c r="A801" s="18" t="n">
        <v>800</v>
      </c>
      <c r="B801" s="18"/>
      <c r="C801" s="18"/>
      <c r="D801" s="18"/>
      <c r="E801" s="18" t="s">
        <v>1569</v>
      </c>
      <c r="F801" s="18" t="s">
        <v>1346</v>
      </c>
      <c r="G801" s="18" t="s">
        <v>74</v>
      </c>
      <c r="H801" s="18" t="n">
        <v>600</v>
      </c>
      <c r="I801" s="19" t="n">
        <v>0</v>
      </c>
      <c r="J801" s="19" t="n">
        <v>350</v>
      </c>
      <c r="K801" s="19" t="n">
        <v>350</v>
      </c>
      <c r="L801" s="19" t="n">
        <v>0</v>
      </c>
      <c r="M801" s="19" t="n">
        <f aca="false">ABS(L801)</f>
        <v>0</v>
      </c>
      <c r="N801" s="18" t="str">
        <f aca="false">IF(L801=0,"Nil balance",IF(G801="AR file",IF(L801&gt;0,"Accounts Receivable","Customer Advances"),IF(L801&lt;0,"Accounts Payable","Supplier Advances")))</f>
        <v>Nil balance</v>
      </c>
      <c r="O801" s="18" t="str">
        <f aca="false">IF(L801=0,"Excluded",IF(Summary!$C$4="By ledger",IF(G801="AR file","Population 1","Population 2"),IF(L801&gt;0,"Population 1","Population 2")))</f>
        <v>Excluded</v>
      </c>
      <c r="P801" s="18" t="str">
        <f aca="false">IF(O801="Excluded","Excluded – nil closing balance",IF(M801&gt;Summary!$C$5,"Above Materiality","Below Materiality"))</f>
        <v>Excluded – nil closing balance</v>
      </c>
      <c r="Q801" s="20" t="str">
        <f aca="false">IF(P801="Below Materiality",T801,"")</f>
        <v/>
      </c>
      <c r="R801" s="21" t="str">
        <f aca="false">IF(P801="Above Materiality",COUNTIFS($O$2:$O$1092,O801,$P$2:$P$1092,"Above Materiality",$M$2:$M$1092,"&gt;"&amp;M801)+COUNTIFS($O$2:$O$1092,O801,$P$2:$P$1092,"Above Materiality",$M$2:$M$1092,M801,$A$2:$A$1092,"&lt;"&amp;A801)+1,"")</f>
        <v/>
      </c>
      <c r="S801" s="21" t="str">
        <f aca="false">IF(P801&lt;&gt;"Below Materiality","",IF(Summary!$C$9="Random",COUNTIFS($O$2:$O$1092,O801,$Q$2:$Q$1092,"&gt;"&amp;Q801)+1,COUNTIFS($O$2:$O$1092,O801,$P$2:$P$1092,"Below Materiality",$M$2:$M$1092,"&gt;"&amp;M801)+COUNTIFS($O$2:$O$1092,O801,$P$2:$P$1092,"Below Materiality",$M$2:$M$1092,M801,$A$2:$A$1092,"&lt;"&amp;A801)+1))</f>
        <v/>
      </c>
      <c r="T801" s="22"/>
      <c r="U801" s="21" t="str">
        <f aca="false">IF(R801="","",O801&amp;"|A|"&amp;R801)</f>
        <v/>
      </c>
      <c r="V801" s="21" t="str">
        <f aca="false">IF(S801="","",O801&amp;"|R|"&amp;S801)</f>
        <v/>
      </c>
    </row>
    <row r="802" customFormat="false" ht="15" hidden="false" customHeight="false" outlineLevel="0" collapsed="false">
      <c r="A802" s="18" t="n">
        <v>801</v>
      </c>
      <c r="B802" s="18"/>
      <c r="C802" s="18"/>
      <c r="D802" s="18"/>
      <c r="E802" s="18" t="s">
        <v>1570</v>
      </c>
      <c r="F802" s="18" t="s">
        <v>1571</v>
      </c>
      <c r="G802" s="18" t="s">
        <v>74</v>
      </c>
      <c r="H802" s="18" t="n">
        <v>601</v>
      </c>
      <c r="I802" s="19" t="n">
        <v>0</v>
      </c>
      <c r="J802" s="19" t="n">
        <v>280.05</v>
      </c>
      <c r="K802" s="19" t="n">
        <v>280.05</v>
      </c>
      <c r="L802" s="19" t="n">
        <v>0</v>
      </c>
      <c r="M802" s="19" t="n">
        <f aca="false">ABS(L802)</f>
        <v>0</v>
      </c>
      <c r="N802" s="18" t="str">
        <f aca="false">IF(L802=0,"Nil balance",IF(G802="AR file",IF(L802&gt;0,"Accounts Receivable","Customer Advances"),IF(L802&lt;0,"Accounts Payable","Supplier Advances")))</f>
        <v>Nil balance</v>
      </c>
      <c r="O802" s="18" t="str">
        <f aca="false">IF(L802=0,"Excluded",IF(Summary!$C$4="By ledger",IF(G802="AR file","Population 1","Population 2"),IF(L802&gt;0,"Population 1","Population 2")))</f>
        <v>Excluded</v>
      </c>
      <c r="P802" s="18" t="str">
        <f aca="false">IF(O802="Excluded","Excluded – nil closing balance",IF(M802&gt;Summary!$C$5,"Above Materiality","Below Materiality"))</f>
        <v>Excluded – nil closing balance</v>
      </c>
      <c r="Q802" s="20" t="str">
        <f aca="false">IF(P802="Below Materiality",T802,"")</f>
        <v/>
      </c>
      <c r="R802" s="21" t="str">
        <f aca="false">IF(P802="Above Materiality",COUNTIFS($O$2:$O$1092,O802,$P$2:$P$1092,"Above Materiality",$M$2:$M$1092,"&gt;"&amp;M802)+COUNTIFS($O$2:$O$1092,O802,$P$2:$P$1092,"Above Materiality",$M$2:$M$1092,M802,$A$2:$A$1092,"&lt;"&amp;A802)+1,"")</f>
        <v/>
      </c>
      <c r="S802" s="21" t="str">
        <f aca="false">IF(P802&lt;&gt;"Below Materiality","",IF(Summary!$C$9="Random",COUNTIFS($O$2:$O$1092,O802,$Q$2:$Q$1092,"&gt;"&amp;Q802)+1,COUNTIFS($O$2:$O$1092,O802,$P$2:$P$1092,"Below Materiality",$M$2:$M$1092,"&gt;"&amp;M802)+COUNTIFS($O$2:$O$1092,O802,$P$2:$P$1092,"Below Materiality",$M$2:$M$1092,M802,$A$2:$A$1092,"&lt;"&amp;A802)+1))</f>
        <v/>
      </c>
      <c r="T802" s="22"/>
      <c r="U802" s="21" t="str">
        <f aca="false">IF(R802="","",O802&amp;"|A|"&amp;R802)</f>
        <v/>
      </c>
      <c r="V802" s="21" t="str">
        <f aca="false">IF(S802="","",O802&amp;"|R|"&amp;S802)</f>
        <v/>
      </c>
    </row>
    <row r="803" customFormat="false" ht="15" hidden="false" customHeight="false" outlineLevel="0" collapsed="false">
      <c r="A803" s="18" t="n">
        <v>802</v>
      </c>
      <c r="B803" s="18"/>
      <c r="C803" s="18"/>
      <c r="D803" s="18"/>
      <c r="E803" s="18" t="s">
        <v>1572</v>
      </c>
      <c r="F803" s="18" t="s">
        <v>1103</v>
      </c>
      <c r="G803" s="18" t="s">
        <v>74</v>
      </c>
      <c r="H803" s="18" t="n">
        <v>602</v>
      </c>
      <c r="I803" s="19" t="n">
        <v>0</v>
      </c>
      <c r="J803" s="19" t="n">
        <v>207</v>
      </c>
      <c r="K803" s="19" t="n">
        <v>207</v>
      </c>
      <c r="L803" s="19" t="n">
        <v>0</v>
      </c>
      <c r="M803" s="19" t="n">
        <f aca="false">ABS(L803)</f>
        <v>0</v>
      </c>
      <c r="N803" s="18" t="str">
        <f aca="false">IF(L803=0,"Nil balance",IF(G803="AR file",IF(L803&gt;0,"Accounts Receivable","Customer Advances"),IF(L803&lt;0,"Accounts Payable","Supplier Advances")))</f>
        <v>Nil balance</v>
      </c>
      <c r="O803" s="18" t="str">
        <f aca="false">IF(L803=0,"Excluded",IF(Summary!$C$4="By ledger",IF(G803="AR file","Population 1","Population 2"),IF(L803&gt;0,"Population 1","Population 2")))</f>
        <v>Excluded</v>
      </c>
      <c r="P803" s="18" t="str">
        <f aca="false">IF(O803="Excluded","Excluded – nil closing balance",IF(M803&gt;Summary!$C$5,"Above Materiality","Below Materiality"))</f>
        <v>Excluded – nil closing balance</v>
      </c>
      <c r="Q803" s="20" t="str">
        <f aca="false">IF(P803="Below Materiality",T803,"")</f>
        <v/>
      </c>
      <c r="R803" s="21" t="str">
        <f aca="false">IF(P803="Above Materiality",COUNTIFS($O$2:$O$1092,O803,$P$2:$P$1092,"Above Materiality",$M$2:$M$1092,"&gt;"&amp;M803)+COUNTIFS($O$2:$O$1092,O803,$P$2:$P$1092,"Above Materiality",$M$2:$M$1092,M803,$A$2:$A$1092,"&lt;"&amp;A803)+1,"")</f>
        <v/>
      </c>
      <c r="S803" s="21" t="str">
        <f aca="false">IF(P803&lt;&gt;"Below Materiality","",IF(Summary!$C$9="Random",COUNTIFS($O$2:$O$1092,O803,$Q$2:$Q$1092,"&gt;"&amp;Q803)+1,COUNTIFS($O$2:$O$1092,O803,$P$2:$P$1092,"Below Materiality",$M$2:$M$1092,"&gt;"&amp;M803)+COUNTIFS($O$2:$O$1092,O803,$P$2:$P$1092,"Below Materiality",$M$2:$M$1092,M803,$A$2:$A$1092,"&lt;"&amp;A803)+1))</f>
        <v/>
      </c>
      <c r="T803" s="22"/>
      <c r="U803" s="21" t="str">
        <f aca="false">IF(R803="","",O803&amp;"|A|"&amp;R803)</f>
        <v/>
      </c>
      <c r="V803" s="21" t="str">
        <f aca="false">IF(S803="","",O803&amp;"|R|"&amp;S803)</f>
        <v/>
      </c>
    </row>
    <row r="804" customFormat="false" ht="15" hidden="false" customHeight="false" outlineLevel="0" collapsed="false">
      <c r="A804" s="18" t="n">
        <v>803</v>
      </c>
      <c r="B804" s="18"/>
      <c r="C804" s="18"/>
      <c r="D804" s="18"/>
      <c r="E804" s="18" t="s">
        <v>1573</v>
      </c>
      <c r="F804" s="18" t="s">
        <v>1574</v>
      </c>
      <c r="G804" s="18" t="s">
        <v>74</v>
      </c>
      <c r="H804" s="18" t="n">
        <v>603</v>
      </c>
      <c r="I804" s="19" t="n">
        <v>0</v>
      </c>
      <c r="J804" s="19" t="n">
        <v>1748</v>
      </c>
      <c r="K804" s="19" t="n">
        <v>1748</v>
      </c>
      <c r="L804" s="19" t="n">
        <v>0</v>
      </c>
      <c r="M804" s="19" t="n">
        <f aca="false">ABS(L804)</f>
        <v>0</v>
      </c>
      <c r="N804" s="18" t="str">
        <f aca="false">IF(L804=0,"Nil balance",IF(G804="AR file",IF(L804&gt;0,"Accounts Receivable","Customer Advances"),IF(L804&lt;0,"Accounts Payable","Supplier Advances")))</f>
        <v>Nil balance</v>
      </c>
      <c r="O804" s="18" t="str">
        <f aca="false">IF(L804=0,"Excluded",IF(Summary!$C$4="By ledger",IF(G804="AR file","Population 1","Population 2"),IF(L804&gt;0,"Population 1","Population 2")))</f>
        <v>Excluded</v>
      </c>
      <c r="P804" s="18" t="str">
        <f aca="false">IF(O804="Excluded","Excluded – nil closing balance",IF(M804&gt;Summary!$C$5,"Above Materiality","Below Materiality"))</f>
        <v>Excluded – nil closing balance</v>
      </c>
      <c r="Q804" s="20" t="str">
        <f aca="false">IF(P804="Below Materiality",T804,"")</f>
        <v/>
      </c>
      <c r="R804" s="21" t="str">
        <f aca="false">IF(P804="Above Materiality",COUNTIFS($O$2:$O$1092,O804,$P$2:$P$1092,"Above Materiality",$M$2:$M$1092,"&gt;"&amp;M804)+COUNTIFS($O$2:$O$1092,O804,$P$2:$P$1092,"Above Materiality",$M$2:$M$1092,M804,$A$2:$A$1092,"&lt;"&amp;A804)+1,"")</f>
        <v/>
      </c>
      <c r="S804" s="21" t="str">
        <f aca="false">IF(P804&lt;&gt;"Below Materiality","",IF(Summary!$C$9="Random",COUNTIFS($O$2:$O$1092,O804,$Q$2:$Q$1092,"&gt;"&amp;Q804)+1,COUNTIFS($O$2:$O$1092,O804,$P$2:$P$1092,"Below Materiality",$M$2:$M$1092,"&gt;"&amp;M804)+COUNTIFS($O$2:$O$1092,O804,$P$2:$P$1092,"Below Materiality",$M$2:$M$1092,M804,$A$2:$A$1092,"&lt;"&amp;A804)+1))</f>
        <v/>
      </c>
      <c r="T804" s="22"/>
      <c r="U804" s="21" t="str">
        <f aca="false">IF(R804="","",O804&amp;"|A|"&amp;R804)</f>
        <v/>
      </c>
      <c r="V804" s="21" t="str">
        <f aca="false">IF(S804="","",O804&amp;"|R|"&amp;S804)</f>
        <v/>
      </c>
    </row>
    <row r="805" customFormat="false" ht="15" hidden="false" customHeight="false" outlineLevel="0" collapsed="false">
      <c r="A805" s="18" t="n">
        <v>804</v>
      </c>
      <c r="B805" s="18"/>
      <c r="C805" s="18"/>
      <c r="D805" s="18"/>
      <c r="E805" s="18" t="s">
        <v>1575</v>
      </c>
      <c r="F805" s="18" t="s">
        <v>634</v>
      </c>
      <c r="G805" s="18" t="s">
        <v>74</v>
      </c>
      <c r="H805" s="18" t="n">
        <v>604</v>
      </c>
      <c r="I805" s="19" t="n">
        <v>0</v>
      </c>
      <c r="J805" s="19" t="n">
        <v>92</v>
      </c>
      <c r="K805" s="19" t="n">
        <v>92</v>
      </c>
      <c r="L805" s="19" t="n">
        <v>0</v>
      </c>
      <c r="M805" s="19" t="n">
        <f aca="false">ABS(L805)</f>
        <v>0</v>
      </c>
      <c r="N805" s="18" t="str">
        <f aca="false">IF(L805=0,"Nil balance",IF(G805="AR file",IF(L805&gt;0,"Accounts Receivable","Customer Advances"),IF(L805&lt;0,"Accounts Payable","Supplier Advances")))</f>
        <v>Nil balance</v>
      </c>
      <c r="O805" s="18" t="str">
        <f aca="false">IF(L805=0,"Excluded",IF(Summary!$C$4="By ledger",IF(G805="AR file","Population 1","Population 2"),IF(L805&gt;0,"Population 1","Population 2")))</f>
        <v>Excluded</v>
      </c>
      <c r="P805" s="18" t="str">
        <f aca="false">IF(O805="Excluded","Excluded – nil closing balance",IF(M805&gt;Summary!$C$5,"Above Materiality","Below Materiality"))</f>
        <v>Excluded – nil closing balance</v>
      </c>
      <c r="Q805" s="20" t="str">
        <f aca="false">IF(P805="Below Materiality",T805,"")</f>
        <v/>
      </c>
      <c r="R805" s="21" t="str">
        <f aca="false">IF(P805="Above Materiality",COUNTIFS($O$2:$O$1092,O805,$P$2:$P$1092,"Above Materiality",$M$2:$M$1092,"&gt;"&amp;M805)+COUNTIFS($O$2:$O$1092,O805,$P$2:$P$1092,"Above Materiality",$M$2:$M$1092,M805,$A$2:$A$1092,"&lt;"&amp;A805)+1,"")</f>
        <v/>
      </c>
      <c r="S805" s="21" t="str">
        <f aca="false">IF(P805&lt;&gt;"Below Materiality","",IF(Summary!$C$9="Random",COUNTIFS($O$2:$O$1092,O805,$Q$2:$Q$1092,"&gt;"&amp;Q805)+1,COUNTIFS($O$2:$O$1092,O805,$P$2:$P$1092,"Below Materiality",$M$2:$M$1092,"&gt;"&amp;M805)+COUNTIFS($O$2:$O$1092,O805,$P$2:$P$1092,"Below Materiality",$M$2:$M$1092,M805,$A$2:$A$1092,"&lt;"&amp;A805)+1))</f>
        <v/>
      </c>
      <c r="T805" s="22"/>
      <c r="U805" s="21" t="str">
        <f aca="false">IF(R805="","",O805&amp;"|A|"&amp;R805)</f>
        <v/>
      </c>
      <c r="V805" s="21" t="str">
        <f aca="false">IF(S805="","",O805&amp;"|R|"&amp;S805)</f>
        <v/>
      </c>
    </row>
    <row r="806" customFormat="false" ht="15" hidden="false" customHeight="false" outlineLevel="0" collapsed="false">
      <c r="A806" s="18" t="n">
        <v>805</v>
      </c>
      <c r="B806" s="18"/>
      <c r="C806" s="18"/>
      <c r="D806" s="18"/>
      <c r="E806" s="18" t="s">
        <v>1576</v>
      </c>
      <c r="F806" s="18" t="s">
        <v>1577</v>
      </c>
      <c r="G806" s="18" t="s">
        <v>74</v>
      </c>
      <c r="H806" s="18" t="n">
        <v>605</v>
      </c>
      <c r="I806" s="19" t="n">
        <v>0</v>
      </c>
      <c r="J806" s="19" t="n">
        <v>180</v>
      </c>
      <c r="K806" s="19" t="n">
        <v>180</v>
      </c>
      <c r="L806" s="19" t="n">
        <v>0</v>
      </c>
      <c r="M806" s="19" t="n">
        <f aca="false">ABS(L806)</f>
        <v>0</v>
      </c>
      <c r="N806" s="18" t="str">
        <f aca="false">IF(L806=0,"Nil balance",IF(G806="AR file",IF(L806&gt;0,"Accounts Receivable","Customer Advances"),IF(L806&lt;0,"Accounts Payable","Supplier Advances")))</f>
        <v>Nil balance</v>
      </c>
      <c r="O806" s="18" t="str">
        <f aca="false">IF(L806=0,"Excluded",IF(Summary!$C$4="By ledger",IF(G806="AR file","Population 1","Population 2"),IF(L806&gt;0,"Population 1","Population 2")))</f>
        <v>Excluded</v>
      </c>
      <c r="P806" s="18" t="str">
        <f aca="false">IF(O806="Excluded","Excluded – nil closing balance",IF(M806&gt;Summary!$C$5,"Above Materiality","Below Materiality"))</f>
        <v>Excluded – nil closing balance</v>
      </c>
      <c r="Q806" s="20" t="str">
        <f aca="false">IF(P806="Below Materiality",T806,"")</f>
        <v/>
      </c>
      <c r="R806" s="21" t="str">
        <f aca="false">IF(P806="Above Materiality",COUNTIFS($O$2:$O$1092,O806,$P$2:$P$1092,"Above Materiality",$M$2:$M$1092,"&gt;"&amp;M806)+COUNTIFS($O$2:$O$1092,O806,$P$2:$P$1092,"Above Materiality",$M$2:$M$1092,M806,$A$2:$A$1092,"&lt;"&amp;A806)+1,"")</f>
        <v/>
      </c>
      <c r="S806" s="21" t="str">
        <f aca="false">IF(P806&lt;&gt;"Below Materiality","",IF(Summary!$C$9="Random",COUNTIFS($O$2:$O$1092,O806,$Q$2:$Q$1092,"&gt;"&amp;Q806)+1,COUNTIFS($O$2:$O$1092,O806,$P$2:$P$1092,"Below Materiality",$M$2:$M$1092,"&gt;"&amp;M806)+COUNTIFS($O$2:$O$1092,O806,$P$2:$P$1092,"Below Materiality",$M$2:$M$1092,M806,$A$2:$A$1092,"&lt;"&amp;A806)+1))</f>
        <v/>
      </c>
      <c r="T806" s="22"/>
      <c r="U806" s="21" t="str">
        <f aca="false">IF(R806="","",O806&amp;"|A|"&amp;R806)</f>
        <v/>
      </c>
      <c r="V806" s="21" t="str">
        <f aca="false">IF(S806="","",O806&amp;"|R|"&amp;S806)</f>
        <v/>
      </c>
    </row>
    <row r="807" customFormat="false" ht="15" hidden="false" customHeight="false" outlineLevel="0" collapsed="false">
      <c r="A807" s="18" t="n">
        <v>806</v>
      </c>
      <c r="B807" s="18"/>
      <c r="C807" s="18"/>
      <c r="D807" s="18"/>
      <c r="E807" s="18" t="s">
        <v>1578</v>
      </c>
      <c r="F807" s="18" t="s">
        <v>1047</v>
      </c>
      <c r="G807" s="18" t="s">
        <v>74</v>
      </c>
      <c r="H807" s="18" t="n">
        <v>606</v>
      </c>
      <c r="I807" s="19" t="n">
        <v>0</v>
      </c>
      <c r="J807" s="19" t="n">
        <v>57.5</v>
      </c>
      <c r="K807" s="19" t="n">
        <v>57.5</v>
      </c>
      <c r="L807" s="19" t="n">
        <v>0</v>
      </c>
      <c r="M807" s="19" t="n">
        <f aca="false">ABS(L807)</f>
        <v>0</v>
      </c>
      <c r="N807" s="18" t="str">
        <f aca="false">IF(L807=0,"Nil balance",IF(G807="AR file",IF(L807&gt;0,"Accounts Receivable","Customer Advances"),IF(L807&lt;0,"Accounts Payable","Supplier Advances")))</f>
        <v>Nil balance</v>
      </c>
      <c r="O807" s="18" t="str">
        <f aca="false">IF(L807=0,"Excluded",IF(Summary!$C$4="By ledger",IF(G807="AR file","Population 1","Population 2"),IF(L807&gt;0,"Population 1","Population 2")))</f>
        <v>Excluded</v>
      </c>
      <c r="P807" s="18" t="str">
        <f aca="false">IF(O807="Excluded","Excluded – nil closing balance",IF(M807&gt;Summary!$C$5,"Above Materiality","Below Materiality"))</f>
        <v>Excluded – nil closing balance</v>
      </c>
      <c r="Q807" s="20" t="str">
        <f aca="false">IF(P807="Below Materiality",T807,"")</f>
        <v/>
      </c>
      <c r="R807" s="21" t="str">
        <f aca="false">IF(P807="Above Materiality",COUNTIFS($O$2:$O$1092,O807,$P$2:$P$1092,"Above Materiality",$M$2:$M$1092,"&gt;"&amp;M807)+COUNTIFS($O$2:$O$1092,O807,$P$2:$P$1092,"Above Materiality",$M$2:$M$1092,M807,$A$2:$A$1092,"&lt;"&amp;A807)+1,"")</f>
        <v/>
      </c>
      <c r="S807" s="21" t="str">
        <f aca="false">IF(P807&lt;&gt;"Below Materiality","",IF(Summary!$C$9="Random",COUNTIFS($O$2:$O$1092,O807,$Q$2:$Q$1092,"&gt;"&amp;Q807)+1,COUNTIFS($O$2:$O$1092,O807,$P$2:$P$1092,"Below Materiality",$M$2:$M$1092,"&gt;"&amp;M807)+COUNTIFS($O$2:$O$1092,O807,$P$2:$P$1092,"Below Materiality",$M$2:$M$1092,M807,$A$2:$A$1092,"&lt;"&amp;A807)+1))</f>
        <v/>
      </c>
      <c r="T807" s="22"/>
      <c r="U807" s="21" t="str">
        <f aca="false">IF(R807="","",O807&amp;"|A|"&amp;R807)</f>
        <v/>
      </c>
      <c r="V807" s="21" t="str">
        <f aca="false">IF(S807="","",O807&amp;"|R|"&amp;S807)</f>
        <v/>
      </c>
    </row>
    <row r="808" customFormat="false" ht="15" hidden="false" customHeight="false" outlineLevel="0" collapsed="false">
      <c r="A808" s="18" t="n">
        <v>807</v>
      </c>
      <c r="B808" s="18"/>
      <c r="C808" s="18"/>
      <c r="D808" s="18"/>
      <c r="E808" s="18" t="s">
        <v>1579</v>
      </c>
      <c r="F808" s="18" t="s">
        <v>1580</v>
      </c>
      <c r="G808" s="18" t="s">
        <v>74</v>
      </c>
      <c r="H808" s="18" t="n">
        <v>607</v>
      </c>
      <c r="I808" s="19" t="n">
        <v>0</v>
      </c>
      <c r="J808" s="19" t="n">
        <v>509.5</v>
      </c>
      <c r="K808" s="19" t="n">
        <v>509.5</v>
      </c>
      <c r="L808" s="19" t="n">
        <v>0</v>
      </c>
      <c r="M808" s="19" t="n">
        <f aca="false">ABS(L808)</f>
        <v>0</v>
      </c>
      <c r="N808" s="18" t="str">
        <f aca="false">IF(L808=0,"Nil balance",IF(G808="AR file",IF(L808&gt;0,"Accounts Receivable","Customer Advances"),IF(L808&lt;0,"Accounts Payable","Supplier Advances")))</f>
        <v>Nil balance</v>
      </c>
      <c r="O808" s="18" t="str">
        <f aca="false">IF(L808=0,"Excluded",IF(Summary!$C$4="By ledger",IF(G808="AR file","Population 1","Population 2"),IF(L808&gt;0,"Population 1","Population 2")))</f>
        <v>Excluded</v>
      </c>
      <c r="P808" s="18" t="str">
        <f aca="false">IF(O808="Excluded","Excluded – nil closing balance",IF(M808&gt;Summary!$C$5,"Above Materiality","Below Materiality"))</f>
        <v>Excluded – nil closing balance</v>
      </c>
      <c r="Q808" s="20" t="str">
        <f aca="false">IF(P808="Below Materiality",T808,"")</f>
        <v/>
      </c>
      <c r="R808" s="21" t="str">
        <f aca="false">IF(P808="Above Materiality",COUNTIFS($O$2:$O$1092,O808,$P$2:$P$1092,"Above Materiality",$M$2:$M$1092,"&gt;"&amp;M808)+COUNTIFS($O$2:$O$1092,O808,$P$2:$P$1092,"Above Materiality",$M$2:$M$1092,M808,$A$2:$A$1092,"&lt;"&amp;A808)+1,"")</f>
        <v/>
      </c>
      <c r="S808" s="21" t="str">
        <f aca="false">IF(P808&lt;&gt;"Below Materiality","",IF(Summary!$C$9="Random",COUNTIFS($O$2:$O$1092,O808,$Q$2:$Q$1092,"&gt;"&amp;Q808)+1,COUNTIFS($O$2:$O$1092,O808,$P$2:$P$1092,"Below Materiality",$M$2:$M$1092,"&gt;"&amp;M808)+COUNTIFS($O$2:$O$1092,O808,$P$2:$P$1092,"Below Materiality",$M$2:$M$1092,M808,$A$2:$A$1092,"&lt;"&amp;A808)+1))</f>
        <v/>
      </c>
      <c r="T808" s="22"/>
      <c r="U808" s="21" t="str">
        <f aca="false">IF(R808="","",O808&amp;"|A|"&amp;R808)</f>
        <v/>
      </c>
      <c r="V808" s="21" t="str">
        <f aca="false">IF(S808="","",O808&amp;"|R|"&amp;S808)</f>
        <v/>
      </c>
    </row>
    <row r="809" customFormat="false" ht="15" hidden="false" customHeight="false" outlineLevel="0" collapsed="false">
      <c r="A809" s="18" t="n">
        <v>808</v>
      </c>
      <c r="B809" s="18"/>
      <c r="C809" s="18"/>
      <c r="D809" s="18"/>
      <c r="E809" s="18" t="s">
        <v>1581</v>
      </c>
      <c r="F809" s="18" t="s">
        <v>634</v>
      </c>
      <c r="G809" s="18" t="s">
        <v>74</v>
      </c>
      <c r="H809" s="18" t="n">
        <v>608</v>
      </c>
      <c r="I809" s="19" t="n">
        <v>0</v>
      </c>
      <c r="J809" s="19" t="n">
        <v>92</v>
      </c>
      <c r="K809" s="19" t="n">
        <v>92</v>
      </c>
      <c r="L809" s="19" t="n">
        <v>0</v>
      </c>
      <c r="M809" s="19" t="n">
        <f aca="false">ABS(L809)</f>
        <v>0</v>
      </c>
      <c r="N809" s="18" t="str">
        <f aca="false">IF(L809=0,"Nil balance",IF(G809="AR file",IF(L809&gt;0,"Accounts Receivable","Customer Advances"),IF(L809&lt;0,"Accounts Payable","Supplier Advances")))</f>
        <v>Nil balance</v>
      </c>
      <c r="O809" s="18" t="str">
        <f aca="false">IF(L809=0,"Excluded",IF(Summary!$C$4="By ledger",IF(G809="AR file","Population 1","Population 2"),IF(L809&gt;0,"Population 1","Population 2")))</f>
        <v>Excluded</v>
      </c>
      <c r="P809" s="18" t="str">
        <f aca="false">IF(O809="Excluded","Excluded – nil closing balance",IF(M809&gt;Summary!$C$5,"Above Materiality","Below Materiality"))</f>
        <v>Excluded – nil closing balance</v>
      </c>
      <c r="Q809" s="20" t="str">
        <f aca="false">IF(P809="Below Materiality",T809,"")</f>
        <v/>
      </c>
      <c r="R809" s="21" t="str">
        <f aca="false">IF(P809="Above Materiality",COUNTIFS($O$2:$O$1092,O809,$P$2:$P$1092,"Above Materiality",$M$2:$M$1092,"&gt;"&amp;M809)+COUNTIFS($O$2:$O$1092,O809,$P$2:$P$1092,"Above Materiality",$M$2:$M$1092,M809,$A$2:$A$1092,"&lt;"&amp;A809)+1,"")</f>
        <v/>
      </c>
      <c r="S809" s="21" t="str">
        <f aca="false">IF(P809&lt;&gt;"Below Materiality","",IF(Summary!$C$9="Random",COUNTIFS($O$2:$O$1092,O809,$Q$2:$Q$1092,"&gt;"&amp;Q809)+1,COUNTIFS($O$2:$O$1092,O809,$P$2:$P$1092,"Below Materiality",$M$2:$M$1092,"&gt;"&amp;M809)+COUNTIFS($O$2:$O$1092,O809,$P$2:$P$1092,"Below Materiality",$M$2:$M$1092,M809,$A$2:$A$1092,"&lt;"&amp;A809)+1))</f>
        <v/>
      </c>
      <c r="T809" s="22"/>
      <c r="U809" s="21" t="str">
        <f aca="false">IF(R809="","",O809&amp;"|A|"&amp;R809)</f>
        <v/>
      </c>
      <c r="V809" s="21" t="str">
        <f aca="false">IF(S809="","",O809&amp;"|R|"&amp;S809)</f>
        <v/>
      </c>
    </row>
    <row r="810" customFormat="false" ht="15" hidden="false" customHeight="false" outlineLevel="0" collapsed="false">
      <c r="A810" s="18" t="n">
        <v>809</v>
      </c>
      <c r="B810" s="18"/>
      <c r="C810" s="18"/>
      <c r="D810" s="18"/>
      <c r="E810" s="18" t="s">
        <v>1582</v>
      </c>
      <c r="F810" s="18" t="s">
        <v>1079</v>
      </c>
      <c r="G810" s="18" t="s">
        <v>74</v>
      </c>
      <c r="H810" s="18" t="n">
        <v>609</v>
      </c>
      <c r="I810" s="19" t="n">
        <v>0</v>
      </c>
      <c r="J810" s="19" t="n">
        <v>172.5</v>
      </c>
      <c r="K810" s="19" t="n">
        <v>172.5</v>
      </c>
      <c r="L810" s="19" t="n">
        <v>0</v>
      </c>
      <c r="M810" s="19" t="n">
        <f aca="false">ABS(L810)</f>
        <v>0</v>
      </c>
      <c r="N810" s="18" t="str">
        <f aca="false">IF(L810=0,"Nil balance",IF(G810="AR file",IF(L810&gt;0,"Accounts Receivable","Customer Advances"),IF(L810&lt;0,"Accounts Payable","Supplier Advances")))</f>
        <v>Nil balance</v>
      </c>
      <c r="O810" s="18" t="str">
        <f aca="false">IF(L810=0,"Excluded",IF(Summary!$C$4="By ledger",IF(G810="AR file","Population 1","Population 2"),IF(L810&gt;0,"Population 1","Population 2")))</f>
        <v>Excluded</v>
      </c>
      <c r="P810" s="18" t="str">
        <f aca="false">IF(O810="Excluded","Excluded – nil closing balance",IF(M810&gt;Summary!$C$5,"Above Materiality","Below Materiality"))</f>
        <v>Excluded – nil closing balance</v>
      </c>
      <c r="Q810" s="20" t="str">
        <f aca="false">IF(P810="Below Materiality",T810,"")</f>
        <v/>
      </c>
      <c r="R810" s="21" t="str">
        <f aca="false">IF(P810="Above Materiality",COUNTIFS($O$2:$O$1092,O810,$P$2:$P$1092,"Above Materiality",$M$2:$M$1092,"&gt;"&amp;M810)+COUNTIFS($O$2:$O$1092,O810,$P$2:$P$1092,"Above Materiality",$M$2:$M$1092,M810,$A$2:$A$1092,"&lt;"&amp;A810)+1,"")</f>
        <v/>
      </c>
      <c r="S810" s="21" t="str">
        <f aca="false">IF(P810&lt;&gt;"Below Materiality","",IF(Summary!$C$9="Random",COUNTIFS($O$2:$O$1092,O810,$Q$2:$Q$1092,"&gt;"&amp;Q810)+1,COUNTIFS($O$2:$O$1092,O810,$P$2:$P$1092,"Below Materiality",$M$2:$M$1092,"&gt;"&amp;M810)+COUNTIFS($O$2:$O$1092,O810,$P$2:$P$1092,"Below Materiality",$M$2:$M$1092,M810,$A$2:$A$1092,"&lt;"&amp;A810)+1))</f>
        <v/>
      </c>
      <c r="T810" s="22"/>
      <c r="U810" s="21" t="str">
        <f aca="false">IF(R810="","",O810&amp;"|A|"&amp;R810)</f>
        <v/>
      </c>
      <c r="V810" s="21" t="str">
        <f aca="false">IF(S810="","",O810&amp;"|R|"&amp;S810)</f>
        <v/>
      </c>
    </row>
    <row r="811" customFormat="false" ht="15" hidden="false" customHeight="false" outlineLevel="0" collapsed="false">
      <c r="A811" s="18" t="n">
        <v>810</v>
      </c>
      <c r="B811" s="18"/>
      <c r="C811" s="18"/>
      <c r="D811" s="18"/>
      <c r="E811" s="18" t="s">
        <v>1583</v>
      </c>
      <c r="F811" s="18" t="s">
        <v>1584</v>
      </c>
      <c r="G811" s="18" t="s">
        <v>74</v>
      </c>
      <c r="H811" s="18" t="n">
        <v>611</v>
      </c>
      <c r="I811" s="19" t="n">
        <v>0</v>
      </c>
      <c r="J811" s="19" t="n">
        <v>2512.75</v>
      </c>
      <c r="K811" s="19" t="n">
        <v>2512.75</v>
      </c>
      <c r="L811" s="19" t="n">
        <v>0</v>
      </c>
      <c r="M811" s="19" t="n">
        <f aca="false">ABS(L811)</f>
        <v>0</v>
      </c>
      <c r="N811" s="18" t="str">
        <f aca="false">IF(L811=0,"Nil balance",IF(G811="AR file",IF(L811&gt;0,"Accounts Receivable","Customer Advances"),IF(L811&lt;0,"Accounts Payable","Supplier Advances")))</f>
        <v>Nil balance</v>
      </c>
      <c r="O811" s="18" t="str">
        <f aca="false">IF(L811=0,"Excluded",IF(Summary!$C$4="By ledger",IF(G811="AR file","Population 1","Population 2"),IF(L811&gt;0,"Population 1","Population 2")))</f>
        <v>Excluded</v>
      </c>
      <c r="P811" s="18" t="str">
        <f aca="false">IF(O811="Excluded","Excluded – nil closing balance",IF(M811&gt;Summary!$C$5,"Above Materiality","Below Materiality"))</f>
        <v>Excluded – nil closing balance</v>
      </c>
      <c r="Q811" s="20" t="str">
        <f aca="false">IF(P811="Below Materiality",T811,"")</f>
        <v/>
      </c>
      <c r="R811" s="21" t="str">
        <f aca="false">IF(P811="Above Materiality",COUNTIFS($O$2:$O$1092,O811,$P$2:$P$1092,"Above Materiality",$M$2:$M$1092,"&gt;"&amp;M811)+COUNTIFS($O$2:$O$1092,O811,$P$2:$P$1092,"Above Materiality",$M$2:$M$1092,M811,$A$2:$A$1092,"&lt;"&amp;A811)+1,"")</f>
        <v/>
      </c>
      <c r="S811" s="21" t="str">
        <f aca="false">IF(P811&lt;&gt;"Below Materiality","",IF(Summary!$C$9="Random",COUNTIFS($O$2:$O$1092,O811,$Q$2:$Q$1092,"&gt;"&amp;Q811)+1,COUNTIFS($O$2:$O$1092,O811,$P$2:$P$1092,"Below Materiality",$M$2:$M$1092,"&gt;"&amp;M811)+COUNTIFS($O$2:$O$1092,O811,$P$2:$P$1092,"Below Materiality",$M$2:$M$1092,M811,$A$2:$A$1092,"&lt;"&amp;A811)+1))</f>
        <v/>
      </c>
      <c r="T811" s="22"/>
      <c r="U811" s="21" t="str">
        <f aca="false">IF(R811="","",O811&amp;"|A|"&amp;R811)</f>
        <v/>
      </c>
      <c r="V811" s="21" t="str">
        <f aca="false">IF(S811="","",O811&amp;"|R|"&amp;S811)</f>
        <v/>
      </c>
    </row>
    <row r="812" customFormat="false" ht="15" hidden="false" customHeight="false" outlineLevel="0" collapsed="false">
      <c r="A812" s="18" t="n">
        <v>811</v>
      </c>
      <c r="B812" s="18"/>
      <c r="C812" s="18"/>
      <c r="D812" s="18"/>
      <c r="E812" s="18" t="s">
        <v>1585</v>
      </c>
      <c r="F812" s="18" t="s">
        <v>1586</v>
      </c>
      <c r="G812" s="18" t="s">
        <v>74</v>
      </c>
      <c r="H812" s="18" t="n">
        <v>612</v>
      </c>
      <c r="I812" s="19" t="n">
        <v>0</v>
      </c>
      <c r="J812" s="19" t="n">
        <v>945.3</v>
      </c>
      <c r="K812" s="19" t="n">
        <v>945.3</v>
      </c>
      <c r="L812" s="19" t="n">
        <v>0</v>
      </c>
      <c r="M812" s="19" t="n">
        <f aca="false">ABS(L812)</f>
        <v>0</v>
      </c>
      <c r="N812" s="18" t="str">
        <f aca="false">IF(L812=0,"Nil balance",IF(G812="AR file",IF(L812&gt;0,"Accounts Receivable","Customer Advances"),IF(L812&lt;0,"Accounts Payable","Supplier Advances")))</f>
        <v>Nil balance</v>
      </c>
      <c r="O812" s="18" t="str">
        <f aca="false">IF(L812=0,"Excluded",IF(Summary!$C$4="By ledger",IF(G812="AR file","Population 1","Population 2"),IF(L812&gt;0,"Population 1","Population 2")))</f>
        <v>Excluded</v>
      </c>
      <c r="P812" s="18" t="str">
        <f aca="false">IF(O812="Excluded","Excluded – nil closing balance",IF(M812&gt;Summary!$C$5,"Above Materiality","Below Materiality"))</f>
        <v>Excluded – nil closing balance</v>
      </c>
      <c r="Q812" s="20" t="str">
        <f aca="false">IF(P812="Below Materiality",T812,"")</f>
        <v/>
      </c>
      <c r="R812" s="21" t="str">
        <f aca="false">IF(P812="Above Materiality",COUNTIFS($O$2:$O$1092,O812,$P$2:$P$1092,"Above Materiality",$M$2:$M$1092,"&gt;"&amp;M812)+COUNTIFS($O$2:$O$1092,O812,$P$2:$P$1092,"Above Materiality",$M$2:$M$1092,M812,$A$2:$A$1092,"&lt;"&amp;A812)+1,"")</f>
        <v/>
      </c>
      <c r="S812" s="21" t="str">
        <f aca="false">IF(P812&lt;&gt;"Below Materiality","",IF(Summary!$C$9="Random",COUNTIFS($O$2:$O$1092,O812,$Q$2:$Q$1092,"&gt;"&amp;Q812)+1,COUNTIFS($O$2:$O$1092,O812,$P$2:$P$1092,"Below Materiality",$M$2:$M$1092,"&gt;"&amp;M812)+COUNTIFS($O$2:$O$1092,O812,$P$2:$P$1092,"Below Materiality",$M$2:$M$1092,M812,$A$2:$A$1092,"&lt;"&amp;A812)+1))</f>
        <v/>
      </c>
      <c r="T812" s="22"/>
      <c r="U812" s="21" t="str">
        <f aca="false">IF(R812="","",O812&amp;"|A|"&amp;R812)</f>
        <v/>
      </c>
      <c r="V812" s="21" t="str">
        <f aca="false">IF(S812="","",O812&amp;"|R|"&amp;S812)</f>
        <v/>
      </c>
    </row>
    <row r="813" customFormat="false" ht="15" hidden="false" customHeight="false" outlineLevel="0" collapsed="false">
      <c r="A813" s="18" t="n">
        <v>812</v>
      </c>
      <c r="B813" s="18"/>
      <c r="C813" s="18"/>
      <c r="D813" s="18"/>
      <c r="E813" s="18" t="s">
        <v>1587</v>
      </c>
      <c r="F813" s="18" t="s">
        <v>1588</v>
      </c>
      <c r="G813" s="18" t="s">
        <v>74</v>
      </c>
      <c r="H813" s="18" t="n">
        <v>613</v>
      </c>
      <c r="I813" s="19" t="n">
        <v>0</v>
      </c>
      <c r="J813" s="19" t="n">
        <v>185</v>
      </c>
      <c r="K813" s="19" t="n">
        <v>185</v>
      </c>
      <c r="L813" s="19" t="n">
        <v>0</v>
      </c>
      <c r="M813" s="19" t="n">
        <f aca="false">ABS(L813)</f>
        <v>0</v>
      </c>
      <c r="N813" s="18" t="str">
        <f aca="false">IF(L813=0,"Nil balance",IF(G813="AR file",IF(L813&gt;0,"Accounts Receivable","Customer Advances"),IF(L813&lt;0,"Accounts Payable","Supplier Advances")))</f>
        <v>Nil balance</v>
      </c>
      <c r="O813" s="18" t="str">
        <f aca="false">IF(L813=0,"Excluded",IF(Summary!$C$4="By ledger",IF(G813="AR file","Population 1","Population 2"),IF(L813&gt;0,"Population 1","Population 2")))</f>
        <v>Excluded</v>
      </c>
      <c r="P813" s="18" t="str">
        <f aca="false">IF(O813="Excluded","Excluded – nil closing balance",IF(M813&gt;Summary!$C$5,"Above Materiality","Below Materiality"))</f>
        <v>Excluded – nil closing balance</v>
      </c>
      <c r="Q813" s="20" t="str">
        <f aca="false">IF(P813="Below Materiality",T813,"")</f>
        <v/>
      </c>
      <c r="R813" s="21" t="str">
        <f aca="false">IF(P813="Above Materiality",COUNTIFS($O$2:$O$1092,O813,$P$2:$P$1092,"Above Materiality",$M$2:$M$1092,"&gt;"&amp;M813)+COUNTIFS($O$2:$O$1092,O813,$P$2:$P$1092,"Above Materiality",$M$2:$M$1092,M813,$A$2:$A$1092,"&lt;"&amp;A813)+1,"")</f>
        <v/>
      </c>
      <c r="S813" s="21" t="str">
        <f aca="false">IF(P813&lt;&gt;"Below Materiality","",IF(Summary!$C$9="Random",COUNTIFS($O$2:$O$1092,O813,$Q$2:$Q$1092,"&gt;"&amp;Q813)+1,COUNTIFS($O$2:$O$1092,O813,$P$2:$P$1092,"Below Materiality",$M$2:$M$1092,"&gt;"&amp;M813)+COUNTIFS($O$2:$O$1092,O813,$P$2:$P$1092,"Below Materiality",$M$2:$M$1092,M813,$A$2:$A$1092,"&lt;"&amp;A813)+1))</f>
        <v/>
      </c>
      <c r="T813" s="22"/>
      <c r="U813" s="21" t="str">
        <f aca="false">IF(R813="","",O813&amp;"|A|"&amp;R813)</f>
        <v/>
      </c>
      <c r="V813" s="21" t="str">
        <f aca="false">IF(S813="","",O813&amp;"|R|"&amp;S813)</f>
        <v/>
      </c>
    </row>
    <row r="814" customFormat="false" ht="15" hidden="false" customHeight="false" outlineLevel="0" collapsed="false">
      <c r="A814" s="18" t="n">
        <v>813</v>
      </c>
      <c r="B814" s="18"/>
      <c r="C814" s="18"/>
      <c r="D814" s="18"/>
      <c r="E814" s="18" t="s">
        <v>1589</v>
      </c>
      <c r="F814" s="18" t="s">
        <v>1590</v>
      </c>
      <c r="G814" s="18" t="s">
        <v>74</v>
      </c>
      <c r="H814" s="18" t="n">
        <v>614</v>
      </c>
      <c r="I814" s="19" t="n">
        <v>0</v>
      </c>
      <c r="J814" s="19" t="n">
        <v>796.02</v>
      </c>
      <c r="K814" s="19" t="n">
        <v>796.02</v>
      </c>
      <c r="L814" s="19" t="n">
        <v>0</v>
      </c>
      <c r="M814" s="19" t="n">
        <f aca="false">ABS(L814)</f>
        <v>0</v>
      </c>
      <c r="N814" s="18" t="str">
        <f aca="false">IF(L814=0,"Nil balance",IF(G814="AR file",IF(L814&gt;0,"Accounts Receivable","Customer Advances"),IF(L814&lt;0,"Accounts Payable","Supplier Advances")))</f>
        <v>Nil balance</v>
      </c>
      <c r="O814" s="18" t="str">
        <f aca="false">IF(L814=0,"Excluded",IF(Summary!$C$4="By ledger",IF(G814="AR file","Population 1","Population 2"),IF(L814&gt;0,"Population 1","Population 2")))</f>
        <v>Excluded</v>
      </c>
      <c r="P814" s="18" t="str">
        <f aca="false">IF(O814="Excluded","Excluded – nil closing balance",IF(M814&gt;Summary!$C$5,"Above Materiality","Below Materiality"))</f>
        <v>Excluded – nil closing balance</v>
      </c>
      <c r="Q814" s="20" t="str">
        <f aca="false">IF(P814="Below Materiality",T814,"")</f>
        <v/>
      </c>
      <c r="R814" s="21" t="str">
        <f aca="false">IF(P814="Above Materiality",COUNTIFS($O$2:$O$1092,O814,$P$2:$P$1092,"Above Materiality",$M$2:$M$1092,"&gt;"&amp;M814)+COUNTIFS($O$2:$O$1092,O814,$P$2:$P$1092,"Above Materiality",$M$2:$M$1092,M814,$A$2:$A$1092,"&lt;"&amp;A814)+1,"")</f>
        <v/>
      </c>
      <c r="S814" s="21" t="str">
        <f aca="false">IF(P814&lt;&gt;"Below Materiality","",IF(Summary!$C$9="Random",COUNTIFS($O$2:$O$1092,O814,$Q$2:$Q$1092,"&gt;"&amp;Q814)+1,COUNTIFS($O$2:$O$1092,O814,$P$2:$P$1092,"Below Materiality",$M$2:$M$1092,"&gt;"&amp;M814)+COUNTIFS($O$2:$O$1092,O814,$P$2:$P$1092,"Below Materiality",$M$2:$M$1092,M814,$A$2:$A$1092,"&lt;"&amp;A814)+1))</f>
        <v/>
      </c>
      <c r="T814" s="22"/>
      <c r="U814" s="21" t="str">
        <f aca="false">IF(R814="","",O814&amp;"|A|"&amp;R814)</f>
        <v/>
      </c>
      <c r="V814" s="21" t="str">
        <f aca="false">IF(S814="","",O814&amp;"|R|"&amp;S814)</f>
        <v/>
      </c>
    </row>
    <row r="815" customFormat="false" ht="15" hidden="false" customHeight="false" outlineLevel="0" collapsed="false">
      <c r="A815" s="18" t="n">
        <v>814</v>
      </c>
      <c r="B815" s="18"/>
      <c r="C815" s="18"/>
      <c r="D815" s="18"/>
      <c r="E815" s="18" t="s">
        <v>1591</v>
      </c>
      <c r="F815" s="18" t="s">
        <v>1592</v>
      </c>
      <c r="G815" s="18" t="s">
        <v>74</v>
      </c>
      <c r="H815" s="18" t="n">
        <v>615</v>
      </c>
      <c r="I815" s="19" t="n">
        <v>0</v>
      </c>
      <c r="J815" s="19" t="n">
        <v>4450.5</v>
      </c>
      <c r="K815" s="19" t="n">
        <v>4450.5</v>
      </c>
      <c r="L815" s="19" t="n">
        <v>0</v>
      </c>
      <c r="M815" s="19" t="n">
        <f aca="false">ABS(L815)</f>
        <v>0</v>
      </c>
      <c r="N815" s="18" t="str">
        <f aca="false">IF(L815=0,"Nil balance",IF(G815="AR file",IF(L815&gt;0,"Accounts Receivable","Customer Advances"),IF(L815&lt;0,"Accounts Payable","Supplier Advances")))</f>
        <v>Nil balance</v>
      </c>
      <c r="O815" s="18" t="str">
        <f aca="false">IF(L815=0,"Excluded",IF(Summary!$C$4="By ledger",IF(G815="AR file","Population 1","Population 2"),IF(L815&gt;0,"Population 1","Population 2")))</f>
        <v>Excluded</v>
      </c>
      <c r="P815" s="18" t="str">
        <f aca="false">IF(O815="Excluded","Excluded – nil closing balance",IF(M815&gt;Summary!$C$5,"Above Materiality","Below Materiality"))</f>
        <v>Excluded – nil closing balance</v>
      </c>
      <c r="Q815" s="20" t="str">
        <f aca="false">IF(P815="Below Materiality",T815,"")</f>
        <v/>
      </c>
      <c r="R815" s="21" t="str">
        <f aca="false">IF(P815="Above Materiality",COUNTIFS($O$2:$O$1092,O815,$P$2:$P$1092,"Above Materiality",$M$2:$M$1092,"&gt;"&amp;M815)+COUNTIFS($O$2:$O$1092,O815,$P$2:$P$1092,"Above Materiality",$M$2:$M$1092,M815,$A$2:$A$1092,"&lt;"&amp;A815)+1,"")</f>
        <v/>
      </c>
      <c r="S815" s="21" t="str">
        <f aca="false">IF(P815&lt;&gt;"Below Materiality","",IF(Summary!$C$9="Random",COUNTIFS($O$2:$O$1092,O815,$Q$2:$Q$1092,"&gt;"&amp;Q815)+1,COUNTIFS($O$2:$O$1092,O815,$P$2:$P$1092,"Below Materiality",$M$2:$M$1092,"&gt;"&amp;M815)+COUNTIFS($O$2:$O$1092,O815,$P$2:$P$1092,"Below Materiality",$M$2:$M$1092,M815,$A$2:$A$1092,"&lt;"&amp;A815)+1))</f>
        <v/>
      </c>
      <c r="T815" s="22"/>
      <c r="U815" s="21" t="str">
        <f aca="false">IF(R815="","",O815&amp;"|A|"&amp;R815)</f>
        <v/>
      </c>
      <c r="V815" s="21" t="str">
        <f aca="false">IF(S815="","",O815&amp;"|R|"&amp;S815)</f>
        <v/>
      </c>
    </row>
    <row r="816" customFormat="false" ht="15" hidden="false" customHeight="false" outlineLevel="0" collapsed="false">
      <c r="A816" s="18" t="n">
        <v>815</v>
      </c>
      <c r="B816" s="18"/>
      <c r="C816" s="18"/>
      <c r="D816" s="18"/>
      <c r="E816" s="18" t="s">
        <v>1593</v>
      </c>
      <c r="F816" s="18" t="s">
        <v>1047</v>
      </c>
      <c r="G816" s="18" t="s">
        <v>74</v>
      </c>
      <c r="H816" s="18" t="n">
        <v>616</v>
      </c>
      <c r="I816" s="19" t="n">
        <v>0</v>
      </c>
      <c r="J816" s="19" t="n">
        <v>57.5</v>
      </c>
      <c r="K816" s="19" t="n">
        <v>57.5</v>
      </c>
      <c r="L816" s="19" t="n">
        <v>0</v>
      </c>
      <c r="M816" s="19" t="n">
        <f aca="false">ABS(L816)</f>
        <v>0</v>
      </c>
      <c r="N816" s="18" t="str">
        <f aca="false">IF(L816=0,"Nil balance",IF(G816="AR file",IF(L816&gt;0,"Accounts Receivable","Customer Advances"),IF(L816&lt;0,"Accounts Payable","Supplier Advances")))</f>
        <v>Nil balance</v>
      </c>
      <c r="O816" s="18" t="str">
        <f aca="false">IF(L816=0,"Excluded",IF(Summary!$C$4="By ledger",IF(G816="AR file","Population 1","Population 2"),IF(L816&gt;0,"Population 1","Population 2")))</f>
        <v>Excluded</v>
      </c>
      <c r="P816" s="18" t="str">
        <f aca="false">IF(O816="Excluded","Excluded – nil closing balance",IF(M816&gt;Summary!$C$5,"Above Materiality","Below Materiality"))</f>
        <v>Excluded – nil closing balance</v>
      </c>
      <c r="Q816" s="20" t="str">
        <f aca="false">IF(P816="Below Materiality",T816,"")</f>
        <v/>
      </c>
      <c r="R816" s="21" t="str">
        <f aca="false">IF(P816="Above Materiality",COUNTIFS($O$2:$O$1092,O816,$P$2:$P$1092,"Above Materiality",$M$2:$M$1092,"&gt;"&amp;M816)+COUNTIFS($O$2:$O$1092,O816,$P$2:$P$1092,"Above Materiality",$M$2:$M$1092,M816,$A$2:$A$1092,"&lt;"&amp;A816)+1,"")</f>
        <v/>
      </c>
      <c r="S816" s="21" t="str">
        <f aca="false">IF(P816&lt;&gt;"Below Materiality","",IF(Summary!$C$9="Random",COUNTIFS($O$2:$O$1092,O816,$Q$2:$Q$1092,"&gt;"&amp;Q816)+1,COUNTIFS($O$2:$O$1092,O816,$P$2:$P$1092,"Below Materiality",$M$2:$M$1092,"&gt;"&amp;M816)+COUNTIFS($O$2:$O$1092,O816,$P$2:$P$1092,"Below Materiality",$M$2:$M$1092,M816,$A$2:$A$1092,"&lt;"&amp;A816)+1))</f>
        <v/>
      </c>
      <c r="T816" s="22"/>
      <c r="U816" s="21" t="str">
        <f aca="false">IF(R816="","",O816&amp;"|A|"&amp;R816)</f>
        <v/>
      </c>
      <c r="V816" s="21" t="str">
        <f aca="false">IF(S816="","",O816&amp;"|R|"&amp;S816)</f>
        <v/>
      </c>
    </row>
    <row r="817" customFormat="false" ht="15" hidden="false" customHeight="false" outlineLevel="0" collapsed="false">
      <c r="A817" s="18" t="n">
        <v>816</v>
      </c>
      <c r="B817" s="18"/>
      <c r="C817" s="18"/>
      <c r="D817" s="18"/>
      <c r="E817" s="18" t="s">
        <v>1594</v>
      </c>
      <c r="F817" s="18" t="s">
        <v>1159</v>
      </c>
      <c r="G817" s="18" t="s">
        <v>74</v>
      </c>
      <c r="H817" s="18" t="n">
        <v>617</v>
      </c>
      <c r="I817" s="19" t="n">
        <v>0</v>
      </c>
      <c r="J817" s="19" t="n">
        <v>69</v>
      </c>
      <c r="K817" s="19" t="n">
        <v>69</v>
      </c>
      <c r="L817" s="19" t="n">
        <v>0</v>
      </c>
      <c r="M817" s="19" t="n">
        <f aca="false">ABS(L817)</f>
        <v>0</v>
      </c>
      <c r="N817" s="18" t="str">
        <f aca="false">IF(L817=0,"Nil balance",IF(G817="AR file",IF(L817&gt;0,"Accounts Receivable","Customer Advances"),IF(L817&lt;0,"Accounts Payable","Supplier Advances")))</f>
        <v>Nil balance</v>
      </c>
      <c r="O817" s="18" t="str">
        <f aca="false">IF(L817=0,"Excluded",IF(Summary!$C$4="By ledger",IF(G817="AR file","Population 1","Population 2"),IF(L817&gt;0,"Population 1","Population 2")))</f>
        <v>Excluded</v>
      </c>
      <c r="P817" s="18" t="str">
        <f aca="false">IF(O817="Excluded","Excluded – nil closing balance",IF(M817&gt;Summary!$C$5,"Above Materiality","Below Materiality"))</f>
        <v>Excluded – nil closing balance</v>
      </c>
      <c r="Q817" s="20" t="str">
        <f aca="false">IF(P817="Below Materiality",T817,"")</f>
        <v/>
      </c>
      <c r="R817" s="21" t="str">
        <f aca="false">IF(P817="Above Materiality",COUNTIFS($O$2:$O$1092,O817,$P$2:$P$1092,"Above Materiality",$M$2:$M$1092,"&gt;"&amp;M817)+COUNTIFS($O$2:$O$1092,O817,$P$2:$P$1092,"Above Materiality",$M$2:$M$1092,M817,$A$2:$A$1092,"&lt;"&amp;A817)+1,"")</f>
        <v/>
      </c>
      <c r="S817" s="21" t="str">
        <f aca="false">IF(P817&lt;&gt;"Below Materiality","",IF(Summary!$C$9="Random",COUNTIFS($O$2:$O$1092,O817,$Q$2:$Q$1092,"&gt;"&amp;Q817)+1,COUNTIFS($O$2:$O$1092,O817,$P$2:$P$1092,"Below Materiality",$M$2:$M$1092,"&gt;"&amp;M817)+COUNTIFS($O$2:$O$1092,O817,$P$2:$P$1092,"Below Materiality",$M$2:$M$1092,M817,$A$2:$A$1092,"&lt;"&amp;A817)+1))</f>
        <v/>
      </c>
      <c r="T817" s="22"/>
      <c r="U817" s="21" t="str">
        <f aca="false">IF(R817="","",O817&amp;"|A|"&amp;R817)</f>
        <v/>
      </c>
      <c r="V817" s="21" t="str">
        <f aca="false">IF(S817="","",O817&amp;"|R|"&amp;S817)</f>
        <v/>
      </c>
    </row>
    <row r="818" customFormat="false" ht="15" hidden="false" customHeight="false" outlineLevel="0" collapsed="false">
      <c r="A818" s="18" t="n">
        <v>817</v>
      </c>
      <c r="B818" s="18"/>
      <c r="C818" s="18"/>
      <c r="D818" s="18"/>
      <c r="E818" s="18" t="s">
        <v>1595</v>
      </c>
      <c r="F818" s="18" t="s">
        <v>1596</v>
      </c>
      <c r="G818" s="18" t="s">
        <v>74</v>
      </c>
      <c r="H818" s="18" t="n">
        <v>618</v>
      </c>
      <c r="I818" s="19" t="n">
        <v>0</v>
      </c>
      <c r="J818" s="19" t="n">
        <v>3220</v>
      </c>
      <c r="K818" s="19" t="n">
        <v>3220</v>
      </c>
      <c r="L818" s="19" t="n">
        <v>0</v>
      </c>
      <c r="M818" s="19" t="n">
        <f aca="false">ABS(L818)</f>
        <v>0</v>
      </c>
      <c r="N818" s="18" t="str">
        <f aca="false">IF(L818=0,"Nil balance",IF(G818="AR file",IF(L818&gt;0,"Accounts Receivable","Customer Advances"),IF(L818&lt;0,"Accounts Payable","Supplier Advances")))</f>
        <v>Nil balance</v>
      </c>
      <c r="O818" s="18" t="str">
        <f aca="false">IF(L818=0,"Excluded",IF(Summary!$C$4="By ledger",IF(G818="AR file","Population 1","Population 2"),IF(L818&gt;0,"Population 1","Population 2")))</f>
        <v>Excluded</v>
      </c>
      <c r="P818" s="18" t="str">
        <f aca="false">IF(O818="Excluded","Excluded – nil closing balance",IF(M818&gt;Summary!$C$5,"Above Materiality","Below Materiality"))</f>
        <v>Excluded – nil closing balance</v>
      </c>
      <c r="Q818" s="20" t="str">
        <f aca="false">IF(P818="Below Materiality",T818,"")</f>
        <v/>
      </c>
      <c r="R818" s="21" t="str">
        <f aca="false">IF(P818="Above Materiality",COUNTIFS($O$2:$O$1092,O818,$P$2:$P$1092,"Above Materiality",$M$2:$M$1092,"&gt;"&amp;M818)+COUNTIFS($O$2:$O$1092,O818,$P$2:$P$1092,"Above Materiality",$M$2:$M$1092,M818,$A$2:$A$1092,"&lt;"&amp;A818)+1,"")</f>
        <v/>
      </c>
      <c r="S818" s="21" t="str">
        <f aca="false">IF(P818&lt;&gt;"Below Materiality","",IF(Summary!$C$9="Random",COUNTIFS($O$2:$O$1092,O818,$Q$2:$Q$1092,"&gt;"&amp;Q818)+1,COUNTIFS($O$2:$O$1092,O818,$P$2:$P$1092,"Below Materiality",$M$2:$M$1092,"&gt;"&amp;M818)+COUNTIFS($O$2:$O$1092,O818,$P$2:$P$1092,"Below Materiality",$M$2:$M$1092,M818,$A$2:$A$1092,"&lt;"&amp;A818)+1))</f>
        <v/>
      </c>
      <c r="T818" s="22"/>
      <c r="U818" s="21" t="str">
        <f aca="false">IF(R818="","",O818&amp;"|A|"&amp;R818)</f>
        <v/>
      </c>
      <c r="V818" s="21" t="str">
        <f aca="false">IF(S818="","",O818&amp;"|R|"&amp;S818)</f>
        <v/>
      </c>
    </row>
    <row r="819" customFormat="false" ht="15" hidden="false" customHeight="false" outlineLevel="0" collapsed="false">
      <c r="A819" s="18" t="n">
        <v>818</v>
      </c>
      <c r="B819" s="18"/>
      <c r="C819" s="18"/>
      <c r="D819" s="18"/>
      <c r="E819" s="18" t="s">
        <v>1597</v>
      </c>
      <c r="F819" s="18" t="s">
        <v>1598</v>
      </c>
      <c r="G819" s="18" t="s">
        <v>74</v>
      </c>
      <c r="H819" s="18" t="n">
        <v>619</v>
      </c>
      <c r="I819" s="19" t="n">
        <v>0</v>
      </c>
      <c r="J819" s="19" t="n">
        <v>316.25</v>
      </c>
      <c r="K819" s="19" t="n">
        <v>316.25</v>
      </c>
      <c r="L819" s="19" t="n">
        <v>0</v>
      </c>
      <c r="M819" s="19" t="n">
        <f aca="false">ABS(L819)</f>
        <v>0</v>
      </c>
      <c r="N819" s="18" t="str">
        <f aca="false">IF(L819=0,"Nil balance",IF(G819="AR file",IF(L819&gt;0,"Accounts Receivable","Customer Advances"),IF(L819&lt;0,"Accounts Payable","Supplier Advances")))</f>
        <v>Nil balance</v>
      </c>
      <c r="O819" s="18" t="str">
        <f aca="false">IF(L819=0,"Excluded",IF(Summary!$C$4="By ledger",IF(G819="AR file","Population 1","Population 2"),IF(L819&gt;0,"Population 1","Population 2")))</f>
        <v>Excluded</v>
      </c>
      <c r="P819" s="18" t="str">
        <f aca="false">IF(O819="Excluded","Excluded – nil closing balance",IF(M819&gt;Summary!$C$5,"Above Materiality","Below Materiality"))</f>
        <v>Excluded – nil closing balance</v>
      </c>
      <c r="Q819" s="20" t="str">
        <f aca="false">IF(P819="Below Materiality",T819,"")</f>
        <v/>
      </c>
      <c r="R819" s="21" t="str">
        <f aca="false">IF(P819="Above Materiality",COUNTIFS($O$2:$O$1092,O819,$P$2:$P$1092,"Above Materiality",$M$2:$M$1092,"&gt;"&amp;M819)+COUNTIFS($O$2:$O$1092,O819,$P$2:$P$1092,"Above Materiality",$M$2:$M$1092,M819,$A$2:$A$1092,"&lt;"&amp;A819)+1,"")</f>
        <v/>
      </c>
      <c r="S819" s="21" t="str">
        <f aca="false">IF(P819&lt;&gt;"Below Materiality","",IF(Summary!$C$9="Random",COUNTIFS($O$2:$O$1092,O819,$Q$2:$Q$1092,"&gt;"&amp;Q819)+1,COUNTIFS($O$2:$O$1092,O819,$P$2:$P$1092,"Below Materiality",$M$2:$M$1092,"&gt;"&amp;M819)+COUNTIFS($O$2:$O$1092,O819,$P$2:$P$1092,"Below Materiality",$M$2:$M$1092,M819,$A$2:$A$1092,"&lt;"&amp;A819)+1))</f>
        <v/>
      </c>
      <c r="T819" s="22"/>
      <c r="U819" s="21" t="str">
        <f aca="false">IF(R819="","",O819&amp;"|A|"&amp;R819)</f>
        <v/>
      </c>
      <c r="V819" s="21" t="str">
        <f aca="false">IF(S819="","",O819&amp;"|R|"&amp;S819)</f>
        <v/>
      </c>
    </row>
    <row r="820" customFormat="false" ht="15" hidden="false" customHeight="false" outlineLevel="0" collapsed="false">
      <c r="A820" s="18" t="n">
        <v>819</v>
      </c>
      <c r="B820" s="18"/>
      <c r="C820" s="18"/>
      <c r="D820" s="18"/>
      <c r="E820" s="18" t="s">
        <v>1599</v>
      </c>
      <c r="F820" s="18" t="s">
        <v>1600</v>
      </c>
      <c r="G820" s="18" t="s">
        <v>74</v>
      </c>
      <c r="H820" s="18" t="n">
        <v>620</v>
      </c>
      <c r="I820" s="19" t="n">
        <v>0</v>
      </c>
      <c r="J820" s="19" t="n">
        <v>1200</v>
      </c>
      <c r="K820" s="19" t="n">
        <v>1200</v>
      </c>
      <c r="L820" s="19" t="n">
        <v>0</v>
      </c>
      <c r="M820" s="19" t="n">
        <f aca="false">ABS(L820)</f>
        <v>0</v>
      </c>
      <c r="N820" s="18" t="str">
        <f aca="false">IF(L820=0,"Nil balance",IF(G820="AR file",IF(L820&gt;0,"Accounts Receivable","Customer Advances"),IF(L820&lt;0,"Accounts Payable","Supplier Advances")))</f>
        <v>Nil balance</v>
      </c>
      <c r="O820" s="18" t="str">
        <f aca="false">IF(L820=0,"Excluded",IF(Summary!$C$4="By ledger",IF(G820="AR file","Population 1","Population 2"),IF(L820&gt;0,"Population 1","Population 2")))</f>
        <v>Excluded</v>
      </c>
      <c r="P820" s="18" t="str">
        <f aca="false">IF(O820="Excluded","Excluded – nil closing balance",IF(M820&gt;Summary!$C$5,"Above Materiality","Below Materiality"))</f>
        <v>Excluded – nil closing balance</v>
      </c>
      <c r="Q820" s="20" t="str">
        <f aca="false">IF(P820="Below Materiality",T820,"")</f>
        <v/>
      </c>
      <c r="R820" s="21" t="str">
        <f aca="false">IF(P820="Above Materiality",COUNTIFS($O$2:$O$1092,O820,$P$2:$P$1092,"Above Materiality",$M$2:$M$1092,"&gt;"&amp;M820)+COUNTIFS($O$2:$O$1092,O820,$P$2:$P$1092,"Above Materiality",$M$2:$M$1092,M820,$A$2:$A$1092,"&lt;"&amp;A820)+1,"")</f>
        <v/>
      </c>
      <c r="S820" s="21" t="str">
        <f aca="false">IF(P820&lt;&gt;"Below Materiality","",IF(Summary!$C$9="Random",COUNTIFS($O$2:$O$1092,O820,$Q$2:$Q$1092,"&gt;"&amp;Q820)+1,COUNTIFS($O$2:$O$1092,O820,$P$2:$P$1092,"Below Materiality",$M$2:$M$1092,"&gt;"&amp;M820)+COUNTIFS($O$2:$O$1092,O820,$P$2:$P$1092,"Below Materiality",$M$2:$M$1092,M820,$A$2:$A$1092,"&lt;"&amp;A820)+1))</f>
        <v/>
      </c>
      <c r="T820" s="22"/>
      <c r="U820" s="21" t="str">
        <f aca="false">IF(R820="","",O820&amp;"|A|"&amp;R820)</f>
        <v/>
      </c>
      <c r="V820" s="21" t="str">
        <f aca="false">IF(S820="","",O820&amp;"|R|"&amp;S820)</f>
        <v/>
      </c>
    </row>
    <row r="821" customFormat="false" ht="15" hidden="false" customHeight="false" outlineLevel="0" collapsed="false">
      <c r="A821" s="18" t="n">
        <v>820</v>
      </c>
      <c r="B821" s="18"/>
      <c r="C821" s="18"/>
      <c r="D821" s="18"/>
      <c r="E821" s="18" t="s">
        <v>1601</v>
      </c>
      <c r="F821" s="18" t="s">
        <v>1357</v>
      </c>
      <c r="G821" s="18" t="s">
        <v>74</v>
      </c>
      <c r="H821" s="18" t="n">
        <v>621</v>
      </c>
      <c r="I821" s="19" t="n">
        <v>0</v>
      </c>
      <c r="J821" s="19" t="n">
        <v>299</v>
      </c>
      <c r="K821" s="19" t="n">
        <v>299</v>
      </c>
      <c r="L821" s="19" t="n">
        <v>0</v>
      </c>
      <c r="M821" s="19" t="n">
        <f aca="false">ABS(L821)</f>
        <v>0</v>
      </c>
      <c r="N821" s="18" t="str">
        <f aca="false">IF(L821=0,"Nil balance",IF(G821="AR file",IF(L821&gt;0,"Accounts Receivable","Customer Advances"),IF(L821&lt;0,"Accounts Payable","Supplier Advances")))</f>
        <v>Nil balance</v>
      </c>
      <c r="O821" s="18" t="str">
        <f aca="false">IF(L821=0,"Excluded",IF(Summary!$C$4="By ledger",IF(G821="AR file","Population 1","Population 2"),IF(L821&gt;0,"Population 1","Population 2")))</f>
        <v>Excluded</v>
      </c>
      <c r="P821" s="18" t="str">
        <f aca="false">IF(O821="Excluded","Excluded – nil closing balance",IF(M821&gt;Summary!$C$5,"Above Materiality","Below Materiality"))</f>
        <v>Excluded – nil closing balance</v>
      </c>
      <c r="Q821" s="20" t="str">
        <f aca="false">IF(P821="Below Materiality",T821,"")</f>
        <v/>
      </c>
      <c r="R821" s="21" t="str">
        <f aca="false">IF(P821="Above Materiality",COUNTIFS($O$2:$O$1092,O821,$P$2:$P$1092,"Above Materiality",$M$2:$M$1092,"&gt;"&amp;M821)+COUNTIFS($O$2:$O$1092,O821,$P$2:$P$1092,"Above Materiality",$M$2:$M$1092,M821,$A$2:$A$1092,"&lt;"&amp;A821)+1,"")</f>
        <v/>
      </c>
      <c r="S821" s="21" t="str">
        <f aca="false">IF(P821&lt;&gt;"Below Materiality","",IF(Summary!$C$9="Random",COUNTIFS($O$2:$O$1092,O821,$Q$2:$Q$1092,"&gt;"&amp;Q821)+1,COUNTIFS($O$2:$O$1092,O821,$P$2:$P$1092,"Below Materiality",$M$2:$M$1092,"&gt;"&amp;M821)+COUNTIFS($O$2:$O$1092,O821,$P$2:$P$1092,"Below Materiality",$M$2:$M$1092,M821,$A$2:$A$1092,"&lt;"&amp;A821)+1))</f>
        <v/>
      </c>
      <c r="T821" s="22"/>
      <c r="U821" s="21" t="str">
        <f aca="false">IF(R821="","",O821&amp;"|A|"&amp;R821)</f>
        <v/>
      </c>
      <c r="V821" s="21" t="str">
        <f aca="false">IF(S821="","",O821&amp;"|R|"&amp;S821)</f>
        <v/>
      </c>
    </row>
    <row r="822" customFormat="false" ht="15" hidden="false" customHeight="false" outlineLevel="0" collapsed="false">
      <c r="A822" s="18" t="n">
        <v>821</v>
      </c>
      <c r="B822" s="18"/>
      <c r="C822" s="18"/>
      <c r="D822" s="18"/>
      <c r="E822" s="18" t="s">
        <v>1602</v>
      </c>
      <c r="F822" s="18" t="s">
        <v>1603</v>
      </c>
      <c r="G822" s="18" t="s">
        <v>74</v>
      </c>
      <c r="H822" s="18" t="n">
        <v>622</v>
      </c>
      <c r="I822" s="19" t="n">
        <v>0</v>
      </c>
      <c r="J822" s="19" t="n">
        <v>238</v>
      </c>
      <c r="K822" s="19" t="n">
        <v>238</v>
      </c>
      <c r="L822" s="19" t="n">
        <v>0</v>
      </c>
      <c r="M822" s="19" t="n">
        <f aca="false">ABS(L822)</f>
        <v>0</v>
      </c>
      <c r="N822" s="18" t="str">
        <f aca="false">IF(L822=0,"Nil balance",IF(G822="AR file",IF(L822&gt;0,"Accounts Receivable","Customer Advances"),IF(L822&lt;0,"Accounts Payable","Supplier Advances")))</f>
        <v>Nil balance</v>
      </c>
      <c r="O822" s="18" t="str">
        <f aca="false">IF(L822=0,"Excluded",IF(Summary!$C$4="By ledger",IF(G822="AR file","Population 1","Population 2"),IF(L822&gt;0,"Population 1","Population 2")))</f>
        <v>Excluded</v>
      </c>
      <c r="P822" s="18" t="str">
        <f aca="false">IF(O822="Excluded","Excluded – nil closing balance",IF(M822&gt;Summary!$C$5,"Above Materiality","Below Materiality"))</f>
        <v>Excluded – nil closing balance</v>
      </c>
      <c r="Q822" s="20" t="str">
        <f aca="false">IF(P822="Below Materiality",T822,"")</f>
        <v/>
      </c>
      <c r="R822" s="21" t="str">
        <f aca="false">IF(P822="Above Materiality",COUNTIFS($O$2:$O$1092,O822,$P$2:$P$1092,"Above Materiality",$M$2:$M$1092,"&gt;"&amp;M822)+COUNTIFS($O$2:$O$1092,O822,$P$2:$P$1092,"Above Materiality",$M$2:$M$1092,M822,$A$2:$A$1092,"&lt;"&amp;A822)+1,"")</f>
        <v/>
      </c>
      <c r="S822" s="21" t="str">
        <f aca="false">IF(P822&lt;&gt;"Below Materiality","",IF(Summary!$C$9="Random",COUNTIFS($O$2:$O$1092,O822,$Q$2:$Q$1092,"&gt;"&amp;Q822)+1,COUNTIFS($O$2:$O$1092,O822,$P$2:$P$1092,"Below Materiality",$M$2:$M$1092,"&gt;"&amp;M822)+COUNTIFS($O$2:$O$1092,O822,$P$2:$P$1092,"Below Materiality",$M$2:$M$1092,M822,$A$2:$A$1092,"&lt;"&amp;A822)+1))</f>
        <v/>
      </c>
      <c r="T822" s="22"/>
      <c r="U822" s="21" t="str">
        <f aca="false">IF(R822="","",O822&amp;"|A|"&amp;R822)</f>
        <v/>
      </c>
      <c r="V822" s="21" t="str">
        <f aca="false">IF(S822="","",O822&amp;"|R|"&amp;S822)</f>
        <v/>
      </c>
    </row>
    <row r="823" customFormat="false" ht="15" hidden="false" customHeight="false" outlineLevel="0" collapsed="false">
      <c r="A823" s="18" t="n">
        <v>822</v>
      </c>
      <c r="B823" s="18"/>
      <c r="C823" s="18"/>
      <c r="D823" s="18"/>
      <c r="E823" s="18" t="s">
        <v>1604</v>
      </c>
      <c r="F823" s="18" t="s">
        <v>510</v>
      </c>
      <c r="G823" s="18" t="s">
        <v>74</v>
      </c>
      <c r="H823" s="18" t="n">
        <v>623</v>
      </c>
      <c r="I823" s="19" t="n">
        <v>0</v>
      </c>
      <c r="J823" s="19" t="n">
        <v>75</v>
      </c>
      <c r="K823" s="19" t="n">
        <v>75</v>
      </c>
      <c r="L823" s="19" t="n">
        <v>0</v>
      </c>
      <c r="M823" s="19" t="n">
        <f aca="false">ABS(L823)</f>
        <v>0</v>
      </c>
      <c r="N823" s="18" t="str">
        <f aca="false">IF(L823=0,"Nil balance",IF(G823="AR file",IF(L823&gt;0,"Accounts Receivable","Customer Advances"),IF(L823&lt;0,"Accounts Payable","Supplier Advances")))</f>
        <v>Nil balance</v>
      </c>
      <c r="O823" s="18" t="str">
        <f aca="false">IF(L823=0,"Excluded",IF(Summary!$C$4="By ledger",IF(G823="AR file","Population 1","Population 2"),IF(L823&gt;0,"Population 1","Population 2")))</f>
        <v>Excluded</v>
      </c>
      <c r="P823" s="18" t="str">
        <f aca="false">IF(O823="Excluded","Excluded – nil closing balance",IF(M823&gt;Summary!$C$5,"Above Materiality","Below Materiality"))</f>
        <v>Excluded – nil closing balance</v>
      </c>
      <c r="Q823" s="20" t="str">
        <f aca="false">IF(P823="Below Materiality",T823,"")</f>
        <v/>
      </c>
      <c r="R823" s="21" t="str">
        <f aca="false">IF(P823="Above Materiality",COUNTIFS($O$2:$O$1092,O823,$P$2:$P$1092,"Above Materiality",$M$2:$M$1092,"&gt;"&amp;M823)+COUNTIFS($O$2:$O$1092,O823,$P$2:$P$1092,"Above Materiality",$M$2:$M$1092,M823,$A$2:$A$1092,"&lt;"&amp;A823)+1,"")</f>
        <v/>
      </c>
      <c r="S823" s="21" t="str">
        <f aca="false">IF(P823&lt;&gt;"Below Materiality","",IF(Summary!$C$9="Random",COUNTIFS($O$2:$O$1092,O823,$Q$2:$Q$1092,"&gt;"&amp;Q823)+1,COUNTIFS($O$2:$O$1092,O823,$P$2:$P$1092,"Below Materiality",$M$2:$M$1092,"&gt;"&amp;M823)+COUNTIFS($O$2:$O$1092,O823,$P$2:$P$1092,"Below Materiality",$M$2:$M$1092,M823,$A$2:$A$1092,"&lt;"&amp;A823)+1))</f>
        <v/>
      </c>
      <c r="T823" s="22"/>
      <c r="U823" s="21" t="str">
        <f aca="false">IF(R823="","",O823&amp;"|A|"&amp;R823)</f>
        <v/>
      </c>
      <c r="V823" s="21" t="str">
        <f aca="false">IF(S823="","",O823&amp;"|R|"&amp;S823)</f>
        <v/>
      </c>
    </row>
    <row r="824" customFormat="false" ht="15" hidden="false" customHeight="false" outlineLevel="0" collapsed="false">
      <c r="A824" s="18" t="n">
        <v>823</v>
      </c>
      <c r="B824" s="18"/>
      <c r="C824" s="18"/>
      <c r="D824" s="18"/>
      <c r="E824" s="18" t="s">
        <v>1605</v>
      </c>
      <c r="F824" s="18" t="s">
        <v>1606</v>
      </c>
      <c r="G824" s="18" t="s">
        <v>74</v>
      </c>
      <c r="H824" s="18" t="n">
        <v>624</v>
      </c>
      <c r="I824" s="19" t="n">
        <v>0</v>
      </c>
      <c r="J824" s="19" t="n">
        <v>598</v>
      </c>
      <c r="K824" s="19" t="n">
        <v>598</v>
      </c>
      <c r="L824" s="19" t="n">
        <v>0</v>
      </c>
      <c r="M824" s="19" t="n">
        <f aca="false">ABS(L824)</f>
        <v>0</v>
      </c>
      <c r="N824" s="18" t="str">
        <f aca="false">IF(L824=0,"Nil balance",IF(G824="AR file",IF(L824&gt;0,"Accounts Receivable","Customer Advances"),IF(L824&lt;0,"Accounts Payable","Supplier Advances")))</f>
        <v>Nil balance</v>
      </c>
      <c r="O824" s="18" t="str">
        <f aca="false">IF(L824=0,"Excluded",IF(Summary!$C$4="By ledger",IF(G824="AR file","Population 1","Population 2"),IF(L824&gt;0,"Population 1","Population 2")))</f>
        <v>Excluded</v>
      </c>
      <c r="P824" s="18" t="str">
        <f aca="false">IF(O824="Excluded","Excluded – nil closing balance",IF(M824&gt;Summary!$C$5,"Above Materiality","Below Materiality"))</f>
        <v>Excluded – nil closing balance</v>
      </c>
      <c r="Q824" s="20" t="str">
        <f aca="false">IF(P824="Below Materiality",T824,"")</f>
        <v/>
      </c>
      <c r="R824" s="21" t="str">
        <f aca="false">IF(P824="Above Materiality",COUNTIFS($O$2:$O$1092,O824,$P$2:$P$1092,"Above Materiality",$M$2:$M$1092,"&gt;"&amp;M824)+COUNTIFS($O$2:$O$1092,O824,$P$2:$P$1092,"Above Materiality",$M$2:$M$1092,M824,$A$2:$A$1092,"&lt;"&amp;A824)+1,"")</f>
        <v/>
      </c>
      <c r="S824" s="21" t="str">
        <f aca="false">IF(P824&lt;&gt;"Below Materiality","",IF(Summary!$C$9="Random",COUNTIFS($O$2:$O$1092,O824,$Q$2:$Q$1092,"&gt;"&amp;Q824)+1,COUNTIFS($O$2:$O$1092,O824,$P$2:$P$1092,"Below Materiality",$M$2:$M$1092,"&gt;"&amp;M824)+COUNTIFS($O$2:$O$1092,O824,$P$2:$P$1092,"Below Materiality",$M$2:$M$1092,M824,$A$2:$A$1092,"&lt;"&amp;A824)+1))</f>
        <v/>
      </c>
      <c r="T824" s="22"/>
      <c r="U824" s="21" t="str">
        <f aca="false">IF(R824="","",O824&amp;"|A|"&amp;R824)</f>
        <v/>
      </c>
      <c r="V824" s="21" t="str">
        <f aca="false">IF(S824="","",O824&amp;"|R|"&amp;S824)</f>
        <v/>
      </c>
    </row>
    <row r="825" customFormat="false" ht="15" hidden="false" customHeight="false" outlineLevel="0" collapsed="false">
      <c r="A825" s="18" t="n">
        <v>824</v>
      </c>
      <c r="B825" s="18"/>
      <c r="C825" s="18"/>
      <c r="D825" s="18"/>
      <c r="E825" s="18" t="s">
        <v>1607</v>
      </c>
      <c r="F825" s="18" t="s">
        <v>1608</v>
      </c>
      <c r="G825" s="18" t="s">
        <v>74</v>
      </c>
      <c r="H825" s="18" t="n">
        <v>625</v>
      </c>
      <c r="I825" s="19" t="n">
        <v>0</v>
      </c>
      <c r="J825" s="19" t="n">
        <v>150</v>
      </c>
      <c r="K825" s="19" t="n">
        <v>150</v>
      </c>
      <c r="L825" s="19" t="n">
        <v>0</v>
      </c>
      <c r="M825" s="19" t="n">
        <f aca="false">ABS(L825)</f>
        <v>0</v>
      </c>
      <c r="N825" s="18" t="str">
        <f aca="false">IF(L825=0,"Nil balance",IF(G825="AR file",IF(L825&gt;0,"Accounts Receivable","Customer Advances"),IF(L825&lt;0,"Accounts Payable","Supplier Advances")))</f>
        <v>Nil balance</v>
      </c>
      <c r="O825" s="18" t="str">
        <f aca="false">IF(L825=0,"Excluded",IF(Summary!$C$4="By ledger",IF(G825="AR file","Population 1","Population 2"),IF(L825&gt;0,"Population 1","Population 2")))</f>
        <v>Excluded</v>
      </c>
      <c r="P825" s="18" t="str">
        <f aca="false">IF(O825="Excluded","Excluded – nil closing balance",IF(M825&gt;Summary!$C$5,"Above Materiality","Below Materiality"))</f>
        <v>Excluded – nil closing balance</v>
      </c>
      <c r="Q825" s="20" t="str">
        <f aca="false">IF(P825="Below Materiality",T825,"")</f>
        <v/>
      </c>
      <c r="R825" s="21" t="str">
        <f aca="false">IF(P825="Above Materiality",COUNTIFS($O$2:$O$1092,O825,$P$2:$P$1092,"Above Materiality",$M$2:$M$1092,"&gt;"&amp;M825)+COUNTIFS($O$2:$O$1092,O825,$P$2:$P$1092,"Above Materiality",$M$2:$M$1092,M825,$A$2:$A$1092,"&lt;"&amp;A825)+1,"")</f>
        <v/>
      </c>
      <c r="S825" s="21" t="str">
        <f aca="false">IF(P825&lt;&gt;"Below Materiality","",IF(Summary!$C$9="Random",COUNTIFS($O$2:$O$1092,O825,$Q$2:$Q$1092,"&gt;"&amp;Q825)+1,COUNTIFS($O$2:$O$1092,O825,$P$2:$P$1092,"Below Materiality",$M$2:$M$1092,"&gt;"&amp;M825)+COUNTIFS($O$2:$O$1092,O825,$P$2:$P$1092,"Below Materiality",$M$2:$M$1092,M825,$A$2:$A$1092,"&lt;"&amp;A825)+1))</f>
        <v/>
      </c>
      <c r="T825" s="22"/>
      <c r="U825" s="21" t="str">
        <f aca="false">IF(R825="","",O825&amp;"|A|"&amp;R825)</f>
        <v/>
      </c>
      <c r="V825" s="21" t="str">
        <f aca="false">IF(S825="","",O825&amp;"|R|"&amp;S825)</f>
        <v/>
      </c>
    </row>
    <row r="826" customFormat="false" ht="15" hidden="false" customHeight="false" outlineLevel="0" collapsed="false">
      <c r="A826" s="18" t="n">
        <v>825</v>
      </c>
      <c r="B826" s="18"/>
      <c r="C826" s="18"/>
      <c r="D826" s="18"/>
      <c r="E826" s="18" t="s">
        <v>1609</v>
      </c>
      <c r="F826" s="18" t="s">
        <v>1610</v>
      </c>
      <c r="G826" s="18" t="s">
        <v>74</v>
      </c>
      <c r="H826" s="18" t="n">
        <v>626</v>
      </c>
      <c r="I826" s="19" t="n">
        <v>0</v>
      </c>
      <c r="J826" s="19" t="n">
        <v>1207.5</v>
      </c>
      <c r="K826" s="19" t="n">
        <v>1207.5</v>
      </c>
      <c r="L826" s="19" t="n">
        <v>0</v>
      </c>
      <c r="M826" s="19" t="n">
        <f aca="false">ABS(L826)</f>
        <v>0</v>
      </c>
      <c r="N826" s="18" t="str">
        <f aca="false">IF(L826=0,"Nil balance",IF(G826="AR file",IF(L826&gt;0,"Accounts Receivable","Customer Advances"),IF(L826&lt;0,"Accounts Payable","Supplier Advances")))</f>
        <v>Nil balance</v>
      </c>
      <c r="O826" s="18" t="str">
        <f aca="false">IF(L826=0,"Excluded",IF(Summary!$C$4="By ledger",IF(G826="AR file","Population 1","Population 2"),IF(L826&gt;0,"Population 1","Population 2")))</f>
        <v>Excluded</v>
      </c>
      <c r="P826" s="18" t="str">
        <f aca="false">IF(O826="Excluded","Excluded – nil closing balance",IF(M826&gt;Summary!$C$5,"Above Materiality","Below Materiality"))</f>
        <v>Excluded – nil closing balance</v>
      </c>
      <c r="Q826" s="20" t="str">
        <f aca="false">IF(P826="Below Materiality",T826,"")</f>
        <v/>
      </c>
      <c r="R826" s="21" t="str">
        <f aca="false">IF(P826="Above Materiality",COUNTIFS($O$2:$O$1092,O826,$P$2:$P$1092,"Above Materiality",$M$2:$M$1092,"&gt;"&amp;M826)+COUNTIFS($O$2:$O$1092,O826,$P$2:$P$1092,"Above Materiality",$M$2:$M$1092,M826,$A$2:$A$1092,"&lt;"&amp;A826)+1,"")</f>
        <v/>
      </c>
      <c r="S826" s="21" t="str">
        <f aca="false">IF(P826&lt;&gt;"Below Materiality","",IF(Summary!$C$9="Random",COUNTIFS($O$2:$O$1092,O826,$Q$2:$Q$1092,"&gt;"&amp;Q826)+1,COUNTIFS($O$2:$O$1092,O826,$P$2:$P$1092,"Below Materiality",$M$2:$M$1092,"&gt;"&amp;M826)+COUNTIFS($O$2:$O$1092,O826,$P$2:$P$1092,"Below Materiality",$M$2:$M$1092,M826,$A$2:$A$1092,"&lt;"&amp;A826)+1))</f>
        <v/>
      </c>
      <c r="T826" s="22"/>
      <c r="U826" s="21" t="str">
        <f aca="false">IF(R826="","",O826&amp;"|A|"&amp;R826)</f>
        <v/>
      </c>
      <c r="V826" s="21" t="str">
        <f aca="false">IF(S826="","",O826&amp;"|R|"&amp;S826)</f>
        <v/>
      </c>
    </row>
    <row r="827" customFormat="false" ht="15" hidden="false" customHeight="false" outlineLevel="0" collapsed="false">
      <c r="A827" s="18" t="n">
        <v>826</v>
      </c>
      <c r="B827" s="18"/>
      <c r="C827" s="18"/>
      <c r="D827" s="18"/>
      <c r="E827" s="18" t="s">
        <v>1611</v>
      </c>
      <c r="F827" s="18" t="s">
        <v>366</v>
      </c>
      <c r="G827" s="18" t="s">
        <v>74</v>
      </c>
      <c r="H827" s="18" t="n">
        <v>627</v>
      </c>
      <c r="I827" s="19" t="n">
        <v>0</v>
      </c>
      <c r="J827" s="19" t="n">
        <v>100</v>
      </c>
      <c r="K827" s="19" t="n">
        <v>100</v>
      </c>
      <c r="L827" s="19" t="n">
        <v>0</v>
      </c>
      <c r="M827" s="19" t="n">
        <f aca="false">ABS(L827)</f>
        <v>0</v>
      </c>
      <c r="N827" s="18" t="str">
        <f aca="false">IF(L827=0,"Nil balance",IF(G827="AR file",IF(L827&gt;0,"Accounts Receivable","Customer Advances"),IF(L827&lt;0,"Accounts Payable","Supplier Advances")))</f>
        <v>Nil balance</v>
      </c>
      <c r="O827" s="18" t="str">
        <f aca="false">IF(L827=0,"Excluded",IF(Summary!$C$4="By ledger",IF(G827="AR file","Population 1","Population 2"),IF(L827&gt;0,"Population 1","Population 2")))</f>
        <v>Excluded</v>
      </c>
      <c r="P827" s="18" t="str">
        <f aca="false">IF(O827="Excluded","Excluded – nil closing balance",IF(M827&gt;Summary!$C$5,"Above Materiality","Below Materiality"))</f>
        <v>Excluded – nil closing balance</v>
      </c>
      <c r="Q827" s="20" t="str">
        <f aca="false">IF(P827="Below Materiality",T827,"")</f>
        <v/>
      </c>
      <c r="R827" s="21" t="str">
        <f aca="false">IF(P827="Above Materiality",COUNTIFS($O$2:$O$1092,O827,$P$2:$P$1092,"Above Materiality",$M$2:$M$1092,"&gt;"&amp;M827)+COUNTIFS($O$2:$O$1092,O827,$P$2:$P$1092,"Above Materiality",$M$2:$M$1092,M827,$A$2:$A$1092,"&lt;"&amp;A827)+1,"")</f>
        <v/>
      </c>
      <c r="S827" s="21" t="str">
        <f aca="false">IF(P827&lt;&gt;"Below Materiality","",IF(Summary!$C$9="Random",COUNTIFS($O$2:$O$1092,O827,$Q$2:$Q$1092,"&gt;"&amp;Q827)+1,COUNTIFS($O$2:$O$1092,O827,$P$2:$P$1092,"Below Materiality",$M$2:$M$1092,"&gt;"&amp;M827)+COUNTIFS($O$2:$O$1092,O827,$P$2:$P$1092,"Below Materiality",$M$2:$M$1092,M827,$A$2:$A$1092,"&lt;"&amp;A827)+1))</f>
        <v/>
      </c>
      <c r="T827" s="22"/>
      <c r="U827" s="21" t="str">
        <f aca="false">IF(R827="","",O827&amp;"|A|"&amp;R827)</f>
        <v/>
      </c>
      <c r="V827" s="21" t="str">
        <f aca="false">IF(S827="","",O827&amp;"|R|"&amp;S827)</f>
        <v/>
      </c>
    </row>
    <row r="828" customFormat="false" ht="15" hidden="false" customHeight="false" outlineLevel="0" collapsed="false">
      <c r="A828" s="18" t="n">
        <v>827</v>
      </c>
      <c r="B828" s="18"/>
      <c r="C828" s="18"/>
      <c r="D828" s="18"/>
      <c r="E828" s="18" t="s">
        <v>1612</v>
      </c>
      <c r="F828" s="18" t="s">
        <v>1613</v>
      </c>
      <c r="G828" s="18" t="s">
        <v>74</v>
      </c>
      <c r="H828" s="18" t="n">
        <v>628</v>
      </c>
      <c r="I828" s="19" t="n">
        <v>0</v>
      </c>
      <c r="J828" s="19" t="n">
        <v>348.5</v>
      </c>
      <c r="K828" s="19" t="n">
        <v>348.5</v>
      </c>
      <c r="L828" s="19" t="n">
        <v>0</v>
      </c>
      <c r="M828" s="19" t="n">
        <f aca="false">ABS(L828)</f>
        <v>0</v>
      </c>
      <c r="N828" s="18" t="str">
        <f aca="false">IF(L828=0,"Nil balance",IF(G828="AR file",IF(L828&gt;0,"Accounts Receivable","Customer Advances"),IF(L828&lt;0,"Accounts Payable","Supplier Advances")))</f>
        <v>Nil balance</v>
      </c>
      <c r="O828" s="18" t="str">
        <f aca="false">IF(L828=0,"Excluded",IF(Summary!$C$4="By ledger",IF(G828="AR file","Population 1","Population 2"),IF(L828&gt;0,"Population 1","Population 2")))</f>
        <v>Excluded</v>
      </c>
      <c r="P828" s="18" t="str">
        <f aca="false">IF(O828="Excluded","Excluded – nil closing balance",IF(M828&gt;Summary!$C$5,"Above Materiality","Below Materiality"))</f>
        <v>Excluded – nil closing balance</v>
      </c>
      <c r="Q828" s="20" t="str">
        <f aca="false">IF(P828="Below Materiality",T828,"")</f>
        <v/>
      </c>
      <c r="R828" s="21" t="str">
        <f aca="false">IF(P828="Above Materiality",COUNTIFS($O$2:$O$1092,O828,$P$2:$P$1092,"Above Materiality",$M$2:$M$1092,"&gt;"&amp;M828)+COUNTIFS($O$2:$O$1092,O828,$P$2:$P$1092,"Above Materiality",$M$2:$M$1092,M828,$A$2:$A$1092,"&lt;"&amp;A828)+1,"")</f>
        <v/>
      </c>
      <c r="S828" s="21" t="str">
        <f aca="false">IF(P828&lt;&gt;"Below Materiality","",IF(Summary!$C$9="Random",COUNTIFS($O$2:$O$1092,O828,$Q$2:$Q$1092,"&gt;"&amp;Q828)+1,COUNTIFS($O$2:$O$1092,O828,$P$2:$P$1092,"Below Materiality",$M$2:$M$1092,"&gt;"&amp;M828)+COUNTIFS($O$2:$O$1092,O828,$P$2:$P$1092,"Below Materiality",$M$2:$M$1092,M828,$A$2:$A$1092,"&lt;"&amp;A828)+1))</f>
        <v/>
      </c>
      <c r="T828" s="22"/>
      <c r="U828" s="21" t="str">
        <f aca="false">IF(R828="","",O828&amp;"|A|"&amp;R828)</f>
        <v/>
      </c>
      <c r="V828" s="21" t="str">
        <f aca="false">IF(S828="","",O828&amp;"|R|"&amp;S828)</f>
        <v/>
      </c>
    </row>
    <row r="829" customFormat="false" ht="15" hidden="false" customHeight="false" outlineLevel="0" collapsed="false">
      <c r="A829" s="18" t="n">
        <v>828</v>
      </c>
      <c r="B829" s="18"/>
      <c r="C829" s="18"/>
      <c r="D829" s="18"/>
      <c r="E829" s="18" t="s">
        <v>1614</v>
      </c>
      <c r="F829" s="18" t="s">
        <v>1615</v>
      </c>
      <c r="G829" s="18" t="s">
        <v>74</v>
      </c>
      <c r="H829" s="18" t="n">
        <v>629</v>
      </c>
      <c r="I829" s="19" t="n">
        <v>0</v>
      </c>
      <c r="J829" s="19" t="n">
        <v>2875</v>
      </c>
      <c r="K829" s="19" t="n">
        <v>2875</v>
      </c>
      <c r="L829" s="19" t="n">
        <v>0</v>
      </c>
      <c r="M829" s="19" t="n">
        <f aca="false">ABS(L829)</f>
        <v>0</v>
      </c>
      <c r="N829" s="18" t="str">
        <f aca="false">IF(L829=0,"Nil balance",IF(G829="AR file",IF(L829&gt;0,"Accounts Receivable","Customer Advances"),IF(L829&lt;0,"Accounts Payable","Supplier Advances")))</f>
        <v>Nil balance</v>
      </c>
      <c r="O829" s="18" t="str">
        <f aca="false">IF(L829=0,"Excluded",IF(Summary!$C$4="By ledger",IF(G829="AR file","Population 1","Population 2"),IF(L829&gt;0,"Population 1","Population 2")))</f>
        <v>Excluded</v>
      </c>
      <c r="P829" s="18" t="str">
        <f aca="false">IF(O829="Excluded","Excluded – nil closing balance",IF(M829&gt;Summary!$C$5,"Above Materiality","Below Materiality"))</f>
        <v>Excluded – nil closing balance</v>
      </c>
      <c r="Q829" s="20" t="str">
        <f aca="false">IF(P829="Below Materiality",T829,"")</f>
        <v/>
      </c>
      <c r="R829" s="21" t="str">
        <f aca="false">IF(P829="Above Materiality",COUNTIFS($O$2:$O$1092,O829,$P$2:$P$1092,"Above Materiality",$M$2:$M$1092,"&gt;"&amp;M829)+COUNTIFS($O$2:$O$1092,O829,$P$2:$P$1092,"Above Materiality",$M$2:$M$1092,M829,$A$2:$A$1092,"&lt;"&amp;A829)+1,"")</f>
        <v/>
      </c>
      <c r="S829" s="21" t="str">
        <f aca="false">IF(P829&lt;&gt;"Below Materiality","",IF(Summary!$C$9="Random",COUNTIFS($O$2:$O$1092,O829,$Q$2:$Q$1092,"&gt;"&amp;Q829)+1,COUNTIFS($O$2:$O$1092,O829,$P$2:$P$1092,"Below Materiality",$M$2:$M$1092,"&gt;"&amp;M829)+COUNTIFS($O$2:$O$1092,O829,$P$2:$P$1092,"Below Materiality",$M$2:$M$1092,M829,$A$2:$A$1092,"&lt;"&amp;A829)+1))</f>
        <v/>
      </c>
      <c r="T829" s="22"/>
      <c r="U829" s="21" t="str">
        <f aca="false">IF(R829="","",O829&amp;"|A|"&amp;R829)</f>
        <v/>
      </c>
      <c r="V829" s="21" t="str">
        <f aca="false">IF(S829="","",O829&amp;"|R|"&amp;S829)</f>
        <v/>
      </c>
    </row>
    <row r="830" customFormat="false" ht="15" hidden="false" customHeight="false" outlineLevel="0" collapsed="false">
      <c r="A830" s="18" t="n">
        <v>829</v>
      </c>
      <c r="B830" s="18"/>
      <c r="C830" s="18"/>
      <c r="D830" s="18"/>
      <c r="E830" s="18" t="s">
        <v>1616</v>
      </c>
      <c r="F830" s="18" t="s">
        <v>1292</v>
      </c>
      <c r="G830" s="18" t="s">
        <v>74</v>
      </c>
      <c r="H830" s="18" t="n">
        <v>630</v>
      </c>
      <c r="I830" s="19" t="n">
        <v>0</v>
      </c>
      <c r="J830" s="19" t="n">
        <v>1150</v>
      </c>
      <c r="K830" s="19" t="n">
        <v>1150</v>
      </c>
      <c r="L830" s="19" t="n">
        <v>0</v>
      </c>
      <c r="M830" s="19" t="n">
        <f aca="false">ABS(L830)</f>
        <v>0</v>
      </c>
      <c r="N830" s="18" t="str">
        <f aca="false">IF(L830=0,"Nil balance",IF(G830="AR file",IF(L830&gt;0,"Accounts Receivable","Customer Advances"),IF(L830&lt;0,"Accounts Payable","Supplier Advances")))</f>
        <v>Nil balance</v>
      </c>
      <c r="O830" s="18" t="str">
        <f aca="false">IF(L830=0,"Excluded",IF(Summary!$C$4="By ledger",IF(G830="AR file","Population 1","Population 2"),IF(L830&gt;0,"Population 1","Population 2")))</f>
        <v>Excluded</v>
      </c>
      <c r="P830" s="18" t="str">
        <f aca="false">IF(O830="Excluded","Excluded – nil closing balance",IF(M830&gt;Summary!$C$5,"Above Materiality","Below Materiality"))</f>
        <v>Excluded – nil closing balance</v>
      </c>
      <c r="Q830" s="20" t="str">
        <f aca="false">IF(P830="Below Materiality",T830,"")</f>
        <v/>
      </c>
      <c r="R830" s="21" t="str">
        <f aca="false">IF(P830="Above Materiality",COUNTIFS($O$2:$O$1092,O830,$P$2:$P$1092,"Above Materiality",$M$2:$M$1092,"&gt;"&amp;M830)+COUNTIFS($O$2:$O$1092,O830,$P$2:$P$1092,"Above Materiality",$M$2:$M$1092,M830,$A$2:$A$1092,"&lt;"&amp;A830)+1,"")</f>
        <v/>
      </c>
      <c r="S830" s="21" t="str">
        <f aca="false">IF(P830&lt;&gt;"Below Materiality","",IF(Summary!$C$9="Random",COUNTIFS($O$2:$O$1092,O830,$Q$2:$Q$1092,"&gt;"&amp;Q830)+1,COUNTIFS($O$2:$O$1092,O830,$P$2:$P$1092,"Below Materiality",$M$2:$M$1092,"&gt;"&amp;M830)+COUNTIFS($O$2:$O$1092,O830,$P$2:$P$1092,"Below Materiality",$M$2:$M$1092,M830,$A$2:$A$1092,"&lt;"&amp;A830)+1))</f>
        <v/>
      </c>
      <c r="T830" s="22"/>
      <c r="U830" s="21" t="str">
        <f aca="false">IF(R830="","",O830&amp;"|A|"&amp;R830)</f>
        <v/>
      </c>
      <c r="V830" s="21" t="str">
        <f aca="false">IF(S830="","",O830&amp;"|R|"&amp;S830)</f>
        <v/>
      </c>
    </row>
    <row r="831" customFormat="false" ht="15" hidden="false" customHeight="false" outlineLevel="0" collapsed="false">
      <c r="A831" s="18" t="n">
        <v>830</v>
      </c>
      <c r="B831" s="18"/>
      <c r="C831" s="18"/>
      <c r="D831" s="18"/>
      <c r="E831" s="18" t="s">
        <v>1617</v>
      </c>
      <c r="F831" s="18" t="s">
        <v>1618</v>
      </c>
      <c r="G831" s="18" t="s">
        <v>74</v>
      </c>
      <c r="H831" s="18" t="n">
        <v>631</v>
      </c>
      <c r="I831" s="19" t="n">
        <v>0</v>
      </c>
      <c r="J831" s="19" t="n">
        <v>6590.4</v>
      </c>
      <c r="K831" s="19" t="n">
        <v>6590.4</v>
      </c>
      <c r="L831" s="19" t="n">
        <v>0</v>
      </c>
      <c r="M831" s="19" t="n">
        <f aca="false">ABS(L831)</f>
        <v>0</v>
      </c>
      <c r="N831" s="18" t="str">
        <f aca="false">IF(L831=0,"Nil balance",IF(G831="AR file",IF(L831&gt;0,"Accounts Receivable","Customer Advances"),IF(L831&lt;0,"Accounts Payable","Supplier Advances")))</f>
        <v>Nil balance</v>
      </c>
      <c r="O831" s="18" t="str">
        <f aca="false">IF(L831=0,"Excluded",IF(Summary!$C$4="By ledger",IF(G831="AR file","Population 1","Population 2"),IF(L831&gt;0,"Population 1","Population 2")))</f>
        <v>Excluded</v>
      </c>
      <c r="P831" s="18" t="str">
        <f aca="false">IF(O831="Excluded","Excluded – nil closing balance",IF(M831&gt;Summary!$C$5,"Above Materiality","Below Materiality"))</f>
        <v>Excluded – nil closing balance</v>
      </c>
      <c r="Q831" s="20" t="str">
        <f aca="false">IF(P831="Below Materiality",T831,"")</f>
        <v/>
      </c>
      <c r="R831" s="21" t="str">
        <f aca="false">IF(P831="Above Materiality",COUNTIFS($O$2:$O$1092,O831,$P$2:$P$1092,"Above Materiality",$M$2:$M$1092,"&gt;"&amp;M831)+COUNTIFS($O$2:$O$1092,O831,$P$2:$P$1092,"Above Materiality",$M$2:$M$1092,M831,$A$2:$A$1092,"&lt;"&amp;A831)+1,"")</f>
        <v/>
      </c>
      <c r="S831" s="21" t="str">
        <f aca="false">IF(P831&lt;&gt;"Below Materiality","",IF(Summary!$C$9="Random",COUNTIFS($O$2:$O$1092,O831,$Q$2:$Q$1092,"&gt;"&amp;Q831)+1,COUNTIFS($O$2:$O$1092,O831,$P$2:$P$1092,"Below Materiality",$M$2:$M$1092,"&gt;"&amp;M831)+COUNTIFS($O$2:$O$1092,O831,$P$2:$P$1092,"Below Materiality",$M$2:$M$1092,M831,$A$2:$A$1092,"&lt;"&amp;A831)+1))</f>
        <v/>
      </c>
      <c r="T831" s="22"/>
      <c r="U831" s="21" t="str">
        <f aca="false">IF(R831="","",O831&amp;"|A|"&amp;R831)</f>
        <v/>
      </c>
      <c r="V831" s="21" t="str">
        <f aca="false">IF(S831="","",O831&amp;"|R|"&amp;S831)</f>
        <v/>
      </c>
    </row>
    <row r="832" customFormat="false" ht="15" hidden="false" customHeight="false" outlineLevel="0" collapsed="false">
      <c r="A832" s="18" t="n">
        <v>831</v>
      </c>
      <c r="B832" s="18"/>
      <c r="C832" s="18"/>
      <c r="D832" s="18"/>
      <c r="E832" s="18" t="s">
        <v>1619</v>
      </c>
      <c r="F832" s="18" t="s">
        <v>1620</v>
      </c>
      <c r="G832" s="18" t="s">
        <v>74</v>
      </c>
      <c r="H832" s="18" t="n">
        <v>632</v>
      </c>
      <c r="I832" s="19" t="n">
        <v>0</v>
      </c>
      <c r="J832" s="19" t="n">
        <v>1070</v>
      </c>
      <c r="K832" s="19" t="n">
        <v>1070</v>
      </c>
      <c r="L832" s="19" t="n">
        <v>0</v>
      </c>
      <c r="M832" s="19" t="n">
        <f aca="false">ABS(L832)</f>
        <v>0</v>
      </c>
      <c r="N832" s="18" t="str">
        <f aca="false">IF(L832=0,"Nil balance",IF(G832="AR file",IF(L832&gt;0,"Accounts Receivable","Customer Advances"),IF(L832&lt;0,"Accounts Payable","Supplier Advances")))</f>
        <v>Nil balance</v>
      </c>
      <c r="O832" s="18" t="str">
        <f aca="false">IF(L832=0,"Excluded",IF(Summary!$C$4="By ledger",IF(G832="AR file","Population 1","Population 2"),IF(L832&gt;0,"Population 1","Population 2")))</f>
        <v>Excluded</v>
      </c>
      <c r="P832" s="18" t="str">
        <f aca="false">IF(O832="Excluded","Excluded – nil closing balance",IF(M832&gt;Summary!$C$5,"Above Materiality","Below Materiality"))</f>
        <v>Excluded – nil closing balance</v>
      </c>
      <c r="Q832" s="20" t="str">
        <f aca="false">IF(P832="Below Materiality",T832,"")</f>
        <v/>
      </c>
      <c r="R832" s="21" t="str">
        <f aca="false">IF(P832="Above Materiality",COUNTIFS($O$2:$O$1092,O832,$P$2:$P$1092,"Above Materiality",$M$2:$M$1092,"&gt;"&amp;M832)+COUNTIFS($O$2:$O$1092,O832,$P$2:$P$1092,"Above Materiality",$M$2:$M$1092,M832,$A$2:$A$1092,"&lt;"&amp;A832)+1,"")</f>
        <v/>
      </c>
      <c r="S832" s="21" t="str">
        <f aca="false">IF(P832&lt;&gt;"Below Materiality","",IF(Summary!$C$9="Random",COUNTIFS($O$2:$O$1092,O832,$Q$2:$Q$1092,"&gt;"&amp;Q832)+1,COUNTIFS($O$2:$O$1092,O832,$P$2:$P$1092,"Below Materiality",$M$2:$M$1092,"&gt;"&amp;M832)+COUNTIFS($O$2:$O$1092,O832,$P$2:$P$1092,"Below Materiality",$M$2:$M$1092,M832,$A$2:$A$1092,"&lt;"&amp;A832)+1))</f>
        <v/>
      </c>
      <c r="T832" s="22"/>
      <c r="U832" s="21" t="str">
        <f aca="false">IF(R832="","",O832&amp;"|A|"&amp;R832)</f>
        <v/>
      </c>
      <c r="V832" s="21" t="str">
        <f aca="false">IF(S832="","",O832&amp;"|R|"&amp;S832)</f>
        <v/>
      </c>
    </row>
    <row r="833" customFormat="false" ht="15" hidden="false" customHeight="false" outlineLevel="0" collapsed="false">
      <c r="A833" s="18" t="n">
        <v>832</v>
      </c>
      <c r="B833" s="18"/>
      <c r="C833" s="18"/>
      <c r="D833" s="18"/>
      <c r="E833" s="18" t="s">
        <v>1621</v>
      </c>
      <c r="F833" s="18" t="s">
        <v>840</v>
      </c>
      <c r="G833" s="18" t="s">
        <v>74</v>
      </c>
      <c r="H833" s="18" t="n">
        <v>633</v>
      </c>
      <c r="I833" s="19" t="n">
        <v>0</v>
      </c>
      <c r="J833" s="19" t="n">
        <v>230</v>
      </c>
      <c r="K833" s="19" t="n">
        <v>230</v>
      </c>
      <c r="L833" s="19" t="n">
        <v>0</v>
      </c>
      <c r="M833" s="19" t="n">
        <f aca="false">ABS(L833)</f>
        <v>0</v>
      </c>
      <c r="N833" s="18" t="str">
        <f aca="false">IF(L833=0,"Nil balance",IF(G833="AR file",IF(L833&gt;0,"Accounts Receivable","Customer Advances"),IF(L833&lt;0,"Accounts Payable","Supplier Advances")))</f>
        <v>Nil balance</v>
      </c>
      <c r="O833" s="18" t="str">
        <f aca="false">IF(L833=0,"Excluded",IF(Summary!$C$4="By ledger",IF(G833="AR file","Population 1","Population 2"),IF(L833&gt;0,"Population 1","Population 2")))</f>
        <v>Excluded</v>
      </c>
      <c r="P833" s="18" t="str">
        <f aca="false">IF(O833="Excluded","Excluded – nil closing balance",IF(M833&gt;Summary!$C$5,"Above Materiality","Below Materiality"))</f>
        <v>Excluded – nil closing balance</v>
      </c>
      <c r="Q833" s="20" t="str">
        <f aca="false">IF(P833="Below Materiality",T833,"")</f>
        <v/>
      </c>
      <c r="R833" s="21" t="str">
        <f aca="false">IF(P833="Above Materiality",COUNTIFS($O$2:$O$1092,O833,$P$2:$P$1092,"Above Materiality",$M$2:$M$1092,"&gt;"&amp;M833)+COUNTIFS($O$2:$O$1092,O833,$P$2:$P$1092,"Above Materiality",$M$2:$M$1092,M833,$A$2:$A$1092,"&lt;"&amp;A833)+1,"")</f>
        <v/>
      </c>
      <c r="S833" s="21" t="str">
        <f aca="false">IF(P833&lt;&gt;"Below Materiality","",IF(Summary!$C$9="Random",COUNTIFS($O$2:$O$1092,O833,$Q$2:$Q$1092,"&gt;"&amp;Q833)+1,COUNTIFS($O$2:$O$1092,O833,$P$2:$P$1092,"Below Materiality",$M$2:$M$1092,"&gt;"&amp;M833)+COUNTIFS($O$2:$O$1092,O833,$P$2:$P$1092,"Below Materiality",$M$2:$M$1092,M833,$A$2:$A$1092,"&lt;"&amp;A833)+1))</f>
        <v/>
      </c>
      <c r="T833" s="22"/>
      <c r="U833" s="21" t="str">
        <f aca="false">IF(R833="","",O833&amp;"|A|"&amp;R833)</f>
        <v/>
      </c>
      <c r="V833" s="21" t="str">
        <f aca="false">IF(S833="","",O833&amp;"|R|"&amp;S833)</f>
        <v/>
      </c>
    </row>
    <row r="834" customFormat="false" ht="15" hidden="false" customHeight="false" outlineLevel="0" collapsed="false">
      <c r="A834" s="18" t="n">
        <v>833</v>
      </c>
      <c r="B834" s="18"/>
      <c r="C834" s="18"/>
      <c r="D834" s="18"/>
      <c r="E834" s="18" t="s">
        <v>1622</v>
      </c>
      <c r="F834" s="18" t="s">
        <v>908</v>
      </c>
      <c r="G834" s="18" t="s">
        <v>74</v>
      </c>
      <c r="H834" s="18" t="n">
        <v>634</v>
      </c>
      <c r="I834" s="19" t="n">
        <v>0</v>
      </c>
      <c r="J834" s="19" t="n">
        <v>50</v>
      </c>
      <c r="K834" s="19" t="n">
        <v>50</v>
      </c>
      <c r="L834" s="19" t="n">
        <v>0</v>
      </c>
      <c r="M834" s="19" t="n">
        <f aca="false">ABS(L834)</f>
        <v>0</v>
      </c>
      <c r="N834" s="18" t="str">
        <f aca="false">IF(L834=0,"Nil balance",IF(G834="AR file",IF(L834&gt;0,"Accounts Receivable","Customer Advances"),IF(L834&lt;0,"Accounts Payable","Supplier Advances")))</f>
        <v>Nil balance</v>
      </c>
      <c r="O834" s="18" t="str">
        <f aca="false">IF(L834=0,"Excluded",IF(Summary!$C$4="By ledger",IF(G834="AR file","Population 1","Population 2"),IF(L834&gt;0,"Population 1","Population 2")))</f>
        <v>Excluded</v>
      </c>
      <c r="P834" s="18" t="str">
        <f aca="false">IF(O834="Excluded","Excluded – nil closing balance",IF(M834&gt;Summary!$C$5,"Above Materiality","Below Materiality"))</f>
        <v>Excluded – nil closing balance</v>
      </c>
      <c r="Q834" s="20" t="str">
        <f aca="false">IF(P834="Below Materiality",T834,"")</f>
        <v/>
      </c>
      <c r="R834" s="21" t="str">
        <f aca="false">IF(P834="Above Materiality",COUNTIFS($O$2:$O$1092,O834,$P$2:$P$1092,"Above Materiality",$M$2:$M$1092,"&gt;"&amp;M834)+COUNTIFS($O$2:$O$1092,O834,$P$2:$P$1092,"Above Materiality",$M$2:$M$1092,M834,$A$2:$A$1092,"&lt;"&amp;A834)+1,"")</f>
        <v/>
      </c>
      <c r="S834" s="21" t="str">
        <f aca="false">IF(P834&lt;&gt;"Below Materiality","",IF(Summary!$C$9="Random",COUNTIFS($O$2:$O$1092,O834,$Q$2:$Q$1092,"&gt;"&amp;Q834)+1,COUNTIFS($O$2:$O$1092,O834,$P$2:$P$1092,"Below Materiality",$M$2:$M$1092,"&gt;"&amp;M834)+COUNTIFS($O$2:$O$1092,O834,$P$2:$P$1092,"Below Materiality",$M$2:$M$1092,M834,$A$2:$A$1092,"&lt;"&amp;A834)+1))</f>
        <v/>
      </c>
      <c r="T834" s="22"/>
      <c r="U834" s="21" t="str">
        <f aca="false">IF(R834="","",O834&amp;"|A|"&amp;R834)</f>
        <v/>
      </c>
      <c r="V834" s="21" t="str">
        <f aca="false">IF(S834="","",O834&amp;"|R|"&amp;S834)</f>
        <v/>
      </c>
    </row>
    <row r="835" customFormat="false" ht="15" hidden="false" customHeight="false" outlineLevel="0" collapsed="false">
      <c r="A835" s="18" t="n">
        <v>834</v>
      </c>
      <c r="B835" s="18"/>
      <c r="C835" s="18"/>
      <c r="D835" s="18"/>
      <c r="E835" s="18" t="s">
        <v>1623</v>
      </c>
      <c r="F835" s="18" t="s">
        <v>1624</v>
      </c>
      <c r="G835" s="18" t="s">
        <v>74</v>
      </c>
      <c r="H835" s="18" t="n">
        <v>635</v>
      </c>
      <c r="I835" s="19" t="n">
        <v>0</v>
      </c>
      <c r="J835" s="19" t="n">
        <v>10473</v>
      </c>
      <c r="K835" s="19" t="n">
        <v>10473</v>
      </c>
      <c r="L835" s="19" t="n">
        <v>0</v>
      </c>
      <c r="M835" s="19" t="n">
        <f aca="false">ABS(L835)</f>
        <v>0</v>
      </c>
      <c r="N835" s="18" t="str">
        <f aca="false">IF(L835=0,"Nil balance",IF(G835="AR file",IF(L835&gt;0,"Accounts Receivable","Customer Advances"),IF(L835&lt;0,"Accounts Payable","Supplier Advances")))</f>
        <v>Nil balance</v>
      </c>
      <c r="O835" s="18" t="str">
        <f aca="false">IF(L835=0,"Excluded",IF(Summary!$C$4="By ledger",IF(G835="AR file","Population 1","Population 2"),IF(L835&gt;0,"Population 1","Population 2")))</f>
        <v>Excluded</v>
      </c>
      <c r="P835" s="18" t="str">
        <f aca="false">IF(O835="Excluded","Excluded – nil closing balance",IF(M835&gt;Summary!$C$5,"Above Materiality","Below Materiality"))</f>
        <v>Excluded – nil closing balance</v>
      </c>
      <c r="Q835" s="20" t="str">
        <f aca="false">IF(P835="Below Materiality",T835,"")</f>
        <v/>
      </c>
      <c r="R835" s="21" t="str">
        <f aca="false">IF(P835="Above Materiality",COUNTIFS($O$2:$O$1092,O835,$P$2:$P$1092,"Above Materiality",$M$2:$M$1092,"&gt;"&amp;M835)+COUNTIFS($O$2:$O$1092,O835,$P$2:$P$1092,"Above Materiality",$M$2:$M$1092,M835,$A$2:$A$1092,"&lt;"&amp;A835)+1,"")</f>
        <v/>
      </c>
      <c r="S835" s="21" t="str">
        <f aca="false">IF(P835&lt;&gt;"Below Materiality","",IF(Summary!$C$9="Random",COUNTIFS($O$2:$O$1092,O835,$Q$2:$Q$1092,"&gt;"&amp;Q835)+1,COUNTIFS($O$2:$O$1092,O835,$P$2:$P$1092,"Below Materiality",$M$2:$M$1092,"&gt;"&amp;M835)+COUNTIFS($O$2:$O$1092,O835,$P$2:$P$1092,"Below Materiality",$M$2:$M$1092,M835,$A$2:$A$1092,"&lt;"&amp;A835)+1))</f>
        <v/>
      </c>
      <c r="T835" s="22"/>
      <c r="U835" s="21" t="str">
        <f aca="false">IF(R835="","",O835&amp;"|A|"&amp;R835)</f>
        <v/>
      </c>
      <c r="V835" s="21" t="str">
        <f aca="false">IF(S835="","",O835&amp;"|R|"&amp;S835)</f>
        <v/>
      </c>
    </row>
    <row r="836" customFormat="false" ht="15" hidden="false" customHeight="false" outlineLevel="0" collapsed="false">
      <c r="A836" s="18" t="n">
        <v>835</v>
      </c>
      <c r="B836" s="18"/>
      <c r="C836" s="18"/>
      <c r="D836" s="18"/>
      <c r="E836" s="18" t="s">
        <v>1625</v>
      </c>
      <c r="F836" s="18" t="s">
        <v>1076</v>
      </c>
      <c r="G836" s="18" t="s">
        <v>74</v>
      </c>
      <c r="H836" s="18" t="n">
        <v>636</v>
      </c>
      <c r="I836" s="19" t="n">
        <v>0</v>
      </c>
      <c r="J836" s="19" t="n">
        <v>414</v>
      </c>
      <c r="K836" s="19" t="n">
        <v>414</v>
      </c>
      <c r="L836" s="19" t="n">
        <v>0</v>
      </c>
      <c r="M836" s="19" t="n">
        <f aca="false">ABS(L836)</f>
        <v>0</v>
      </c>
      <c r="N836" s="18" t="str">
        <f aca="false">IF(L836=0,"Nil balance",IF(G836="AR file",IF(L836&gt;0,"Accounts Receivable","Customer Advances"),IF(L836&lt;0,"Accounts Payable","Supplier Advances")))</f>
        <v>Nil balance</v>
      </c>
      <c r="O836" s="18" t="str">
        <f aca="false">IF(L836=0,"Excluded",IF(Summary!$C$4="By ledger",IF(G836="AR file","Population 1","Population 2"),IF(L836&gt;0,"Population 1","Population 2")))</f>
        <v>Excluded</v>
      </c>
      <c r="P836" s="18" t="str">
        <f aca="false">IF(O836="Excluded","Excluded – nil closing balance",IF(M836&gt;Summary!$C$5,"Above Materiality","Below Materiality"))</f>
        <v>Excluded – nil closing balance</v>
      </c>
      <c r="Q836" s="20" t="str">
        <f aca="false">IF(P836="Below Materiality",T836,"")</f>
        <v/>
      </c>
      <c r="R836" s="21" t="str">
        <f aca="false">IF(P836="Above Materiality",COUNTIFS($O$2:$O$1092,O836,$P$2:$P$1092,"Above Materiality",$M$2:$M$1092,"&gt;"&amp;M836)+COUNTIFS($O$2:$O$1092,O836,$P$2:$P$1092,"Above Materiality",$M$2:$M$1092,M836,$A$2:$A$1092,"&lt;"&amp;A836)+1,"")</f>
        <v/>
      </c>
      <c r="S836" s="21" t="str">
        <f aca="false">IF(P836&lt;&gt;"Below Materiality","",IF(Summary!$C$9="Random",COUNTIFS($O$2:$O$1092,O836,$Q$2:$Q$1092,"&gt;"&amp;Q836)+1,COUNTIFS($O$2:$O$1092,O836,$P$2:$P$1092,"Below Materiality",$M$2:$M$1092,"&gt;"&amp;M836)+COUNTIFS($O$2:$O$1092,O836,$P$2:$P$1092,"Below Materiality",$M$2:$M$1092,M836,$A$2:$A$1092,"&lt;"&amp;A836)+1))</f>
        <v/>
      </c>
      <c r="T836" s="22"/>
      <c r="U836" s="21" t="str">
        <f aca="false">IF(R836="","",O836&amp;"|A|"&amp;R836)</f>
        <v/>
      </c>
      <c r="V836" s="21" t="str">
        <f aca="false">IF(S836="","",O836&amp;"|R|"&amp;S836)</f>
        <v/>
      </c>
    </row>
    <row r="837" customFormat="false" ht="15" hidden="false" customHeight="false" outlineLevel="0" collapsed="false">
      <c r="A837" s="18" t="n">
        <v>836</v>
      </c>
      <c r="B837" s="18"/>
      <c r="C837" s="18"/>
      <c r="D837" s="18"/>
      <c r="E837" s="18" t="s">
        <v>1626</v>
      </c>
      <c r="F837" s="18" t="s">
        <v>1627</v>
      </c>
      <c r="G837" s="18" t="s">
        <v>74</v>
      </c>
      <c r="H837" s="18" t="n">
        <v>637</v>
      </c>
      <c r="I837" s="19" t="n">
        <v>0</v>
      </c>
      <c r="J837" s="19" t="n">
        <v>170</v>
      </c>
      <c r="K837" s="19" t="n">
        <v>170</v>
      </c>
      <c r="L837" s="19" t="n">
        <v>0</v>
      </c>
      <c r="M837" s="19" t="n">
        <f aca="false">ABS(L837)</f>
        <v>0</v>
      </c>
      <c r="N837" s="18" t="str">
        <f aca="false">IF(L837=0,"Nil balance",IF(G837="AR file",IF(L837&gt;0,"Accounts Receivable","Customer Advances"),IF(L837&lt;0,"Accounts Payable","Supplier Advances")))</f>
        <v>Nil balance</v>
      </c>
      <c r="O837" s="18" t="str">
        <f aca="false">IF(L837=0,"Excluded",IF(Summary!$C$4="By ledger",IF(G837="AR file","Population 1","Population 2"),IF(L837&gt;0,"Population 1","Population 2")))</f>
        <v>Excluded</v>
      </c>
      <c r="P837" s="18" t="str">
        <f aca="false">IF(O837="Excluded","Excluded – nil closing balance",IF(M837&gt;Summary!$C$5,"Above Materiality","Below Materiality"))</f>
        <v>Excluded – nil closing balance</v>
      </c>
      <c r="Q837" s="20" t="str">
        <f aca="false">IF(P837="Below Materiality",T837,"")</f>
        <v/>
      </c>
      <c r="R837" s="21" t="str">
        <f aca="false">IF(P837="Above Materiality",COUNTIFS($O$2:$O$1092,O837,$P$2:$P$1092,"Above Materiality",$M$2:$M$1092,"&gt;"&amp;M837)+COUNTIFS($O$2:$O$1092,O837,$P$2:$P$1092,"Above Materiality",$M$2:$M$1092,M837,$A$2:$A$1092,"&lt;"&amp;A837)+1,"")</f>
        <v/>
      </c>
      <c r="S837" s="21" t="str">
        <f aca="false">IF(P837&lt;&gt;"Below Materiality","",IF(Summary!$C$9="Random",COUNTIFS($O$2:$O$1092,O837,$Q$2:$Q$1092,"&gt;"&amp;Q837)+1,COUNTIFS($O$2:$O$1092,O837,$P$2:$P$1092,"Below Materiality",$M$2:$M$1092,"&gt;"&amp;M837)+COUNTIFS($O$2:$O$1092,O837,$P$2:$P$1092,"Below Materiality",$M$2:$M$1092,M837,$A$2:$A$1092,"&lt;"&amp;A837)+1))</f>
        <v/>
      </c>
      <c r="T837" s="22"/>
      <c r="U837" s="21" t="str">
        <f aca="false">IF(R837="","",O837&amp;"|A|"&amp;R837)</f>
        <v/>
      </c>
      <c r="V837" s="21" t="str">
        <f aca="false">IF(S837="","",O837&amp;"|R|"&amp;S837)</f>
        <v/>
      </c>
    </row>
    <row r="838" customFormat="false" ht="15" hidden="false" customHeight="false" outlineLevel="0" collapsed="false">
      <c r="A838" s="18" t="n">
        <v>837</v>
      </c>
      <c r="B838" s="18"/>
      <c r="C838" s="18"/>
      <c r="D838" s="18"/>
      <c r="E838" s="18" t="s">
        <v>1628</v>
      </c>
      <c r="F838" s="18" t="s">
        <v>1629</v>
      </c>
      <c r="G838" s="18" t="s">
        <v>74</v>
      </c>
      <c r="H838" s="18" t="n">
        <v>638</v>
      </c>
      <c r="I838" s="19" t="n">
        <v>0</v>
      </c>
      <c r="J838" s="19" t="n">
        <v>47723</v>
      </c>
      <c r="K838" s="19" t="n">
        <v>47723</v>
      </c>
      <c r="L838" s="19" t="n">
        <v>0</v>
      </c>
      <c r="M838" s="19" t="n">
        <f aca="false">ABS(L838)</f>
        <v>0</v>
      </c>
      <c r="N838" s="18" t="str">
        <f aca="false">IF(L838=0,"Nil balance",IF(G838="AR file",IF(L838&gt;0,"Accounts Receivable","Customer Advances"),IF(L838&lt;0,"Accounts Payable","Supplier Advances")))</f>
        <v>Nil balance</v>
      </c>
      <c r="O838" s="18" t="str">
        <f aca="false">IF(L838=0,"Excluded",IF(Summary!$C$4="By ledger",IF(G838="AR file","Population 1","Population 2"),IF(L838&gt;0,"Population 1","Population 2")))</f>
        <v>Excluded</v>
      </c>
      <c r="P838" s="18" t="str">
        <f aca="false">IF(O838="Excluded","Excluded – nil closing balance",IF(M838&gt;Summary!$C$5,"Above Materiality","Below Materiality"))</f>
        <v>Excluded – nil closing balance</v>
      </c>
      <c r="Q838" s="20" t="str">
        <f aca="false">IF(P838="Below Materiality",T838,"")</f>
        <v/>
      </c>
      <c r="R838" s="21" t="str">
        <f aca="false">IF(P838="Above Materiality",COUNTIFS($O$2:$O$1092,O838,$P$2:$P$1092,"Above Materiality",$M$2:$M$1092,"&gt;"&amp;M838)+COUNTIFS($O$2:$O$1092,O838,$P$2:$P$1092,"Above Materiality",$M$2:$M$1092,M838,$A$2:$A$1092,"&lt;"&amp;A838)+1,"")</f>
        <v/>
      </c>
      <c r="S838" s="21" t="str">
        <f aca="false">IF(P838&lt;&gt;"Below Materiality","",IF(Summary!$C$9="Random",COUNTIFS($O$2:$O$1092,O838,$Q$2:$Q$1092,"&gt;"&amp;Q838)+1,COUNTIFS($O$2:$O$1092,O838,$P$2:$P$1092,"Below Materiality",$M$2:$M$1092,"&gt;"&amp;M838)+COUNTIFS($O$2:$O$1092,O838,$P$2:$P$1092,"Below Materiality",$M$2:$M$1092,M838,$A$2:$A$1092,"&lt;"&amp;A838)+1))</f>
        <v/>
      </c>
      <c r="T838" s="22"/>
      <c r="U838" s="21" t="str">
        <f aca="false">IF(R838="","",O838&amp;"|A|"&amp;R838)</f>
        <v/>
      </c>
      <c r="V838" s="21" t="str">
        <f aca="false">IF(S838="","",O838&amp;"|R|"&amp;S838)</f>
        <v/>
      </c>
    </row>
    <row r="839" customFormat="false" ht="15" hidden="false" customHeight="false" outlineLevel="0" collapsed="false">
      <c r="A839" s="18" t="n">
        <v>838</v>
      </c>
      <c r="B839" s="18"/>
      <c r="C839" s="18"/>
      <c r="D839" s="18"/>
      <c r="E839" s="18" t="s">
        <v>1630</v>
      </c>
      <c r="F839" s="18" t="s">
        <v>1250</v>
      </c>
      <c r="G839" s="18" t="s">
        <v>74</v>
      </c>
      <c r="H839" s="18" t="n">
        <v>639</v>
      </c>
      <c r="I839" s="19" t="n">
        <v>0</v>
      </c>
      <c r="J839" s="19" t="n">
        <v>1552.5</v>
      </c>
      <c r="K839" s="19" t="n">
        <v>1552.5</v>
      </c>
      <c r="L839" s="19" t="n">
        <v>0</v>
      </c>
      <c r="M839" s="19" t="n">
        <f aca="false">ABS(L839)</f>
        <v>0</v>
      </c>
      <c r="N839" s="18" t="str">
        <f aca="false">IF(L839=0,"Nil balance",IF(G839="AR file",IF(L839&gt;0,"Accounts Receivable","Customer Advances"),IF(L839&lt;0,"Accounts Payable","Supplier Advances")))</f>
        <v>Nil balance</v>
      </c>
      <c r="O839" s="18" t="str">
        <f aca="false">IF(L839=0,"Excluded",IF(Summary!$C$4="By ledger",IF(G839="AR file","Population 1","Population 2"),IF(L839&gt;0,"Population 1","Population 2")))</f>
        <v>Excluded</v>
      </c>
      <c r="P839" s="18" t="str">
        <f aca="false">IF(O839="Excluded","Excluded – nil closing balance",IF(M839&gt;Summary!$C$5,"Above Materiality","Below Materiality"))</f>
        <v>Excluded – nil closing balance</v>
      </c>
      <c r="Q839" s="20" t="str">
        <f aca="false">IF(P839="Below Materiality",T839,"")</f>
        <v/>
      </c>
      <c r="R839" s="21" t="str">
        <f aca="false">IF(P839="Above Materiality",COUNTIFS($O$2:$O$1092,O839,$P$2:$P$1092,"Above Materiality",$M$2:$M$1092,"&gt;"&amp;M839)+COUNTIFS($O$2:$O$1092,O839,$P$2:$P$1092,"Above Materiality",$M$2:$M$1092,M839,$A$2:$A$1092,"&lt;"&amp;A839)+1,"")</f>
        <v/>
      </c>
      <c r="S839" s="21" t="str">
        <f aca="false">IF(P839&lt;&gt;"Below Materiality","",IF(Summary!$C$9="Random",COUNTIFS($O$2:$O$1092,O839,$Q$2:$Q$1092,"&gt;"&amp;Q839)+1,COUNTIFS($O$2:$O$1092,O839,$P$2:$P$1092,"Below Materiality",$M$2:$M$1092,"&gt;"&amp;M839)+COUNTIFS($O$2:$O$1092,O839,$P$2:$P$1092,"Below Materiality",$M$2:$M$1092,M839,$A$2:$A$1092,"&lt;"&amp;A839)+1))</f>
        <v/>
      </c>
      <c r="T839" s="22"/>
      <c r="U839" s="21" t="str">
        <f aca="false">IF(R839="","",O839&amp;"|A|"&amp;R839)</f>
        <v/>
      </c>
      <c r="V839" s="21" t="str">
        <f aca="false">IF(S839="","",O839&amp;"|R|"&amp;S839)</f>
        <v/>
      </c>
    </row>
    <row r="840" customFormat="false" ht="15" hidden="false" customHeight="false" outlineLevel="0" collapsed="false">
      <c r="A840" s="18" t="n">
        <v>839</v>
      </c>
      <c r="B840" s="18"/>
      <c r="C840" s="18"/>
      <c r="D840" s="18"/>
      <c r="E840" s="18" t="s">
        <v>1631</v>
      </c>
      <c r="F840" s="18" t="s">
        <v>1632</v>
      </c>
      <c r="G840" s="18" t="s">
        <v>74</v>
      </c>
      <c r="H840" s="18" t="n">
        <v>640</v>
      </c>
      <c r="I840" s="19" t="n">
        <v>0</v>
      </c>
      <c r="J840" s="19" t="n">
        <v>1472</v>
      </c>
      <c r="K840" s="19" t="n">
        <v>1472</v>
      </c>
      <c r="L840" s="19" t="n">
        <v>0</v>
      </c>
      <c r="M840" s="19" t="n">
        <f aca="false">ABS(L840)</f>
        <v>0</v>
      </c>
      <c r="N840" s="18" t="str">
        <f aca="false">IF(L840=0,"Nil balance",IF(G840="AR file",IF(L840&gt;0,"Accounts Receivable","Customer Advances"),IF(L840&lt;0,"Accounts Payable","Supplier Advances")))</f>
        <v>Nil balance</v>
      </c>
      <c r="O840" s="18" t="str">
        <f aca="false">IF(L840=0,"Excluded",IF(Summary!$C$4="By ledger",IF(G840="AR file","Population 1","Population 2"),IF(L840&gt;0,"Population 1","Population 2")))</f>
        <v>Excluded</v>
      </c>
      <c r="P840" s="18" t="str">
        <f aca="false">IF(O840="Excluded","Excluded – nil closing balance",IF(M840&gt;Summary!$C$5,"Above Materiality","Below Materiality"))</f>
        <v>Excluded – nil closing balance</v>
      </c>
      <c r="Q840" s="20" t="str">
        <f aca="false">IF(P840="Below Materiality",T840,"")</f>
        <v/>
      </c>
      <c r="R840" s="21" t="str">
        <f aca="false">IF(P840="Above Materiality",COUNTIFS($O$2:$O$1092,O840,$P$2:$P$1092,"Above Materiality",$M$2:$M$1092,"&gt;"&amp;M840)+COUNTIFS($O$2:$O$1092,O840,$P$2:$P$1092,"Above Materiality",$M$2:$M$1092,M840,$A$2:$A$1092,"&lt;"&amp;A840)+1,"")</f>
        <v/>
      </c>
      <c r="S840" s="21" t="str">
        <f aca="false">IF(P840&lt;&gt;"Below Materiality","",IF(Summary!$C$9="Random",COUNTIFS($O$2:$O$1092,O840,$Q$2:$Q$1092,"&gt;"&amp;Q840)+1,COUNTIFS($O$2:$O$1092,O840,$P$2:$P$1092,"Below Materiality",$M$2:$M$1092,"&gt;"&amp;M840)+COUNTIFS($O$2:$O$1092,O840,$P$2:$P$1092,"Below Materiality",$M$2:$M$1092,M840,$A$2:$A$1092,"&lt;"&amp;A840)+1))</f>
        <v/>
      </c>
      <c r="T840" s="22"/>
      <c r="U840" s="21" t="str">
        <f aca="false">IF(R840="","",O840&amp;"|A|"&amp;R840)</f>
        <v/>
      </c>
      <c r="V840" s="21" t="str">
        <f aca="false">IF(S840="","",O840&amp;"|R|"&amp;S840)</f>
        <v/>
      </c>
    </row>
    <row r="841" customFormat="false" ht="15" hidden="false" customHeight="false" outlineLevel="0" collapsed="false">
      <c r="A841" s="18" t="n">
        <v>840</v>
      </c>
      <c r="B841" s="18"/>
      <c r="C841" s="18"/>
      <c r="D841" s="18"/>
      <c r="E841" s="18" t="s">
        <v>1633</v>
      </c>
      <c r="F841" s="18" t="s">
        <v>1634</v>
      </c>
      <c r="G841" s="18" t="s">
        <v>74</v>
      </c>
      <c r="H841" s="18" t="n">
        <v>641</v>
      </c>
      <c r="I841" s="19" t="n">
        <v>0</v>
      </c>
      <c r="J841" s="19" t="n">
        <v>132.25</v>
      </c>
      <c r="K841" s="19" t="n">
        <v>132.25</v>
      </c>
      <c r="L841" s="19" t="n">
        <v>0</v>
      </c>
      <c r="M841" s="19" t="n">
        <f aca="false">ABS(L841)</f>
        <v>0</v>
      </c>
      <c r="N841" s="18" t="str">
        <f aca="false">IF(L841=0,"Nil balance",IF(G841="AR file",IF(L841&gt;0,"Accounts Receivable","Customer Advances"),IF(L841&lt;0,"Accounts Payable","Supplier Advances")))</f>
        <v>Nil balance</v>
      </c>
      <c r="O841" s="18" t="str">
        <f aca="false">IF(L841=0,"Excluded",IF(Summary!$C$4="By ledger",IF(G841="AR file","Population 1","Population 2"),IF(L841&gt;0,"Population 1","Population 2")))</f>
        <v>Excluded</v>
      </c>
      <c r="P841" s="18" t="str">
        <f aca="false">IF(O841="Excluded","Excluded – nil closing balance",IF(M841&gt;Summary!$C$5,"Above Materiality","Below Materiality"))</f>
        <v>Excluded – nil closing balance</v>
      </c>
      <c r="Q841" s="20" t="str">
        <f aca="false">IF(P841="Below Materiality",T841,"")</f>
        <v/>
      </c>
      <c r="R841" s="21" t="str">
        <f aca="false">IF(P841="Above Materiality",COUNTIFS($O$2:$O$1092,O841,$P$2:$P$1092,"Above Materiality",$M$2:$M$1092,"&gt;"&amp;M841)+COUNTIFS($O$2:$O$1092,O841,$P$2:$P$1092,"Above Materiality",$M$2:$M$1092,M841,$A$2:$A$1092,"&lt;"&amp;A841)+1,"")</f>
        <v/>
      </c>
      <c r="S841" s="21" t="str">
        <f aca="false">IF(P841&lt;&gt;"Below Materiality","",IF(Summary!$C$9="Random",COUNTIFS($O$2:$O$1092,O841,$Q$2:$Q$1092,"&gt;"&amp;Q841)+1,COUNTIFS($O$2:$O$1092,O841,$P$2:$P$1092,"Below Materiality",$M$2:$M$1092,"&gt;"&amp;M841)+COUNTIFS($O$2:$O$1092,O841,$P$2:$P$1092,"Below Materiality",$M$2:$M$1092,M841,$A$2:$A$1092,"&lt;"&amp;A841)+1))</f>
        <v/>
      </c>
      <c r="T841" s="22"/>
      <c r="U841" s="21" t="str">
        <f aca="false">IF(R841="","",O841&amp;"|A|"&amp;R841)</f>
        <v/>
      </c>
      <c r="V841" s="21" t="str">
        <f aca="false">IF(S841="","",O841&amp;"|R|"&amp;S841)</f>
        <v/>
      </c>
    </row>
    <row r="842" customFormat="false" ht="15" hidden="false" customHeight="false" outlineLevel="0" collapsed="false">
      <c r="A842" s="18" t="n">
        <v>841</v>
      </c>
      <c r="B842" s="18"/>
      <c r="C842" s="18"/>
      <c r="D842" s="18"/>
      <c r="E842" s="18" t="s">
        <v>1635</v>
      </c>
      <c r="F842" s="18" t="s">
        <v>609</v>
      </c>
      <c r="G842" s="18" t="s">
        <v>74</v>
      </c>
      <c r="H842" s="18" t="n">
        <v>642</v>
      </c>
      <c r="I842" s="19" t="n">
        <v>0</v>
      </c>
      <c r="J842" s="19" t="n">
        <v>430</v>
      </c>
      <c r="K842" s="19" t="n">
        <v>430</v>
      </c>
      <c r="L842" s="19" t="n">
        <v>0</v>
      </c>
      <c r="M842" s="19" t="n">
        <f aca="false">ABS(L842)</f>
        <v>0</v>
      </c>
      <c r="N842" s="18" t="str">
        <f aca="false">IF(L842=0,"Nil balance",IF(G842="AR file",IF(L842&gt;0,"Accounts Receivable","Customer Advances"),IF(L842&lt;0,"Accounts Payable","Supplier Advances")))</f>
        <v>Nil balance</v>
      </c>
      <c r="O842" s="18" t="str">
        <f aca="false">IF(L842=0,"Excluded",IF(Summary!$C$4="By ledger",IF(G842="AR file","Population 1","Population 2"),IF(L842&gt;0,"Population 1","Population 2")))</f>
        <v>Excluded</v>
      </c>
      <c r="P842" s="18" t="str">
        <f aca="false">IF(O842="Excluded","Excluded – nil closing balance",IF(M842&gt;Summary!$C$5,"Above Materiality","Below Materiality"))</f>
        <v>Excluded – nil closing balance</v>
      </c>
      <c r="Q842" s="20" t="str">
        <f aca="false">IF(P842="Below Materiality",T842,"")</f>
        <v/>
      </c>
      <c r="R842" s="21" t="str">
        <f aca="false">IF(P842="Above Materiality",COUNTIFS($O$2:$O$1092,O842,$P$2:$P$1092,"Above Materiality",$M$2:$M$1092,"&gt;"&amp;M842)+COUNTIFS($O$2:$O$1092,O842,$P$2:$P$1092,"Above Materiality",$M$2:$M$1092,M842,$A$2:$A$1092,"&lt;"&amp;A842)+1,"")</f>
        <v/>
      </c>
      <c r="S842" s="21" t="str">
        <f aca="false">IF(P842&lt;&gt;"Below Materiality","",IF(Summary!$C$9="Random",COUNTIFS($O$2:$O$1092,O842,$Q$2:$Q$1092,"&gt;"&amp;Q842)+1,COUNTIFS($O$2:$O$1092,O842,$P$2:$P$1092,"Below Materiality",$M$2:$M$1092,"&gt;"&amp;M842)+COUNTIFS($O$2:$O$1092,O842,$P$2:$P$1092,"Below Materiality",$M$2:$M$1092,M842,$A$2:$A$1092,"&lt;"&amp;A842)+1))</f>
        <v/>
      </c>
      <c r="T842" s="22"/>
      <c r="U842" s="21" t="str">
        <f aca="false">IF(R842="","",O842&amp;"|A|"&amp;R842)</f>
        <v/>
      </c>
      <c r="V842" s="21" t="str">
        <f aca="false">IF(S842="","",O842&amp;"|R|"&amp;S842)</f>
        <v/>
      </c>
    </row>
    <row r="843" customFormat="false" ht="15" hidden="false" customHeight="false" outlineLevel="0" collapsed="false">
      <c r="A843" s="18" t="n">
        <v>842</v>
      </c>
      <c r="B843" s="18"/>
      <c r="C843" s="18"/>
      <c r="D843" s="18"/>
      <c r="E843" s="18" t="s">
        <v>1636</v>
      </c>
      <c r="F843" s="18" t="s">
        <v>1637</v>
      </c>
      <c r="G843" s="18" t="s">
        <v>74</v>
      </c>
      <c r="H843" s="18" t="n">
        <v>643</v>
      </c>
      <c r="I843" s="19" t="n">
        <v>0</v>
      </c>
      <c r="J843" s="19" t="n">
        <v>18043.5</v>
      </c>
      <c r="K843" s="19" t="n">
        <v>18043.5</v>
      </c>
      <c r="L843" s="19" t="n">
        <v>0</v>
      </c>
      <c r="M843" s="19" t="n">
        <f aca="false">ABS(L843)</f>
        <v>0</v>
      </c>
      <c r="N843" s="18" t="str">
        <f aca="false">IF(L843=0,"Nil balance",IF(G843="AR file",IF(L843&gt;0,"Accounts Receivable","Customer Advances"),IF(L843&lt;0,"Accounts Payable","Supplier Advances")))</f>
        <v>Nil balance</v>
      </c>
      <c r="O843" s="18" t="str">
        <f aca="false">IF(L843=0,"Excluded",IF(Summary!$C$4="By ledger",IF(G843="AR file","Population 1","Population 2"),IF(L843&gt;0,"Population 1","Population 2")))</f>
        <v>Excluded</v>
      </c>
      <c r="P843" s="18" t="str">
        <f aca="false">IF(O843="Excluded","Excluded – nil closing balance",IF(M843&gt;Summary!$C$5,"Above Materiality","Below Materiality"))</f>
        <v>Excluded – nil closing balance</v>
      </c>
      <c r="Q843" s="20" t="str">
        <f aca="false">IF(P843="Below Materiality",T843,"")</f>
        <v/>
      </c>
      <c r="R843" s="21" t="str">
        <f aca="false">IF(P843="Above Materiality",COUNTIFS($O$2:$O$1092,O843,$P$2:$P$1092,"Above Materiality",$M$2:$M$1092,"&gt;"&amp;M843)+COUNTIFS($O$2:$O$1092,O843,$P$2:$P$1092,"Above Materiality",$M$2:$M$1092,M843,$A$2:$A$1092,"&lt;"&amp;A843)+1,"")</f>
        <v/>
      </c>
      <c r="S843" s="21" t="str">
        <f aca="false">IF(P843&lt;&gt;"Below Materiality","",IF(Summary!$C$9="Random",COUNTIFS($O$2:$O$1092,O843,$Q$2:$Q$1092,"&gt;"&amp;Q843)+1,COUNTIFS($O$2:$O$1092,O843,$P$2:$P$1092,"Below Materiality",$M$2:$M$1092,"&gt;"&amp;M843)+COUNTIFS($O$2:$O$1092,O843,$P$2:$P$1092,"Below Materiality",$M$2:$M$1092,M843,$A$2:$A$1092,"&lt;"&amp;A843)+1))</f>
        <v/>
      </c>
      <c r="T843" s="22"/>
      <c r="U843" s="21" t="str">
        <f aca="false">IF(R843="","",O843&amp;"|A|"&amp;R843)</f>
        <v/>
      </c>
      <c r="V843" s="21" t="str">
        <f aca="false">IF(S843="","",O843&amp;"|R|"&amp;S843)</f>
        <v/>
      </c>
    </row>
    <row r="844" customFormat="false" ht="15" hidden="false" customHeight="false" outlineLevel="0" collapsed="false">
      <c r="A844" s="18" t="n">
        <v>843</v>
      </c>
      <c r="B844" s="18"/>
      <c r="C844" s="18"/>
      <c r="D844" s="18"/>
      <c r="E844" s="18" t="s">
        <v>1638</v>
      </c>
      <c r="F844" s="18" t="s">
        <v>1639</v>
      </c>
      <c r="G844" s="18" t="s">
        <v>74</v>
      </c>
      <c r="H844" s="18" t="n">
        <v>644</v>
      </c>
      <c r="I844" s="19" t="n">
        <v>0</v>
      </c>
      <c r="J844" s="19" t="n">
        <v>586.5</v>
      </c>
      <c r="K844" s="19" t="n">
        <v>586.5</v>
      </c>
      <c r="L844" s="19" t="n">
        <v>0</v>
      </c>
      <c r="M844" s="19" t="n">
        <f aca="false">ABS(L844)</f>
        <v>0</v>
      </c>
      <c r="N844" s="18" t="str">
        <f aca="false">IF(L844=0,"Nil balance",IF(G844="AR file",IF(L844&gt;0,"Accounts Receivable","Customer Advances"),IF(L844&lt;0,"Accounts Payable","Supplier Advances")))</f>
        <v>Nil balance</v>
      </c>
      <c r="O844" s="18" t="str">
        <f aca="false">IF(L844=0,"Excluded",IF(Summary!$C$4="By ledger",IF(G844="AR file","Population 1","Population 2"),IF(L844&gt;0,"Population 1","Population 2")))</f>
        <v>Excluded</v>
      </c>
      <c r="P844" s="18" t="str">
        <f aca="false">IF(O844="Excluded","Excluded – nil closing balance",IF(M844&gt;Summary!$C$5,"Above Materiality","Below Materiality"))</f>
        <v>Excluded – nil closing balance</v>
      </c>
      <c r="Q844" s="20" t="str">
        <f aca="false">IF(P844="Below Materiality",T844,"")</f>
        <v/>
      </c>
      <c r="R844" s="21" t="str">
        <f aca="false">IF(P844="Above Materiality",COUNTIFS($O$2:$O$1092,O844,$P$2:$P$1092,"Above Materiality",$M$2:$M$1092,"&gt;"&amp;M844)+COUNTIFS($O$2:$O$1092,O844,$P$2:$P$1092,"Above Materiality",$M$2:$M$1092,M844,$A$2:$A$1092,"&lt;"&amp;A844)+1,"")</f>
        <v/>
      </c>
      <c r="S844" s="21" t="str">
        <f aca="false">IF(P844&lt;&gt;"Below Materiality","",IF(Summary!$C$9="Random",COUNTIFS($O$2:$O$1092,O844,$Q$2:$Q$1092,"&gt;"&amp;Q844)+1,COUNTIFS($O$2:$O$1092,O844,$P$2:$P$1092,"Below Materiality",$M$2:$M$1092,"&gt;"&amp;M844)+COUNTIFS($O$2:$O$1092,O844,$P$2:$P$1092,"Below Materiality",$M$2:$M$1092,M844,$A$2:$A$1092,"&lt;"&amp;A844)+1))</f>
        <v/>
      </c>
      <c r="T844" s="22"/>
      <c r="U844" s="21" t="str">
        <f aca="false">IF(R844="","",O844&amp;"|A|"&amp;R844)</f>
        <v/>
      </c>
      <c r="V844" s="21" t="str">
        <f aca="false">IF(S844="","",O844&amp;"|R|"&amp;S844)</f>
        <v/>
      </c>
    </row>
    <row r="845" customFormat="false" ht="15" hidden="false" customHeight="false" outlineLevel="0" collapsed="false">
      <c r="A845" s="18" t="n">
        <v>844</v>
      </c>
      <c r="B845" s="18"/>
      <c r="C845" s="18"/>
      <c r="D845" s="18"/>
      <c r="E845" s="18" t="s">
        <v>1640</v>
      </c>
      <c r="F845" s="18" t="s">
        <v>1641</v>
      </c>
      <c r="G845" s="18" t="s">
        <v>74</v>
      </c>
      <c r="H845" s="18" t="n">
        <v>645</v>
      </c>
      <c r="I845" s="19" t="n">
        <v>0</v>
      </c>
      <c r="J845" s="19" t="n">
        <v>8878</v>
      </c>
      <c r="K845" s="19" t="n">
        <v>8878</v>
      </c>
      <c r="L845" s="19" t="n">
        <v>0</v>
      </c>
      <c r="M845" s="19" t="n">
        <f aca="false">ABS(L845)</f>
        <v>0</v>
      </c>
      <c r="N845" s="18" t="str">
        <f aca="false">IF(L845=0,"Nil balance",IF(G845="AR file",IF(L845&gt;0,"Accounts Receivable","Customer Advances"),IF(L845&lt;0,"Accounts Payable","Supplier Advances")))</f>
        <v>Nil balance</v>
      </c>
      <c r="O845" s="18" t="str">
        <f aca="false">IF(L845=0,"Excluded",IF(Summary!$C$4="By ledger",IF(G845="AR file","Population 1","Population 2"),IF(L845&gt;0,"Population 1","Population 2")))</f>
        <v>Excluded</v>
      </c>
      <c r="P845" s="18" t="str">
        <f aca="false">IF(O845="Excluded","Excluded – nil closing balance",IF(M845&gt;Summary!$C$5,"Above Materiality","Below Materiality"))</f>
        <v>Excluded – nil closing balance</v>
      </c>
      <c r="Q845" s="20" t="str">
        <f aca="false">IF(P845="Below Materiality",T845,"")</f>
        <v/>
      </c>
      <c r="R845" s="21" t="str">
        <f aca="false">IF(P845="Above Materiality",COUNTIFS($O$2:$O$1092,O845,$P$2:$P$1092,"Above Materiality",$M$2:$M$1092,"&gt;"&amp;M845)+COUNTIFS($O$2:$O$1092,O845,$P$2:$P$1092,"Above Materiality",$M$2:$M$1092,M845,$A$2:$A$1092,"&lt;"&amp;A845)+1,"")</f>
        <v/>
      </c>
      <c r="S845" s="21" t="str">
        <f aca="false">IF(P845&lt;&gt;"Below Materiality","",IF(Summary!$C$9="Random",COUNTIFS($O$2:$O$1092,O845,$Q$2:$Q$1092,"&gt;"&amp;Q845)+1,COUNTIFS($O$2:$O$1092,O845,$P$2:$P$1092,"Below Materiality",$M$2:$M$1092,"&gt;"&amp;M845)+COUNTIFS($O$2:$O$1092,O845,$P$2:$P$1092,"Below Materiality",$M$2:$M$1092,M845,$A$2:$A$1092,"&lt;"&amp;A845)+1))</f>
        <v/>
      </c>
      <c r="T845" s="22"/>
      <c r="U845" s="21" t="str">
        <f aca="false">IF(R845="","",O845&amp;"|A|"&amp;R845)</f>
        <v/>
      </c>
      <c r="V845" s="21" t="str">
        <f aca="false">IF(S845="","",O845&amp;"|R|"&amp;S845)</f>
        <v/>
      </c>
    </row>
    <row r="846" customFormat="false" ht="15" hidden="false" customHeight="false" outlineLevel="0" collapsed="false">
      <c r="A846" s="18" t="n">
        <v>845</v>
      </c>
      <c r="B846" s="18"/>
      <c r="C846" s="18"/>
      <c r="D846" s="18"/>
      <c r="E846" s="18" t="s">
        <v>1642</v>
      </c>
      <c r="F846" s="18" t="s">
        <v>1643</v>
      </c>
      <c r="G846" s="18" t="s">
        <v>74</v>
      </c>
      <c r="H846" s="18" t="n">
        <v>646</v>
      </c>
      <c r="I846" s="19" t="n">
        <v>0</v>
      </c>
      <c r="J846" s="19" t="n">
        <v>195.5</v>
      </c>
      <c r="K846" s="19" t="n">
        <v>195.5</v>
      </c>
      <c r="L846" s="19" t="n">
        <v>0</v>
      </c>
      <c r="M846" s="19" t="n">
        <f aca="false">ABS(L846)</f>
        <v>0</v>
      </c>
      <c r="N846" s="18" t="str">
        <f aca="false">IF(L846=0,"Nil balance",IF(G846="AR file",IF(L846&gt;0,"Accounts Receivable","Customer Advances"),IF(L846&lt;0,"Accounts Payable","Supplier Advances")))</f>
        <v>Nil balance</v>
      </c>
      <c r="O846" s="18" t="str">
        <f aca="false">IF(L846=0,"Excluded",IF(Summary!$C$4="By ledger",IF(G846="AR file","Population 1","Population 2"),IF(L846&gt;0,"Population 1","Population 2")))</f>
        <v>Excluded</v>
      </c>
      <c r="P846" s="18" t="str">
        <f aca="false">IF(O846="Excluded","Excluded – nil closing balance",IF(M846&gt;Summary!$C$5,"Above Materiality","Below Materiality"))</f>
        <v>Excluded – nil closing balance</v>
      </c>
      <c r="Q846" s="20" t="str">
        <f aca="false">IF(P846="Below Materiality",T846,"")</f>
        <v/>
      </c>
      <c r="R846" s="21" t="str">
        <f aca="false">IF(P846="Above Materiality",COUNTIFS($O$2:$O$1092,O846,$P$2:$P$1092,"Above Materiality",$M$2:$M$1092,"&gt;"&amp;M846)+COUNTIFS($O$2:$O$1092,O846,$P$2:$P$1092,"Above Materiality",$M$2:$M$1092,M846,$A$2:$A$1092,"&lt;"&amp;A846)+1,"")</f>
        <v/>
      </c>
      <c r="S846" s="21" t="str">
        <f aca="false">IF(P846&lt;&gt;"Below Materiality","",IF(Summary!$C$9="Random",COUNTIFS($O$2:$O$1092,O846,$Q$2:$Q$1092,"&gt;"&amp;Q846)+1,COUNTIFS($O$2:$O$1092,O846,$P$2:$P$1092,"Below Materiality",$M$2:$M$1092,"&gt;"&amp;M846)+COUNTIFS($O$2:$O$1092,O846,$P$2:$P$1092,"Below Materiality",$M$2:$M$1092,M846,$A$2:$A$1092,"&lt;"&amp;A846)+1))</f>
        <v/>
      </c>
      <c r="T846" s="22"/>
      <c r="U846" s="21" t="str">
        <f aca="false">IF(R846="","",O846&amp;"|A|"&amp;R846)</f>
        <v/>
      </c>
      <c r="V846" s="21" t="str">
        <f aca="false">IF(S846="","",O846&amp;"|R|"&amp;S846)</f>
        <v/>
      </c>
    </row>
    <row r="847" customFormat="false" ht="15" hidden="false" customHeight="false" outlineLevel="0" collapsed="false">
      <c r="A847" s="18" t="n">
        <v>846</v>
      </c>
      <c r="B847" s="18"/>
      <c r="C847" s="18"/>
      <c r="D847" s="18"/>
      <c r="E847" s="18" t="s">
        <v>1644</v>
      </c>
      <c r="F847" s="18" t="s">
        <v>1079</v>
      </c>
      <c r="G847" s="18" t="s">
        <v>74</v>
      </c>
      <c r="H847" s="18" t="n">
        <v>647</v>
      </c>
      <c r="I847" s="19" t="n">
        <v>0</v>
      </c>
      <c r="J847" s="19" t="n">
        <v>172.5</v>
      </c>
      <c r="K847" s="19" t="n">
        <v>172.5</v>
      </c>
      <c r="L847" s="19" t="n">
        <v>0</v>
      </c>
      <c r="M847" s="19" t="n">
        <f aca="false">ABS(L847)</f>
        <v>0</v>
      </c>
      <c r="N847" s="18" t="str">
        <f aca="false">IF(L847=0,"Nil balance",IF(G847="AR file",IF(L847&gt;0,"Accounts Receivable","Customer Advances"),IF(L847&lt;0,"Accounts Payable","Supplier Advances")))</f>
        <v>Nil balance</v>
      </c>
      <c r="O847" s="18" t="str">
        <f aca="false">IF(L847=0,"Excluded",IF(Summary!$C$4="By ledger",IF(G847="AR file","Population 1","Population 2"),IF(L847&gt;0,"Population 1","Population 2")))</f>
        <v>Excluded</v>
      </c>
      <c r="P847" s="18" t="str">
        <f aca="false">IF(O847="Excluded","Excluded – nil closing balance",IF(M847&gt;Summary!$C$5,"Above Materiality","Below Materiality"))</f>
        <v>Excluded – nil closing balance</v>
      </c>
      <c r="Q847" s="20" t="str">
        <f aca="false">IF(P847="Below Materiality",T847,"")</f>
        <v/>
      </c>
      <c r="R847" s="21" t="str">
        <f aca="false">IF(P847="Above Materiality",COUNTIFS($O$2:$O$1092,O847,$P$2:$P$1092,"Above Materiality",$M$2:$M$1092,"&gt;"&amp;M847)+COUNTIFS($O$2:$O$1092,O847,$P$2:$P$1092,"Above Materiality",$M$2:$M$1092,M847,$A$2:$A$1092,"&lt;"&amp;A847)+1,"")</f>
        <v/>
      </c>
      <c r="S847" s="21" t="str">
        <f aca="false">IF(P847&lt;&gt;"Below Materiality","",IF(Summary!$C$9="Random",COUNTIFS($O$2:$O$1092,O847,$Q$2:$Q$1092,"&gt;"&amp;Q847)+1,COUNTIFS($O$2:$O$1092,O847,$P$2:$P$1092,"Below Materiality",$M$2:$M$1092,"&gt;"&amp;M847)+COUNTIFS($O$2:$O$1092,O847,$P$2:$P$1092,"Below Materiality",$M$2:$M$1092,M847,$A$2:$A$1092,"&lt;"&amp;A847)+1))</f>
        <v/>
      </c>
      <c r="T847" s="22"/>
      <c r="U847" s="21" t="str">
        <f aca="false">IF(R847="","",O847&amp;"|A|"&amp;R847)</f>
        <v/>
      </c>
      <c r="V847" s="21" t="str">
        <f aca="false">IF(S847="","",O847&amp;"|R|"&amp;S847)</f>
        <v/>
      </c>
    </row>
    <row r="848" customFormat="false" ht="15" hidden="false" customHeight="false" outlineLevel="0" collapsed="false">
      <c r="A848" s="18" t="n">
        <v>847</v>
      </c>
      <c r="B848" s="18"/>
      <c r="C848" s="18"/>
      <c r="D848" s="18"/>
      <c r="E848" s="18" t="s">
        <v>1645</v>
      </c>
      <c r="F848" s="18" t="s">
        <v>1646</v>
      </c>
      <c r="G848" s="18" t="s">
        <v>74</v>
      </c>
      <c r="H848" s="18" t="n">
        <v>648</v>
      </c>
      <c r="I848" s="19" t="n">
        <v>0</v>
      </c>
      <c r="J848" s="19" t="n">
        <v>3857.1</v>
      </c>
      <c r="K848" s="19" t="n">
        <v>3857.1</v>
      </c>
      <c r="L848" s="19" t="n">
        <v>0</v>
      </c>
      <c r="M848" s="19" t="n">
        <f aca="false">ABS(L848)</f>
        <v>0</v>
      </c>
      <c r="N848" s="18" t="str">
        <f aca="false">IF(L848=0,"Nil balance",IF(G848="AR file",IF(L848&gt;0,"Accounts Receivable","Customer Advances"),IF(L848&lt;0,"Accounts Payable","Supplier Advances")))</f>
        <v>Nil balance</v>
      </c>
      <c r="O848" s="18" t="str">
        <f aca="false">IF(L848=0,"Excluded",IF(Summary!$C$4="By ledger",IF(G848="AR file","Population 1","Population 2"),IF(L848&gt;0,"Population 1","Population 2")))</f>
        <v>Excluded</v>
      </c>
      <c r="P848" s="18" t="str">
        <f aca="false">IF(O848="Excluded","Excluded – nil closing balance",IF(M848&gt;Summary!$C$5,"Above Materiality","Below Materiality"))</f>
        <v>Excluded – nil closing balance</v>
      </c>
      <c r="Q848" s="20" t="str">
        <f aca="false">IF(P848="Below Materiality",T848,"")</f>
        <v/>
      </c>
      <c r="R848" s="21" t="str">
        <f aca="false">IF(P848="Above Materiality",COUNTIFS($O$2:$O$1092,O848,$P$2:$P$1092,"Above Materiality",$M$2:$M$1092,"&gt;"&amp;M848)+COUNTIFS($O$2:$O$1092,O848,$P$2:$P$1092,"Above Materiality",$M$2:$M$1092,M848,$A$2:$A$1092,"&lt;"&amp;A848)+1,"")</f>
        <v/>
      </c>
      <c r="S848" s="21" t="str">
        <f aca="false">IF(P848&lt;&gt;"Below Materiality","",IF(Summary!$C$9="Random",COUNTIFS($O$2:$O$1092,O848,$Q$2:$Q$1092,"&gt;"&amp;Q848)+1,COUNTIFS($O$2:$O$1092,O848,$P$2:$P$1092,"Below Materiality",$M$2:$M$1092,"&gt;"&amp;M848)+COUNTIFS($O$2:$O$1092,O848,$P$2:$P$1092,"Below Materiality",$M$2:$M$1092,M848,$A$2:$A$1092,"&lt;"&amp;A848)+1))</f>
        <v/>
      </c>
      <c r="T848" s="22"/>
      <c r="U848" s="21" t="str">
        <f aca="false">IF(R848="","",O848&amp;"|A|"&amp;R848)</f>
        <v/>
      </c>
      <c r="V848" s="21" t="str">
        <f aca="false">IF(S848="","",O848&amp;"|R|"&amp;S848)</f>
        <v/>
      </c>
    </row>
    <row r="849" customFormat="false" ht="15" hidden="false" customHeight="false" outlineLevel="0" collapsed="false">
      <c r="A849" s="18" t="n">
        <v>848</v>
      </c>
      <c r="B849" s="18"/>
      <c r="C849" s="18"/>
      <c r="D849" s="18"/>
      <c r="E849" s="18" t="s">
        <v>1647</v>
      </c>
      <c r="F849" s="18" t="s">
        <v>1648</v>
      </c>
      <c r="G849" s="18" t="s">
        <v>74</v>
      </c>
      <c r="H849" s="18" t="n">
        <v>649</v>
      </c>
      <c r="I849" s="19" t="n">
        <v>0</v>
      </c>
      <c r="J849" s="19" t="n">
        <v>3634</v>
      </c>
      <c r="K849" s="19" t="n">
        <v>3634</v>
      </c>
      <c r="L849" s="19" t="n">
        <v>0</v>
      </c>
      <c r="M849" s="19" t="n">
        <f aca="false">ABS(L849)</f>
        <v>0</v>
      </c>
      <c r="N849" s="18" t="str">
        <f aca="false">IF(L849=0,"Nil balance",IF(G849="AR file",IF(L849&gt;0,"Accounts Receivable","Customer Advances"),IF(L849&lt;0,"Accounts Payable","Supplier Advances")))</f>
        <v>Nil balance</v>
      </c>
      <c r="O849" s="18" t="str">
        <f aca="false">IF(L849=0,"Excluded",IF(Summary!$C$4="By ledger",IF(G849="AR file","Population 1","Population 2"),IF(L849&gt;0,"Population 1","Population 2")))</f>
        <v>Excluded</v>
      </c>
      <c r="P849" s="18" t="str">
        <f aca="false">IF(O849="Excluded","Excluded – nil closing balance",IF(M849&gt;Summary!$C$5,"Above Materiality","Below Materiality"))</f>
        <v>Excluded – nil closing balance</v>
      </c>
      <c r="Q849" s="20" t="str">
        <f aca="false">IF(P849="Below Materiality",T849,"")</f>
        <v/>
      </c>
      <c r="R849" s="21" t="str">
        <f aca="false">IF(P849="Above Materiality",COUNTIFS($O$2:$O$1092,O849,$P$2:$P$1092,"Above Materiality",$M$2:$M$1092,"&gt;"&amp;M849)+COUNTIFS($O$2:$O$1092,O849,$P$2:$P$1092,"Above Materiality",$M$2:$M$1092,M849,$A$2:$A$1092,"&lt;"&amp;A849)+1,"")</f>
        <v/>
      </c>
      <c r="S849" s="21" t="str">
        <f aca="false">IF(P849&lt;&gt;"Below Materiality","",IF(Summary!$C$9="Random",COUNTIFS($O$2:$O$1092,O849,$Q$2:$Q$1092,"&gt;"&amp;Q849)+1,COUNTIFS($O$2:$O$1092,O849,$P$2:$P$1092,"Below Materiality",$M$2:$M$1092,"&gt;"&amp;M849)+COUNTIFS($O$2:$O$1092,O849,$P$2:$P$1092,"Below Materiality",$M$2:$M$1092,M849,$A$2:$A$1092,"&lt;"&amp;A849)+1))</f>
        <v/>
      </c>
      <c r="T849" s="22"/>
      <c r="U849" s="21" t="str">
        <f aca="false">IF(R849="","",O849&amp;"|A|"&amp;R849)</f>
        <v/>
      </c>
      <c r="V849" s="21" t="str">
        <f aca="false">IF(S849="","",O849&amp;"|R|"&amp;S849)</f>
        <v/>
      </c>
    </row>
    <row r="850" customFormat="false" ht="15" hidden="false" customHeight="false" outlineLevel="0" collapsed="false">
      <c r="A850" s="18" t="n">
        <v>849</v>
      </c>
      <c r="B850" s="18"/>
      <c r="C850" s="18"/>
      <c r="D850" s="18"/>
      <c r="E850" s="18" t="s">
        <v>1649</v>
      </c>
      <c r="F850" s="18" t="s">
        <v>540</v>
      </c>
      <c r="G850" s="18" t="s">
        <v>74</v>
      </c>
      <c r="H850" s="18" t="n">
        <v>650</v>
      </c>
      <c r="I850" s="19" t="n">
        <v>0</v>
      </c>
      <c r="J850" s="19" t="n">
        <v>345</v>
      </c>
      <c r="K850" s="19" t="n">
        <v>345</v>
      </c>
      <c r="L850" s="19" t="n">
        <v>0</v>
      </c>
      <c r="M850" s="19" t="n">
        <f aca="false">ABS(L850)</f>
        <v>0</v>
      </c>
      <c r="N850" s="18" t="str">
        <f aca="false">IF(L850=0,"Nil balance",IF(G850="AR file",IF(L850&gt;0,"Accounts Receivable","Customer Advances"),IF(L850&lt;0,"Accounts Payable","Supplier Advances")))</f>
        <v>Nil balance</v>
      </c>
      <c r="O850" s="18" t="str">
        <f aca="false">IF(L850=0,"Excluded",IF(Summary!$C$4="By ledger",IF(G850="AR file","Population 1","Population 2"),IF(L850&gt;0,"Population 1","Population 2")))</f>
        <v>Excluded</v>
      </c>
      <c r="P850" s="18" t="str">
        <f aca="false">IF(O850="Excluded","Excluded – nil closing balance",IF(M850&gt;Summary!$C$5,"Above Materiality","Below Materiality"))</f>
        <v>Excluded – nil closing balance</v>
      </c>
      <c r="Q850" s="20" t="str">
        <f aca="false">IF(P850="Below Materiality",T850,"")</f>
        <v/>
      </c>
      <c r="R850" s="21" t="str">
        <f aca="false">IF(P850="Above Materiality",COUNTIFS($O$2:$O$1092,O850,$P$2:$P$1092,"Above Materiality",$M$2:$M$1092,"&gt;"&amp;M850)+COUNTIFS($O$2:$O$1092,O850,$P$2:$P$1092,"Above Materiality",$M$2:$M$1092,M850,$A$2:$A$1092,"&lt;"&amp;A850)+1,"")</f>
        <v/>
      </c>
      <c r="S850" s="21" t="str">
        <f aca="false">IF(P850&lt;&gt;"Below Materiality","",IF(Summary!$C$9="Random",COUNTIFS($O$2:$O$1092,O850,$Q$2:$Q$1092,"&gt;"&amp;Q850)+1,COUNTIFS($O$2:$O$1092,O850,$P$2:$P$1092,"Below Materiality",$M$2:$M$1092,"&gt;"&amp;M850)+COUNTIFS($O$2:$O$1092,O850,$P$2:$P$1092,"Below Materiality",$M$2:$M$1092,M850,$A$2:$A$1092,"&lt;"&amp;A850)+1))</f>
        <v/>
      </c>
      <c r="T850" s="22"/>
      <c r="U850" s="21" t="str">
        <f aca="false">IF(R850="","",O850&amp;"|A|"&amp;R850)</f>
        <v/>
      </c>
      <c r="V850" s="21" t="str">
        <f aca="false">IF(S850="","",O850&amp;"|R|"&amp;S850)</f>
        <v/>
      </c>
    </row>
    <row r="851" customFormat="false" ht="15" hidden="false" customHeight="false" outlineLevel="0" collapsed="false">
      <c r="A851" s="18" t="n">
        <v>850</v>
      </c>
      <c r="B851" s="18"/>
      <c r="C851" s="18"/>
      <c r="D851" s="18"/>
      <c r="E851" s="18" t="s">
        <v>1650</v>
      </c>
      <c r="F851" s="18" t="s">
        <v>1651</v>
      </c>
      <c r="G851" s="18" t="s">
        <v>74</v>
      </c>
      <c r="H851" s="18" t="n">
        <v>651</v>
      </c>
      <c r="I851" s="19" t="n">
        <v>0</v>
      </c>
      <c r="J851" s="19" t="n">
        <v>193.2</v>
      </c>
      <c r="K851" s="19" t="n">
        <v>193.2</v>
      </c>
      <c r="L851" s="19" t="n">
        <v>0</v>
      </c>
      <c r="M851" s="19" t="n">
        <f aca="false">ABS(L851)</f>
        <v>0</v>
      </c>
      <c r="N851" s="18" t="str">
        <f aca="false">IF(L851=0,"Nil balance",IF(G851="AR file",IF(L851&gt;0,"Accounts Receivable","Customer Advances"),IF(L851&lt;0,"Accounts Payable","Supplier Advances")))</f>
        <v>Nil balance</v>
      </c>
      <c r="O851" s="18" t="str">
        <f aca="false">IF(L851=0,"Excluded",IF(Summary!$C$4="By ledger",IF(G851="AR file","Population 1","Population 2"),IF(L851&gt;0,"Population 1","Population 2")))</f>
        <v>Excluded</v>
      </c>
      <c r="P851" s="18" t="str">
        <f aca="false">IF(O851="Excluded","Excluded – nil closing balance",IF(M851&gt;Summary!$C$5,"Above Materiality","Below Materiality"))</f>
        <v>Excluded – nil closing balance</v>
      </c>
      <c r="Q851" s="20" t="str">
        <f aca="false">IF(P851="Below Materiality",T851,"")</f>
        <v/>
      </c>
      <c r="R851" s="21" t="str">
        <f aca="false">IF(P851="Above Materiality",COUNTIFS($O$2:$O$1092,O851,$P$2:$P$1092,"Above Materiality",$M$2:$M$1092,"&gt;"&amp;M851)+COUNTIFS($O$2:$O$1092,O851,$P$2:$P$1092,"Above Materiality",$M$2:$M$1092,M851,$A$2:$A$1092,"&lt;"&amp;A851)+1,"")</f>
        <v/>
      </c>
      <c r="S851" s="21" t="str">
        <f aca="false">IF(P851&lt;&gt;"Below Materiality","",IF(Summary!$C$9="Random",COUNTIFS($O$2:$O$1092,O851,$Q$2:$Q$1092,"&gt;"&amp;Q851)+1,COUNTIFS($O$2:$O$1092,O851,$P$2:$P$1092,"Below Materiality",$M$2:$M$1092,"&gt;"&amp;M851)+COUNTIFS($O$2:$O$1092,O851,$P$2:$P$1092,"Below Materiality",$M$2:$M$1092,M851,$A$2:$A$1092,"&lt;"&amp;A851)+1))</f>
        <v/>
      </c>
      <c r="T851" s="22"/>
      <c r="U851" s="21" t="str">
        <f aca="false">IF(R851="","",O851&amp;"|A|"&amp;R851)</f>
        <v/>
      </c>
      <c r="V851" s="21" t="str">
        <f aca="false">IF(S851="","",O851&amp;"|R|"&amp;S851)</f>
        <v/>
      </c>
    </row>
    <row r="852" customFormat="false" ht="15" hidden="false" customHeight="false" outlineLevel="0" collapsed="false">
      <c r="A852" s="18" t="n">
        <v>851</v>
      </c>
      <c r="B852" s="18"/>
      <c r="C852" s="18"/>
      <c r="D852" s="18"/>
      <c r="E852" s="18" t="s">
        <v>1652</v>
      </c>
      <c r="F852" s="18" t="s">
        <v>1190</v>
      </c>
      <c r="G852" s="18" t="s">
        <v>74</v>
      </c>
      <c r="H852" s="18" t="n">
        <v>652</v>
      </c>
      <c r="I852" s="19" t="n">
        <v>0</v>
      </c>
      <c r="J852" s="19" t="n">
        <v>253</v>
      </c>
      <c r="K852" s="19" t="n">
        <v>253</v>
      </c>
      <c r="L852" s="19" t="n">
        <v>0</v>
      </c>
      <c r="M852" s="19" t="n">
        <f aca="false">ABS(L852)</f>
        <v>0</v>
      </c>
      <c r="N852" s="18" t="str">
        <f aca="false">IF(L852=0,"Nil balance",IF(G852="AR file",IF(L852&gt;0,"Accounts Receivable","Customer Advances"),IF(L852&lt;0,"Accounts Payable","Supplier Advances")))</f>
        <v>Nil balance</v>
      </c>
      <c r="O852" s="18" t="str">
        <f aca="false">IF(L852=0,"Excluded",IF(Summary!$C$4="By ledger",IF(G852="AR file","Population 1","Population 2"),IF(L852&gt;0,"Population 1","Population 2")))</f>
        <v>Excluded</v>
      </c>
      <c r="P852" s="18" t="str">
        <f aca="false">IF(O852="Excluded","Excluded – nil closing balance",IF(M852&gt;Summary!$C$5,"Above Materiality","Below Materiality"))</f>
        <v>Excluded – nil closing balance</v>
      </c>
      <c r="Q852" s="20" t="str">
        <f aca="false">IF(P852="Below Materiality",T852,"")</f>
        <v/>
      </c>
      <c r="R852" s="21" t="str">
        <f aca="false">IF(P852="Above Materiality",COUNTIFS($O$2:$O$1092,O852,$P$2:$P$1092,"Above Materiality",$M$2:$M$1092,"&gt;"&amp;M852)+COUNTIFS($O$2:$O$1092,O852,$P$2:$P$1092,"Above Materiality",$M$2:$M$1092,M852,$A$2:$A$1092,"&lt;"&amp;A852)+1,"")</f>
        <v/>
      </c>
      <c r="S852" s="21" t="str">
        <f aca="false">IF(P852&lt;&gt;"Below Materiality","",IF(Summary!$C$9="Random",COUNTIFS($O$2:$O$1092,O852,$Q$2:$Q$1092,"&gt;"&amp;Q852)+1,COUNTIFS($O$2:$O$1092,O852,$P$2:$P$1092,"Below Materiality",$M$2:$M$1092,"&gt;"&amp;M852)+COUNTIFS($O$2:$O$1092,O852,$P$2:$P$1092,"Below Materiality",$M$2:$M$1092,M852,$A$2:$A$1092,"&lt;"&amp;A852)+1))</f>
        <v/>
      </c>
      <c r="T852" s="22"/>
      <c r="U852" s="21" t="str">
        <f aca="false">IF(R852="","",O852&amp;"|A|"&amp;R852)</f>
        <v/>
      </c>
      <c r="V852" s="21" t="str">
        <f aca="false">IF(S852="","",O852&amp;"|R|"&amp;S852)</f>
        <v/>
      </c>
    </row>
    <row r="853" customFormat="false" ht="15" hidden="false" customHeight="false" outlineLevel="0" collapsed="false">
      <c r="A853" s="18" t="n">
        <v>852</v>
      </c>
      <c r="B853" s="18"/>
      <c r="C853" s="18"/>
      <c r="D853" s="18"/>
      <c r="E853" s="18" t="s">
        <v>1653</v>
      </c>
      <c r="F853" s="18" t="s">
        <v>1654</v>
      </c>
      <c r="G853" s="18" t="s">
        <v>74</v>
      </c>
      <c r="H853" s="18" t="n">
        <v>653</v>
      </c>
      <c r="I853" s="19" t="n">
        <v>0</v>
      </c>
      <c r="J853" s="19" t="n">
        <v>55240</v>
      </c>
      <c r="K853" s="19" t="n">
        <v>55240</v>
      </c>
      <c r="L853" s="19" t="n">
        <v>0</v>
      </c>
      <c r="M853" s="19" t="n">
        <f aca="false">ABS(L853)</f>
        <v>0</v>
      </c>
      <c r="N853" s="18" t="str">
        <f aca="false">IF(L853=0,"Nil balance",IF(G853="AR file",IF(L853&gt;0,"Accounts Receivable","Customer Advances"),IF(L853&lt;0,"Accounts Payable","Supplier Advances")))</f>
        <v>Nil balance</v>
      </c>
      <c r="O853" s="18" t="str">
        <f aca="false">IF(L853=0,"Excluded",IF(Summary!$C$4="By ledger",IF(G853="AR file","Population 1","Population 2"),IF(L853&gt;0,"Population 1","Population 2")))</f>
        <v>Excluded</v>
      </c>
      <c r="P853" s="18" t="str">
        <f aca="false">IF(O853="Excluded","Excluded – nil closing balance",IF(M853&gt;Summary!$C$5,"Above Materiality","Below Materiality"))</f>
        <v>Excluded – nil closing balance</v>
      </c>
      <c r="Q853" s="20" t="str">
        <f aca="false">IF(P853="Below Materiality",T853,"")</f>
        <v/>
      </c>
      <c r="R853" s="21" t="str">
        <f aca="false">IF(P853="Above Materiality",COUNTIFS($O$2:$O$1092,O853,$P$2:$P$1092,"Above Materiality",$M$2:$M$1092,"&gt;"&amp;M853)+COUNTIFS($O$2:$O$1092,O853,$P$2:$P$1092,"Above Materiality",$M$2:$M$1092,M853,$A$2:$A$1092,"&lt;"&amp;A853)+1,"")</f>
        <v/>
      </c>
      <c r="S853" s="21" t="str">
        <f aca="false">IF(P853&lt;&gt;"Below Materiality","",IF(Summary!$C$9="Random",COUNTIFS($O$2:$O$1092,O853,$Q$2:$Q$1092,"&gt;"&amp;Q853)+1,COUNTIFS($O$2:$O$1092,O853,$P$2:$P$1092,"Below Materiality",$M$2:$M$1092,"&gt;"&amp;M853)+COUNTIFS($O$2:$O$1092,O853,$P$2:$P$1092,"Below Materiality",$M$2:$M$1092,M853,$A$2:$A$1092,"&lt;"&amp;A853)+1))</f>
        <v/>
      </c>
      <c r="T853" s="22"/>
      <c r="U853" s="21" t="str">
        <f aca="false">IF(R853="","",O853&amp;"|A|"&amp;R853)</f>
        <v/>
      </c>
      <c r="V853" s="21" t="str">
        <f aca="false">IF(S853="","",O853&amp;"|R|"&amp;S853)</f>
        <v/>
      </c>
    </row>
    <row r="854" customFormat="false" ht="15" hidden="false" customHeight="false" outlineLevel="0" collapsed="false">
      <c r="A854" s="18" t="n">
        <v>853</v>
      </c>
      <c r="B854" s="18"/>
      <c r="C854" s="18"/>
      <c r="D854" s="18"/>
      <c r="E854" s="18" t="s">
        <v>1655</v>
      </c>
      <c r="F854" s="18" t="s">
        <v>508</v>
      </c>
      <c r="G854" s="18" t="s">
        <v>74</v>
      </c>
      <c r="H854" s="18" t="n">
        <v>654</v>
      </c>
      <c r="I854" s="19" t="n">
        <v>0</v>
      </c>
      <c r="J854" s="19" t="n">
        <v>60</v>
      </c>
      <c r="K854" s="19" t="n">
        <v>60</v>
      </c>
      <c r="L854" s="19" t="n">
        <v>0</v>
      </c>
      <c r="M854" s="19" t="n">
        <f aca="false">ABS(L854)</f>
        <v>0</v>
      </c>
      <c r="N854" s="18" t="str">
        <f aca="false">IF(L854=0,"Nil balance",IF(G854="AR file",IF(L854&gt;0,"Accounts Receivable","Customer Advances"),IF(L854&lt;0,"Accounts Payable","Supplier Advances")))</f>
        <v>Nil balance</v>
      </c>
      <c r="O854" s="18" t="str">
        <f aca="false">IF(L854=0,"Excluded",IF(Summary!$C$4="By ledger",IF(G854="AR file","Population 1","Population 2"),IF(L854&gt;0,"Population 1","Population 2")))</f>
        <v>Excluded</v>
      </c>
      <c r="P854" s="18" t="str">
        <f aca="false">IF(O854="Excluded","Excluded – nil closing balance",IF(M854&gt;Summary!$C$5,"Above Materiality","Below Materiality"))</f>
        <v>Excluded – nil closing balance</v>
      </c>
      <c r="Q854" s="20" t="str">
        <f aca="false">IF(P854="Below Materiality",T854,"")</f>
        <v/>
      </c>
      <c r="R854" s="21" t="str">
        <f aca="false">IF(P854="Above Materiality",COUNTIFS($O$2:$O$1092,O854,$P$2:$P$1092,"Above Materiality",$M$2:$M$1092,"&gt;"&amp;M854)+COUNTIFS($O$2:$O$1092,O854,$P$2:$P$1092,"Above Materiality",$M$2:$M$1092,M854,$A$2:$A$1092,"&lt;"&amp;A854)+1,"")</f>
        <v/>
      </c>
      <c r="S854" s="21" t="str">
        <f aca="false">IF(P854&lt;&gt;"Below Materiality","",IF(Summary!$C$9="Random",COUNTIFS($O$2:$O$1092,O854,$Q$2:$Q$1092,"&gt;"&amp;Q854)+1,COUNTIFS($O$2:$O$1092,O854,$P$2:$P$1092,"Below Materiality",$M$2:$M$1092,"&gt;"&amp;M854)+COUNTIFS($O$2:$O$1092,O854,$P$2:$P$1092,"Below Materiality",$M$2:$M$1092,M854,$A$2:$A$1092,"&lt;"&amp;A854)+1))</f>
        <v/>
      </c>
      <c r="T854" s="22"/>
      <c r="U854" s="21" t="str">
        <f aca="false">IF(R854="","",O854&amp;"|A|"&amp;R854)</f>
        <v/>
      </c>
      <c r="V854" s="21" t="str">
        <f aca="false">IF(S854="","",O854&amp;"|R|"&amp;S854)</f>
        <v/>
      </c>
    </row>
    <row r="855" customFormat="false" ht="15" hidden="false" customHeight="false" outlineLevel="0" collapsed="false">
      <c r="A855" s="18" t="n">
        <v>854</v>
      </c>
      <c r="B855" s="18"/>
      <c r="C855" s="18"/>
      <c r="D855" s="18"/>
      <c r="E855" s="18" t="s">
        <v>1656</v>
      </c>
      <c r="F855" s="18" t="s">
        <v>417</v>
      </c>
      <c r="G855" s="18" t="s">
        <v>74</v>
      </c>
      <c r="H855" s="18" t="n">
        <v>655</v>
      </c>
      <c r="I855" s="19" t="n">
        <v>0</v>
      </c>
      <c r="J855" s="19" t="n">
        <v>276</v>
      </c>
      <c r="K855" s="19" t="n">
        <v>276</v>
      </c>
      <c r="L855" s="19" t="n">
        <v>0</v>
      </c>
      <c r="M855" s="19" t="n">
        <f aca="false">ABS(L855)</f>
        <v>0</v>
      </c>
      <c r="N855" s="18" t="str">
        <f aca="false">IF(L855=0,"Nil balance",IF(G855="AR file",IF(L855&gt;0,"Accounts Receivable","Customer Advances"),IF(L855&lt;0,"Accounts Payable","Supplier Advances")))</f>
        <v>Nil balance</v>
      </c>
      <c r="O855" s="18" t="str">
        <f aca="false">IF(L855=0,"Excluded",IF(Summary!$C$4="By ledger",IF(G855="AR file","Population 1","Population 2"),IF(L855&gt;0,"Population 1","Population 2")))</f>
        <v>Excluded</v>
      </c>
      <c r="P855" s="18" t="str">
        <f aca="false">IF(O855="Excluded","Excluded – nil closing balance",IF(M855&gt;Summary!$C$5,"Above Materiality","Below Materiality"))</f>
        <v>Excluded – nil closing balance</v>
      </c>
      <c r="Q855" s="20" t="str">
        <f aca="false">IF(P855="Below Materiality",T855,"")</f>
        <v/>
      </c>
      <c r="R855" s="21" t="str">
        <f aca="false">IF(P855="Above Materiality",COUNTIFS($O$2:$O$1092,O855,$P$2:$P$1092,"Above Materiality",$M$2:$M$1092,"&gt;"&amp;M855)+COUNTIFS($O$2:$O$1092,O855,$P$2:$P$1092,"Above Materiality",$M$2:$M$1092,M855,$A$2:$A$1092,"&lt;"&amp;A855)+1,"")</f>
        <v/>
      </c>
      <c r="S855" s="21" t="str">
        <f aca="false">IF(P855&lt;&gt;"Below Materiality","",IF(Summary!$C$9="Random",COUNTIFS($O$2:$O$1092,O855,$Q$2:$Q$1092,"&gt;"&amp;Q855)+1,COUNTIFS($O$2:$O$1092,O855,$P$2:$P$1092,"Below Materiality",$M$2:$M$1092,"&gt;"&amp;M855)+COUNTIFS($O$2:$O$1092,O855,$P$2:$P$1092,"Below Materiality",$M$2:$M$1092,M855,$A$2:$A$1092,"&lt;"&amp;A855)+1))</f>
        <v/>
      </c>
      <c r="T855" s="22"/>
      <c r="U855" s="21" t="str">
        <f aca="false">IF(R855="","",O855&amp;"|A|"&amp;R855)</f>
        <v/>
      </c>
      <c r="V855" s="21" t="str">
        <f aca="false">IF(S855="","",O855&amp;"|R|"&amp;S855)</f>
        <v/>
      </c>
    </row>
    <row r="856" customFormat="false" ht="15" hidden="false" customHeight="false" outlineLevel="0" collapsed="false">
      <c r="A856" s="18" t="n">
        <v>855</v>
      </c>
      <c r="B856" s="18"/>
      <c r="C856" s="18"/>
      <c r="D856" s="18"/>
      <c r="E856" s="18" t="s">
        <v>1657</v>
      </c>
      <c r="F856" s="18" t="s">
        <v>1658</v>
      </c>
      <c r="G856" s="18" t="s">
        <v>74</v>
      </c>
      <c r="H856" s="18" t="n">
        <v>656</v>
      </c>
      <c r="I856" s="19" t="n">
        <v>0</v>
      </c>
      <c r="J856" s="19" t="n">
        <v>943.5</v>
      </c>
      <c r="K856" s="19" t="n">
        <v>943.5</v>
      </c>
      <c r="L856" s="19" t="n">
        <v>0</v>
      </c>
      <c r="M856" s="19" t="n">
        <f aca="false">ABS(L856)</f>
        <v>0</v>
      </c>
      <c r="N856" s="18" t="str">
        <f aca="false">IF(L856=0,"Nil balance",IF(G856="AR file",IF(L856&gt;0,"Accounts Receivable","Customer Advances"),IF(L856&lt;0,"Accounts Payable","Supplier Advances")))</f>
        <v>Nil balance</v>
      </c>
      <c r="O856" s="18" t="str">
        <f aca="false">IF(L856=0,"Excluded",IF(Summary!$C$4="By ledger",IF(G856="AR file","Population 1","Population 2"),IF(L856&gt;0,"Population 1","Population 2")))</f>
        <v>Excluded</v>
      </c>
      <c r="P856" s="18" t="str">
        <f aca="false">IF(O856="Excluded","Excluded – nil closing balance",IF(M856&gt;Summary!$C$5,"Above Materiality","Below Materiality"))</f>
        <v>Excluded – nil closing balance</v>
      </c>
      <c r="Q856" s="20" t="str">
        <f aca="false">IF(P856="Below Materiality",T856,"")</f>
        <v/>
      </c>
      <c r="R856" s="21" t="str">
        <f aca="false">IF(P856="Above Materiality",COUNTIFS($O$2:$O$1092,O856,$P$2:$P$1092,"Above Materiality",$M$2:$M$1092,"&gt;"&amp;M856)+COUNTIFS($O$2:$O$1092,O856,$P$2:$P$1092,"Above Materiality",$M$2:$M$1092,M856,$A$2:$A$1092,"&lt;"&amp;A856)+1,"")</f>
        <v/>
      </c>
      <c r="S856" s="21" t="str">
        <f aca="false">IF(P856&lt;&gt;"Below Materiality","",IF(Summary!$C$9="Random",COUNTIFS($O$2:$O$1092,O856,$Q$2:$Q$1092,"&gt;"&amp;Q856)+1,COUNTIFS($O$2:$O$1092,O856,$P$2:$P$1092,"Below Materiality",$M$2:$M$1092,"&gt;"&amp;M856)+COUNTIFS($O$2:$O$1092,O856,$P$2:$P$1092,"Below Materiality",$M$2:$M$1092,M856,$A$2:$A$1092,"&lt;"&amp;A856)+1))</f>
        <v/>
      </c>
      <c r="T856" s="22"/>
      <c r="U856" s="21" t="str">
        <f aca="false">IF(R856="","",O856&amp;"|A|"&amp;R856)</f>
        <v/>
      </c>
      <c r="V856" s="21" t="str">
        <f aca="false">IF(S856="","",O856&amp;"|R|"&amp;S856)</f>
        <v/>
      </c>
    </row>
    <row r="857" customFormat="false" ht="15" hidden="false" customHeight="false" outlineLevel="0" collapsed="false">
      <c r="A857" s="18" t="n">
        <v>856</v>
      </c>
      <c r="B857" s="18"/>
      <c r="C857" s="18"/>
      <c r="D857" s="18"/>
      <c r="E857" s="18" t="s">
        <v>1659</v>
      </c>
      <c r="F857" s="18" t="s">
        <v>1608</v>
      </c>
      <c r="G857" s="18" t="s">
        <v>74</v>
      </c>
      <c r="H857" s="18" t="n">
        <v>657</v>
      </c>
      <c r="I857" s="19" t="n">
        <v>0</v>
      </c>
      <c r="J857" s="19" t="n">
        <v>150</v>
      </c>
      <c r="K857" s="19" t="n">
        <v>150</v>
      </c>
      <c r="L857" s="19" t="n">
        <v>0</v>
      </c>
      <c r="M857" s="19" t="n">
        <f aca="false">ABS(L857)</f>
        <v>0</v>
      </c>
      <c r="N857" s="18" t="str">
        <f aca="false">IF(L857=0,"Nil balance",IF(G857="AR file",IF(L857&gt;0,"Accounts Receivable","Customer Advances"),IF(L857&lt;0,"Accounts Payable","Supplier Advances")))</f>
        <v>Nil balance</v>
      </c>
      <c r="O857" s="18" t="str">
        <f aca="false">IF(L857=0,"Excluded",IF(Summary!$C$4="By ledger",IF(G857="AR file","Population 1","Population 2"),IF(L857&gt;0,"Population 1","Population 2")))</f>
        <v>Excluded</v>
      </c>
      <c r="P857" s="18" t="str">
        <f aca="false">IF(O857="Excluded","Excluded – nil closing balance",IF(M857&gt;Summary!$C$5,"Above Materiality","Below Materiality"))</f>
        <v>Excluded – nil closing balance</v>
      </c>
      <c r="Q857" s="20" t="str">
        <f aca="false">IF(P857="Below Materiality",T857,"")</f>
        <v/>
      </c>
      <c r="R857" s="21" t="str">
        <f aca="false">IF(P857="Above Materiality",COUNTIFS($O$2:$O$1092,O857,$P$2:$P$1092,"Above Materiality",$M$2:$M$1092,"&gt;"&amp;M857)+COUNTIFS($O$2:$O$1092,O857,$P$2:$P$1092,"Above Materiality",$M$2:$M$1092,M857,$A$2:$A$1092,"&lt;"&amp;A857)+1,"")</f>
        <v/>
      </c>
      <c r="S857" s="21" t="str">
        <f aca="false">IF(P857&lt;&gt;"Below Materiality","",IF(Summary!$C$9="Random",COUNTIFS($O$2:$O$1092,O857,$Q$2:$Q$1092,"&gt;"&amp;Q857)+1,COUNTIFS($O$2:$O$1092,O857,$P$2:$P$1092,"Below Materiality",$M$2:$M$1092,"&gt;"&amp;M857)+COUNTIFS($O$2:$O$1092,O857,$P$2:$P$1092,"Below Materiality",$M$2:$M$1092,M857,$A$2:$A$1092,"&lt;"&amp;A857)+1))</f>
        <v/>
      </c>
      <c r="T857" s="22"/>
      <c r="U857" s="21" t="str">
        <f aca="false">IF(R857="","",O857&amp;"|A|"&amp;R857)</f>
        <v/>
      </c>
      <c r="V857" s="21" t="str">
        <f aca="false">IF(S857="","",O857&amp;"|R|"&amp;S857)</f>
        <v/>
      </c>
    </row>
    <row r="858" customFormat="false" ht="15" hidden="false" customHeight="false" outlineLevel="0" collapsed="false">
      <c r="A858" s="18" t="n">
        <v>857</v>
      </c>
      <c r="B858" s="18"/>
      <c r="C858" s="18"/>
      <c r="D858" s="18"/>
      <c r="E858" s="18" t="s">
        <v>1660</v>
      </c>
      <c r="F858" s="18" t="s">
        <v>1336</v>
      </c>
      <c r="G858" s="18" t="s">
        <v>74</v>
      </c>
      <c r="H858" s="18" t="n">
        <v>658</v>
      </c>
      <c r="I858" s="19" t="n">
        <v>0</v>
      </c>
      <c r="J858" s="19" t="n">
        <v>620</v>
      </c>
      <c r="K858" s="19" t="n">
        <v>620</v>
      </c>
      <c r="L858" s="19" t="n">
        <v>0</v>
      </c>
      <c r="M858" s="19" t="n">
        <f aca="false">ABS(L858)</f>
        <v>0</v>
      </c>
      <c r="N858" s="18" t="str">
        <f aca="false">IF(L858=0,"Nil balance",IF(G858="AR file",IF(L858&gt;0,"Accounts Receivable","Customer Advances"),IF(L858&lt;0,"Accounts Payable","Supplier Advances")))</f>
        <v>Nil balance</v>
      </c>
      <c r="O858" s="18" t="str">
        <f aca="false">IF(L858=0,"Excluded",IF(Summary!$C$4="By ledger",IF(G858="AR file","Population 1","Population 2"),IF(L858&gt;0,"Population 1","Population 2")))</f>
        <v>Excluded</v>
      </c>
      <c r="P858" s="18" t="str">
        <f aca="false">IF(O858="Excluded","Excluded – nil closing balance",IF(M858&gt;Summary!$C$5,"Above Materiality","Below Materiality"))</f>
        <v>Excluded – nil closing balance</v>
      </c>
      <c r="Q858" s="20" t="str">
        <f aca="false">IF(P858="Below Materiality",T858,"")</f>
        <v/>
      </c>
      <c r="R858" s="21" t="str">
        <f aca="false">IF(P858="Above Materiality",COUNTIFS($O$2:$O$1092,O858,$P$2:$P$1092,"Above Materiality",$M$2:$M$1092,"&gt;"&amp;M858)+COUNTIFS($O$2:$O$1092,O858,$P$2:$P$1092,"Above Materiality",$M$2:$M$1092,M858,$A$2:$A$1092,"&lt;"&amp;A858)+1,"")</f>
        <v/>
      </c>
      <c r="S858" s="21" t="str">
        <f aca="false">IF(P858&lt;&gt;"Below Materiality","",IF(Summary!$C$9="Random",COUNTIFS($O$2:$O$1092,O858,$Q$2:$Q$1092,"&gt;"&amp;Q858)+1,COUNTIFS($O$2:$O$1092,O858,$P$2:$P$1092,"Below Materiality",$M$2:$M$1092,"&gt;"&amp;M858)+COUNTIFS($O$2:$O$1092,O858,$P$2:$P$1092,"Below Materiality",$M$2:$M$1092,M858,$A$2:$A$1092,"&lt;"&amp;A858)+1))</f>
        <v/>
      </c>
      <c r="T858" s="22"/>
      <c r="U858" s="21" t="str">
        <f aca="false">IF(R858="","",O858&amp;"|A|"&amp;R858)</f>
        <v/>
      </c>
      <c r="V858" s="21" t="str">
        <f aca="false">IF(S858="","",O858&amp;"|R|"&amp;S858)</f>
        <v/>
      </c>
    </row>
    <row r="859" customFormat="false" ht="15" hidden="false" customHeight="false" outlineLevel="0" collapsed="false">
      <c r="A859" s="18" t="n">
        <v>858</v>
      </c>
      <c r="B859" s="18"/>
      <c r="C859" s="18"/>
      <c r="D859" s="18"/>
      <c r="E859" s="18" t="s">
        <v>1661</v>
      </c>
      <c r="F859" s="18" t="s">
        <v>474</v>
      </c>
      <c r="G859" s="18" t="s">
        <v>74</v>
      </c>
      <c r="H859" s="18" t="n">
        <v>659</v>
      </c>
      <c r="I859" s="19" t="n">
        <v>0</v>
      </c>
      <c r="J859" s="19" t="n">
        <v>115</v>
      </c>
      <c r="K859" s="19" t="n">
        <v>115</v>
      </c>
      <c r="L859" s="19" t="n">
        <v>0</v>
      </c>
      <c r="M859" s="19" t="n">
        <f aca="false">ABS(L859)</f>
        <v>0</v>
      </c>
      <c r="N859" s="18" t="str">
        <f aca="false">IF(L859=0,"Nil balance",IF(G859="AR file",IF(L859&gt;0,"Accounts Receivable","Customer Advances"),IF(L859&lt;0,"Accounts Payable","Supplier Advances")))</f>
        <v>Nil balance</v>
      </c>
      <c r="O859" s="18" t="str">
        <f aca="false">IF(L859=0,"Excluded",IF(Summary!$C$4="By ledger",IF(G859="AR file","Population 1","Population 2"),IF(L859&gt;0,"Population 1","Population 2")))</f>
        <v>Excluded</v>
      </c>
      <c r="P859" s="18" t="str">
        <f aca="false">IF(O859="Excluded","Excluded – nil closing balance",IF(M859&gt;Summary!$C$5,"Above Materiality","Below Materiality"))</f>
        <v>Excluded – nil closing balance</v>
      </c>
      <c r="Q859" s="20" t="str">
        <f aca="false">IF(P859="Below Materiality",T859,"")</f>
        <v/>
      </c>
      <c r="R859" s="21" t="str">
        <f aca="false">IF(P859="Above Materiality",COUNTIFS($O$2:$O$1092,O859,$P$2:$P$1092,"Above Materiality",$M$2:$M$1092,"&gt;"&amp;M859)+COUNTIFS($O$2:$O$1092,O859,$P$2:$P$1092,"Above Materiality",$M$2:$M$1092,M859,$A$2:$A$1092,"&lt;"&amp;A859)+1,"")</f>
        <v/>
      </c>
      <c r="S859" s="21" t="str">
        <f aca="false">IF(P859&lt;&gt;"Below Materiality","",IF(Summary!$C$9="Random",COUNTIFS($O$2:$O$1092,O859,$Q$2:$Q$1092,"&gt;"&amp;Q859)+1,COUNTIFS($O$2:$O$1092,O859,$P$2:$P$1092,"Below Materiality",$M$2:$M$1092,"&gt;"&amp;M859)+COUNTIFS($O$2:$O$1092,O859,$P$2:$P$1092,"Below Materiality",$M$2:$M$1092,M859,$A$2:$A$1092,"&lt;"&amp;A859)+1))</f>
        <v/>
      </c>
      <c r="T859" s="22"/>
      <c r="U859" s="21" t="str">
        <f aca="false">IF(R859="","",O859&amp;"|A|"&amp;R859)</f>
        <v/>
      </c>
      <c r="V859" s="21" t="str">
        <f aca="false">IF(S859="","",O859&amp;"|R|"&amp;S859)</f>
        <v/>
      </c>
    </row>
    <row r="860" customFormat="false" ht="15" hidden="false" customHeight="false" outlineLevel="0" collapsed="false">
      <c r="A860" s="18" t="n">
        <v>859</v>
      </c>
      <c r="B860" s="18"/>
      <c r="C860" s="18"/>
      <c r="D860" s="18"/>
      <c r="E860" s="18" t="s">
        <v>1662</v>
      </c>
      <c r="F860" s="18" t="s">
        <v>1663</v>
      </c>
      <c r="G860" s="18" t="s">
        <v>74</v>
      </c>
      <c r="H860" s="18" t="n">
        <v>660</v>
      </c>
      <c r="I860" s="19" t="n">
        <v>0</v>
      </c>
      <c r="J860" s="19" t="n">
        <v>23333.5</v>
      </c>
      <c r="K860" s="19" t="n">
        <v>23333.5</v>
      </c>
      <c r="L860" s="19" t="n">
        <v>0</v>
      </c>
      <c r="M860" s="19" t="n">
        <f aca="false">ABS(L860)</f>
        <v>0</v>
      </c>
      <c r="N860" s="18" t="str">
        <f aca="false">IF(L860=0,"Nil balance",IF(G860="AR file",IF(L860&gt;0,"Accounts Receivable","Customer Advances"),IF(L860&lt;0,"Accounts Payable","Supplier Advances")))</f>
        <v>Nil balance</v>
      </c>
      <c r="O860" s="18" t="str">
        <f aca="false">IF(L860=0,"Excluded",IF(Summary!$C$4="By ledger",IF(G860="AR file","Population 1","Population 2"),IF(L860&gt;0,"Population 1","Population 2")))</f>
        <v>Excluded</v>
      </c>
      <c r="P860" s="18" t="str">
        <f aca="false">IF(O860="Excluded","Excluded – nil closing balance",IF(M860&gt;Summary!$C$5,"Above Materiality","Below Materiality"))</f>
        <v>Excluded – nil closing balance</v>
      </c>
      <c r="Q860" s="20" t="str">
        <f aca="false">IF(P860="Below Materiality",T860,"")</f>
        <v/>
      </c>
      <c r="R860" s="21" t="str">
        <f aca="false">IF(P860="Above Materiality",COUNTIFS($O$2:$O$1092,O860,$P$2:$P$1092,"Above Materiality",$M$2:$M$1092,"&gt;"&amp;M860)+COUNTIFS($O$2:$O$1092,O860,$P$2:$P$1092,"Above Materiality",$M$2:$M$1092,M860,$A$2:$A$1092,"&lt;"&amp;A860)+1,"")</f>
        <v/>
      </c>
      <c r="S860" s="21" t="str">
        <f aca="false">IF(P860&lt;&gt;"Below Materiality","",IF(Summary!$C$9="Random",COUNTIFS($O$2:$O$1092,O860,$Q$2:$Q$1092,"&gt;"&amp;Q860)+1,COUNTIFS($O$2:$O$1092,O860,$P$2:$P$1092,"Below Materiality",$M$2:$M$1092,"&gt;"&amp;M860)+COUNTIFS($O$2:$O$1092,O860,$P$2:$P$1092,"Below Materiality",$M$2:$M$1092,M860,$A$2:$A$1092,"&lt;"&amp;A860)+1))</f>
        <v/>
      </c>
      <c r="T860" s="22"/>
      <c r="U860" s="21" t="str">
        <f aca="false">IF(R860="","",O860&amp;"|A|"&amp;R860)</f>
        <v/>
      </c>
      <c r="V860" s="21" t="str">
        <f aca="false">IF(S860="","",O860&amp;"|R|"&amp;S860)</f>
        <v/>
      </c>
    </row>
    <row r="861" customFormat="false" ht="15" hidden="false" customHeight="false" outlineLevel="0" collapsed="false">
      <c r="A861" s="18" t="n">
        <v>860</v>
      </c>
      <c r="B861" s="18"/>
      <c r="C861" s="18"/>
      <c r="D861" s="18"/>
      <c r="E861" s="18" t="s">
        <v>1664</v>
      </c>
      <c r="F861" s="18" t="s">
        <v>1665</v>
      </c>
      <c r="G861" s="18" t="s">
        <v>74</v>
      </c>
      <c r="H861" s="18" t="n">
        <v>661</v>
      </c>
      <c r="I861" s="19" t="n">
        <v>0</v>
      </c>
      <c r="J861" s="19" t="n">
        <v>3701.5</v>
      </c>
      <c r="K861" s="19" t="n">
        <v>3701.5</v>
      </c>
      <c r="L861" s="19" t="n">
        <v>0</v>
      </c>
      <c r="M861" s="19" t="n">
        <f aca="false">ABS(L861)</f>
        <v>0</v>
      </c>
      <c r="N861" s="18" t="str">
        <f aca="false">IF(L861=0,"Nil balance",IF(G861="AR file",IF(L861&gt;0,"Accounts Receivable","Customer Advances"),IF(L861&lt;0,"Accounts Payable","Supplier Advances")))</f>
        <v>Nil balance</v>
      </c>
      <c r="O861" s="18" t="str">
        <f aca="false">IF(L861=0,"Excluded",IF(Summary!$C$4="By ledger",IF(G861="AR file","Population 1","Population 2"),IF(L861&gt;0,"Population 1","Population 2")))</f>
        <v>Excluded</v>
      </c>
      <c r="P861" s="18" t="str">
        <f aca="false">IF(O861="Excluded","Excluded – nil closing balance",IF(M861&gt;Summary!$C$5,"Above Materiality","Below Materiality"))</f>
        <v>Excluded – nil closing balance</v>
      </c>
      <c r="Q861" s="20" t="str">
        <f aca="false">IF(P861="Below Materiality",T861,"")</f>
        <v/>
      </c>
      <c r="R861" s="21" t="str">
        <f aca="false">IF(P861="Above Materiality",COUNTIFS($O$2:$O$1092,O861,$P$2:$P$1092,"Above Materiality",$M$2:$M$1092,"&gt;"&amp;M861)+COUNTIFS($O$2:$O$1092,O861,$P$2:$P$1092,"Above Materiality",$M$2:$M$1092,M861,$A$2:$A$1092,"&lt;"&amp;A861)+1,"")</f>
        <v/>
      </c>
      <c r="S861" s="21" t="str">
        <f aca="false">IF(P861&lt;&gt;"Below Materiality","",IF(Summary!$C$9="Random",COUNTIFS($O$2:$O$1092,O861,$Q$2:$Q$1092,"&gt;"&amp;Q861)+1,COUNTIFS($O$2:$O$1092,O861,$P$2:$P$1092,"Below Materiality",$M$2:$M$1092,"&gt;"&amp;M861)+COUNTIFS($O$2:$O$1092,O861,$P$2:$P$1092,"Below Materiality",$M$2:$M$1092,M861,$A$2:$A$1092,"&lt;"&amp;A861)+1))</f>
        <v/>
      </c>
      <c r="T861" s="22"/>
      <c r="U861" s="21" t="str">
        <f aca="false">IF(R861="","",O861&amp;"|A|"&amp;R861)</f>
        <v/>
      </c>
      <c r="V861" s="21" t="str">
        <f aca="false">IF(S861="","",O861&amp;"|R|"&amp;S861)</f>
        <v/>
      </c>
    </row>
    <row r="862" customFormat="false" ht="15" hidden="false" customHeight="false" outlineLevel="0" collapsed="false">
      <c r="A862" s="18" t="n">
        <v>861</v>
      </c>
      <c r="B862" s="18"/>
      <c r="C862" s="18"/>
      <c r="D862" s="18"/>
      <c r="E862" s="18" t="s">
        <v>1666</v>
      </c>
      <c r="F862" s="18" t="s">
        <v>1667</v>
      </c>
      <c r="G862" s="18" t="s">
        <v>74</v>
      </c>
      <c r="H862" s="18" t="n">
        <v>662</v>
      </c>
      <c r="I862" s="19" t="n">
        <v>0</v>
      </c>
      <c r="J862" s="19" t="n">
        <v>15226</v>
      </c>
      <c r="K862" s="19" t="n">
        <v>15226</v>
      </c>
      <c r="L862" s="19" t="n">
        <v>0</v>
      </c>
      <c r="M862" s="19" t="n">
        <f aca="false">ABS(L862)</f>
        <v>0</v>
      </c>
      <c r="N862" s="18" t="str">
        <f aca="false">IF(L862=0,"Nil balance",IF(G862="AR file",IF(L862&gt;0,"Accounts Receivable","Customer Advances"),IF(L862&lt;0,"Accounts Payable","Supplier Advances")))</f>
        <v>Nil balance</v>
      </c>
      <c r="O862" s="18" t="str">
        <f aca="false">IF(L862=0,"Excluded",IF(Summary!$C$4="By ledger",IF(G862="AR file","Population 1","Population 2"),IF(L862&gt;0,"Population 1","Population 2")))</f>
        <v>Excluded</v>
      </c>
      <c r="P862" s="18" t="str">
        <f aca="false">IF(O862="Excluded","Excluded – nil closing balance",IF(M862&gt;Summary!$C$5,"Above Materiality","Below Materiality"))</f>
        <v>Excluded – nil closing balance</v>
      </c>
      <c r="Q862" s="20" t="str">
        <f aca="false">IF(P862="Below Materiality",T862,"")</f>
        <v/>
      </c>
      <c r="R862" s="21" t="str">
        <f aca="false">IF(P862="Above Materiality",COUNTIFS($O$2:$O$1092,O862,$P$2:$P$1092,"Above Materiality",$M$2:$M$1092,"&gt;"&amp;M862)+COUNTIFS($O$2:$O$1092,O862,$P$2:$P$1092,"Above Materiality",$M$2:$M$1092,M862,$A$2:$A$1092,"&lt;"&amp;A862)+1,"")</f>
        <v/>
      </c>
      <c r="S862" s="21" t="str">
        <f aca="false">IF(P862&lt;&gt;"Below Materiality","",IF(Summary!$C$9="Random",COUNTIFS($O$2:$O$1092,O862,$Q$2:$Q$1092,"&gt;"&amp;Q862)+1,COUNTIFS($O$2:$O$1092,O862,$P$2:$P$1092,"Below Materiality",$M$2:$M$1092,"&gt;"&amp;M862)+COUNTIFS($O$2:$O$1092,O862,$P$2:$P$1092,"Below Materiality",$M$2:$M$1092,M862,$A$2:$A$1092,"&lt;"&amp;A862)+1))</f>
        <v/>
      </c>
      <c r="T862" s="22"/>
      <c r="U862" s="21" t="str">
        <f aca="false">IF(R862="","",O862&amp;"|A|"&amp;R862)</f>
        <v/>
      </c>
      <c r="V862" s="21" t="str">
        <f aca="false">IF(S862="","",O862&amp;"|R|"&amp;S862)</f>
        <v/>
      </c>
    </row>
    <row r="863" customFormat="false" ht="15" hidden="false" customHeight="false" outlineLevel="0" collapsed="false">
      <c r="A863" s="18" t="n">
        <v>862</v>
      </c>
      <c r="B863" s="18"/>
      <c r="C863" s="18"/>
      <c r="D863" s="18"/>
      <c r="E863" s="18" t="s">
        <v>1668</v>
      </c>
      <c r="F863" s="18" t="s">
        <v>336</v>
      </c>
      <c r="G863" s="18" t="s">
        <v>74</v>
      </c>
      <c r="H863" s="18" t="n">
        <v>663</v>
      </c>
      <c r="I863" s="19" t="n">
        <v>0</v>
      </c>
      <c r="J863" s="19" t="n">
        <v>1030</v>
      </c>
      <c r="K863" s="19" t="n">
        <v>1030</v>
      </c>
      <c r="L863" s="19" t="n">
        <v>0</v>
      </c>
      <c r="M863" s="19" t="n">
        <f aca="false">ABS(L863)</f>
        <v>0</v>
      </c>
      <c r="N863" s="18" t="str">
        <f aca="false">IF(L863=0,"Nil balance",IF(G863="AR file",IF(L863&gt;0,"Accounts Receivable","Customer Advances"),IF(L863&lt;0,"Accounts Payable","Supplier Advances")))</f>
        <v>Nil balance</v>
      </c>
      <c r="O863" s="18" t="str">
        <f aca="false">IF(L863=0,"Excluded",IF(Summary!$C$4="By ledger",IF(G863="AR file","Population 1","Population 2"),IF(L863&gt;0,"Population 1","Population 2")))</f>
        <v>Excluded</v>
      </c>
      <c r="P863" s="18" t="str">
        <f aca="false">IF(O863="Excluded","Excluded – nil closing balance",IF(M863&gt;Summary!$C$5,"Above Materiality","Below Materiality"))</f>
        <v>Excluded – nil closing balance</v>
      </c>
      <c r="Q863" s="20" t="str">
        <f aca="false">IF(P863="Below Materiality",T863,"")</f>
        <v/>
      </c>
      <c r="R863" s="21" t="str">
        <f aca="false">IF(P863="Above Materiality",COUNTIFS($O$2:$O$1092,O863,$P$2:$P$1092,"Above Materiality",$M$2:$M$1092,"&gt;"&amp;M863)+COUNTIFS($O$2:$O$1092,O863,$P$2:$P$1092,"Above Materiality",$M$2:$M$1092,M863,$A$2:$A$1092,"&lt;"&amp;A863)+1,"")</f>
        <v/>
      </c>
      <c r="S863" s="21" t="str">
        <f aca="false">IF(P863&lt;&gt;"Below Materiality","",IF(Summary!$C$9="Random",COUNTIFS($O$2:$O$1092,O863,$Q$2:$Q$1092,"&gt;"&amp;Q863)+1,COUNTIFS($O$2:$O$1092,O863,$P$2:$P$1092,"Below Materiality",$M$2:$M$1092,"&gt;"&amp;M863)+COUNTIFS($O$2:$O$1092,O863,$P$2:$P$1092,"Below Materiality",$M$2:$M$1092,M863,$A$2:$A$1092,"&lt;"&amp;A863)+1))</f>
        <v/>
      </c>
      <c r="T863" s="22"/>
      <c r="U863" s="21" t="str">
        <f aca="false">IF(R863="","",O863&amp;"|A|"&amp;R863)</f>
        <v/>
      </c>
      <c r="V863" s="21" t="str">
        <f aca="false">IF(S863="","",O863&amp;"|R|"&amp;S863)</f>
        <v/>
      </c>
    </row>
    <row r="864" customFormat="false" ht="15" hidden="false" customHeight="false" outlineLevel="0" collapsed="false">
      <c r="A864" s="18" t="n">
        <v>863</v>
      </c>
      <c r="B864" s="18"/>
      <c r="C864" s="18"/>
      <c r="D864" s="18"/>
      <c r="E864" s="18" t="s">
        <v>1669</v>
      </c>
      <c r="F864" s="18" t="s">
        <v>1670</v>
      </c>
      <c r="G864" s="18" t="s">
        <v>74</v>
      </c>
      <c r="H864" s="18" t="n">
        <v>664</v>
      </c>
      <c r="I864" s="19" t="n">
        <v>0</v>
      </c>
      <c r="J864" s="19" t="n">
        <v>69.5</v>
      </c>
      <c r="K864" s="19" t="n">
        <v>69.5</v>
      </c>
      <c r="L864" s="19" t="n">
        <v>0</v>
      </c>
      <c r="M864" s="19" t="n">
        <f aca="false">ABS(L864)</f>
        <v>0</v>
      </c>
      <c r="N864" s="18" t="str">
        <f aca="false">IF(L864=0,"Nil balance",IF(G864="AR file",IF(L864&gt;0,"Accounts Receivable","Customer Advances"),IF(L864&lt;0,"Accounts Payable","Supplier Advances")))</f>
        <v>Nil balance</v>
      </c>
      <c r="O864" s="18" t="str">
        <f aca="false">IF(L864=0,"Excluded",IF(Summary!$C$4="By ledger",IF(G864="AR file","Population 1","Population 2"),IF(L864&gt;0,"Population 1","Population 2")))</f>
        <v>Excluded</v>
      </c>
      <c r="P864" s="18" t="str">
        <f aca="false">IF(O864="Excluded","Excluded – nil closing balance",IF(M864&gt;Summary!$C$5,"Above Materiality","Below Materiality"))</f>
        <v>Excluded – nil closing balance</v>
      </c>
      <c r="Q864" s="20" t="str">
        <f aca="false">IF(P864="Below Materiality",T864,"")</f>
        <v/>
      </c>
      <c r="R864" s="21" t="str">
        <f aca="false">IF(P864="Above Materiality",COUNTIFS($O$2:$O$1092,O864,$P$2:$P$1092,"Above Materiality",$M$2:$M$1092,"&gt;"&amp;M864)+COUNTIFS($O$2:$O$1092,O864,$P$2:$P$1092,"Above Materiality",$M$2:$M$1092,M864,$A$2:$A$1092,"&lt;"&amp;A864)+1,"")</f>
        <v/>
      </c>
      <c r="S864" s="21" t="str">
        <f aca="false">IF(P864&lt;&gt;"Below Materiality","",IF(Summary!$C$9="Random",COUNTIFS($O$2:$O$1092,O864,$Q$2:$Q$1092,"&gt;"&amp;Q864)+1,COUNTIFS($O$2:$O$1092,O864,$P$2:$P$1092,"Below Materiality",$M$2:$M$1092,"&gt;"&amp;M864)+COUNTIFS($O$2:$O$1092,O864,$P$2:$P$1092,"Below Materiality",$M$2:$M$1092,M864,$A$2:$A$1092,"&lt;"&amp;A864)+1))</f>
        <v/>
      </c>
      <c r="T864" s="22"/>
      <c r="U864" s="21" t="str">
        <f aca="false">IF(R864="","",O864&amp;"|A|"&amp;R864)</f>
        <v/>
      </c>
      <c r="V864" s="21" t="str">
        <f aca="false">IF(S864="","",O864&amp;"|R|"&amp;S864)</f>
        <v/>
      </c>
    </row>
    <row r="865" customFormat="false" ht="15" hidden="false" customHeight="false" outlineLevel="0" collapsed="false">
      <c r="A865" s="18" t="n">
        <v>864</v>
      </c>
      <c r="B865" s="18"/>
      <c r="C865" s="18"/>
      <c r="D865" s="18"/>
      <c r="E865" s="18" t="s">
        <v>1671</v>
      </c>
      <c r="F865" s="18" t="s">
        <v>1413</v>
      </c>
      <c r="G865" s="18" t="s">
        <v>74</v>
      </c>
      <c r="H865" s="18" t="n">
        <v>665</v>
      </c>
      <c r="I865" s="19" t="n">
        <v>0</v>
      </c>
      <c r="J865" s="19" t="n">
        <v>130</v>
      </c>
      <c r="K865" s="19" t="n">
        <v>130</v>
      </c>
      <c r="L865" s="19" t="n">
        <v>0</v>
      </c>
      <c r="M865" s="19" t="n">
        <f aca="false">ABS(L865)</f>
        <v>0</v>
      </c>
      <c r="N865" s="18" t="str">
        <f aca="false">IF(L865=0,"Nil balance",IF(G865="AR file",IF(L865&gt;0,"Accounts Receivable","Customer Advances"),IF(L865&lt;0,"Accounts Payable","Supplier Advances")))</f>
        <v>Nil balance</v>
      </c>
      <c r="O865" s="18" t="str">
        <f aca="false">IF(L865=0,"Excluded",IF(Summary!$C$4="By ledger",IF(G865="AR file","Population 1","Population 2"),IF(L865&gt;0,"Population 1","Population 2")))</f>
        <v>Excluded</v>
      </c>
      <c r="P865" s="18" t="str">
        <f aca="false">IF(O865="Excluded","Excluded – nil closing balance",IF(M865&gt;Summary!$C$5,"Above Materiality","Below Materiality"))</f>
        <v>Excluded – nil closing balance</v>
      </c>
      <c r="Q865" s="20" t="str">
        <f aca="false">IF(P865="Below Materiality",T865,"")</f>
        <v/>
      </c>
      <c r="R865" s="21" t="str">
        <f aca="false">IF(P865="Above Materiality",COUNTIFS($O$2:$O$1092,O865,$P$2:$P$1092,"Above Materiality",$M$2:$M$1092,"&gt;"&amp;M865)+COUNTIFS($O$2:$O$1092,O865,$P$2:$P$1092,"Above Materiality",$M$2:$M$1092,M865,$A$2:$A$1092,"&lt;"&amp;A865)+1,"")</f>
        <v/>
      </c>
      <c r="S865" s="21" t="str">
        <f aca="false">IF(P865&lt;&gt;"Below Materiality","",IF(Summary!$C$9="Random",COUNTIFS($O$2:$O$1092,O865,$Q$2:$Q$1092,"&gt;"&amp;Q865)+1,COUNTIFS($O$2:$O$1092,O865,$P$2:$P$1092,"Below Materiality",$M$2:$M$1092,"&gt;"&amp;M865)+COUNTIFS($O$2:$O$1092,O865,$P$2:$P$1092,"Below Materiality",$M$2:$M$1092,M865,$A$2:$A$1092,"&lt;"&amp;A865)+1))</f>
        <v/>
      </c>
      <c r="T865" s="22"/>
      <c r="U865" s="21" t="str">
        <f aca="false">IF(R865="","",O865&amp;"|A|"&amp;R865)</f>
        <v/>
      </c>
      <c r="V865" s="21" t="str">
        <f aca="false">IF(S865="","",O865&amp;"|R|"&amp;S865)</f>
        <v/>
      </c>
    </row>
    <row r="866" customFormat="false" ht="15" hidden="false" customHeight="false" outlineLevel="0" collapsed="false">
      <c r="A866" s="18" t="n">
        <v>865</v>
      </c>
      <c r="B866" s="18"/>
      <c r="C866" s="18"/>
      <c r="D866" s="18"/>
      <c r="E866" s="18" t="s">
        <v>1672</v>
      </c>
      <c r="F866" s="18" t="s">
        <v>1673</v>
      </c>
      <c r="G866" s="18" t="s">
        <v>74</v>
      </c>
      <c r="H866" s="18" t="n">
        <v>666</v>
      </c>
      <c r="I866" s="19" t="n">
        <v>0</v>
      </c>
      <c r="J866" s="19" t="n">
        <v>2640</v>
      </c>
      <c r="K866" s="19" t="n">
        <v>2640</v>
      </c>
      <c r="L866" s="19" t="n">
        <v>0</v>
      </c>
      <c r="M866" s="19" t="n">
        <f aca="false">ABS(L866)</f>
        <v>0</v>
      </c>
      <c r="N866" s="18" t="str">
        <f aca="false">IF(L866=0,"Nil balance",IF(G866="AR file",IF(L866&gt;0,"Accounts Receivable","Customer Advances"),IF(L866&lt;0,"Accounts Payable","Supplier Advances")))</f>
        <v>Nil balance</v>
      </c>
      <c r="O866" s="18" t="str">
        <f aca="false">IF(L866=0,"Excluded",IF(Summary!$C$4="By ledger",IF(G866="AR file","Population 1","Population 2"),IF(L866&gt;0,"Population 1","Population 2")))</f>
        <v>Excluded</v>
      </c>
      <c r="P866" s="18" t="str">
        <f aca="false">IF(O866="Excluded","Excluded – nil closing balance",IF(M866&gt;Summary!$C$5,"Above Materiality","Below Materiality"))</f>
        <v>Excluded – nil closing balance</v>
      </c>
      <c r="Q866" s="20" t="str">
        <f aca="false">IF(P866="Below Materiality",T866,"")</f>
        <v/>
      </c>
      <c r="R866" s="21" t="str">
        <f aca="false">IF(P866="Above Materiality",COUNTIFS($O$2:$O$1092,O866,$P$2:$P$1092,"Above Materiality",$M$2:$M$1092,"&gt;"&amp;M866)+COUNTIFS($O$2:$O$1092,O866,$P$2:$P$1092,"Above Materiality",$M$2:$M$1092,M866,$A$2:$A$1092,"&lt;"&amp;A866)+1,"")</f>
        <v/>
      </c>
      <c r="S866" s="21" t="str">
        <f aca="false">IF(P866&lt;&gt;"Below Materiality","",IF(Summary!$C$9="Random",COUNTIFS($O$2:$O$1092,O866,$Q$2:$Q$1092,"&gt;"&amp;Q866)+1,COUNTIFS($O$2:$O$1092,O866,$P$2:$P$1092,"Below Materiality",$M$2:$M$1092,"&gt;"&amp;M866)+COUNTIFS($O$2:$O$1092,O866,$P$2:$P$1092,"Below Materiality",$M$2:$M$1092,M866,$A$2:$A$1092,"&lt;"&amp;A866)+1))</f>
        <v/>
      </c>
      <c r="T866" s="22"/>
      <c r="U866" s="21" t="str">
        <f aca="false">IF(R866="","",O866&amp;"|A|"&amp;R866)</f>
        <v/>
      </c>
      <c r="V866" s="21" t="str">
        <f aca="false">IF(S866="","",O866&amp;"|R|"&amp;S866)</f>
        <v/>
      </c>
    </row>
    <row r="867" customFormat="false" ht="15" hidden="false" customHeight="false" outlineLevel="0" collapsed="false">
      <c r="A867" s="18" t="n">
        <v>866</v>
      </c>
      <c r="B867" s="18"/>
      <c r="C867" s="18"/>
      <c r="D867" s="18"/>
      <c r="E867" s="18" t="s">
        <v>1674</v>
      </c>
      <c r="F867" s="18" t="s">
        <v>1675</v>
      </c>
      <c r="G867" s="18" t="s">
        <v>74</v>
      </c>
      <c r="H867" s="18" t="n">
        <v>667</v>
      </c>
      <c r="I867" s="19" t="n">
        <v>0</v>
      </c>
      <c r="J867" s="19" t="n">
        <v>149.5</v>
      </c>
      <c r="K867" s="19" t="n">
        <v>149.5</v>
      </c>
      <c r="L867" s="19" t="n">
        <v>0</v>
      </c>
      <c r="M867" s="19" t="n">
        <f aca="false">ABS(L867)</f>
        <v>0</v>
      </c>
      <c r="N867" s="18" t="str">
        <f aca="false">IF(L867=0,"Nil balance",IF(G867="AR file",IF(L867&gt;0,"Accounts Receivable","Customer Advances"),IF(L867&lt;0,"Accounts Payable","Supplier Advances")))</f>
        <v>Nil balance</v>
      </c>
      <c r="O867" s="18" t="str">
        <f aca="false">IF(L867=0,"Excluded",IF(Summary!$C$4="By ledger",IF(G867="AR file","Population 1","Population 2"),IF(L867&gt;0,"Population 1","Population 2")))</f>
        <v>Excluded</v>
      </c>
      <c r="P867" s="18" t="str">
        <f aca="false">IF(O867="Excluded","Excluded – nil closing balance",IF(M867&gt;Summary!$C$5,"Above Materiality","Below Materiality"))</f>
        <v>Excluded – nil closing balance</v>
      </c>
      <c r="Q867" s="20" t="str">
        <f aca="false">IF(P867="Below Materiality",T867,"")</f>
        <v/>
      </c>
      <c r="R867" s="21" t="str">
        <f aca="false">IF(P867="Above Materiality",COUNTIFS($O$2:$O$1092,O867,$P$2:$P$1092,"Above Materiality",$M$2:$M$1092,"&gt;"&amp;M867)+COUNTIFS($O$2:$O$1092,O867,$P$2:$P$1092,"Above Materiality",$M$2:$M$1092,M867,$A$2:$A$1092,"&lt;"&amp;A867)+1,"")</f>
        <v/>
      </c>
      <c r="S867" s="21" t="str">
        <f aca="false">IF(P867&lt;&gt;"Below Materiality","",IF(Summary!$C$9="Random",COUNTIFS($O$2:$O$1092,O867,$Q$2:$Q$1092,"&gt;"&amp;Q867)+1,COUNTIFS($O$2:$O$1092,O867,$P$2:$P$1092,"Below Materiality",$M$2:$M$1092,"&gt;"&amp;M867)+COUNTIFS($O$2:$O$1092,O867,$P$2:$P$1092,"Below Materiality",$M$2:$M$1092,M867,$A$2:$A$1092,"&lt;"&amp;A867)+1))</f>
        <v/>
      </c>
      <c r="T867" s="22"/>
      <c r="U867" s="21" t="str">
        <f aca="false">IF(R867="","",O867&amp;"|A|"&amp;R867)</f>
        <v/>
      </c>
      <c r="V867" s="21" t="str">
        <f aca="false">IF(S867="","",O867&amp;"|R|"&amp;S867)</f>
        <v/>
      </c>
    </row>
    <row r="868" customFormat="false" ht="15" hidden="false" customHeight="false" outlineLevel="0" collapsed="false">
      <c r="A868" s="18" t="n">
        <v>867</v>
      </c>
      <c r="B868" s="18"/>
      <c r="C868" s="18"/>
      <c r="D868" s="18"/>
      <c r="E868" s="18" t="s">
        <v>1676</v>
      </c>
      <c r="F868" s="18" t="s">
        <v>1677</v>
      </c>
      <c r="G868" s="18" t="s">
        <v>74</v>
      </c>
      <c r="H868" s="18" t="n">
        <v>668</v>
      </c>
      <c r="I868" s="19" t="n">
        <v>0</v>
      </c>
      <c r="J868" s="19" t="n">
        <v>85</v>
      </c>
      <c r="K868" s="19" t="n">
        <v>85</v>
      </c>
      <c r="L868" s="19" t="n">
        <v>0</v>
      </c>
      <c r="M868" s="19" t="n">
        <f aca="false">ABS(L868)</f>
        <v>0</v>
      </c>
      <c r="N868" s="18" t="str">
        <f aca="false">IF(L868=0,"Nil balance",IF(G868="AR file",IF(L868&gt;0,"Accounts Receivable","Customer Advances"),IF(L868&lt;0,"Accounts Payable","Supplier Advances")))</f>
        <v>Nil balance</v>
      </c>
      <c r="O868" s="18" t="str">
        <f aca="false">IF(L868=0,"Excluded",IF(Summary!$C$4="By ledger",IF(G868="AR file","Population 1","Population 2"),IF(L868&gt;0,"Population 1","Population 2")))</f>
        <v>Excluded</v>
      </c>
      <c r="P868" s="18" t="str">
        <f aca="false">IF(O868="Excluded","Excluded – nil closing balance",IF(M868&gt;Summary!$C$5,"Above Materiality","Below Materiality"))</f>
        <v>Excluded – nil closing balance</v>
      </c>
      <c r="Q868" s="20" t="str">
        <f aca="false">IF(P868="Below Materiality",T868,"")</f>
        <v/>
      </c>
      <c r="R868" s="21" t="str">
        <f aca="false">IF(P868="Above Materiality",COUNTIFS($O$2:$O$1092,O868,$P$2:$P$1092,"Above Materiality",$M$2:$M$1092,"&gt;"&amp;M868)+COUNTIFS($O$2:$O$1092,O868,$P$2:$P$1092,"Above Materiality",$M$2:$M$1092,M868,$A$2:$A$1092,"&lt;"&amp;A868)+1,"")</f>
        <v/>
      </c>
      <c r="S868" s="21" t="str">
        <f aca="false">IF(P868&lt;&gt;"Below Materiality","",IF(Summary!$C$9="Random",COUNTIFS($O$2:$O$1092,O868,$Q$2:$Q$1092,"&gt;"&amp;Q868)+1,COUNTIFS($O$2:$O$1092,O868,$P$2:$P$1092,"Below Materiality",$M$2:$M$1092,"&gt;"&amp;M868)+COUNTIFS($O$2:$O$1092,O868,$P$2:$P$1092,"Below Materiality",$M$2:$M$1092,M868,$A$2:$A$1092,"&lt;"&amp;A868)+1))</f>
        <v/>
      </c>
      <c r="T868" s="22"/>
      <c r="U868" s="21" t="str">
        <f aca="false">IF(R868="","",O868&amp;"|A|"&amp;R868)</f>
        <v/>
      </c>
      <c r="V868" s="21" t="str">
        <f aca="false">IF(S868="","",O868&amp;"|R|"&amp;S868)</f>
        <v/>
      </c>
    </row>
    <row r="869" customFormat="false" ht="15" hidden="false" customHeight="false" outlineLevel="0" collapsed="false">
      <c r="A869" s="18" t="n">
        <v>868</v>
      </c>
      <c r="B869" s="18"/>
      <c r="C869" s="18"/>
      <c r="D869" s="18"/>
      <c r="E869" s="18" t="s">
        <v>1678</v>
      </c>
      <c r="F869" s="18" t="s">
        <v>1679</v>
      </c>
      <c r="G869" s="18" t="s">
        <v>74</v>
      </c>
      <c r="H869" s="18" t="n">
        <v>671</v>
      </c>
      <c r="I869" s="19" t="n">
        <v>0</v>
      </c>
      <c r="J869" s="19" t="n">
        <v>3018.75</v>
      </c>
      <c r="K869" s="19" t="n">
        <v>3018.75</v>
      </c>
      <c r="L869" s="19" t="n">
        <v>0</v>
      </c>
      <c r="M869" s="19" t="n">
        <f aca="false">ABS(L869)</f>
        <v>0</v>
      </c>
      <c r="N869" s="18" t="str">
        <f aca="false">IF(L869=0,"Nil balance",IF(G869="AR file",IF(L869&gt;0,"Accounts Receivable","Customer Advances"),IF(L869&lt;0,"Accounts Payable","Supplier Advances")))</f>
        <v>Nil balance</v>
      </c>
      <c r="O869" s="18" t="str">
        <f aca="false">IF(L869=0,"Excluded",IF(Summary!$C$4="By ledger",IF(G869="AR file","Population 1","Population 2"),IF(L869&gt;0,"Population 1","Population 2")))</f>
        <v>Excluded</v>
      </c>
      <c r="P869" s="18" t="str">
        <f aca="false">IF(O869="Excluded","Excluded – nil closing balance",IF(M869&gt;Summary!$C$5,"Above Materiality","Below Materiality"))</f>
        <v>Excluded – nil closing balance</v>
      </c>
      <c r="Q869" s="20" t="str">
        <f aca="false">IF(P869="Below Materiality",T869,"")</f>
        <v/>
      </c>
      <c r="R869" s="21" t="str">
        <f aca="false">IF(P869="Above Materiality",COUNTIFS($O$2:$O$1092,O869,$P$2:$P$1092,"Above Materiality",$M$2:$M$1092,"&gt;"&amp;M869)+COUNTIFS($O$2:$O$1092,O869,$P$2:$P$1092,"Above Materiality",$M$2:$M$1092,M869,$A$2:$A$1092,"&lt;"&amp;A869)+1,"")</f>
        <v/>
      </c>
      <c r="S869" s="21" t="str">
        <f aca="false">IF(P869&lt;&gt;"Below Materiality","",IF(Summary!$C$9="Random",COUNTIFS($O$2:$O$1092,O869,$Q$2:$Q$1092,"&gt;"&amp;Q869)+1,COUNTIFS($O$2:$O$1092,O869,$P$2:$P$1092,"Below Materiality",$M$2:$M$1092,"&gt;"&amp;M869)+COUNTIFS($O$2:$O$1092,O869,$P$2:$P$1092,"Below Materiality",$M$2:$M$1092,M869,$A$2:$A$1092,"&lt;"&amp;A869)+1))</f>
        <v/>
      </c>
      <c r="T869" s="22"/>
      <c r="U869" s="21" t="str">
        <f aca="false">IF(R869="","",O869&amp;"|A|"&amp;R869)</f>
        <v/>
      </c>
      <c r="V869" s="21" t="str">
        <f aca="false">IF(S869="","",O869&amp;"|R|"&amp;S869)</f>
        <v/>
      </c>
    </row>
    <row r="870" customFormat="false" ht="15" hidden="false" customHeight="false" outlineLevel="0" collapsed="false">
      <c r="A870" s="18" t="n">
        <v>869</v>
      </c>
      <c r="B870" s="18"/>
      <c r="C870" s="18"/>
      <c r="D870" s="18"/>
      <c r="E870" s="18" t="s">
        <v>1680</v>
      </c>
      <c r="F870" s="18" t="s">
        <v>1608</v>
      </c>
      <c r="G870" s="18" t="s">
        <v>74</v>
      </c>
      <c r="H870" s="18" t="n">
        <v>672</v>
      </c>
      <c r="I870" s="19" t="n">
        <v>0</v>
      </c>
      <c r="J870" s="19" t="n">
        <v>150</v>
      </c>
      <c r="K870" s="19" t="n">
        <v>150</v>
      </c>
      <c r="L870" s="19" t="n">
        <v>0</v>
      </c>
      <c r="M870" s="19" t="n">
        <f aca="false">ABS(L870)</f>
        <v>0</v>
      </c>
      <c r="N870" s="18" t="str">
        <f aca="false">IF(L870=0,"Nil balance",IF(G870="AR file",IF(L870&gt;0,"Accounts Receivable","Customer Advances"),IF(L870&lt;0,"Accounts Payable","Supplier Advances")))</f>
        <v>Nil balance</v>
      </c>
      <c r="O870" s="18" t="str">
        <f aca="false">IF(L870=0,"Excluded",IF(Summary!$C$4="By ledger",IF(G870="AR file","Population 1","Population 2"),IF(L870&gt;0,"Population 1","Population 2")))</f>
        <v>Excluded</v>
      </c>
      <c r="P870" s="18" t="str">
        <f aca="false">IF(O870="Excluded","Excluded – nil closing balance",IF(M870&gt;Summary!$C$5,"Above Materiality","Below Materiality"))</f>
        <v>Excluded – nil closing balance</v>
      </c>
      <c r="Q870" s="20" t="str">
        <f aca="false">IF(P870="Below Materiality",T870,"")</f>
        <v/>
      </c>
      <c r="R870" s="21" t="str">
        <f aca="false">IF(P870="Above Materiality",COUNTIFS($O$2:$O$1092,O870,$P$2:$P$1092,"Above Materiality",$M$2:$M$1092,"&gt;"&amp;M870)+COUNTIFS($O$2:$O$1092,O870,$P$2:$P$1092,"Above Materiality",$M$2:$M$1092,M870,$A$2:$A$1092,"&lt;"&amp;A870)+1,"")</f>
        <v/>
      </c>
      <c r="S870" s="21" t="str">
        <f aca="false">IF(P870&lt;&gt;"Below Materiality","",IF(Summary!$C$9="Random",COUNTIFS($O$2:$O$1092,O870,$Q$2:$Q$1092,"&gt;"&amp;Q870)+1,COUNTIFS($O$2:$O$1092,O870,$P$2:$P$1092,"Below Materiality",$M$2:$M$1092,"&gt;"&amp;M870)+COUNTIFS($O$2:$O$1092,O870,$P$2:$P$1092,"Below Materiality",$M$2:$M$1092,M870,$A$2:$A$1092,"&lt;"&amp;A870)+1))</f>
        <v/>
      </c>
      <c r="T870" s="22"/>
      <c r="U870" s="21" t="str">
        <f aca="false">IF(R870="","",O870&amp;"|A|"&amp;R870)</f>
        <v/>
      </c>
      <c r="V870" s="21" t="str">
        <f aca="false">IF(S870="","",O870&amp;"|R|"&amp;S870)</f>
        <v/>
      </c>
    </row>
    <row r="871" customFormat="false" ht="15" hidden="false" customHeight="false" outlineLevel="0" collapsed="false">
      <c r="A871" s="18" t="n">
        <v>870</v>
      </c>
      <c r="B871" s="18"/>
      <c r="C871" s="18"/>
      <c r="D871" s="18"/>
      <c r="E871" s="18" t="s">
        <v>1681</v>
      </c>
      <c r="F871" s="18" t="s">
        <v>1682</v>
      </c>
      <c r="G871" s="18" t="s">
        <v>74</v>
      </c>
      <c r="H871" s="18" t="n">
        <v>673</v>
      </c>
      <c r="I871" s="19" t="n">
        <v>0</v>
      </c>
      <c r="J871" s="19" t="n">
        <v>1535</v>
      </c>
      <c r="K871" s="19" t="n">
        <v>1535</v>
      </c>
      <c r="L871" s="19" t="n">
        <v>0</v>
      </c>
      <c r="M871" s="19" t="n">
        <f aca="false">ABS(L871)</f>
        <v>0</v>
      </c>
      <c r="N871" s="18" t="str">
        <f aca="false">IF(L871=0,"Nil balance",IF(G871="AR file",IF(L871&gt;0,"Accounts Receivable","Customer Advances"),IF(L871&lt;0,"Accounts Payable","Supplier Advances")))</f>
        <v>Nil balance</v>
      </c>
      <c r="O871" s="18" t="str">
        <f aca="false">IF(L871=0,"Excluded",IF(Summary!$C$4="By ledger",IF(G871="AR file","Population 1","Population 2"),IF(L871&gt;0,"Population 1","Population 2")))</f>
        <v>Excluded</v>
      </c>
      <c r="P871" s="18" t="str">
        <f aca="false">IF(O871="Excluded","Excluded – nil closing balance",IF(M871&gt;Summary!$C$5,"Above Materiality","Below Materiality"))</f>
        <v>Excluded – nil closing balance</v>
      </c>
      <c r="Q871" s="20" t="str">
        <f aca="false">IF(P871="Below Materiality",T871,"")</f>
        <v/>
      </c>
      <c r="R871" s="21" t="str">
        <f aca="false">IF(P871="Above Materiality",COUNTIFS($O$2:$O$1092,O871,$P$2:$P$1092,"Above Materiality",$M$2:$M$1092,"&gt;"&amp;M871)+COUNTIFS($O$2:$O$1092,O871,$P$2:$P$1092,"Above Materiality",$M$2:$M$1092,M871,$A$2:$A$1092,"&lt;"&amp;A871)+1,"")</f>
        <v/>
      </c>
      <c r="S871" s="21" t="str">
        <f aca="false">IF(P871&lt;&gt;"Below Materiality","",IF(Summary!$C$9="Random",COUNTIFS($O$2:$O$1092,O871,$Q$2:$Q$1092,"&gt;"&amp;Q871)+1,COUNTIFS($O$2:$O$1092,O871,$P$2:$P$1092,"Below Materiality",$M$2:$M$1092,"&gt;"&amp;M871)+COUNTIFS($O$2:$O$1092,O871,$P$2:$P$1092,"Below Materiality",$M$2:$M$1092,M871,$A$2:$A$1092,"&lt;"&amp;A871)+1))</f>
        <v/>
      </c>
      <c r="T871" s="22"/>
      <c r="U871" s="21" t="str">
        <f aca="false">IF(R871="","",O871&amp;"|A|"&amp;R871)</f>
        <v/>
      </c>
      <c r="V871" s="21" t="str">
        <f aca="false">IF(S871="","",O871&amp;"|R|"&amp;S871)</f>
        <v/>
      </c>
    </row>
    <row r="872" customFormat="false" ht="15" hidden="false" customHeight="false" outlineLevel="0" collapsed="false">
      <c r="A872" s="18" t="n">
        <v>871</v>
      </c>
      <c r="B872" s="18"/>
      <c r="C872" s="18"/>
      <c r="D872" s="18"/>
      <c r="E872" s="18" t="s">
        <v>1683</v>
      </c>
      <c r="F872" s="18" t="s">
        <v>1530</v>
      </c>
      <c r="G872" s="18" t="s">
        <v>74</v>
      </c>
      <c r="H872" s="18" t="n">
        <v>674</v>
      </c>
      <c r="I872" s="19" t="n">
        <v>0</v>
      </c>
      <c r="J872" s="19" t="n">
        <v>126.5</v>
      </c>
      <c r="K872" s="19" t="n">
        <v>126.5</v>
      </c>
      <c r="L872" s="19" t="n">
        <v>0</v>
      </c>
      <c r="M872" s="19" t="n">
        <f aca="false">ABS(L872)</f>
        <v>0</v>
      </c>
      <c r="N872" s="18" t="str">
        <f aca="false">IF(L872=0,"Nil balance",IF(G872="AR file",IF(L872&gt;0,"Accounts Receivable","Customer Advances"),IF(L872&lt;0,"Accounts Payable","Supplier Advances")))</f>
        <v>Nil balance</v>
      </c>
      <c r="O872" s="18" t="str">
        <f aca="false">IF(L872=0,"Excluded",IF(Summary!$C$4="By ledger",IF(G872="AR file","Population 1","Population 2"),IF(L872&gt;0,"Population 1","Population 2")))</f>
        <v>Excluded</v>
      </c>
      <c r="P872" s="18" t="str">
        <f aca="false">IF(O872="Excluded","Excluded – nil closing balance",IF(M872&gt;Summary!$C$5,"Above Materiality","Below Materiality"))</f>
        <v>Excluded – nil closing balance</v>
      </c>
      <c r="Q872" s="20" t="str">
        <f aca="false">IF(P872="Below Materiality",T872,"")</f>
        <v/>
      </c>
      <c r="R872" s="21" t="str">
        <f aca="false">IF(P872="Above Materiality",COUNTIFS($O$2:$O$1092,O872,$P$2:$P$1092,"Above Materiality",$M$2:$M$1092,"&gt;"&amp;M872)+COUNTIFS($O$2:$O$1092,O872,$P$2:$P$1092,"Above Materiality",$M$2:$M$1092,M872,$A$2:$A$1092,"&lt;"&amp;A872)+1,"")</f>
        <v/>
      </c>
      <c r="S872" s="21" t="str">
        <f aca="false">IF(P872&lt;&gt;"Below Materiality","",IF(Summary!$C$9="Random",COUNTIFS($O$2:$O$1092,O872,$Q$2:$Q$1092,"&gt;"&amp;Q872)+1,COUNTIFS($O$2:$O$1092,O872,$P$2:$P$1092,"Below Materiality",$M$2:$M$1092,"&gt;"&amp;M872)+COUNTIFS($O$2:$O$1092,O872,$P$2:$P$1092,"Below Materiality",$M$2:$M$1092,M872,$A$2:$A$1092,"&lt;"&amp;A872)+1))</f>
        <v/>
      </c>
      <c r="T872" s="22"/>
      <c r="U872" s="21" t="str">
        <f aca="false">IF(R872="","",O872&amp;"|A|"&amp;R872)</f>
        <v/>
      </c>
      <c r="V872" s="21" t="str">
        <f aca="false">IF(S872="","",O872&amp;"|R|"&amp;S872)</f>
        <v/>
      </c>
    </row>
    <row r="873" customFormat="false" ht="15" hidden="false" customHeight="false" outlineLevel="0" collapsed="false">
      <c r="A873" s="18" t="n">
        <v>872</v>
      </c>
      <c r="B873" s="18"/>
      <c r="C873" s="18"/>
      <c r="D873" s="18"/>
      <c r="E873" s="18" t="s">
        <v>1684</v>
      </c>
      <c r="F873" s="18" t="s">
        <v>1685</v>
      </c>
      <c r="G873" s="18" t="s">
        <v>74</v>
      </c>
      <c r="H873" s="18" t="n">
        <v>675</v>
      </c>
      <c r="I873" s="19" t="n">
        <v>0</v>
      </c>
      <c r="J873" s="19" t="n">
        <v>2914.1</v>
      </c>
      <c r="K873" s="19" t="n">
        <v>2914.1</v>
      </c>
      <c r="L873" s="19" t="n">
        <v>0</v>
      </c>
      <c r="M873" s="19" t="n">
        <f aca="false">ABS(L873)</f>
        <v>0</v>
      </c>
      <c r="N873" s="18" t="str">
        <f aca="false">IF(L873=0,"Nil balance",IF(G873="AR file",IF(L873&gt;0,"Accounts Receivable","Customer Advances"),IF(L873&lt;0,"Accounts Payable","Supplier Advances")))</f>
        <v>Nil balance</v>
      </c>
      <c r="O873" s="18" t="str">
        <f aca="false">IF(L873=0,"Excluded",IF(Summary!$C$4="By ledger",IF(G873="AR file","Population 1","Population 2"),IF(L873&gt;0,"Population 1","Population 2")))</f>
        <v>Excluded</v>
      </c>
      <c r="P873" s="18" t="str">
        <f aca="false">IF(O873="Excluded","Excluded – nil closing balance",IF(M873&gt;Summary!$C$5,"Above Materiality","Below Materiality"))</f>
        <v>Excluded – nil closing balance</v>
      </c>
      <c r="Q873" s="20" t="str">
        <f aca="false">IF(P873="Below Materiality",T873,"")</f>
        <v/>
      </c>
      <c r="R873" s="21" t="str">
        <f aca="false">IF(P873="Above Materiality",COUNTIFS($O$2:$O$1092,O873,$P$2:$P$1092,"Above Materiality",$M$2:$M$1092,"&gt;"&amp;M873)+COUNTIFS($O$2:$O$1092,O873,$P$2:$P$1092,"Above Materiality",$M$2:$M$1092,M873,$A$2:$A$1092,"&lt;"&amp;A873)+1,"")</f>
        <v/>
      </c>
      <c r="S873" s="21" t="str">
        <f aca="false">IF(P873&lt;&gt;"Below Materiality","",IF(Summary!$C$9="Random",COUNTIFS($O$2:$O$1092,O873,$Q$2:$Q$1092,"&gt;"&amp;Q873)+1,COUNTIFS($O$2:$O$1092,O873,$P$2:$P$1092,"Below Materiality",$M$2:$M$1092,"&gt;"&amp;M873)+COUNTIFS($O$2:$O$1092,O873,$P$2:$P$1092,"Below Materiality",$M$2:$M$1092,M873,$A$2:$A$1092,"&lt;"&amp;A873)+1))</f>
        <v/>
      </c>
      <c r="T873" s="22"/>
      <c r="U873" s="21" t="str">
        <f aca="false">IF(R873="","",O873&amp;"|A|"&amp;R873)</f>
        <v/>
      </c>
      <c r="V873" s="21" t="str">
        <f aca="false">IF(S873="","",O873&amp;"|R|"&amp;S873)</f>
        <v/>
      </c>
    </row>
    <row r="874" customFormat="false" ht="15" hidden="false" customHeight="false" outlineLevel="0" collapsed="false">
      <c r="A874" s="18" t="n">
        <v>873</v>
      </c>
      <c r="B874" s="18"/>
      <c r="C874" s="18"/>
      <c r="D874" s="18"/>
      <c r="E874" s="18" t="s">
        <v>1686</v>
      </c>
      <c r="F874" s="18" t="s">
        <v>1190</v>
      </c>
      <c r="G874" s="18" t="s">
        <v>74</v>
      </c>
      <c r="H874" s="18" t="n">
        <v>676</v>
      </c>
      <c r="I874" s="19" t="n">
        <v>0</v>
      </c>
      <c r="J874" s="19" t="n">
        <v>253</v>
      </c>
      <c r="K874" s="19" t="n">
        <v>253</v>
      </c>
      <c r="L874" s="19" t="n">
        <v>0</v>
      </c>
      <c r="M874" s="19" t="n">
        <f aca="false">ABS(L874)</f>
        <v>0</v>
      </c>
      <c r="N874" s="18" t="str">
        <f aca="false">IF(L874=0,"Nil balance",IF(G874="AR file",IF(L874&gt;0,"Accounts Receivable","Customer Advances"),IF(L874&lt;0,"Accounts Payable","Supplier Advances")))</f>
        <v>Nil balance</v>
      </c>
      <c r="O874" s="18" t="str">
        <f aca="false">IF(L874=0,"Excluded",IF(Summary!$C$4="By ledger",IF(G874="AR file","Population 1","Population 2"),IF(L874&gt;0,"Population 1","Population 2")))</f>
        <v>Excluded</v>
      </c>
      <c r="P874" s="18" t="str">
        <f aca="false">IF(O874="Excluded","Excluded – nil closing balance",IF(M874&gt;Summary!$C$5,"Above Materiality","Below Materiality"))</f>
        <v>Excluded – nil closing balance</v>
      </c>
      <c r="Q874" s="20" t="str">
        <f aca="false">IF(P874="Below Materiality",T874,"")</f>
        <v/>
      </c>
      <c r="R874" s="21" t="str">
        <f aca="false">IF(P874="Above Materiality",COUNTIFS($O$2:$O$1092,O874,$P$2:$P$1092,"Above Materiality",$M$2:$M$1092,"&gt;"&amp;M874)+COUNTIFS($O$2:$O$1092,O874,$P$2:$P$1092,"Above Materiality",$M$2:$M$1092,M874,$A$2:$A$1092,"&lt;"&amp;A874)+1,"")</f>
        <v/>
      </c>
      <c r="S874" s="21" t="str">
        <f aca="false">IF(P874&lt;&gt;"Below Materiality","",IF(Summary!$C$9="Random",COUNTIFS($O$2:$O$1092,O874,$Q$2:$Q$1092,"&gt;"&amp;Q874)+1,COUNTIFS($O$2:$O$1092,O874,$P$2:$P$1092,"Below Materiality",$M$2:$M$1092,"&gt;"&amp;M874)+COUNTIFS($O$2:$O$1092,O874,$P$2:$P$1092,"Below Materiality",$M$2:$M$1092,M874,$A$2:$A$1092,"&lt;"&amp;A874)+1))</f>
        <v/>
      </c>
      <c r="T874" s="22"/>
      <c r="U874" s="21" t="str">
        <f aca="false">IF(R874="","",O874&amp;"|A|"&amp;R874)</f>
        <v/>
      </c>
      <c r="V874" s="21" t="str">
        <f aca="false">IF(S874="","",O874&amp;"|R|"&amp;S874)</f>
        <v/>
      </c>
    </row>
    <row r="875" customFormat="false" ht="15" hidden="false" customHeight="false" outlineLevel="0" collapsed="false">
      <c r="A875" s="18" t="n">
        <v>874</v>
      </c>
      <c r="B875" s="18"/>
      <c r="C875" s="18"/>
      <c r="D875" s="18"/>
      <c r="E875" s="18" t="s">
        <v>1687</v>
      </c>
      <c r="F875" s="18" t="s">
        <v>1688</v>
      </c>
      <c r="G875" s="18" t="s">
        <v>74</v>
      </c>
      <c r="H875" s="18" t="n">
        <v>677</v>
      </c>
      <c r="I875" s="19" t="n">
        <v>0</v>
      </c>
      <c r="J875" s="19" t="n">
        <v>2999.2</v>
      </c>
      <c r="K875" s="19" t="n">
        <v>2999.2</v>
      </c>
      <c r="L875" s="19" t="n">
        <v>0</v>
      </c>
      <c r="M875" s="19" t="n">
        <f aca="false">ABS(L875)</f>
        <v>0</v>
      </c>
      <c r="N875" s="18" t="str">
        <f aca="false">IF(L875=0,"Nil balance",IF(G875="AR file",IF(L875&gt;0,"Accounts Receivable","Customer Advances"),IF(L875&lt;0,"Accounts Payable","Supplier Advances")))</f>
        <v>Nil balance</v>
      </c>
      <c r="O875" s="18" t="str">
        <f aca="false">IF(L875=0,"Excluded",IF(Summary!$C$4="By ledger",IF(G875="AR file","Population 1","Population 2"),IF(L875&gt;0,"Population 1","Population 2")))</f>
        <v>Excluded</v>
      </c>
      <c r="P875" s="18" t="str">
        <f aca="false">IF(O875="Excluded","Excluded – nil closing balance",IF(M875&gt;Summary!$C$5,"Above Materiality","Below Materiality"))</f>
        <v>Excluded – nil closing balance</v>
      </c>
      <c r="Q875" s="20" t="str">
        <f aca="false">IF(P875="Below Materiality",T875,"")</f>
        <v/>
      </c>
      <c r="R875" s="21" t="str">
        <f aca="false">IF(P875="Above Materiality",COUNTIFS($O$2:$O$1092,O875,$P$2:$P$1092,"Above Materiality",$M$2:$M$1092,"&gt;"&amp;M875)+COUNTIFS($O$2:$O$1092,O875,$P$2:$P$1092,"Above Materiality",$M$2:$M$1092,M875,$A$2:$A$1092,"&lt;"&amp;A875)+1,"")</f>
        <v/>
      </c>
      <c r="S875" s="21" t="str">
        <f aca="false">IF(P875&lt;&gt;"Below Materiality","",IF(Summary!$C$9="Random",COUNTIFS($O$2:$O$1092,O875,$Q$2:$Q$1092,"&gt;"&amp;Q875)+1,COUNTIFS($O$2:$O$1092,O875,$P$2:$P$1092,"Below Materiality",$M$2:$M$1092,"&gt;"&amp;M875)+COUNTIFS($O$2:$O$1092,O875,$P$2:$P$1092,"Below Materiality",$M$2:$M$1092,M875,$A$2:$A$1092,"&lt;"&amp;A875)+1))</f>
        <v/>
      </c>
      <c r="T875" s="22"/>
      <c r="U875" s="21" t="str">
        <f aca="false">IF(R875="","",O875&amp;"|A|"&amp;R875)</f>
        <v/>
      </c>
      <c r="V875" s="21" t="str">
        <f aca="false">IF(S875="","",O875&amp;"|R|"&amp;S875)</f>
        <v/>
      </c>
    </row>
    <row r="876" customFormat="false" ht="15" hidden="false" customHeight="false" outlineLevel="0" collapsed="false">
      <c r="A876" s="18" t="n">
        <v>875</v>
      </c>
      <c r="B876" s="18"/>
      <c r="C876" s="18"/>
      <c r="D876" s="18"/>
      <c r="E876" s="18" t="s">
        <v>1689</v>
      </c>
      <c r="F876" s="18" t="s">
        <v>1675</v>
      </c>
      <c r="G876" s="18" t="s">
        <v>74</v>
      </c>
      <c r="H876" s="18" t="n">
        <v>678</v>
      </c>
      <c r="I876" s="19" t="n">
        <v>0</v>
      </c>
      <c r="J876" s="19" t="n">
        <v>149.5</v>
      </c>
      <c r="K876" s="19" t="n">
        <v>149.5</v>
      </c>
      <c r="L876" s="19" t="n">
        <v>0</v>
      </c>
      <c r="M876" s="19" t="n">
        <f aca="false">ABS(L876)</f>
        <v>0</v>
      </c>
      <c r="N876" s="18" t="str">
        <f aca="false">IF(L876=0,"Nil balance",IF(G876="AR file",IF(L876&gt;0,"Accounts Receivable","Customer Advances"),IF(L876&lt;0,"Accounts Payable","Supplier Advances")))</f>
        <v>Nil balance</v>
      </c>
      <c r="O876" s="18" t="str">
        <f aca="false">IF(L876=0,"Excluded",IF(Summary!$C$4="By ledger",IF(G876="AR file","Population 1","Population 2"),IF(L876&gt;0,"Population 1","Population 2")))</f>
        <v>Excluded</v>
      </c>
      <c r="P876" s="18" t="str">
        <f aca="false">IF(O876="Excluded","Excluded – nil closing balance",IF(M876&gt;Summary!$C$5,"Above Materiality","Below Materiality"))</f>
        <v>Excluded – nil closing balance</v>
      </c>
      <c r="Q876" s="20" t="str">
        <f aca="false">IF(P876="Below Materiality",T876,"")</f>
        <v/>
      </c>
      <c r="R876" s="21" t="str">
        <f aca="false">IF(P876="Above Materiality",COUNTIFS($O$2:$O$1092,O876,$P$2:$P$1092,"Above Materiality",$M$2:$M$1092,"&gt;"&amp;M876)+COUNTIFS($O$2:$O$1092,O876,$P$2:$P$1092,"Above Materiality",$M$2:$M$1092,M876,$A$2:$A$1092,"&lt;"&amp;A876)+1,"")</f>
        <v/>
      </c>
      <c r="S876" s="21" t="str">
        <f aca="false">IF(P876&lt;&gt;"Below Materiality","",IF(Summary!$C$9="Random",COUNTIFS($O$2:$O$1092,O876,$Q$2:$Q$1092,"&gt;"&amp;Q876)+1,COUNTIFS($O$2:$O$1092,O876,$P$2:$P$1092,"Below Materiality",$M$2:$M$1092,"&gt;"&amp;M876)+COUNTIFS($O$2:$O$1092,O876,$P$2:$P$1092,"Below Materiality",$M$2:$M$1092,M876,$A$2:$A$1092,"&lt;"&amp;A876)+1))</f>
        <v/>
      </c>
      <c r="T876" s="22"/>
      <c r="U876" s="21" t="str">
        <f aca="false">IF(R876="","",O876&amp;"|A|"&amp;R876)</f>
        <v/>
      </c>
      <c r="V876" s="21" t="str">
        <f aca="false">IF(S876="","",O876&amp;"|R|"&amp;S876)</f>
        <v/>
      </c>
    </row>
    <row r="877" customFormat="false" ht="15" hidden="false" customHeight="false" outlineLevel="0" collapsed="false">
      <c r="A877" s="18" t="n">
        <v>876</v>
      </c>
      <c r="B877" s="18"/>
      <c r="C877" s="18"/>
      <c r="D877" s="18"/>
      <c r="E877" s="18" t="s">
        <v>1690</v>
      </c>
      <c r="F877" s="18" t="s">
        <v>540</v>
      </c>
      <c r="G877" s="18" t="s">
        <v>74</v>
      </c>
      <c r="H877" s="18" t="n">
        <v>679</v>
      </c>
      <c r="I877" s="19" t="n">
        <v>0</v>
      </c>
      <c r="J877" s="19" t="n">
        <v>345</v>
      </c>
      <c r="K877" s="19" t="n">
        <v>345</v>
      </c>
      <c r="L877" s="19" t="n">
        <v>0</v>
      </c>
      <c r="M877" s="19" t="n">
        <f aca="false">ABS(L877)</f>
        <v>0</v>
      </c>
      <c r="N877" s="18" t="str">
        <f aca="false">IF(L877=0,"Nil balance",IF(G877="AR file",IF(L877&gt;0,"Accounts Receivable","Customer Advances"),IF(L877&lt;0,"Accounts Payable","Supplier Advances")))</f>
        <v>Nil balance</v>
      </c>
      <c r="O877" s="18" t="str">
        <f aca="false">IF(L877=0,"Excluded",IF(Summary!$C$4="By ledger",IF(G877="AR file","Population 1","Population 2"),IF(L877&gt;0,"Population 1","Population 2")))</f>
        <v>Excluded</v>
      </c>
      <c r="P877" s="18" t="str">
        <f aca="false">IF(O877="Excluded","Excluded – nil closing balance",IF(M877&gt;Summary!$C$5,"Above Materiality","Below Materiality"))</f>
        <v>Excluded – nil closing balance</v>
      </c>
      <c r="Q877" s="20" t="str">
        <f aca="false">IF(P877="Below Materiality",T877,"")</f>
        <v/>
      </c>
      <c r="R877" s="21" t="str">
        <f aca="false">IF(P877="Above Materiality",COUNTIFS($O$2:$O$1092,O877,$P$2:$P$1092,"Above Materiality",$M$2:$M$1092,"&gt;"&amp;M877)+COUNTIFS($O$2:$O$1092,O877,$P$2:$P$1092,"Above Materiality",$M$2:$M$1092,M877,$A$2:$A$1092,"&lt;"&amp;A877)+1,"")</f>
        <v/>
      </c>
      <c r="S877" s="21" t="str">
        <f aca="false">IF(P877&lt;&gt;"Below Materiality","",IF(Summary!$C$9="Random",COUNTIFS($O$2:$O$1092,O877,$Q$2:$Q$1092,"&gt;"&amp;Q877)+1,COUNTIFS($O$2:$O$1092,O877,$P$2:$P$1092,"Below Materiality",$M$2:$M$1092,"&gt;"&amp;M877)+COUNTIFS($O$2:$O$1092,O877,$P$2:$P$1092,"Below Materiality",$M$2:$M$1092,M877,$A$2:$A$1092,"&lt;"&amp;A877)+1))</f>
        <v/>
      </c>
      <c r="T877" s="22"/>
      <c r="U877" s="21" t="str">
        <f aca="false">IF(R877="","",O877&amp;"|A|"&amp;R877)</f>
        <v/>
      </c>
      <c r="V877" s="21" t="str">
        <f aca="false">IF(S877="","",O877&amp;"|R|"&amp;S877)</f>
        <v/>
      </c>
    </row>
    <row r="878" customFormat="false" ht="15" hidden="false" customHeight="false" outlineLevel="0" collapsed="false">
      <c r="A878" s="18" t="n">
        <v>877</v>
      </c>
      <c r="B878" s="18"/>
      <c r="C878" s="18"/>
      <c r="D878" s="18"/>
      <c r="E878" s="18" t="s">
        <v>1691</v>
      </c>
      <c r="F878" s="18" t="s">
        <v>466</v>
      </c>
      <c r="G878" s="18" t="s">
        <v>74</v>
      </c>
      <c r="H878" s="18" t="n">
        <v>680</v>
      </c>
      <c r="I878" s="19" t="n">
        <v>0</v>
      </c>
      <c r="J878" s="19" t="n">
        <v>4830</v>
      </c>
      <c r="K878" s="19" t="n">
        <v>4830</v>
      </c>
      <c r="L878" s="19" t="n">
        <v>0</v>
      </c>
      <c r="M878" s="19" t="n">
        <f aca="false">ABS(L878)</f>
        <v>0</v>
      </c>
      <c r="N878" s="18" t="str">
        <f aca="false">IF(L878=0,"Nil balance",IF(G878="AR file",IF(L878&gt;0,"Accounts Receivable","Customer Advances"),IF(L878&lt;0,"Accounts Payable","Supplier Advances")))</f>
        <v>Nil balance</v>
      </c>
      <c r="O878" s="18" t="str">
        <f aca="false">IF(L878=0,"Excluded",IF(Summary!$C$4="By ledger",IF(G878="AR file","Population 1","Population 2"),IF(L878&gt;0,"Population 1","Population 2")))</f>
        <v>Excluded</v>
      </c>
      <c r="P878" s="18" t="str">
        <f aca="false">IF(O878="Excluded","Excluded – nil closing balance",IF(M878&gt;Summary!$C$5,"Above Materiality","Below Materiality"))</f>
        <v>Excluded – nil closing balance</v>
      </c>
      <c r="Q878" s="20" t="str">
        <f aca="false">IF(P878="Below Materiality",T878,"")</f>
        <v/>
      </c>
      <c r="R878" s="21" t="str">
        <f aca="false">IF(P878="Above Materiality",COUNTIFS($O$2:$O$1092,O878,$P$2:$P$1092,"Above Materiality",$M$2:$M$1092,"&gt;"&amp;M878)+COUNTIFS($O$2:$O$1092,O878,$P$2:$P$1092,"Above Materiality",$M$2:$M$1092,M878,$A$2:$A$1092,"&lt;"&amp;A878)+1,"")</f>
        <v/>
      </c>
      <c r="S878" s="21" t="str">
        <f aca="false">IF(P878&lt;&gt;"Below Materiality","",IF(Summary!$C$9="Random",COUNTIFS($O$2:$O$1092,O878,$Q$2:$Q$1092,"&gt;"&amp;Q878)+1,COUNTIFS($O$2:$O$1092,O878,$P$2:$P$1092,"Below Materiality",$M$2:$M$1092,"&gt;"&amp;M878)+COUNTIFS($O$2:$O$1092,O878,$P$2:$P$1092,"Below Materiality",$M$2:$M$1092,M878,$A$2:$A$1092,"&lt;"&amp;A878)+1))</f>
        <v/>
      </c>
      <c r="T878" s="22"/>
      <c r="U878" s="21" t="str">
        <f aca="false">IF(R878="","",O878&amp;"|A|"&amp;R878)</f>
        <v/>
      </c>
      <c r="V878" s="21" t="str">
        <f aca="false">IF(S878="","",O878&amp;"|R|"&amp;S878)</f>
        <v/>
      </c>
    </row>
    <row r="879" customFormat="false" ht="15" hidden="false" customHeight="false" outlineLevel="0" collapsed="false">
      <c r="A879" s="18" t="n">
        <v>878</v>
      </c>
      <c r="B879" s="18"/>
      <c r="C879" s="18"/>
      <c r="D879" s="18"/>
      <c r="E879" s="18" t="s">
        <v>1692</v>
      </c>
      <c r="F879" s="18" t="s">
        <v>1693</v>
      </c>
      <c r="G879" s="18" t="s">
        <v>74</v>
      </c>
      <c r="H879" s="18" t="n">
        <v>681</v>
      </c>
      <c r="I879" s="19" t="n">
        <v>0</v>
      </c>
      <c r="J879" s="19" t="n">
        <v>3146.4</v>
      </c>
      <c r="K879" s="19" t="n">
        <v>3146.4</v>
      </c>
      <c r="L879" s="19" t="n">
        <v>0</v>
      </c>
      <c r="M879" s="19" t="n">
        <f aca="false">ABS(L879)</f>
        <v>0</v>
      </c>
      <c r="N879" s="18" t="str">
        <f aca="false">IF(L879=0,"Nil balance",IF(G879="AR file",IF(L879&gt;0,"Accounts Receivable","Customer Advances"),IF(L879&lt;0,"Accounts Payable","Supplier Advances")))</f>
        <v>Nil balance</v>
      </c>
      <c r="O879" s="18" t="str">
        <f aca="false">IF(L879=0,"Excluded",IF(Summary!$C$4="By ledger",IF(G879="AR file","Population 1","Population 2"),IF(L879&gt;0,"Population 1","Population 2")))</f>
        <v>Excluded</v>
      </c>
      <c r="P879" s="18" t="str">
        <f aca="false">IF(O879="Excluded","Excluded – nil closing balance",IF(M879&gt;Summary!$C$5,"Above Materiality","Below Materiality"))</f>
        <v>Excluded – nil closing balance</v>
      </c>
      <c r="Q879" s="20" t="str">
        <f aca="false">IF(P879="Below Materiality",T879,"")</f>
        <v/>
      </c>
      <c r="R879" s="21" t="str">
        <f aca="false">IF(P879="Above Materiality",COUNTIFS($O$2:$O$1092,O879,$P$2:$P$1092,"Above Materiality",$M$2:$M$1092,"&gt;"&amp;M879)+COUNTIFS($O$2:$O$1092,O879,$P$2:$P$1092,"Above Materiality",$M$2:$M$1092,M879,$A$2:$A$1092,"&lt;"&amp;A879)+1,"")</f>
        <v/>
      </c>
      <c r="S879" s="21" t="str">
        <f aca="false">IF(P879&lt;&gt;"Below Materiality","",IF(Summary!$C$9="Random",COUNTIFS($O$2:$O$1092,O879,$Q$2:$Q$1092,"&gt;"&amp;Q879)+1,COUNTIFS($O$2:$O$1092,O879,$P$2:$P$1092,"Below Materiality",$M$2:$M$1092,"&gt;"&amp;M879)+COUNTIFS($O$2:$O$1092,O879,$P$2:$P$1092,"Below Materiality",$M$2:$M$1092,M879,$A$2:$A$1092,"&lt;"&amp;A879)+1))</f>
        <v/>
      </c>
      <c r="T879" s="22"/>
      <c r="U879" s="21" t="str">
        <f aca="false">IF(R879="","",O879&amp;"|A|"&amp;R879)</f>
        <v/>
      </c>
      <c r="V879" s="21" t="str">
        <f aca="false">IF(S879="","",O879&amp;"|R|"&amp;S879)</f>
        <v/>
      </c>
    </row>
    <row r="880" customFormat="false" ht="15" hidden="false" customHeight="false" outlineLevel="0" collapsed="false">
      <c r="A880" s="18" t="n">
        <v>879</v>
      </c>
      <c r="B880" s="18"/>
      <c r="C880" s="18"/>
      <c r="D880" s="18"/>
      <c r="E880" s="18" t="s">
        <v>1694</v>
      </c>
      <c r="F880" s="18" t="s">
        <v>1695</v>
      </c>
      <c r="G880" s="18" t="s">
        <v>74</v>
      </c>
      <c r="H880" s="18" t="n">
        <v>682</v>
      </c>
      <c r="I880" s="19" t="n">
        <v>0</v>
      </c>
      <c r="J880" s="19" t="n">
        <v>1700</v>
      </c>
      <c r="K880" s="19" t="n">
        <v>1700</v>
      </c>
      <c r="L880" s="19" t="n">
        <v>0</v>
      </c>
      <c r="M880" s="19" t="n">
        <f aca="false">ABS(L880)</f>
        <v>0</v>
      </c>
      <c r="N880" s="18" t="str">
        <f aca="false">IF(L880=0,"Nil balance",IF(G880="AR file",IF(L880&gt;0,"Accounts Receivable","Customer Advances"),IF(L880&lt;0,"Accounts Payable","Supplier Advances")))</f>
        <v>Nil balance</v>
      </c>
      <c r="O880" s="18" t="str">
        <f aca="false">IF(L880=0,"Excluded",IF(Summary!$C$4="By ledger",IF(G880="AR file","Population 1","Population 2"),IF(L880&gt;0,"Population 1","Population 2")))</f>
        <v>Excluded</v>
      </c>
      <c r="P880" s="18" t="str">
        <f aca="false">IF(O880="Excluded","Excluded – nil closing balance",IF(M880&gt;Summary!$C$5,"Above Materiality","Below Materiality"))</f>
        <v>Excluded – nil closing balance</v>
      </c>
      <c r="Q880" s="20" t="str">
        <f aca="false">IF(P880="Below Materiality",T880,"")</f>
        <v/>
      </c>
      <c r="R880" s="21" t="str">
        <f aca="false">IF(P880="Above Materiality",COUNTIFS($O$2:$O$1092,O880,$P$2:$P$1092,"Above Materiality",$M$2:$M$1092,"&gt;"&amp;M880)+COUNTIFS($O$2:$O$1092,O880,$P$2:$P$1092,"Above Materiality",$M$2:$M$1092,M880,$A$2:$A$1092,"&lt;"&amp;A880)+1,"")</f>
        <v/>
      </c>
      <c r="S880" s="21" t="str">
        <f aca="false">IF(P880&lt;&gt;"Below Materiality","",IF(Summary!$C$9="Random",COUNTIFS($O$2:$O$1092,O880,$Q$2:$Q$1092,"&gt;"&amp;Q880)+1,COUNTIFS($O$2:$O$1092,O880,$P$2:$P$1092,"Below Materiality",$M$2:$M$1092,"&gt;"&amp;M880)+COUNTIFS($O$2:$O$1092,O880,$P$2:$P$1092,"Below Materiality",$M$2:$M$1092,M880,$A$2:$A$1092,"&lt;"&amp;A880)+1))</f>
        <v/>
      </c>
      <c r="T880" s="22"/>
      <c r="U880" s="21" t="str">
        <f aca="false">IF(R880="","",O880&amp;"|A|"&amp;R880)</f>
        <v/>
      </c>
      <c r="V880" s="21" t="str">
        <f aca="false">IF(S880="","",O880&amp;"|R|"&amp;S880)</f>
        <v/>
      </c>
    </row>
    <row r="881" customFormat="false" ht="15" hidden="false" customHeight="false" outlineLevel="0" collapsed="false">
      <c r="A881" s="18" t="n">
        <v>880</v>
      </c>
      <c r="B881" s="18"/>
      <c r="C881" s="18"/>
      <c r="D881" s="18"/>
      <c r="E881" s="18" t="s">
        <v>1696</v>
      </c>
      <c r="F881" s="18" t="s">
        <v>1697</v>
      </c>
      <c r="G881" s="18" t="s">
        <v>74</v>
      </c>
      <c r="H881" s="18" t="n">
        <v>683</v>
      </c>
      <c r="I881" s="19" t="n">
        <v>0</v>
      </c>
      <c r="J881" s="19" t="n">
        <v>34.45</v>
      </c>
      <c r="K881" s="19" t="n">
        <v>34.45</v>
      </c>
      <c r="L881" s="19" t="n">
        <v>0</v>
      </c>
      <c r="M881" s="19" t="n">
        <f aca="false">ABS(L881)</f>
        <v>0</v>
      </c>
      <c r="N881" s="18" t="str">
        <f aca="false">IF(L881=0,"Nil balance",IF(G881="AR file",IF(L881&gt;0,"Accounts Receivable","Customer Advances"),IF(L881&lt;0,"Accounts Payable","Supplier Advances")))</f>
        <v>Nil balance</v>
      </c>
      <c r="O881" s="18" t="str">
        <f aca="false">IF(L881=0,"Excluded",IF(Summary!$C$4="By ledger",IF(G881="AR file","Population 1","Population 2"),IF(L881&gt;0,"Population 1","Population 2")))</f>
        <v>Excluded</v>
      </c>
      <c r="P881" s="18" t="str">
        <f aca="false">IF(O881="Excluded","Excluded – nil closing balance",IF(M881&gt;Summary!$C$5,"Above Materiality","Below Materiality"))</f>
        <v>Excluded – nil closing balance</v>
      </c>
      <c r="Q881" s="20" t="str">
        <f aca="false">IF(P881="Below Materiality",T881,"")</f>
        <v/>
      </c>
      <c r="R881" s="21" t="str">
        <f aca="false">IF(P881="Above Materiality",COUNTIFS($O$2:$O$1092,O881,$P$2:$P$1092,"Above Materiality",$M$2:$M$1092,"&gt;"&amp;M881)+COUNTIFS($O$2:$O$1092,O881,$P$2:$P$1092,"Above Materiality",$M$2:$M$1092,M881,$A$2:$A$1092,"&lt;"&amp;A881)+1,"")</f>
        <v/>
      </c>
      <c r="S881" s="21" t="str">
        <f aca="false">IF(P881&lt;&gt;"Below Materiality","",IF(Summary!$C$9="Random",COUNTIFS($O$2:$O$1092,O881,$Q$2:$Q$1092,"&gt;"&amp;Q881)+1,COUNTIFS($O$2:$O$1092,O881,$P$2:$P$1092,"Below Materiality",$M$2:$M$1092,"&gt;"&amp;M881)+COUNTIFS($O$2:$O$1092,O881,$P$2:$P$1092,"Below Materiality",$M$2:$M$1092,M881,$A$2:$A$1092,"&lt;"&amp;A881)+1))</f>
        <v/>
      </c>
      <c r="T881" s="22"/>
      <c r="U881" s="21" t="str">
        <f aca="false">IF(R881="","",O881&amp;"|A|"&amp;R881)</f>
        <v/>
      </c>
      <c r="V881" s="21" t="str">
        <f aca="false">IF(S881="","",O881&amp;"|R|"&amp;S881)</f>
        <v/>
      </c>
    </row>
    <row r="882" customFormat="false" ht="15" hidden="false" customHeight="false" outlineLevel="0" collapsed="false">
      <c r="A882" s="18" t="n">
        <v>881</v>
      </c>
      <c r="B882" s="18"/>
      <c r="C882" s="18"/>
      <c r="D882" s="18"/>
      <c r="E882" s="18" t="s">
        <v>1698</v>
      </c>
      <c r="F882" s="18" t="s">
        <v>1699</v>
      </c>
      <c r="G882" s="18" t="s">
        <v>74</v>
      </c>
      <c r="H882" s="18" t="n">
        <v>684</v>
      </c>
      <c r="I882" s="19" t="n">
        <v>0</v>
      </c>
      <c r="J882" s="19" t="n">
        <v>270</v>
      </c>
      <c r="K882" s="19" t="n">
        <v>270</v>
      </c>
      <c r="L882" s="19" t="n">
        <v>0</v>
      </c>
      <c r="M882" s="19" t="n">
        <f aca="false">ABS(L882)</f>
        <v>0</v>
      </c>
      <c r="N882" s="18" t="str">
        <f aca="false">IF(L882=0,"Nil balance",IF(G882="AR file",IF(L882&gt;0,"Accounts Receivable","Customer Advances"),IF(L882&lt;0,"Accounts Payable","Supplier Advances")))</f>
        <v>Nil balance</v>
      </c>
      <c r="O882" s="18" t="str">
        <f aca="false">IF(L882=0,"Excluded",IF(Summary!$C$4="By ledger",IF(G882="AR file","Population 1","Population 2"),IF(L882&gt;0,"Population 1","Population 2")))</f>
        <v>Excluded</v>
      </c>
      <c r="P882" s="18" t="str">
        <f aca="false">IF(O882="Excluded","Excluded – nil closing balance",IF(M882&gt;Summary!$C$5,"Above Materiality","Below Materiality"))</f>
        <v>Excluded – nil closing balance</v>
      </c>
      <c r="Q882" s="20" t="str">
        <f aca="false">IF(P882="Below Materiality",T882,"")</f>
        <v/>
      </c>
      <c r="R882" s="21" t="str">
        <f aca="false">IF(P882="Above Materiality",COUNTIFS($O$2:$O$1092,O882,$P$2:$P$1092,"Above Materiality",$M$2:$M$1092,"&gt;"&amp;M882)+COUNTIFS($O$2:$O$1092,O882,$P$2:$P$1092,"Above Materiality",$M$2:$M$1092,M882,$A$2:$A$1092,"&lt;"&amp;A882)+1,"")</f>
        <v/>
      </c>
      <c r="S882" s="21" t="str">
        <f aca="false">IF(P882&lt;&gt;"Below Materiality","",IF(Summary!$C$9="Random",COUNTIFS($O$2:$O$1092,O882,$Q$2:$Q$1092,"&gt;"&amp;Q882)+1,COUNTIFS($O$2:$O$1092,O882,$P$2:$P$1092,"Below Materiality",$M$2:$M$1092,"&gt;"&amp;M882)+COUNTIFS($O$2:$O$1092,O882,$P$2:$P$1092,"Below Materiality",$M$2:$M$1092,M882,$A$2:$A$1092,"&lt;"&amp;A882)+1))</f>
        <v/>
      </c>
      <c r="T882" s="22"/>
      <c r="U882" s="21" t="str">
        <f aca="false">IF(R882="","",O882&amp;"|A|"&amp;R882)</f>
        <v/>
      </c>
      <c r="V882" s="21" t="str">
        <f aca="false">IF(S882="","",O882&amp;"|R|"&amp;S882)</f>
        <v/>
      </c>
    </row>
    <row r="883" customFormat="false" ht="15" hidden="false" customHeight="false" outlineLevel="0" collapsed="false">
      <c r="A883" s="18" t="n">
        <v>882</v>
      </c>
      <c r="B883" s="18"/>
      <c r="C883" s="18"/>
      <c r="D883" s="18"/>
      <c r="E883" s="18" t="s">
        <v>1700</v>
      </c>
      <c r="F883" s="18" t="s">
        <v>1701</v>
      </c>
      <c r="G883" s="18" t="s">
        <v>74</v>
      </c>
      <c r="H883" s="18" t="n">
        <v>685</v>
      </c>
      <c r="I883" s="19" t="n">
        <v>0</v>
      </c>
      <c r="J883" s="19" t="n">
        <v>3712.6</v>
      </c>
      <c r="K883" s="19" t="n">
        <v>3712.6</v>
      </c>
      <c r="L883" s="19" t="n">
        <v>0</v>
      </c>
      <c r="M883" s="19" t="n">
        <f aca="false">ABS(L883)</f>
        <v>0</v>
      </c>
      <c r="N883" s="18" t="str">
        <f aca="false">IF(L883=0,"Nil balance",IF(G883="AR file",IF(L883&gt;0,"Accounts Receivable","Customer Advances"),IF(L883&lt;0,"Accounts Payable","Supplier Advances")))</f>
        <v>Nil balance</v>
      </c>
      <c r="O883" s="18" t="str">
        <f aca="false">IF(L883=0,"Excluded",IF(Summary!$C$4="By ledger",IF(G883="AR file","Population 1","Population 2"),IF(L883&gt;0,"Population 1","Population 2")))</f>
        <v>Excluded</v>
      </c>
      <c r="P883" s="18" t="str">
        <f aca="false">IF(O883="Excluded","Excluded – nil closing balance",IF(M883&gt;Summary!$C$5,"Above Materiality","Below Materiality"))</f>
        <v>Excluded – nil closing balance</v>
      </c>
      <c r="Q883" s="20" t="str">
        <f aca="false">IF(P883="Below Materiality",T883,"")</f>
        <v/>
      </c>
      <c r="R883" s="21" t="str">
        <f aca="false">IF(P883="Above Materiality",COUNTIFS($O$2:$O$1092,O883,$P$2:$P$1092,"Above Materiality",$M$2:$M$1092,"&gt;"&amp;M883)+COUNTIFS($O$2:$O$1092,O883,$P$2:$P$1092,"Above Materiality",$M$2:$M$1092,M883,$A$2:$A$1092,"&lt;"&amp;A883)+1,"")</f>
        <v/>
      </c>
      <c r="S883" s="21" t="str">
        <f aca="false">IF(P883&lt;&gt;"Below Materiality","",IF(Summary!$C$9="Random",COUNTIFS($O$2:$O$1092,O883,$Q$2:$Q$1092,"&gt;"&amp;Q883)+1,COUNTIFS($O$2:$O$1092,O883,$P$2:$P$1092,"Below Materiality",$M$2:$M$1092,"&gt;"&amp;M883)+COUNTIFS($O$2:$O$1092,O883,$P$2:$P$1092,"Below Materiality",$M$2:$M$1092,M883,$A$2:$A$1092,"&lt;"&amp;A883)+1))</f>
        <v/>
      </c>
      <c r="T883" s="22"/>
      <c r="U883" s="21" t="str">
        <f aca="false">IF(R883="","",O883&amp;"|A|"&amp;R883)</f>
        <v/>
      </c>
      <c r="V883" s="21" t="str">
        <f aca="false">IF(S883="","",O883&amp;"|R|"&amp;S883)</f>
        <v/>
      </c>
    </row>
    <row r="884" customFormat="false" ht="15" hidden="false" customHeight="false" outlineLevel="0" collapsed="false">
      <c r="A884" s="18" t="n">
        <v>883</v>
      </c>
      <c r="B884" s="18"/>
      <c r="C884" s="18"/>
      <c r="D884" s="18"/>
      <c r="E884" s="18" t="s">
        <v>1702</v>
      </c>
      <c r="F884" s="18" t="s">
        <v>1703</v>
      </c>
      <c r="G884" s="18" t="s">
        <v>74</v>
      </c>
      <c r="H884" s="18" t="n">
        <v>687</v>
      </c>
      <c r="I884" s="19" t="n">
        <v>0</v>
      </c>
      <c r="J884" s="19" t="n">
        <v>7063.88</v>
      </c>
      <c r="K884" s="19" t="n">
        <v>7063.88</v>
      </c>
      <c r="L884" s="19" t="n">
        <v>0</v>
      </c>
      <c r="M884" s="19" t="n">
        <f aca="false">ABS(L884)</f>
        <v>0</v>
      </c>
      <c r="N884" s="18" t="str">
        <f aca="false">IF(L884=0,"Nil balance",IF(G884="AR file",IF(L884&gt;0,"Accounts Receivable","Customer Advances"),IF(L884&lt;0,"Accounts Payable","Supplier Advances")))</f>
        <v>Nil balance</v>
      </c>
      <c r="O884" s="18" t="str">
        <f aca="false">IF(L884=0,"Excluded",IF(Summary!$C$4="By ledger",IF(G884="AR file","Population 1","Population 2"),IF(L884&gt;0,"Population 1","Population 2")))</f>
        <v>Excluded</v>
      </c>
      <c r="P884" s="18" t="str">
        <f aca="false">IF(O884="Excluded","Excluded – nil closing balance",IF(M884&gt;Summary!$C$5,"Above Materiality","Below Materiality"))</f>
        <v>Excluded – nil closing balance</v>
      </c>
      <c r="Q884" s="20" t="str">
        <f aca="false">IF(P884="Below Materiality",T884,"")</f>
        <v/>
      </c>
      <c r="R884" s="21" t="str">
        <f aca="false">IF(P884="Above Materiality",COUNTIFS($O$2:$O$1092,O884,$P$2:$P$1092,"Above Materiality",$M$2:$M$1092,"&gt;"&amp;M884)+COUNTIFS($O$2:$O$1092,O884,$P$2:$P$1092,"Above Materiality",$M$2:$M$1092,M884,$A$2:$A$1092,"&lt;"&amp;A884)+1,"")</f>
        <v/>
      </c>
      <c r="S884" s="21" t="str">
        <f aca="false">IF(P884&lt;&gt;"Below Materiality","",IF(Summary!$C$9="Random",COUNTIFS($O$2:$O$1092,O884,$Q$2:$Q$1092,"&gt;"&amp;Q884)+1,COUNTIFS($O$2:$O$1092,O884,$P$2:$P$1092,"Below Materiality",$M$2:$M$1092,"&gt;"&amp;M884)+COUNTIFS($O$2:$O$1092,O884,$P$2:$P$1092,"Below Materiality",$M$2:$M$1092,M884,$A$2:$A$1092,"&lt;"&amp;A884)+1))</f>
        <v/>
      </c>
      <c r="T884" s="22"/>
      <c r="U884" s="21" t="str">
        <f aca="false">IF(R884="","",O884&amp;"|A|"&amp;R884)</f>
        <v/>
      </c>
      <c r="V884" s="21" t="str">
        <f aca="false">IF(S884="","",O884&amp;"|R|"&amp;S884)</f>
        <v/>
      </c>
    </row>
    <row r="885" customFormat="false" ht="15" hidden="false" customHeight="false" outlineLevel="0" collapsed="false">
      <c r="A885" s="18" t="n">
        <v>884</v>
      </c>
      <c r="B885" s="18"/>
      <c r="C885" s="18"/>
      <c r="D885" s="18"/>
      <c r="E885" s="18" t="s">
        <v>1704</v>
      </c>
      <c r="F885" s="18" t="s">
        <v>1705</v>
      </c>
      <c r="G885" s="18" t="s">
        <v>74</v>
      </c>
      <c r="H885" s="18" t="n">
        <v>688</v>
      </c>
      <c r="I885" s="19" t="n">
        <v>0</v>
      </c>
      <c r="J885" s="19" t="n">
        <v>1006.25</v>
      </c>
      <c r="K885" s="19" t="n">
        <v>1006.25</v>
      </c>
      <c r="L885" s="19" t="n">
        <v>0</v>
      </c>
      <c r="M885" s="19" t="n">
        <f aca="false">ABS(L885)</f>
        <v>0</v>
      </c>
      <c r="N885" s="18" t="str">
        <f aca="false">IF(L885=0,"Nil balance",IF(G885="AR file",IF(L885&gt;0,"Accounts Receivable","Customer Advances"),IF(L885&lt;0,"Accounts Payable","Supplier Advances")))</f>
        <v>Nil balance</v>
      </c>
      <c r="O885" s="18" t="str">
        <f aca="false">IF(L885=0,"Excluded",IF(Summary!$C$4="By ledger",IF(G885="AR file","Population 1","Population 2"),IF(L885&gt;0,"Population 1","Population 2")))</f>
        <v>Excluded</v>
      </c>
      <c r="P885" s="18" t="str">
        <f aca="false">IF(O885="Excluded","Excluded – nil closing balance",IF(M885&gt;Summary!$C$5,"Above Materiality","Below Materiality"))</f>
        <v>Excluded – nil closing balance</v>
      </c>
      <c r="Q885" s="20" t="str">
        <f aca="false">IF(P885="Below Materiality",T885,"")</f>
        <v/>
      </c>
      <c r="R885" s="21" t="str">
        <f aca="false">IF(P885="Above Materiality",COUNTIFS($O$2:$O$1092,O885,$P$2:$P$1092,"Above Materiality",$M$2:$M$1092,"&gt;"&amp;M885)+COUNTIFS($O$2:$O$1092,O885,$P$2:$P$1092,"Above Materiality",$M$2:$M$1092,M885,$A$2:$A$1092,"&lt;"&amp;A885)+1,"")</f>
        <v/>
      </c>
      <c r="S885" s="21" t="str">
        <f aca="false">IF(P885&lt;&gt;"Below Materiality","",IF(Summary!$C$9="Random",COUNTIFS($O$2:$O$1092,O885,$Q$2:$Q$1092,"&gt;"&amp;Q885)+1,COUNTIFS($O$2:$O$1092,O885,$P$2:$P$1092,"Below Materiality",$M$2:$M$1092,"&gt;"&amp;M885)+COUNTIFS($O$2:$O$1092,O885,$P$2:$P$1092,"Below Materiality",$M$2:$M$1092,M885,$A$2:$A$1092,"&lt;"&amp;A885)+1))</f>
        <v/>
      </c>
      <c r="T885" s="22"/>
      <c r="U885" s="21" t="str">
        <f aca="false">IF(R885="","",O885&amp;"|A|"&amp;R885)</f>
        <v/>
      </c>
      <c r="V885" s="21" t="str">
        <f aca="false">IF(S885="","",O885&amp;"|R|"&amp;S885)</f>
        <v/>
      </c>
    </row>
    <row r="886" customFormat="false" ht="15" hidden="false" customHeight="false" outlineLevel="0" collapsed="false">
      <c r="A886" s="18" t="n">
        <v>885</v>
      </c>
      <c r="B886" s="18"/>
      <c r="C886" s="18"/>
      <c r="D886" s="18"/>
      <c r="E886" s="18" t="s">
        <v>1706</v>
      </c>
      <c r="F886" s="18" t="s">
        <v>1707</v>
      </c>
      <c r="G886" s="18" t="s">
        <v>74</v>
      </c>
      <c r="H886" s="18" t="n">
        <v>689</v>
      </c>
      <c r="I886" s="19" t="n">
        <v>0</v>
      </c>
      <c r="J886" s="19" t="n">
        <v>424.65</v>
      </c>
      <c r="K886" s="19" t="n">
        <v>424.65</v>
      </c>
      <c r="L886" s="19" t="n">
        <v>0</v>
      </c>
      <c r="M886" s="19" t="n">
        <f aca="false">ABS(L886)</f>
        <v>0</v>
      </c>
      <c r="N886" s="18" t="str">
        <f aca="false">IF(L886=0,"Nil balance",IF(G886="AR file",IF(L886&gt;0,"Accounts Receivable","Customer Advances"),IF(L886&lt;0,"Accounts Payable","Supplier Advances")))</f>
        <v>Nil balance</v>
      </c>
      <c r="O886" s="18" t="str">
        <f aca="false">IF(L886=0,"Excluded",IF(Summary!$C$4="By ledger",IF(G886="AR file","Population 1","Population 2"),IF(L886&gt;0,"Population 1","Population 2")))</f>
        <v>Excluded</v>
      </c>
      <c r="P886" s="18" t="str">
        <f aca="false">IF(O886="Excluded","Excluded – nil closing balance",IF(M886&gt;Summary!$C$5,"Above Materiality","Below Materiality"))</f>
        <v>Excluded – nil closing balance</v>
      </c>
      <c r="Q886" s="20" t="str">
        <f aca="false">IF(P886="Below Materiality",T886,"")</f>
        <v/>
      </c>
      <c r="R886" s="21" t="str">
        <f aca="false">IF(P886="Above Materiality",COUNTIFS($O$2:$O$1092,O886,$P$2:$P$1092,"Above Materiality",$M$2:$M$1092,"&gt;"&amp;M886)+COUNTIFS($O$2:$O$1092,O886,$P$2:$P$1092,"Above Materiality",$M$2:$M$1092,M886,$A$2:$A$1092,"&lt;"&amp;A886)+1,"")</f>
        <v/>
      </c>
      <c r="S886" s="21" t="str">
        <f aca="false">IF(P886&lt;&gt;"Below Materiality","",IF(Summary!$C$9="Random",COUNTIFS($O$2:$O$1092,O886,$Q$2:$Q$1092,"&gt;"&amp;Q886)+1,COUNTIFS($O$2:$O$1092,O886,$P$2:$P$1092,"Below Materiality",$M$2:$M$1092,"&gt;"&amp;M886)+COUNTIFS($O$2:$O$1092,O886,$P$2:$P$1092,"Below Materiality",$M$2:$M$1092,M886,$A$2:$A$1092,"&lt;"&amp;A886)+1))</f>
        <v/>
      </c>
      <c r="T886" s="22"/>
      <c r="U886" s="21" t="str">
        <f aca="false">IF(R886="","",O886&amp;"|A|"&amp;R886)</f>
        <v/>
      </c>
      <c r="V886" s="21" t="str">
        <f aca="false">IF(S886="","",O886&amp;"|R|"&amp;S886)</f>
        <v/>
      </c>
    </row>
    <row r="887" customFormat="false" ht="15" hidden="false" customHeight="false" outlineLevel="0" collapsed="false">
      <c r="A887" s="18" t="n">
        <v>886</v>
      </c>
      <c r="B887" s="18"/>
      <c r="C887" s="18"/>
      <c r="D887" s="18"/>
      <c r="E887" s="18" t="s">
        <v>1708</v>
      </c>
      <c r="F887" s="18" t="s">
        <v>1394</v>
      </c>
      <c r="G887" s="18" t="s">
        <v>74</v>
      </c>
      <c r="H887" s="18" t="n">
        <v>690</v>
      </c>
      <c r="I887" s="19" t="n">
        <v>0</v>
      </c>
      <c r="J887" s="19" t="n">
        <v>805</v>
      </c>
      <c r="K887" s="19" t="n">
        <v>805</v>
      </c>
      <c r="L887" s="19" t="n">
        <v>0</v>
      </c>
      <c r="M887" s="19" t="n">
        <f aca="false">ABS(L887)</f>
        <v>0</v>
      </c>
      <c r="N887" s="18" t="str">
        <f aca="false">IF(L887=0,"Nil balance",IF(G887="AR file",IF(L887&gt;0,"Accounts Receivable","Customer Advances"),IF(L887&lt;0,"Accounts Payable","Supplier Advances")))</f>
        <v>Nil balance</v>
      </c>
      <c r="O887" s="18" t="str">
        <f aca="false">IF(L887=0,"Excluded",IF(Summary!$C$4="By ledger",IF(G887="AR file","Population 1","Population 2"),IF(L887&gt;0,"Population 1","Population 2")))</f>
        <v>Excluded</v>
      </c>
      <c r="P887" s="18" t="str">
        <f aca="false">IF(O887="Excluded","Excluded – nil closing balance",IF(M887&gt;Summary!$C$5,"Above Materiality","Below Materiality"))</f>
        <v>Excluded – nil closing balance</v>
      </c>
      <c r="Q887" s="20" t="str">
        <f aca="false">IF(P887="Below Materiality",T887,"")</f>
        <v/>
      </c>
      <c r="R887" s="21" t="str">
        <f aca="false">IF(P887="Above Materiality",COUNTIFS($O$2:$O$1092,O887,$P$2:$P$1092,"Above Materiality",$M$2:$M$1092,"&gt;"&amp;M887)+COUNTIFS($O$2:$O$1092,O887,$P$2:$P$1092,"Above Materiality",$M$2:$M$1092,M887,$A$2:$A$1092,"&lt;"&amp;A887)+1,"")</f>
        <v/>
      </c>
      <c r="S887" s="21" t="str">
        <f aca="false">IF(P887&lt;&gt;"Below Materiality","",IF(Summary!$C$9="Random",COUNTIFS($O$2:$O$1092,O887,$Q$2:$Q$1092,"&gt;"&amp;Q887)+1,COUNTIFS($O$2:$O$1092,O887,$P$2:$P$1092,"Below Materiality",$M$2:$M$1092,"&gt;"&amp;M887)+COUNTIFS($O$2:$O$1092,O887,$P$2:$P$1092,"Below Materiality",$M$2:$M$1092,M887,$A$2:$A$1092,"&lt;"&amp;A887)+1))</f>
        <v/>
      </c>
      <c r="T887" s="22"/>
      <c r="U887" s="21" t="str">
        <f aca="false">IF(R887="","",O887&amp;"|A|"&amp;R887)</f>
        <v/>
      </c>
      <c r="V887" s="21" t="str">
        <f aca="false">IF(S887="","",O887&amp;"|R|"&amp;S887)</f>
        <v/>
      </c>
    </row>
    <row r="888" customFormat="false" ht="15" hidden="false" customHeight="false" outlineLevel="0" collapsed="false">
      <c r="A888" s="18" t="n">
        <v>887</v>
      </c>
      <c r="B888" s="18"/>
      <c r="C888" s="18"/>
      <c r="D888" s="18"/>
      <c r="E888" s="18" t="s">
        <v>1709</v>
      </c>
      <c r="F888" s="18" t="s">
        <v>425</v>
      </c>
      <c r="G888" s="18" t="s">
        <v>74</v>
      </c>
      <c r="H888" s="18" t="n">
        <v>691</v>
      </c>
      <c r="I888" s="19" t="n">
        <v>0</v>
      </c>
      <c r="J888" s="19" t="n">
        <v>34.5</v>
      </c>
      <c r="K888" s="19" t="n">
        <v>34.5</v>
      </c>
      <c r="L888" s="19" t="n">
        <v>0</v>
      </c>
      <c r="M888" s="19" t="n">
        <f aca="false">ABS(L888)</f>
        <v>0</v>
      </c>
      <c r="N888" s="18" t="str">
        <f aca="false">IF(L888=0,"Nil balance",IF(G888="AR file",IF(L888&gt;0,"Accounts Receivable","Customer Advances"),IF(L888&lt;0,"Accounts Payable","Supplier Advances")))</f>
        <v>Nil balance</v>
      </c>
      <c r="O888" s="18" t="str">
        <f aca="false">IF(L888=0,"Excluded",IF(Summary!$C$4="By ledger",IF(G888="AR file","Population 1","Population 2"),IF(L888&gt;0,"Population 1","Population 2")))</f>
        <v>Excluded</v>
      </c>
      <c r="P888" s="18" t="str">
        <f aca="false">IF(O888="Excluded","Excluded – nil closing balance",IF(M888&gt;Summary!$C$5,"Above Materiality","Below Materiality"))</f>
        <v>Excluded – nil closing balance</v>
      </c>
      <c r="Q888" s="20" t="str">
        <f aca="false">IF(P888="Below Materiality",T888,"")</f>
        <v/>
      </c>
      <c r="R888" s="21" t="str">
        <f aca="false">IF(P888="Above Materiality",COUNTIFS($O$2:$O$1092,O888,$P$2:$P$1092,"Above Materiality",$M$2:$M$1092,"&gt;"&amp;M888)+COUNTIFS($O$2:$O$1092,O888,$P$2:$P$1092,"Above Materiality",$M$2:$M$1092,M888,$A$2:$A$1092,"&lt;"&amp;A888)+1,"")</f>
        <v/>
      </c>
      <c r="S888" s="21" t="str">
        <f aca="false">IF(P888&lt;&gt;"Below Materiality","",IF(Summary!$C$9="Random",COUNTIFS($O$2:$O$1092,O888,$Q$2:$Q$1092,"&gt;"&amp;Q888)+1,COUNTIFS($O$2:$O$1092,O888,$P$2:$P$1092,"Below Materiality",$M$2:$M$1092,"&gt;"&amp;M888)+COUNTIFS($O$2:$O$1092,O888,$P$2:$P$1092,"Below Materiality",$M$2:$M$1092,M888,$A$2:$A$1092,"&lt;"&amp;A888)+1))</f>
        <v/>
      </c>
      <c r="T888" s="22"/>
      <c r="U888" s="21" t="str">
        <f aca="false">IF(R888="","",O888&amp;"|A|"&amp;R888)</f>
        <v/>
      </c>
      <c r="V888" s="21" t="str">
        <f aca="false">IF(S888="","",O888&amp;"|R|"&amp;S888)</f>
        <v/>
      </c>
    </row>
    <row r="889" customFormat="false" ht="15" hidden="false" customHeight="false" outlineLevel="0" collapsed="false">
      <c r="A889" s="18" t="n">
        <v>888</v>
      </c>
      <c r="B889" s="18"/>
      <c r="C889" s="18"/>
      <c r="D889" s="18"/>
      <c r="E889" s="18" t="s">
        <v>1710</v>
      </c>
      <c r="F889" s="18" t="s">
        <v>1076</v>
      </c>
      <c r="G889" s="18" t="s">
        <v>74</v>
      </c>
      <c r="H889" s="18" t="n">
        <v>692</v>
      </c>
      <c r="I889" s="19" t="n">
        <v>0</v>
      </c>
      <c r="J889" s="19" t="n">
        <v>414</v>
      </c>
      <c r="K889" s="19" t="n">
        <v>414</v>
      </c>
      <c r="L889" s="19" t="n">
        <v>0</v>
      </c>
      <c r="M889" s="19" t="n">
        <f aca="false">ABS(L889)</f>
        <v>0</v>
      </c>
      <c r="N889" s="18" t="str">
        <f aca="false">IF(L889=0,"Nil balance",IF(G889="AR file",IF(L889&gt;0,"Accounts Receivable","Customer Advances"),IF(L889&lt;0,"Accounts Payable","Supplier Advances")))</f>
        <v>Nil balance</v>
      </c>
      <c r="O889" s="18" t="str">
        <f aca="false">IF(L889=0,"Excluded",IF(Summary!$C$4="By ledger",IF(G889="AR file","Population 1","Population 2"),IF(L889&gt;0,"Population 1","Population 2")))</f>
        <v>Excluded</v>
      </c>
      <c r="P889" s="18" t="str">
        <f aca="false">IF(O889="Excluded","Excluded – nil closing balance",IF(M889&gt;Summary!$C$5,"Above Materiality","Below Materiality"))</f>
        <v>Excluded – nil closing balance</v>
      </c>
      <c r="Q889" s="20" t="str">
        <f aca="false">IF(P889="Below Materiality",T889,"")</f>
        <v/>
      </c>
      <c r="R889" s="21" t="str">
        <f aca="false">IF(P889="Above Materiality",COUNTIFS($O$2:$O$1092,O889,$P$2:$P$1092,"Above Materiality",$M$2:$M$1092,"&gt;"&amp;M889)+COUNTIFS($O$2:$O$1092,O889,$P$2:$P$1092,"Above Materiality",$M$2:$M$1092,M889,$A$2:$A$1092,"&lt;"&amp;A889)+1,"")</f>
        <v/>
      </c>
      <c r="S889" s="21" t="str">
        <f aca="false">IF(P889&lt;&gt;"Below Materiality","",IF(Summary!$C$9="Random",COUNTIFS($O$2:$O$1092,O889,$Q$2:$Q$1092,"&gt;"&amp;Q889)+1,COUNTIFS($O$2:$O$1092,O889,$P$2:$P$1092,"Below Materiality",$M$2:$M$1092,"&gt;"&amp;M889)+COUNTIFS($O$2:$O$1092,O889,$P$2:$P$1092,"Below Materiality",$M$2:$M$1092,M889,$A$2:$A$1092,"&lt;"&amp;A889)+1))</f>
        <v/>
      </c>
      <c r="T889" s="22"/>
      <c r="U889" s="21" t="str">
        <f aca="false">IF(R889="","",O889&amp;"|A|"&amp;R889)</f>
        <v/>
      </c>
      <c r="V889" s="21" t="str">
        <f aca="false">IF(S889="","",O889&amp;"|R|"&amp;S889)</f>
        <v/>
      </c>
    </row>
    <row r="890" customFormat="false" ht="15" hidden="false" customHeight="false" outlineLevel="0" collapsed="false">
      <c r="A890" s="18" t="n">
        <v>889</v>
      </c>
      <c r="B890" s="18"/>
      <c r="C890" s="18"/>
      <c r="D890" s="18"/>
      <c r="E890" s="18" t="s">
        <v>1711</v>
      </c>
      <c r="F890" s="18" t="s">
        <v>1712</v>
      </c>
      <c r="G890" s="18" t="s">
        <v>74</v>
      </c>
      <c r="H890" s="18" t="n">
        <v>694</v>
      </c>
      <c r="I890" s="19" t="n">
        <v>0</v>
      </c>
      <c r="J890" s="19" t="n">
        <v>4094</v>
      </c>
      <c r="K890" s="19" t="n">
        <v>4094</v>
      </c>
      <c r="L890" s="19" t="n">
        <v>0</v>
      </c>
      <c r="M890" s="19" t="n">
        <f aca="false">ABS(L890)</f>
        <v>0</v>
      </c>
      <c r="N890" s="18" t="str">
        <f aca="false">IF(L890=0,"Nil balance",IF(G890="AR file",IF(L890&gt;0,"Accounts Receivable","Customer Advances"),IF(L890&lt;0,"Accounts Payable","Supplier Advances")))</f>
        <v>Nil balance</v>
      </c>
      <c r="O890" s="18" t="str">
        <f aca="false">IF(L890=0,"Excluded",IF(Summary!$C$4="By ledger",IF(G890="AR file","Population 1","Population 2"),IF(L890&gt;0,"Population 1","Population 2")))</f>
        <v>Excluded</v>
      </c>
      <c r="P890" s="18" t="str">
        <f aca="false">IF(O890="Excluded","Excluded – nil closing balance",IF(M890&gt;Summary!$C$5,"Above Materiality","Below Materiality"))</f>
        <v>Excluded – nil closing balance</v>
      </c>
      <c r="Q890" s="20" t="str">
        <f aca="false">IF(P890="Below Materiality",T890,"")</f>
        <v/>
      </c>
      <c r="R890" s="21" t="str">
        <f aca="false">IF(P890="Above Materiality",COUNTIFS($O$2:$O$1092,O890,$P$2:$P$1092,"Above Materiality",$M$2:$M$1092,"&gt;"&amp;M890)+COUNTIFS($O$2:$O$1092,O890,$P$2:$P$1092,"Above Materiality",$M$2:$M$1092,M890,$A$2:$A$1092,"&lt;"&amp;A890)+1,"")</f>
        <v/>
      </c>
      <c r="S890" s="21" t="str">
        <f aca="false">IF(P890&lt;&gt;"Below Materiality","",IF(Summary!$C$9="Random",COUNTIFS($O$2:$O$1092,O890,$Q$2:$Q$1092,"&gt;"&amp;Q890)+1,COUNTIFS($O$2:$O$1092,O890,$P$2:$P$1092,"Below Materiality",$M$2:$M$1092,"&gt;"&amp;M890)+COUNTIFS($O$2:$O$1092,O890,$P$2:$P$1092,"Below Materiality",$M$2:$M$1092,M890,$A$2:$A$1092,"&lt;"&amp;A890)+1))</f>
        <v/>
      </c>
      <c r="T890" s="22"/>
      <c r="U890" s="21" t="str">
        <f aca="false">IF(R890="","",O890&amp;"|A|"&amp;R890)</f>
        <v/>
      </c>
      <c r="V890" s="21" t="str">
        <f aca="false">IF(S890="","",O890&amp;"|R|"&amp;S890)</f>
        <v/>
      </c>
    </row>
    <row r="891" customFormat="false" ht="15" hidden="false" customHeight="false" outlineLevel="0" collapsed="false">
      <c r="A891" s="18" t="n">
        <v>890</v>
      </c>
      <c r="B891" s="18"/>
      <c r="C891" s="18"/>
      <c r="D891" s="18"/>
      <c r="E891" s="18" t="s">
        <v>1713</v>
      </c>
      <c r="F891" s="18" t="s">
        <v>1714</v>
      </c>
      <c r="G891" s="18" t="s">
        <v>74</v>
      </c>
      <c r="H891" s="18" t="n">
        <v>695</v>
      </c>
      <c r="I891" s="19" t="n">
        <v>0</v>
      </c>
      <c r="J891" s="19" t="n">
        <v>16445</v>
      </c>
      <c r="K891" s="19" t="n">
        <v>16445</v>
      </c>
      <c r="L891" s="19" t="n">
        <v>0</v>
      </c>
      <c r="M891" s="19" t="n">
        <f aca="false">ABS(L891)</f>
        <v>0</v>
      </c>
      <c r="N891" s="18" t="str">
        <f aca="false">IF(L891=0,"Nil balance",IF(G891="AR file",IF(L891&gt;0,"Accounts Receivable","Customer Advances"),IF(L891&lt;0,"Accounts Payable","Supplier Advances")))</f>
        <v>Nil balance</v>
      </c>
      <c r="O891" s="18" t="str">
        <f aca="false">IF(L891=0,"Excluded",IF(Summary!$C$4="By ledger",IF(G891="AR file","Population 1","Population 2"),IF(L891&gt;0,"Population 1","Population 2")))</f>
        <v>Excluded</v>
      </c>
      <c r="P891" s="18" t="str">
        <f aca="false">IF(O891="Excluded","Excluded – nil closing balance",IF(M891&gt;Summary!$C$5,"Above Materiality","Below Materiality"))</f>
        <v>Excluded – nil closing balance</v>
      </c>
      <c r="Q891" s="20" t="str">
        <f aca="false">IF(P891="Below Materiality",T891,"")</f>
        <v/>
      </c>
      <c r="R891" s="21" t="str">
        <f aca="false">IF(P891="Above Materiality",COUNTIFS($O$2:$O$1092,O891,$P$2:$P$1092,"Above Materiality",$M$2:$M$1092,"&gt;"&amp;M891)+COUNTIFS($O$2:$O$1092,O891,$P$2:$P$1092,"Above Materiality",$M$2:$M$1092,M891,$A$2:$A$1092,"&lt;"&amp;A891)+1,"")</f>
        <v/>
      </c>
      <c r="S891" s="21" t="str">
        <f aca="false">IF(P891&lt;&gt;"Below Materiality","",IF(Summary!$C$9="Random",COUNTIFS($O$2:$O$1092,O891,$Q$2:$Q$1092,"&gt;"&amp;Q891)+1,COUNTIFS($O$2:$O$1092,O891,$P$2:$P$1092,"Below Materiality",$M$2:$M$1092,"&gt;"&amp;M891)+COUNTIFS($O$2:$O$1092,O891,$P$2:$P$1092,"Below Materiality",$M$2:$M$1092,M891,$A$2:$A$1092,"&lt;"&amp;A891)+1))</f>
        <v/>
      </c>
      <c r="T891" s="22"/>
      <c r="U891" s="21" t="str">
        <f aca="false">IF(R891="","",O891&amp;"|A|"&amp;R891)</f>
        <v/>
      </c>
      <c r="V891" s="21" t="str">
        <f aca="false">IF(S891="","",O891&amp;"|R|"&amp;S891)</f>
        <v/>
      </c>
    </row>
    <row r="892" customFormat="false" ht="15" hidden="false" customHeight="false" outlineLevel="0" collapsed="false">
      <c r="A892" s="18" t="n">
        <v>891</v>
      </c>
      <c r="B892" s="18"/>
      <c r="C892" s="18"/>
      <c r="D892" s="18"/>
      <c r="E892" s="18" t="s">
        <v>1715</v>
      </c>
      <c r="F892" s="18" t="s">
        <v>1716</v>
      </c>
      <c r="G892" s="18" t="s">
        <v>74</v>
      </c>
      <c r="H892" s="18" t="n">
        <v>696</v>
      </c>
      <c r="I892" s="19" t="n">
        <v>0</v>
      </c>
      <c r="J892" s="19" t="n">
        <v>265</v>
      </c>
      <c r="K892" s="19" t="n">
        <v>265</v>
      </c>
      <c r="L892" s="19" t="n">
        <v>0</v>
      </c>
      <c r="M892" s="19" t="n">
        <f aca="false">ABS(L892)</f>
        <v>0</v>
      </c>
      <c r="N892" s="18" t="str">
        <f aca="false">IF(L892=0,"Nil balance",IF(G892="AR file",IF(L892&gt;0,"Accounts Receivable","Customer Advances"),IF(L892&lt;0,"Accounts Payable","Supplier Advances")))</f>
        <v>Nil balance</v>
      </c>
      <c r="O892" s="18" t="str">
        <f aca="false">IF(L892=0,"Excluded",IF(Summary!$C$4="By ledger",IF(G892="AR file","Population 1","Population 2"),IF(L892&gt;0,"Population 1","Population 2")))</f>
        <v>Excluded</v>
      </c>
      <c r="P892" s="18" t="str">
        <f aca="false">IF(O892="Excluded","Excluded – nil closing balance",IF(M892&gt;Summary!$C$5,"Above Materiality","Below Materiality"))</f>
        <v>Excluded – nil closing balance</v>
      </c>
      <c r="Q892" s="20" t="str">
        <f aca="false">IF(P892="Below Materiality",T892,"")</f>
        <v/>
      </c>
      <c r="R892" s="21" t="str">
        <f aca="false">IF(P892="Above Materiality",COUNTIFS($O$2:$O$1092,O892,$P$2:$P$1092,"Above Materiality",$M$2:$M$1092,"&gt;"&amp;M892)+COUNTIFS($O$2:$O$1092,O892,$P$2:$P$1092,"Above Materiality",$M$2:$M$1092,M892,$A$2:$A$1092,"&lt;"&amp;A892)+1,"")</f>
        <v/>
      </c>
      <c r="S892" s="21" t="str">
        <f aca="false">IF(P892&lt;&gt;"Below Materiality","",IF(Summary!$C$9="Random",COUNTIFS($O$2:$O$1092,O892,$Q$2:$Q$1092,"&gt;"&amp;Q892)+1,COUNTIFS($O$2:$O$1092,O892,$P$2:$P$1092,"Below Materiality",$M$2:$M$1092,"&gt;"&amp;M892)+COUNTIFS($O$2:$O$1092,O892,$P$2:$P$1092,"Below Materiality",$M$2:$M$1092,M892,$A$2:$A$1092,"&lt;"&amp;A892)+1))</f>
        <v/>
      </c>
      <c r="T892" s="22"/>
      <c r="U892" s="21" t="str">
        <f aca="false">IF(R892="","",O892&amp;"|A|"&amp;R892)</f>
        <v/>
      </c>
      <c r="V892" s="21" t="str">
        <f aca="false">IF(S892="","",O892&amp;"|R|"&amp;S892)</f>
        <v/>
      </c>
    </row>
    <row r="893" customFormat="false" ht="15" hidden="false" customHeight="false" outlineLevel="0" collapsed="false">
      <c r="A893" s="18" t="n">
        <v>892</v>
      </c>
      <c r="B893" s="18"/>
      <c r="C893" s="18"/>
      <c r="D893" s="18"/>
      <c r="E893" s="18" t="s">
        <v>1717</v>
      </c>
      <c r="F893" s="18" t="s">
        <v>1718</v>
      </c>
      <c r="G893" s="18" t="s">
        <v>74</v>
      </c>
      <c r="H893" s="18" t="n">
        <v>697</v>
      </c>
      <c r="I893" s="19" t="n">
        <v>0</v>
      </c>
      <c r="J893" s="19" t="n">
        <v>3593.75</v>
      </c>
      <c r="K893" s="19" t="n">
        <v>3593.75</v>
      </c>
      <c r="L893" s="19" t="n">
        <v>0</v>
      </c>
      <c r="M893" s="19" t="n">
        <f aca="false">ABS(L893)</f>
        <v>0</v>
      </c>
      <c r="N893" s="18" t="str">
        <f aca="false">IF(L893=0,"Nil balance",IF(G893="AR file",IF(L893&gt;0,"Accounts Receivable","Customer Advances"),IF(L893&lt;0,"Accounts Payable","Supplier Advances")))</f>
        <v>Nil balance</v>
      </c>
      <c r="O893" s="18" t="str">
        <f aca="false">IF(L893=0,"Excluded",IF(Summary!$C$4="By ledger",IF(G893="AR file","Population 1","Population 2"),IF(L893&gt;0,"Population 1","Population 2")))</f>
        <v>Excluded</v>
      </c>
      <c r="P893" s="18" t="str">
        <f aca="false">IF(O893="Excluded","Excluded – nil closing balance",IF(M893&gt;Summary!$C$5,"Above Materiality","Below Materiality"))</f>
        <v>Excluded – nil closing balance</v>
      </c>
      <c r="Q893" s="20" t="str">
        <f aca="false">IF(P893="Below Materiality",T893,"")</f>
        <v/>
      </c>
      <c r="R893" s="21" t="str">
        <f aca="false">IF(P893="Above Materiality",COUNTIFS($O$2:$O$1092,O893,$P$2:$P$1092,"Above Materiality",$M$2:$M$1092,"&gt;"&amp;M893)+COUNTIFS($O$2:$O$1092,O893,$P$2:$P$1092,"Above Materiality",$M$2:$M$1092,M893,$A$2:$A$1092,"&lt;"&amp;A893)+1,"")</f>
        <v/>
      </c>
      <c r="S893" s="21" t="str">
        <f aca="false">IF(P893&lt;&gt;"Below Materiality","",IF(Summary!$C$9="Random",COUNTIFS($O$2:$O$1092,O893,$Q$2:$Q$1092,"&gt;"&amp;Q893)+1,COUNTIFS($O$2:$O$1092,O893,$P$2:$P$1092,"Below Materiality",$M$2:$M$1092,"&gt;"&amp;M893)+COUNTIFS($O$2:$O$1092,O893,$P$2:$P$1092,"Below Materiality",$M$2:$M$1092,M893,$A$2:$A$1092,"&lt;"&amp;A893)+1))</f>
        <v/>
      </c>
      <c r="T893" s="22"/>
      <c r="U893" s="21" t="str">
        <f aca="false">IF(R893="","",O893&amp;"|A|"&amp;R893)</f>
        <v/>
      </c>
      <c r="V893" s="21" t="str">
        <f aca="false">IF(S893="","",O893&amp;"|R|"&amp;S893)</f>
        <v/>
      </c>
    </row>
    <row r="894" customFormat="false" ht="15" hidden="false" customHeight="false" outlineLevel="0" collapsed="false">
      <c r="A894" s="18" t="n">
        <v>893</v>
      </c>
      <c r="B894" s="18"/>
      <c r="C894" s="18"/>
      <c r="D894" s="18"/>
      <c r="E894" s="18" t="s">
        <v>1719</v>
      </c>
      <c r="F894" s="18" t="s">
        <v>1720</v>
      </c>
      <c r="G894" s="18" t="s">
        <v>74</v>
      </c>
      <c r="H894" s="18" t="n">
        <v>698</v>
      </c>
      <c r="I894" s="19" t="n">
        <v>0</v>
      </c>
      <c r="J894" s="19" t="n">
        <v>1702</v>
      </c>
      <c r="K894" s="19" t="n">
        <v>1702</v>
      </c>
      <c r="L894" s="19" t="n">
        <v>0</v>
      </c>
      <c r="M894" s="19" t="n">
        <f aca="false">ABS(L894)</f>
        <v>0</v>
      </c>
      <c r="N894" s="18" t="str">
        <f aca="false">IF(L894=0,"Nil balance",IF(G894="AR file",IF(L894&gt;0,"Accounts Receivable","Customer Advances"),IF(L894&lt;0,"Accounts Payable","Supplier Advances")))</f>
        <v>Nil balance</v>
      </c>
      <c r="O894" s="18" t="str">
        <f aca="false">IF(L894=0,"Excluded",IF(Summary!$C$4="By ledger",IF(G894="AR file","Population 1","Population 2"),IF(L894&gt;0,"Population 1","Population 2")))</f>
        <v>Excluded</v>
      </c>
      <c r="P894" s="18" t="str">
        <f aca="false">IF(O894="Excluded","Excluded – nil closing balance",IF(M894&gt;Summary!$C$5,"Above Materiality","Below Materiality"))</f>
        <v>Excluded – nil closing balance</v>
      </c>
      <c r="Q894" s="20" t="str">
        <f aca="false">IF(P894="Below Materiality",T894,"")</f>
        <v/>
      </c>
      <c r="R894" s="21" t="str">
        <f aca="false">IF(P894="Above Materiality",COUNTIFS($O$2:$O$1092,O894,$P$2:$P$1092,"Above Materiality",$M$2:$M$1092,"&gt;"&amp;M894)+COUNTIFS($O$2:$O$1092,O894,$P$2:$P$1092,"Above Materiality",$M$2:$M$1092,M894,$A$2:$A$1092,"&lt;"&amp;A894)+1,"")</f>
        <v/>
      </c>
      <c r="S894" s="21" t="str">
        <f aca="false">IF(P894&lt;&gt;"Below Materiality","",IF(Summary!$C$9="Random",COUNTIFS($O$2:$O$1092,O894,$Q$2:$Q$1092,"&gt;"&amp;Q894)+1,COUNTIFS($O$2:$O$1092,O894,$P$2:$P$1092,"Below Materiality",$M$2:$M$1092,"&gt;"&amp;M894)+COUNTIFS($O$2:$O$1092,O894,$P$2:$P$1092,"Below Materiality",$M$2:$M$1092,M894,$A$2:$A$1092,"&lt;"&amp;A894)+1))</f>
        <v/>
      </c>
      <c r="T894" s="22"/>
      <c r="U894" s="21" t="str">
        <f aca="false">IF(R894="","",O894&amp;"|A|"&amp;R894)</f>
        <v/>
      </c>
      <c r="V894" s="21" t="str">
        <f aca="false">IF(S894="","",O894&amp;"|R|"&amp;S894)</f>
        <v/>
      </c>
    </row>
    <row r="895" customFormat="false" ht="15" hidden="false" customHeight="false" outlineLevel="0" collapsed="false">
      <c r="A895" s="18" t="n">
        <v>894</v>
      </c>
      <c r="B895" s="18"/>
      <c r="C895" s="18"/>
      <c r="D895" s="18"/>
      <c r="E895" s="18" t="s">
        <v>1721</v>
      </c>
      <c r="F895" s="18" t="s">
        <v>1722</v>
      </c>
      <c r="G895" s="18" t="s">
        <v>74</v>
      </c>
      <c r="H895" s="18" t="n">
        <v>699</v>
      </c>
      <c r="I895" s="19" t="n">
        <v>0</v>
      </c>
      <c r="J895" s="19" t="n">
        <v>287.5</v>
      </c>
      <c r="K895" s="19" t="n">
        <v>287.5</v>
      </c>
      <c r="L895" s="19" t="n">
        <v>0</v>
      </c>
      <c r="M895" s="19" t="n">
        <f aca="false">ABS(L895)</f>
        <v>0</v>
      </c>
      <c r="N895" s="18" t="str">
        <f aca="false">IF(L895=0,"Nil balance",IF(G895="AR file",IF(L895&gt;0,"Accounts Receivable","Customer Advances"),IF(L895&lt;0,"Accounts Payable","Supplier Advances")))</f>
        <v>Nil balance</v>
      </c>
      <c r="O895" s="18" t="str">
        <f aca="false">IF(L895=0,"Excluded",IF(Summary!$C$4="By ledger",IF(G895="AR file","Population 1","Population 2"),IF(L895&gt;0,"Population 1","Population 2")))</f>
        <v>Excluded</v>
      </c>
      <c r="P895" s="18" t="str">
        <f aca="false">IF(O895="Excluded","Excluded – nil closing balance",IF(M895&gt;Summary!$C$5,"Above Materiality","Below Materiality"))</f>
        <v>Excluded – nil closing balance</v>
      </c>
      <c r="Q895" s="20" t="str">
        <f aca="false">IF(P895="Below Materiality",T895,"")</f>
        <v/>
      </c>
      <c r="R895" s="21" t="str">
        <f aca="false">IF(P895="Above Materiality",COUNTIFS($O$2:$O$1092,O895,$P$2:$P$1092,"Above Materiality",$M$2:$M$1092,"&gt;"&amp;M895)+COUNTIFS($O$2:$O$1092,O895,$P$2:$P$1092,"Above Materiality",$M$2:$M$1092,M895,$A$2:$A$1092,"&lt;"&amp;A895)+1,"")</f>
        <v/>
      </c>
      <c r="S895" s="21" t="str">
        <f aca="false">IF(P895&lt;&gt;"Below Materiality","",IF(Summary!$C$9="Random",COUNTIFS($O$2:$O$1092,O895,$Q$2:$Q$1092,"&gt;"&amp;Q895)+1,COUNTIFS($O$2:$O$1092,O895,$P$2:$P$1092,"Below Materiality",$M$2:$M$1092,"&gt;"&amp;M895)+COUNTIFS($O$2:$O$1092,O895,$P$2:$P$1092,"Below Materiality",$M$2:$M$1092,M895,$A$2:$A$1092,"&lt;"&amp;A895)+1))</f>
        <v/>
      </c>
      <c r="T895" s="22"/>
      <c r="U895" s="21" t="str">
        <f aca="false">IF(R895="","",O895&amp;"|A|"&amp;R895)</f>
        <v/>
      </c>
      <c r="V895" s="21" t="str">
        <f aca="false">IF(S895="","",O895&amp;"|R|"&amp;S895)</f>
        <v/>
      </c>
    </row>
    <row r="896" customFormat="false" ht="15" hidden="false" customHeight="false" outlineLevel="0" collapsed="false">
      <c r="A896" s="18" t="n">
        <v>895</v>
      </c>
      <c r="B896" s="18"/>
      <c r="C896" s="18"/>
      <c r="D896" s="18"/>
      <c r="E896" s="18" t="s">
        <v>1723</v>
      </c>
      <c r="F896" s="18" t="s">
        <v>540</v>
      </c>
      <c r="G896" s="18" t="s">
        <v>74</v>
      </c>
      <c r="H896" s="18" t="n">
        <v>700</v>
      </c>
      <c r="I896" s="19" t="n">
        <v>0</v>
      </c>
      <c r="J896" s="19" t="n">
        <v>345</v>
      </c>
      <c r="K896" s="19" t="n">
        <v>345</v>
      </c>
      <c r="L896" s="19" t="n">
        <v>0</v>
      </c>
      <c r="M896" s="19" t="n">
        <f aca="false">ABS(L896)</f>
        <v>0</v>
      </c>
      <c r="N896" s="18" t="str">
        <f aca="false">IF(L896=0,"Nil balance",IF(G896="AR file",IF(L896&gt;0,"Accounts Receivable","Customer Advances"),IF(L896&lt;0,"Accounts Payable","Supplier Advances")))</f>
        <v>Nil balance</v>
      </c>
      <c r="O896" s="18" t="str">
        <f aca="false">IF(L896=0,"Excluded",IF(Summary!$C$4="By ledger",IF(G896="AR file","Population 1","Population 2"),IF(L896&gt;0,"Population 1","Population 2")))</f>
        <v>Excluded</v>
      </c>
      <c r="P896" s="18" t="str">
        <f aca="false">IF(O896="Excluded","Excluded – nil closing balance",IF(M896&gt;Summary!$C$5,"Above Materiality","Below Materiality"))</f>
        <v>Excluded – nil closing balance</v>
      </c>
      <c r="Q896" s="20" t="str">
        <f aca="false">IF(P896="Below Materiality",T896,"")</f>
        <v/>
      </c>
      <c r="R896" s="21" t="str">
        <f aca="false">IF(P896="Above Materiality",COUNTIFS($O$2:$O$1092,O896,$P$2:$P$1092,"Above Materiality",$M$2:$M$1092,"&gt;"&amp;M896)+COUNTIFS($O$2:$O$1092,O896,$P$2:$P$1092,"Above Materiality",$M$2:$M$1092,M896,$A$2:$A$1092,"&lt;"&amp;A896)+1,"")</f>
        <v/>
      </c>
      <c r="S896" s="21" t="str">
        <f aca="false">IF(P896&lt;&gt;"Below Materiality","",IF(Summary!$C$9="Random",COUNTIFS($O$2:$O$1092,O896,$Q$2:$Q$1092,"&gt;"&amp;Q896)+1,COUNTIFS($O$2:$O$1092,O896,$P$2:$P$1092,"Below Materiality",$M$2:$M$1092,"&gt;"&amp;M896)+COUNTIFS($O$2:$O$1092,O896,$P$2:$P$1092,"Below Materiality",$M$2:$M$1092,M896,$A$2:$A$1092,"&lt;"&amp;A896)+1))</f>
        <v/>
      </c>
      <c r="T896" s="22"/>
      <c r="U896" s="21" t="str">
        <f aca="false">IF(R896="","",O896&amp;"|A|"&amp;R896)</f>
        <v/>
      </c>
      <c r="V896" s="21" t="str">
        <f aca="false">IF(S896="","",O896&amp;"|R|"&amp;S896)</f>
        <v/>
      </c>
    </row>
    <row r="897" customFormat="false" ht="15" hidden="false" customHeight="false" outlineLevel="0" collapsed="false">
      <c r="A897" s="18" t="n">
        <v>896</v>
      </c>
      <c r="B897" s="18"/>
      <c r="C897" s="18"/>
      <c r="D897" s="18"/>
      <c r="E897" s="18" t="s">
        <v>1724</v>
      </c>
      <c r="F897" s="18" t="s">
        <v>488</v>
      </c>
      <c r="G897" s="18" t="s">
        <v>74</v>
      </c>
      <c r="H897" s="18" t="n">
        <v>701</v>
      </c>
      <c r="I897" s="19" t="n">
        <v>0</v>
      </c>
      <c r="J897" s="19" t="n">
        <v>400</v>
      </c>
      <c r="K897" s="19" t="n">
        <v>400</v>
      </c>
      <c r="L897" s="19" t="n">
        <v>0</v>
      </c>
      <c r="M897" s="19" t="n">
        <f aca="false">ABS(L897)</f>
        <v>0</v>
      </c>
      <c r="N897" s="18" t="str">
        <f aca="false">IF(L897=0,"Nil balance",IF(G897="AR file",IF(L897&gt;0,"Accounts Receivable","Customer Advances"),IF(L897&lt;0,"Accounts Payable","Supplier Advances")))</f>
        <v>Nil balance</v>
      </c>
      <c r="O897" s="18" t="str">
        <f aca="false">IF(L897=0,"Excluded",IF(Summary!$C$4="By ledger",IF(G897="AR file","Population 1","Population 2"),IF(L897&gt;0,"Population 1","Population 2")))</f>
        <v>Excluded</v>
      </c>
      <c r="P897" s="18" t="str">
        <f aca="false">IF(O897="Excluded","Excluded – nil closing balance",IF(M897&gt;Summary!$C$5,"Above Materiality","Below Materiality"))</f>
        <v>Excluded – nil closing balance</v>
      </c>
      <c r="Q897" s="20" t="str">
        <f aca="false">IF(P897="Below Materiality",T897,"")</f>
        <v/>
      </c>
      <c r="R897" s="21" t="str">
        <f aca="false">IF(P897="Above Materiality",COUNTIFS($O$2:$O$1092,O897,$P$2:$P$1092,"Above Materiality",$M$2:$M$1092,"&gt;"&amp;M897)+COUNTIFS($O$2:$O$1092,O897,$P$2:$P$1092,"Above Materiality",$M$2:$M$1092,M897,$A$2:$A$1092,"&lt;"&amp;A897)+1,"")</f>
        <v/>
      </c>
      <c r="S897" s="21" t="str">
        <f aca="false">IF(P897&lt;&gt;"Below Materiality","",IF(Summary!$C$9="Random",COUNTIFS($O$2:$O$1092,O897,$Q$2:$Q$1092,"&gt;"&amp;Q897)+1,COUNTIFS($O$2:$O$1092,O897,$P$2:$P$1092,"Below Materiality",$M$2:$M$1092,"&gt;"&amp;M897)+COUNTIFS($O$2:$O$1092,O897,$P$2:$P$1092,"Below Materiality",$M$2:$M$1092,M897,$A$2:$A$1092,"&lt;"&amp;A897)+1))</f>
        <v/>
      </c>
      <c r="T897" s="22"/>
      <c r="U897" s="21" t="str">
        <f aca="false">IF(R897="","",O897&amp;"|A|"&amp;R897)</f>
        <v/>
      </c>
      <c r="V897" s="21" t="str">
        <f aca="false">IF(S897="","",O897&amp;"|R|"&amp;S897)</f>
        <v/>
      </c>
    </row>
    <row r="898" customFormat="false" ht="15" hidden="false" customHeight="false" outlineLevel="0" collapsed="false">
      <c r="A898" s="18" t="n">
        <v>897</v>
      </c>
      <c r="B898" s="18"/>
      <c r="C898" s="18"/>
      <c r="D898" s="18"/>
      <c r="E898" s="18" t="s">
        <v>1725</v>
      </c>
      <c r="F898" s="18" t="s">
        <v>1726</v>
      </c>
      <c r="G898" s="18" t="s">
        <v>74</v>
      </c>
      <c r="H898" s="18" t="n">
        <v>702</v>
      </c>
      <c r="I898" s="19" t="n">
        <v>0</v>
      </c>
      <c r="J898" s="19" t="n">
        <v>1023.5</v>
      </c>
      <c r="K898" s="19" t="n">
        <v>1023.5</v>
      </c>
      <c r="L898" s="19" t="n">
        <v>0</v>
      </c>
      <c r="M898" s="19" t="n">
        <f aca="false">ABS(L898)</f>
        <v>0</v>
      </c>
      <c r="N898" s="18" t="str">
        <f aca="false">IF(L898=0,"Nil balance",IF(G898="AR file",IF(L898&gt;0,"Accounts Receivable","Customer Advances"),IF(L898&lt;0,"Accounts Payable","Supplier Advances")))</f>
        <v>Nil balance</v>
      </c>
      <c r="O898" s="18" t="str">
        <f aca="false">IF(L898=0,"Excluded",IF(Summary!$C$4="By ledger",IF(G898="AR file","Population 1","Population 2"),IF(L898&gt;0,"Population 1","Population 2")))</f>
        <v>Excluded</v>
      </c>
      <c r="P898" s="18" t="str">
        <f aca="false">IF(O898="Excluded","Excluded – nil closing balance",IF(M898&gt;Summary!$C$5,"Above Materiality","Below Materiality"))</f>
        <v>Excluded – nil closing balance</v>
      </c>
      <c r="Q898" s="20" t="str">
        <f aca="false">IF(P898="Below Materiality",T898,"")</f>
        <v/>
      </c>
      <c r="R898" s="21" t="str">
        <f aca="false">IF(P898="Above Materiality",COUNTIFS($O$2:$O$1092,O898,$P$2:$P$1092,"Above Materiality",$M$2:$M$1092,"&gt;"&amp;M898)+COUNTIFS($O$2:$O$1092,O898,$P$2:$P$1092,"Above Materiality",$M$2:$M$1092,M898,$A$2:$A$1092,"&lt;"&amp;A898)+1,"")</f>
        <v/>
      </c>
      <c r="S898" s="21" t="str">
        <f aca="false">IF(P898&lt;&gt;"Below Materiality","",IF(Summary!$C$9="Random",COUNTIFS($O$2:$O$1092,O898,$Q$2:$Q$1092,"&gt;"&amp;Q898)+1,COUNTIFS($O$2:$O$1092,O898,$P$2:$P$1092,"Below Materiality",$M$2:$M$1092,"&gt;"&amp;M898)+COUNTIFS($O$2:$O$1092,O898,$P$2:$P$1092,"Below Materiality",$M$2:$M$1092,M898,$A$2:$A$1092,"&lt;"&amp;A898)+1))</f>
        <v/>
      </c>
      <c r="T898" s="22"/>
      <c r="U898" s="21" t="str">
        <f aca="false">IF(R898="","",O898&amp;"|A|"&amp;R898)</f>
        <v/>
      </c>
      <c r="V898" s="21" t="str">
        <f aca="false">IF(S898="","",O898&amp;"|R|"&amp;S898)</f>
        <v/>
      </c>
    </row>
    <row r="899" customFormat="false" ht="15" hidden="false" customHeight="false" outlineLevel="0" collapsed="false">
      <c r="A899" s="18" t="n">
        <v>898</v>
      </c>
      <c r="B899" s="18"/>
      <c r="C899" s="18"/>
      <c r="D899" s="18"/>
      <c r="E899" s="18" t="s">
        <v>1727</v>
      </c>
      <c r="F899" s="18" t="s">
        <v>1728</v>
      </c>
      <c r="G899" s="18" t="s">
        <v>74</v>
      </c>
      <c r="H899" s="18" t="n">
        <v>703</v>
      </c>
      <c r="I899" s="19" t="n">
        <v>0</v>
      </c>
      <c r="J899" s="19" t="n">
        <v>1105.15</v>
      </c>
      <c r="K899" s="19" t="n">
        <v>1105.15</v>
      </c>
      <c r="L899" s="19" t="n">
        <v>0</v>
      </c>
      <c r="M899" s="19" t="n">
        <f aca="false">ABS(L899)</f>
        <v>0</v>
      </c>
      <c r="N899" s="18" t="str">
        <f aca="false">IF(L899=0,"Nil balance",IF(G899="AR file",IF(L899&gt;0,"Accounts Receivable","Customer Advances"),IF(L899&lt;0,"Accounts Payable","Supplier Advances")))</f>
        <v>Nil balance</v>
      </c>
      <c r="O899" s="18" t="str">
        <f aca="false">IF(L899=0,"Excluded",IF(Summary!$C$4="By ledger",IF(G899="AR file","Population 1","Population 2"),IF(L899&gt;0,"Population 1","Population 2")))</f>
        <v>Excluded</v>
      </c>
      <c r="P899" s="18" t="str">
        <f aca="false">IF(O899="Excluded","Excluded – nil closing balance",IF(M899&gt;Summary!$C$5,"Above Materiality","Below Materiality"))</f>
        <v>Excluded – nil closing balance</v>
      </c>
      <c r="Q899" s="20" t="str">
        <f aca="false">IF(P899="Below Materiality",T899,"")</f>
        <v/>
      </c>
      <c r="R899" s="21" t="str">
        <f aca="false">IF(P899="Above Materiality",COUNTIFS($O$2:$O$1092,O899,$P$2:$P$1092,"Above Materiality",$M$2:$M$1092,"&gt;"&amp;M899)+COUNTIFS($O$2:$O$1092,O899,$P$2:$P$1092,"Above Materiality",$M$2:$M$1092,M899,$A$2:$A$1092,"&lt;"&amp;A899)+1,"")</f>
        <v/>
      </c>
      <c r="S899" s="21" t="str">
        <f aca="false">IF(P899&lt;&gt;"Below Materiality","",IF(Summary!$C$9="Random",COUNTIFS($O$2:$O$1092,O899,$Q$2:$Q$1092,"&gt;"&amp;Q899)+1,COUNTIFS($O$2:$O$1092,O899,$P$2:$P$1092,"Below Materiality",$M$2:$M$1092,"&gt;"&amp;M899)+COUNTIFS($O$2:$O$1092,O899,$P$2:$P$1092,"Below Materiality",$M$2:$M$1092,M899,$A$2:$A$1092,"&lt;"&amp;A899)+1))</f>
        <v/>
      </c>
      <c r="T899" s="22"/>
      <c r="U899" s="21" t="str">
        <f aca="false">IF(R899="","",O899&amp;"|A|"&amp;R899)</f>
        <v/>
      </c>
      <c r="V899" s="21" t="str">
        <f aca="false">IF(S899="","",O899&amp;"|R|"&amp;S899)</f>
        <v/>
      </c>
    </row>
    <row r="900" customFormat="false" ht="15" hidden="false" customHeight="false" outlineLevel="0" collapsed="false">
      <c r="A900" s="18" t="n">
        <v>899</v>
      </c>
      <c r="B900" s="18"/>
      <c r="C900" s="18"/>
      <c r="D900" s="18"/>
      <c r="E900" s="18" t="s">
        <v>1729</v>
      </c>
      <c r="F900" s="18" t="s">
        <v>1730</v>
      </c>
      <c r="G900" s="18" t="s">
        <v>74</v>
      </c>
      <c r="H900" s="18" t="n">
        <v>704</v>
      </c>
      <c r="I900" s="19" t="n">
        <v>0</v>
      </c>
      <c r="J900" s="19" t="n">
        <v>4071</v>
      </c>
      <c r="K900" s="19" t="n">
        <v>4071</v>
      </c>
      <c r="L900" s="19" t="n">
        <v>0</v>
      </c>
      <c r="M900" s="19" t="n">
        <f aca="false">ABS(L900)</f>
        <v>0</v>
      </c>
      <c r="N900" s="18" t="str">
        <f aca="false">IF(L900=0,"Nil balance",IF(G900="AR file",IF(L900&gt;0,"Accounts Receivable","Customer Advances"),IF(L900&lt;0,"Accounts Payable","Supplier Advances")))</f>
        <v>Nil balance</v>
      </c>
      <c r="O900" s="18" t="str">
        <f aca="false">IF(L900=0,"Excluded",IF(Summary!$C$4="By ledger",IF(G900="AR file","Population 1","Population 2"),IF(L900&gt;0,"Population 1","Population 2")))</f>
        <v>Excluded</v>
      </c>
      <c r="P900" s="18" t="str">
        <f aca="false">IF(O900="Excluded","Excluded – nil closing balance",IF(M900&gt;Summary!$C$5,"Above Materiality","Below Materiality"))</f>
        <v>Excluded – nil closing balance</v>
      </c>
      <c r="Q900" s="20" t="str">
        <f aca="false">IF(P900="Below Materiality",T900,"")</f>
        <v/>
      </c>
      <c r="R900" s="21" t="str">
        <f aca="false">IF(P900="Above Materiality",COUNTIFS($O$2:$O$1092,O900,$P$2:$P$1092,"Above Materiality",$M$2:$M$1092,"&gt;"&amp;M900)+COUNTIFS($O$2:$O$1092,O900,$P$2:$P$1092,"Above Materiality",$M$2:$M$1092,M900,$A$2:$A$1092,"&lt;"&amp;A900)+1,"")</f>
        <v/>
      </c>
      <c r="S900" s="21" t="str">
        <f aca="false">IF(P900&lt;&gt;"Below Materiality","",IF(Summary!$C$9="Random",COUNTIFS($O$2:$O$1092,O900,$Q$2:$Q$1092,"&gt;"&amp;Q900)+1,COUNTIFS($O$2:$O$1092,O900,$P$2:$P$1092,"Below Materiality",$M$2:$M$1092,"&gt;"&amp;M900)+COUNTIFS($O$2:$O$1092,O900,$P$2:$P$1092,"Below Materiality",$M$2:$M$1092,M900,$A$2:$A$1092,"&lt;"&amp;A900)+1))</f>
        <v/>
      </c>
      <c r="T900" s="22"/>
      <c r="U900" s="21" t="str">
        <f aca="false">IF(R900="","",O900&amp;"|A|"&amp;R900)</f>
        <v/>
      </c>
      <c r="V900" s="21" t="str">
        <f aca="false">IF(S900="","",O900&amp;"|R|"&amp;S900)</f>
        <v/>
      </c>
    </row>
    <row r="901" customFormat="false" ht="15" hidden="false" customHeight="false" outlineLevel="0" collapsed="false">
      <c r="A901" s="18" t="n">
        <v>900</v>
      </c>
      <c r="B901" s="18"/>
      <c r="C901" s="18"/>
      <c r="D901" s="18"/>
      <c r="E901" s="18" t="s">
        <v>1731</v>
      </c>
      <c r="F901" s="18" t="s">
        <v>1732</v>
      </c>
      <c r="G901" s="18" t="s">
        <v>74</v>
      </c>
      <c r="H901" s="18" t="n">
        <v>705</v>
      </c>
      <c r="I901" s="19" t="n">
        <v>0</v>
      </c>
      <c r="J901" s="19" t="n">
        <v>989</v>
      </c>
      <c r="K901" s="19" t="n">
        <v>989</v>
      </c>
      <c r="L901" s="19" t="n">
        <v>0</v>
      </c>
      <c r="M901" s="19" t="n">
        <f aca="false">ABS(L901)</f>
        <v>0</v>
      </c>
      <c r="N901" s="18" t="str">
        <f aca="false">IF(L901=0,"Nil balance",IF(G901="AR file",IF(L901&gt;0,"Accounts Receivable","Customer Advances"),IF(L901&lt;0,"Accounts Payable","Supplier Advances")))</f>
        <v>Nil balance</v>
      </c>
      <c r="O901" s="18" t="str">
        <f aca="false">IF(L901=0,"Excluded",IF(Summary!$C$4="By ledger",IF(G901="AR file","Population 1","Population 2"),IF(L901&gt;0,"Population 1","Population 2")))</f>
        <v>Excluded</v>
      </c>
      <c r="P901" s="18" t="str">
        <f aca="false">IF(O901="Excluded","Excluded – nil closing balance",IF(M901&gt;Summary!$C$5,"Above Materiality","Below Materiality"))</f>
        <v>Excluded – nil closing balance</v>
      </c>
      <c r="Q901" s="20" t="str">
        <f aca="false">IF(P901="Below Materiality",T901,"")</f>
        <v/>
      </c>
      <c r="R901" s="21" t="str">
        <f aca="false">IF(P901="Above Materiality",COUNTIFS($O$2:$O$1092,O901,$P$2:$P$1092,"Above Materiality",$M$2:$M$1092,"&gt;"&amp;M901)+COUNTIFS($O$2:$O$1092,O901,$P$2:$P$1092,"Above Materiality",$M$2:$M$1092,M901,$A$2:$A$1092,"&lt;"&amp;A901)+1,"")</f>
        <v/>
      </c>
      <c r="S901" s="21" t="str">
        <f aca="false">IF(P901&lt;&gt;"Below Materiality","",IF(Summary!$C$9="Random",COUNTIFS($O$2:$O$1092,O901,$Q$2:$Q$1092,"&gt;"&amp;Q901)+1,COUNTIFS($O$2:$O$1092,O901,$P$2:$P$1092,"Below Materiality",$M$2:$M$1092,"&gt;"&amp;M901)+COUNTIFS($O$2:$O$1092,O901,$P$2:$P$1092,"Below Materiality",$M$2:$M$1092,M901,$A$2:$A$1092,"&lt;"&amp;A901)+1))</f>
        <v/>
      </c>
      <c r="T901" s="22"/>
      <c r="U901" s="21" t="str">
        <f aca="false">IF(R901="","",O901&amp;"|A|"&amp;R901)</f>
        <v/>
      </c>
      <c r="V901" s="21" t="str">
        <f aca="false">IF(S901="","",O901&amp;"|R|"&amp;S901)</f>
        <v/>
      </c>
    </row>
    <row r="902" customFormat="false" ht="15" hidden="false" customHeight="false" outlineLevel="0" collapsed="false">
      <c r="A902" s="18" t="n">
        <v>901</v>
      </c>
      <c r="B902" s="18"/>
      <c r="C902" s="18"/>
      <c r="D902" s="18"/>
      <c r="E902" s="18" t="s">
        <v>1733</v>
      </c>
      <c r="F902" s="18" t="s">
        <v>1734</v>
      </c>
      <c r="G902" s="18" t="s">
        <v>74</v>
      </c>
      <c r="H902" s="18" t="n">
        <v>706</v>
      </c>
      <c r="I902" s="19" t="n">
        <v>0</v>
      </c>
      <c r="J902" s="19" t="n">
        <v>1086.75</v>
      </c>
      <c r="K902" s="19" t="n">
        <v>1086.75</v>
      </c>
      <c r="L902" s="19" t="n">
        <v>0</v>
      </c>
      <c r="M902" s="19" t="n">
        <f aca="false">ABS(L902)</f>
        <v>0</v>
      </c>
      <c r="N902" s="18" t="str">
        <f aca="false">IF(L902=0,"Nil balance",IF(G902="AR file",IF(L902&gt;0,"Accounts Receivable","Customer Advances"),IF(L902&lt;0,"Accounts Payable","Supplier Advances")))</f>
        <v>Nil balance</v>
      </c>
      <c r="O902" s="18" t="str">
        <f aca="false">IF(L902=0,"Excluded",IF(Summary!$C$4="By ledger",IF(G902="AR file","Population 1","Population 2"),IF(L902&gt;0,"Population 1","Population 2")))</f>
        <v>Excluded</v>
      </c>
      <c r="P902" s="18" t="str">
        <f aca="false">IF(O902="Excluded","Excluded – nil closing balance",IF(M902&gt;Summary!$C$5,"Above Materiality","Below Materiality"))</f>
        <v>Excluded – nil closing balance</v>
      </c>
      <c r="Q902" s="20" t="str">
        <f aca="false">IF(P902="Below Materiality",T902,"")</f>
        <v/>
      </c>
      <c r="R902" s="21" t="str">
        <f aca="false">IF(P902="Above Materiality",COUNTIFS($O$2:$O$1092,O902,$P$2:$P$1092,"Above Materiality",$M$2:$M$1092,"&gt;"&amp;M902)+COUNTIFS($O$2:$O$1092,O902,$P$2:$P$1092,"Above Materiality",$M$2:$M$1092,M902,$A$2:$A$1092,"&lt;"&amp;A902)+1,"")</f>
        <v/>
      </c>
      <c r="S902" s="21" t="str">
        <f aca="false">IF(P902&lt;&gt;"Below Materiality","",IF(Summary!$C$9="Random",COUNTIFS($O$2:$O$1092,O902,$Q$2:$Q$1092,"&gt;"&amp;Q902)+1,COUNTIFS($O$2:$O$1092,O902,$P$2:$P$1092,"Below Materiality",$M$2:$M$1092,"&gt;"&amp;M902)+COUNTIFS($O$2:$O$1092,O902,$P$2:$P$1092,"Below Materiality",$M$2:$M$1092,M902,$A$2:$A$1092,"&lt;"&amp;A902)+1))</f>
        <v/>
      </c>
      <c r="T902" s="22"/>
      <c r="U902" s="21" t="str">
        <f aca="false">IF(R902="","",O902&amp;"|A|"&amp;R902)</f>
        <v/>
      </c>
      <c r="V902" s="21" t="str">
        <f aca="false">IF(S902="","",O902&amp;"|R|"&amp;S902)</f>
        <v/>
      </c>
    </row>
    <row r="903" customFormat="false" ht="15" hidden="false" customHeight="false" outlineLevel="0" collapsed="false">
      <c r="A903" s="18" t="n">
        <v>902</v>
      </c>
      <c r="B903" s="18"/>
      <c r="C903" s="18"/>
      <c r="D903" s="18"/>
      <c r="E903" s="18" t="s">
        <v>1735</v>
      </c>
      <c r="F903" s="18" t="s">
        <v>1736</v>
      </c>
      <c r="G903" s="18" t="s">
        <v>74</v>
      </c>
      <c r="H903" s="18" t="n">
        <v>707</v>
      </c>
      <c r="I903" s="19" t="n">
        <v>0</v>
      </c>
      <c r="J903" s="19" t="n">
        <v>330</v>
      </c>
      <c r="K903" s="19" t="n">
        <v>330</v>
      </c>
      <c r="L903" s="19" t="n">
        <v>0</v>
      </c>
      <c r="M903" s="19" t="n">
        <f aca="false">ABS(L903)</f>
        <v>0</v>
      </c>
      <c r="N903" s="18" t="str">
        <f aca="false">IF(L903=0,"Nil balance",IF(G903="AR file",IF(L903&gt;0,"Accounts Receivable","Customer Advances"),IF(L903&lt;0,"Accounts Payable","Supplier Advances")))</f>
        <v>Nil balance</v>
      </c>
      <c r="O903" s="18" t="str">
        <f aca="false">IF(L903=0,"Excluded",IF(Summary!$C$4="By ledger",IF(G903="AR file","Population 1","Population 2"),IF(L903&gt;0,"Population 1","Population 2")))</f>
        <v>Excluded</v>
      </c>
      <c r="P903" s="18" t="str">
        <f aca="false">IF(O903="Excluded","Excluded – nil closing balance",IF(M903&gt;Summary!$C$5,"Above Materiality","Below Materiality"))</f>
        <v>Excluded – nil closing balance</v>
      </c>
      <c r="Q903" s="20" t="str">
        <f aca="false">IF(P903="Below Materiality",T903,"")</f>
        <v/>
      </c>
      <c r="R903" s="21" t="str">
        <f aca="false">IF(P903="Above Materiality",COUNTIFS($O$2:$O$1092,O903,$P$2:$P$1092,"Above Materiality",$M$2:$M$1092,"&gt;"&amp;M903)+COUNTIFS($O$2:$O$1092,O903,$P$2:$P$1092,"Above Materiality",$M$2:$M$1092,M903,$A$2:$A$1092,"&lt;"&amp;A903)+1,"")</f>
        <v/>
      </c>
      <c r="S903" s="21" t="str">
        <f aca="false">IF(P903&lt;&gt;"Below Materiality","",IF(Summary!$C$9="Random",COUNTIFS($O$2:$O$1092,O903,$Q$2:$Q$1092,"&gt;"&amp;Q903)+1,COUNTIFS($O$2:$O$1092,O903,$P$2:$P$1092,"Below Materiality",$M$2:$M$1092,"&gt;"&amp;M903)+COUNTIFS($O$2:$O$1092,O903,$P$2:$P$1092,"Below Materiality",$M$2:$M$1092,M903,$A$2:$A$1092,"&lt;"&amp;A903)+1))</f>
        <v/>
      </c>
      <c r="T903" s="22"/>
      <c r="U903" s="21" t="str">
        <f aca="false">IF(R903="","",O903&amp;"|A|"&amp;R903)</f>
        <v/>
      </c>
      <c r="V903" s="21" t="str">
        <f aca="false">IF(S903="","",O903&amp;"|R|"&amp;S903)</f>
        <v/>
      </c>
    </row>
    <row r="904" customFormat="false" ht="15" hidden="false" customHeight="false" outlineLevel="0" collapsed="false">
      <c r="A904" s="18" t="n">
        <v>903</v>
      </c>
      <c r="B904" s="18"/>
      <c r="C904" s="18"/>
      <c r="D904" s="18"/>
      <c r="E904" s="18" t="s">
        <v>1737</v>
      </c>
      <c r="F904" s="18" t="s">
        <v>366</v>
      </c>
      <c r="G904" s="18" t="s">
        <v>74</v>
      </c>
      <c r="H904" s="18" t="n">
        <v>708</v>
      </c>
      <c r="I904" s="19" t="n">
        <v>0</v>
      </c>
      <c r="J904" s="19" t="n">
        <v>100</v>
      </c>
      <c r="K904" s="19" t="n">
        <v>100</v>
      </c>
      <c r="L904" s="19" t="n">
        <v>0</v>
      </c>
      <c r="M904" s="19" t="n">
        <f aca="false">ABS(L904)</f>
        <v>0</v>
      </c>
      <c r="N904" s="18" t="str">
        <f aca="false">IF(L904=0,"Nil balance",IF(G904="AR file",IF(L904&gt;0,"Accounts Receivable","Customer Advances"),IF(L904&lt;0,"Accounts Payable","Supplier Advances")))</f>
        <v>Nil balance</v>
      </c>
      <c r="O904" s="18" t="str">
        <f aca="false">IF(L904=0,"Excluded",IF(Summary!$C$4="By ledger",IF(G904="AR file","Population 1","Population 2"),IF(L904&gt;0,"Population 1","Population 2")))</f>
        <v>Excluded</v>
      </c>
      <c r="P904" s="18" t="str">
        <f aca="false">IF(O904="Excluded","Excluded – nil closing balance",IF(M904&gt;Summary!$C$5,"Above Materiality","Below Materiality"))</f>
        <v>Excluded – nil closing balance</v>
      </c>
      <c r="Q904" s="20" t="str">
        <f aca="false">IF(P904="Below Materiality",T904,"")</f>
        <v/>
      </c>
      <c r="R904" s="21" t="str">
        <f aca="false">IF(P904="Above Materiality",COUNTIFS($O$2:$O$1092,O904,$P$2:$P$1092,"Above Materiality",$M$2:$M$1092,"&gt;"&amp;M904)+COUNTIFS($O$2:$O$1092,O904,$P$2:$P$1092,"Above Materiality",$M$2:$M$1092,M904,$A$2:$A$1092,"&lt;"&amp;A904)+1,"")</f>
        <v/>
      </c>
      <c r="S904" s="21" t="str">
        <f aca="false">IF(P904&lt;&gt;"Below Materiality","",IF(Summary!$C$9="Random",COUNTIFS($O$2:$O$1092,O904,$Q$2:$Q$1092,"&gt;"&amp;Q904)+1,COUNTIFS($O$2:$O$1092,O904,$P$2:$P$1092,"Below Materiality",$M$2:$M$1092,"&gt;"&amp;M904)+COUNTIFS($O$2:$O$1092,O904,$P$2:$P$1092,"Below Materiality",$M$2:$M$1092,M904,$A$2:$A$1092,"&lt;"&amp;A904)+1))</f>
        <v/>
      </c>
      <c r="T904" s="22"/>
      <c r="U904" s="21" t="str">
        <f aca="false">IF(R904="","",O904&amp;"|A|"&amp;R904)</f>
        <v/>
      </c>
      <c r="V904" s="21" t="str">
        <f aca="false">IF(S904="","",O904&amp;"|R|"&amp;S904)</f>
        <v/>
      </c>
    </row>
    <row r="905" customFormat="false" ht="15" hidden="false" customHeight="false" outlineLevel="0" collapsed="false">
      <c r="A905" s="18" t="n">
        <v>904</v>
      </c>
      <c r="B905" s="18"/>
      <c r="C905" s="18"/>
      <c r="D905" s="18"/>
      <c r="E905" s="18" t="s">
        <v>1738</v>
      </c>
      <c r="F905" s="18" t="s">
        <v>1739</v>
      </c>
      <c r="G905" s="18" t="s">
        <v>74</v>
      </c>
      <c r="H905" s="18" t="n">
        <v>709</v>
      </c>
      <c r="I905" s="19" t="n">
        <v>0</v>
      </c>
      <c r="J905" s="19" t="n">
        <v>490.25</v>
      </c>
      <c r="K905" s="19" t="n">
        <v>490.25</v>
      </c>
      <c r="L905" s="19" t="n">
        <v>0</v>
      </c>
      <c r="M905" s="19" t="n">
        <f aca="false">ABS(L905)</f>
        <v>0</v>
      </c>
      <c r="N905" s="18" t="str">
        <f aca="false">IF(L905=0,"Nil balance",IF(G905="AR file",IF(L905&gt;0,"Accounts Receivable","Customer Advances"),IF(L905&lt;0,"Accounts Payable","Supplier Advances")))</f>
        <v>Nil balance</v>
      </c>
      <c r="O905" s="18" t="str">
        <f aca="false">IF(L905=0,"Excluded",IF(Summary!$C$4="By ledger",IF(G905="AR file","Population 1","Population 2"),IF(L905&gt;0,"Population 1","Population 2")))</f>
        <v>Excluded</v>
      </c>
      <c r="P905" s="18" t="str">
        <f aca="false">IF(O905="Excluded","Excluded – nil closing balance",IF(M905&gt;Summary!$C$5,"Above Materiality","Below Materiality"))</f>
        <v>Excluded – nil closing balance</v>
      </c>
      <c r="Q905" s="20" t="str">
        <f aca="false">IF(P905="Below Materiality",T905,"")</f>
        <v/>
      </c>
      <c r="R905" s="21" t="str">
        <f aca="false">IF(P905="Above Materiality",COUNTIFS($O$2:$O$1092,O905,$P$2:$P$1092,"Above Materiality",$M$2:$M$1092,"&gt;"&amp;M905)+COUNTIFS($O$2:$O$1092,O905,$P$2:$P$1092,"Above Materiality",$M$2:$M$1092,M905,$A$2:$A$1092,"&lt;"&amp;A905)+1,"")</f>
        <v/>
      </c>
      <c r="S905" s="21" t="str">
        <f aca="false">IF(P905&lt;&gt;"Below Materiality","",IF(Summary!$C$9="Random",COUNTIFS($O$2:$O$1092,O905,$Q$2:$Q$1092,"&gt;"&amp;Q905)+1,COUNTIFS($O$2:$O$1092,O905,$P$2:$P$1092,"Below Materiality",$M$2:$M$1092,"&gt;"&amp;M905)+COUNTIFS($O$2:$O$1092,O905,$P$2:$P$1092,"Below Materiality",$M$2:$M$1092,M905,$A$2:$A$1092,"&lt;"&amp;A905)+1))</f>
        <v/>
      </c>
      <c r="T905" s="22"/>
      <c r="U905" s="21" t="str">
        <f aca="false">IF(R905="","",O905&amp;"|A|"&amp;R905)</f>
        <v/>
      </c>
      <c r="V905" s="21" t="str">
        <f aca="false">IF(S905="","",O905&amp;"|R|"&amp;S905)</f>
        <v/>
      </c>
    </row>
    <row r="906" customFormat="false" ht="15" hidden="false" customHeight="false" outlineLevel="0" collapsed="false">
      <c r="A906" s="18" t="n">
        <v>905</v>
      </c>
      <c r="B906" s="18"/>
      <c r="C906" s="18"/>
      <c r="D906" s="18"/>
      <c r="E906" s="18" t="s">
        <v>1740</v>
      </c>
      <c r="F906" s="18" t="s">
        <v>1741</v>
      </c>
      <c r="G906" s="18" t="s">
        <v>74</v>
      </c>
      <c r="H906" s="18" t="n">
        <v>710</v>
      </c>
      <c r="I906" s="19" t="n">
        <v>0</v>
      </c>
      <c r="J906" s="19" t="n">
        <v>1811.25</v>
      </c>
      <c r="K906" s="19" t="n">
        <v>1811.25</v>
      </c>
      <c r="L906" s="19" t="n">
        <v>0</v>
      </c>
      <c r="M906" s="19" t="n">
        <f aca="false">ABS(L906)</f>
        <v>0</v>
      </c>
      <c r="N906" s="18" t="str">
        <f aca="false">IF(L906=0,"Nil balance",IF(G906="AR file",IF(L906&gt;0,"Accounts Receivable","Customer Advances"),IF(L906&lt;0,"Accounts Payable","Supplier Advances")))</f>
        <v>Nil balance</v>
      </c>
      <c r="O906" s="18" t="str">
        <f aca="false">IF(L906=0,"Excluded",IF(Summary!$C$4="By ledger",IF(G906="AR file","Population 1","Population 2"),IF(L906&gt;0,"Population 1","Population 2")))</f>
        <v>Excluded</v>
      </c>
      <c r="P906" s="18" t="str">
        <f aca="false">IF(O906="Excluded","Excluded – nil closing balance",IF(M906&gt;Summary!$C$5,"Above Materiality","Below Materiality"))</f>
        <v>Excluded – nil closing balance</v>
      </c>
      <c r="Q906" s="20" t="str">
        <f aca="false">IF(P906="Below Materiality",T906,"")</f>
        <v/>
      </c>
      <c r="R906" s="21" t="str">
        <f aca="false">IF(P906="Above Materiality",COUNTIFS($O$2:$O$1092,O906,$P$2:$P$1092,"Above Materiality",$M$2:$M$1092,"&gt;"&amp;M906)+COUNTIFS($O$2:$O$1092,O906,$P$2:$P$1092,"Above Materiality",$M$2:$M$1092,M906,$A$2:$A$1092,"&lt;"&amp;A906)+1,"")</f>
        <v/>
      </c>
      <c r="S906" s="21" t="str">
        <f aca="false">IF(P906&lt;&gt;"Below Materiality","",IF(Summary!$C$9="Random",COUNTIFS($O$2:$O$1092,O906,$Q$2:$Q$1092,"&gt;"&amp;Q906)+1,COUNTIFS($O$2:$O$1092,O906,$P$2:$P$1092,"Below Materiality",$M$2:$M$1092,"&gt;"&amp;M906)+COUNTIFS($O$2:$O$1092,O906,$P$2:$P$1092,"Below Materiality",$M$2:$M$1092,M906,$A$2:$A$1092,"&lt;"&amp;A906)+1))</f>
        <v/>
      </c>
      <c r="T906" s="22"/>
      <c r="U906" s="21" t="str">
        <f aca="false">IF(R906="","",O906&amp;"|A|"&amp;R906)</f>
        <v/>
      </c>
      <c r="V906" s="21" t="str">
        <f aca="false">IF(S906="","",O906&amp;"|R|"&amp;S906)</f>
        <v/>
      </c>
    </row>
    <row r="907" customFormat="false" ht="15" hidden="false" customHeight="false" outlineLevel="0" collapsed="false">
      <c r="A907" s="18" t="n">
        <v>906</v>
      </c>
      <c r="B907" s="18"/>
      <c r="C907" s="18"/>
      <c r="D907" s="18"/>
      <c r="E907" s="18" t="s">
        <v>1742</v>
      </c>
      <c r="F907" s="18" t="s">
        <v>1743</v>
      </c>
      <c r="G907" s="18" t="s">
        <v>74</v>
      </c>
      <c r="H907" s="18" t="n">
        <v>711</v>
      </c>
      <c r="I907" s="19" t="n">
        <v>0</v>
      </c>
      <c r="J907" s="19" t="n">
        <v>644</v>
      </c>
      <c r="K907" s="19" t="n">
        <v>644</v>
      </c>
      <c r="L907" s="19" t="n">
        <v>0</v>
      </c>
      <c r="M907" s="19" t="n">
        <f aca="false">ABS(L907)</f>
        <v>0</v>
      </c>
      <c r="N907" s="18" t="str">
        <f aca="false">IF(L907=0,"Nil balance",IF(G907="AR file",IF(L907&gt;0,"Accounts Receivable","Customer Advances"),IF(L907&lt;0,"Accounts Payable","Supplier Advances")))</f>
        <v>Nil balance</v>
      </c>
      <c r="O907" s="18" t="str">
        <f aca="false">IF(L907=0,"Excluded",IF(Summary!$C$4="By ledger",IF(G907="AR file","Population 1","Population 2"),IF(L907&gt;0,"Population 1","Population 2")))</f>
        <v>Excluded</v>
      </c>
      <c r="P907" s="18" t="str">
        <f aca="false">IF(O907="Excluded","Excluded – nil closing balance",IF(M907&gt;Summary!$C$5,"Above Materiality","Below Materiality"))</f>
        <v>Excluded – nil closing balance</v>
      </c>
      <c r="Q907" s="20" t="str">
        <f aca="false">IF(P907="Below Materiality",T907,"")</f>
        <v/>
      </c>
      <c r="R907" s="21" t="str">
        <f aca="false">IF(P907="Above Materiality",COUNTIFS($O$2:$O$1092,O907,$P$2:$P$1092,"Above Materiality",$M$2:$M$1092,"&gt;"&amp;M907)+COUNTIFS($O$2:$O$1092,O907,$P$2:$P$1092,"Above Materiality",$M$2:$M$1092,M907,$A$2:$A$1092,"&lt;"&amp;A907)+1,"")</f>
        <v/>
      </c>
      <c r="S907" s="21" t="str">
        <f aca="false">IF(P907&lt;&gt;"Below Materiality","",IF(Summary!$C$9="Random",COUNTIFS($O$2:$O$1092,O907,$Q$2:$Q$1092,"&gt;"&amp;Q907)+1,COUNTIFS($O$2:$O$1092,O907,$P$2:$P$1092,"Below Materiality",$M$2:$M$1092,"&gt;"&amp;M907)+COUNTIFS($O$2:$O$1092,O907,$P$2:$P$1092,"Below Materiality",$M$2:$M$1092,M907,$A$2:$A$1092,"&lt;"&amp;A907)+1))</f>
        <v/>
      </c>
      <c r="T907" s="22"/>
      <c r="U907" s="21" t="str">
        <f aca="false">IF(R907="","",O907&amp;"|A|"&amp;R907)</f>
        <v/>
      </c>
      <c r="V907" s="21" t="str">
        <f aca="false">IF(S907="","",O907&amp;"|R|"&amp;S907)</f>
        <v/>
      </c>
    </row>
    <row r="908" customFormat="false" ht="15" hidden="false" customHeight="false" outlineLevel="0" collapsed="false">
      <c r="A908" s="18" t="n">
        <v>907</v>
      </c>
      <c r="B908" s="18"/>
      <c r="C908" s="18"/>
      <c r="D908" s="18"/>
      <c r="E908" s="18" t="s">
        <v>1744</v>
      </c>
      <c r="F908" s="18" t="s">
        <v>1745</v>
      </c>
      <c r="G908" s="18" t="s">
        <v>74</v>
      </c>
      <c r="H908" s="18" t="n">
        <v>712</v>
      </c>
      <c r="I908" s="19" t="n">
        <v>0</v>
      </c>
      <c r="J908" s="19" t="n">
        <v>3933</v>
      </c>
      <c r="K908" s="19" t="n">
        <v>3933</v>
      </c>
      <c r="L908" s="19" t="n">
        <v>0</v>
      </c>
      <c r="M908" s="19" t="n">
        <f aca="false">ABS(L908)</f>
        <v>0</v>
      </c>
      <c r="N908" s="18" t="str">
        <f aca="false">IF(L908=0,"Nil balance",IF(G908="AR file",IF(L908&gt;0,"Accounts Receivable","Customer Advances"),IF(L908&lt;0,"Accounts Payable","Supplier Advances")))</f>
        <v>Nil balance</v>
      </c>
      <c r="O908" s="18" t="str">
        <f aca="false">IF(L908=0,"Excluded",IF(Summary!$C$4="By ledger",IF(G908="AR file","Population 1","Population 2"),IF(L908&gt;0,"Population 1","Population 2")))</f>
        <v>Excluded</v>
      </c>
      <c r="P908" s="18" t="str">
        <f aca="false">IF(O908="Excluded","Excluded – nil closing balance",IF(M908&gt;Summary!$C$5,"Above Materiality","Below Materiality"))</f>
        <v>Excluded – nil closing balance</v>
      </c>
      <c r="Q908" s="20" t="str">
        <f aca="false">IF(P908="Below Materiality",T908,"")</f>
        <v/>
      </c>
      <c r="R908" s="21" t="str">
        <f aca="false">IF(P908="Above Materiality",COUNTIFS($O$2:$O$1092,O908,$P$2:$P$1092,"Above Materiality",$M$2:$M$1092,"&gt;"&amp;M908)+COUNTIFS($O$2:$O$1092,O908,$P$2:$P$1092,"Above Materiality",$M$2:$M$1092,M908,$A$2:$A$1092,"&lt;"&amp;A908)+1,"")</f>
        <v/>
      </c>
      <c r="S908" s="21" t="str">
        <f aca="false">IF(P908&lt;&gt;"Below Materiality","",IF(Summary!$C$9="Random",COUNTIFS($O$2:$O$1092,O908,$Q$2:$Q$1092,"&gt;"&amp;Q908)+1,COUNTIFS($O$2:$O$1092,O908,$P$2:$P$1092,"Below Materiality",$M$2:$M$1092,"&gt;"&amp;M908)+COUNTIFS($O$2:$O$1092,O908,$P$2:$P$1092,"Below Materiality",$M$2:$M$1092,M908,$A$2:$A$1092,"&lt;"&amp;A908)+1))</f>
        <v/>
      </c>
      <c r="T908" s="22"/>
      <c r="U908" s="21" t="str">
        <f aca="false">IF(R908="","",O908&amp;"|A|"&amp;R908)</f>
        <v/>
      </c>
      <c r="V908" s="21" t="str">
        <f aca="false">IF(S908="","",O908&amp;"|R|"&amp;S908)</f>
        <v/>
      </c>
    </row>
    <row r="909" customFormat="false" ht="15" hidden="false" customHeight="false" outlineLevel="0" collapsed="false">
      <c r="A909" s="18" t="n">
        <v>908</v>
      </c>
      <c r="B909" s="18"/>
      <c r="C909" s="18"/>
      <c r="D909" s="18"/>
      <c r="E909" s="18" t="s">
        <v>1746</v>
      </c>
      <c r="F909" s="18" t="s">
        <v>1327</v>
      </c>
      <c r="G909" s="18" t="s">
        <v>74</v>
      </c>
      <c r="H909" s="18" t="n">
        <v>713</v>
      </c>
      <c r="I909" s="19" t="n">
        <v>0</v>
      </c>
      <c r="J909" s="19" t="n">
        <v>200</v>
      </c>
      <c r="K909" s="19" t="n">
        <v>200</v>
      </c>
      <c r="L909" s="19" t="n">
        <v>0</v>
      </c>
      <c r="M909" s="19" t="n">
        <f aca="false">ABS(L909)</f>
        <v>0</v>
      </c>
      <c r="N909" s="18" t="str">
        <f aca="false">IF(L909=0,"Nil balance",IF(G909="AR file",IF(L909&gt;0,"Accounts Receivable","Customer Advances"),IF(L909&lt;0,"Accounts Payable","Supplier Advances")))</f>
        <v>Nil balance</v>
      </c>
      <c r="O909" s="18" t="str">
        <f aca="false">IF(L909=0,"Excluded",IF(Summary!$C$4="By ledger",IF(G909="AR file","Population 1","Population 2"),IF(L909&gt;0,"Population 1","Population 2")))</f>
        <v>Excluded</v>
      </c>
      <c r="P909" s="18" t="str">
        <f aca="false">IF(O909="Excluded","Excluded – nil closing balance",IF(M909&gt;Summary!$C$5,"Above Materiality","Below Materiality"))</f>
        <v>Excluded – nil closing balance</v>
      </c>
      <c r="Q909" s="20" t="str">
        <f aca="false">IF(P909="Below Materiality",T909,"")</f>
        <v/>
      </c>
      <c r="R909" s="21" t="str">
        <f aca="false">IF(P909="Above Materiality",COUNTIFS($O$2:$O$1092,O909,$P$2:$P$1092,"Above Materiality",$M$2:$M$1092,"&gt;"&amp;M909)+COUNTIFS($O$2:$O$1092,O909,$P$2:$P$1092,"Above Materiality",$M$2:$M$1092,M909,$A$2:$A$1092,"&lt;"&amp;A909)+1,"")</f>
        <v/>
      </c>
      <c r="S909" s="21" t="str">
        <f aca="false">IF(P909&lt;&gt;"Below Materiality","",IF(Summary!$C$9="Random",COUNTIFS($O$2:$O$1092,O909,$Q$2:$Q$1092,"&gt;"&amp;Q909)+1,COUNTIFS($O$2:$O$1092,O909,$P$2:$P$1092,"Below Materiality",$M$2:$M$1092,"&gt;"&amp;M909)+COUNTIFS($O$2:$O$1092,O909,$P$2:$P$1092,"Below Materiality",$M$2:$M$1092,M909,$A$2:$A$1092,"&lt;"&amp;A909)+1))</f>
        <v/>
      </c>
      <c r="T909" s="22"/>
      <c r="U909" s="21" t="str">
        <f aca="false">IF(R909="","",O909&amp;"|A|"&amp;R909)</f>
        <v/>
      </c>
      <c r="V909" s="21" t="str">
        <f aca="false">IF(S909="","",O909&amp;"|R|"&amp;S909)</f>
        <v/>
      </c>
    </row>
    <row r="910" customFormat="false" ht="15" hidden="false" customHeight="false" outlineLevel="0" collapsed="false">
      <c r="A910" s="18" t="n">
        <v>909</v>
      </c>
      <c r="B910" s="18"/>
      <c r="C910" s="18"/>
      <c r="D910" s="18"/>
      <c r="E910" s="18" t="s">
        <v>1747</v>
      </c>
      <c r="F910" s="18" t="s">
        <v>1748</v>
      </c>
      <c r="G910" s="18" t="s">
        <v>74</v>
      </c>
      <c r="H910" s="18" t="n">
        <v>714</v>
      </c>
      <c r="I910" s="19" t="n">
        <v>0</v>
      </c>
      <c r="J910" s="19" t="n">
        <v>1942.75</v>
      </c>
      <c r="K910" s="19" t="n">
        <v>1942.75</v>
      </c>
      <c r="L910" s="19" t="n">
        <v>0</v>
      </c>
      <c r="M910" s="19" t="n">
        <f aca="false">ABS(L910)</f>
        <v>0</v>
      </c>
      <c r="N910" s="18" t="str">
        <f aca="false">IF(L910=0,"Nil balance",IF(G910="AR file",IF(L910&gt;0,"Accounts Receivable","Customer Advances"),IF(L910&lt;0,"Accounts Payable","Supplier Advances")))</f>
        <v>Nil balance</v>
      </c>
      <c r="O910" s="18" t="str">
        <f aca="false">IF(L910=0,"Excluded",IF(Summary!$C$4="By ledger",IF(G910="AR file","Population 1","Population 2"),IF(L910&gt;0,"Population 1","Population 2")))</f>
        <v>Excluded</v>
      </c>
      <c r="P910" s="18" t="str">
        <f aca="false">IF(O910="Excluded","Excluded – nil closing balance",IF(M910&gt;Summary!$C$5,"Above Materiality","Below Materiality"))</f>
        <v>Excluded – nil closing balance</v>
      </c>
      <c r="Q910" s="20" t="str">
        <f aca="false">IF(P910="Below Materiality",T910,"")</f>
        <v/>
      </c>
      <c r="R910" s="21" t="str">
        <f aca="false">IF(P910="Above Materiality",COUNTIFS($O$2:$O$1092,O910,$P$2:$P$1092,"Above Materiality",$M$2:$M$1092,"&gt;"&amp;M910)+COUNTIFS($O$2:$O$1092,O910,$P$2:$P$1092,"Above Materiality",$M$2:$M$1092,M910,$A$2:$A$1092,"&lt;"&amp;A910)+1,"")</f>
        <v/>
      </c>
      <c r="S910" s="21" t="str">
        <f aca="false">IF(P910&lt;&gt;"Below Materiality","",IF(Summary!$C$9="Random",COUNTIFS($O$2:$O$1092,O910,$Q$2:$Q$1092,"&gt;"&amp;Q910)+1,COUNTIFS($O$2:$O$1092,O910,$P$2:$P$1092,"Below Materiality",$M$2:$M$1092,"&gt;"&amp;M910)+COUNTIFS($O$2:$O$1092,O910,$P$2:$P$1092,"Below Materiality",$M$2:$M$1092,M910,$A$2:$A$1092,"&lt;"&amp;A910)+1))</f>
        <v/>
      </c>
      <c r="T910" s="22"/>
      <c r="U910" s="21" t="str">
        <f aca="false">IF(R910="","",O910&amp;"|A|"&amp;R910)</f>
        <v/>
      </c>
      <c r="V910" s="21" t="str">
        <f aca="false">IF(S910="","",O910&amp;"|R|"&amp;S910)</f>
        <v/>
      </c>
    </row>
    <row r="911" customFormat="false" ht="15" hidden="false" customHeight="false" outlineLevel="0" collapsed="false">
      <c r="A911" s="18" t="n">
        <v>910</v>
      </c>
      <c r="B911" s="18"/>
      <c r="C911" s="18"/>
      <c r="D911" s="18"/>
      <c r="E911" s="18" t="s">
        <v>1749</v>
      </c>
      <c r="F911" s="18" t="s">
        <v>1070</v>
      </c>
      <c r="G911" s="18" t="s">
        <v>74</v>
      </c>
      <c r="H911" s="18" t="n">
        <v>715</v>
      </c>
      <c r="I911" s="19" t="n">
        <v>0</v>
      </c>
      <c r="J911" s="19" t="n">
        <v>46</v>
      </c>
      <c r="K911" s="19" t="n">
        <v>46</v>
      </c>
      <c r="L911" s="19" t="n">
        <v>0</v>
      </c>
      <c r="M911" s="19" t="n">
        <f aca="false">ABS(L911)</f>
        <v>0</v>
      </c>
      <c r="N911" s="18" t="str">
        <f aca="false">IF(L911=0,"Nil balance",IF(G911="AR file",IF(L911&gt;0,"Accounts Receivable","Customer Advances"),IF(L911&lt;0,"Accounts Payable","Supplier Advances")))</f>
        <v>Nil balance</v>
      </c>
      <c r="O911" s="18" t="str">
        <f aca="false">IF(L911=0,"Excluded",IF(Summary!$C$4="By ledger",IF(G911="AR file","Population 1","Population 2"),IF(L911&gt;0,"Population 1","Population 2")))</f>
        <v>Excluded</v>
      </c>
      <c r="P911" s="18" t="str">
        <f aca="false">IF(O911="Excluded","Excluded – nil closing balance",IF(M911&gt;Summary!$C$5,"Above Materiality","Below Materiality"))</f>
        <v>Excluded – nil closing balance</v>
      </c>
      <c r="Q911" s="20" t="str">
        <f aca="false">IF(P911="Below Materiality",T911,"")</f>
        <v/>
      </c>
      <c r="R911" s="21" t="str">
        <f aca="false">IF(P911="Above Materiality",COUNTIFS($O$2:$O$1092,O911,$P$2:$P$1092,"Above Materiality",$M$2:$M$1092,"&gt;"&amp;M911)+COUNTIFS($O$2:$O$1092,O911,$P$2:$P$1092,"Above Materiality",$M$2:$M$1092,M911,$A$2:$A$1092,"&lt;"&amp;A911)+1,"")</f>
        <v/>
      </c>
      <c r="S911" s="21" t="str">
        <f aca="false">IF(P911&lt;&gt;"Below Materiality","",IF(Summary!$C$9="Random",COUNTIFS($O$2:$O$1092,O911,$Q$2:$Q$1092,"&gt;"&amp;Q911)+1,COUNTIFS($O$2:$O$1092,O911,$P$2:$P$1092,"Below Materiality",$M$2:$M$1092,"&gt;"&amp;M911)+COUNTIFS($O$2:$O$1092,O911,$P$2:$P$1092,"Below Materiality",$M$2:$M$1092,M911,$A$2:$A$1092,"&lt;"&amp;A911)+1))</f>
        <v/>
      </c>
      <c r="T911" s="22"/>
      <c r="U911" s="21" t="str">
        <f aca="false">IF(R911="","",O911&amp;"|A|"&amp;R911)</f>
        <v/>
      </c>
      <c r="V911" s="21" t="str">
        <f aca="false">IF(S911="","",O911&amp;"|R|"&amp;S911)</f>
        <v/>
      </c>
    </row>
    <row r="912" customFormat="false" ht="15" hidden="false" customHeight="false" outlineLevel="0" collapsed="false">
      <c r="A912" s="18" t="n">
        <v>911</v>
      </c>
      <c r="B912" s="18"/>
      <c r="C912" s="18"/>
      <c r="D912" s="18"/>
      <c r="E912" s="18" t="s">
        <v>1750</v>
      </c>
      <c r="F912" s="18" t="s">
        <v>1389</v>
      </c>
      <c r="G912" s="18" t="s">
        <v>74</v>
      </c>
      <c r="H912" s="18" t="n">
        <v>716</v>
      </c>
      <c r="I912" s="19" t="n">
        <v>0</v>
      </c>
      <c r="J912" s="19" t="n">
        <v>138</v>
      </c>
      <c r="K912" s="19" t="n">
        <v>138</v>
      </c>
      <c r="L912" s="19" t="n">
        <v>0</v>
      </c>
      <c r="M912" s="19" t="n">
        <f aca="false">ABS(L912)</f>
        <v>0</v>
      </c>
      <c r="N912" s="18" t="str">
        <f aca="false">IF(L912=0,"Nil balance",IF(G912="AR file",IF(L912&gt;0,"Accounts Receivable","Customer Advances"),IF(L912&lt;0,"Accounts Payable","Supplier Advances")))</f>
        <v>Nil balance</v>
      </c>
      <c r="O912" s="18" t="str">
        <f aca="false">IF(L912=0,"Excluded",IF(Summary!$C$4="By ledger",IF(G912="AR file","Population 1","Population 2"),IF(L912&gt;0,"Population 1","Population 2")))</f>
        <v>Excluded</v>
      </c>
      <c r="P912" s="18" t="str">
        <f aca="false">IF(O912="Excluded","Excluded – nil closing balance",IF(M912&gt;Summary!$C$5,"Above Materiality","Below Materiality"))</f>
        <v>Excluded – nil closing balance</v>
      </c>
      <c r="Q912" s="20" t="str">
        <f aca="false">IF(P912="Below Materiality",T912,"")</f>
        <v/>
      </c>
      <c r="R912" s="21" t="str">
        <f aca="false">IF(P912="Above Materiality",COUNTIFS($O$2:$O$1092,O912,$P$2:$P$1092,"Above Materiality",$M$2:$M$1092,"&gt;"&amp;M912)+COUNTIFS($O$2:$O$1092,O912,$P$2:$P$1092,"Above Materiality",$M$2:$M$1092,M912,$A$2:$A$1092,"&lt;"&amp;A912)+1,"")</f>
        <v/>
      </c>
      <c r="S912" s="21" t="str">
        <f aca="false">IF(P912&lt;&gt;"Below Materiality","",IF(Summary!$C$9="Random",COUNTIFS($O$2:$O$1092,O912,$Q$2:$Q$1092,"&gt;"&amp;Q912)+1,COUNTIFS($O$2:$O$1092,O912,$P$2:$P$1092,"Below Materiality",$M$2:$M$1092,"&gt;"&amp;M912)+COUNTIFS($O$2:$O$1092,O912,$P$2:$P$1092,"Below Materiality",$M$2:$M$1092,M912,$A$2:$A$1092,"&lt;"&amp;A912)+1))</f>
        <v/>
      </c>
      <c r="T912" s="22"/>
      <c r="U912" s="21" t="str">
        <f aca="false">IF(R912="","",O912&amp;"|A|"&amp;R912)</f>
        <v/>
      </c>
      <c r="V912" s="21" t="str">
        <f aca="false">IF(S912="","",O912&amp;"|R|"&amp;S912)</f>
        <v/>
      </c>
    </row>
    <row r="913" customFormat="false" ht="15" hidden="false" customHeight="false" outlineLevel="0" collapsed="false">
      <c r="A913" s="18" t="n">
        <v>912</v>
      </c>
      <c r="B913" s="18"/>
      <c r="C913" s="18"/>
      <c r="D913" s="18"/>
      <c r="E913" s="18" t="s">
        <v>1751</v>
      </c>
      <c r="F913" s="18" t="s">
        <v>764</v>
      </c>
      <c r="G913" s="18" t="s">
        <v>74</v>
      </c>
      <c r="H913" s="18" t="n">
        <v>717</v>
      </c>
      <c r="I913" s="19" t="n">
        <v>0</v>
      </c>
      <c r="J913" s="19" t="n">
        <v>920</v>
      </c>
      <c r="K913" s="19" t="n">
        <v>920</v>
      </c>
      <c r="L913" s="19" t="n">
        <v>0</v>
      </c>
      <c r="M913" s="19" t="n">
        <f aca="false">ABS(L913)</f>
        <v>0</v>
      </c>
      <c r="N913" s="18" t="str">
        <f aca="false">IF(L913=0,"Nil balance",IF(G913="AR file",IF(L913&gt;0,"Accounts Receivable","Customer Advances"),IF(L913&lt;0,"Accounts Payable","Supplier Advances")))</f>
        <v>Nil balance</v>
      </c>
      <c r="O913" s="18" t="str">
        <f aca="false">IF(L913=0,"Excluded",IF(Summary!$C$4="By ledger",IF(G913="AR file","Population 1","Population 2"),IF(L913&gt;0,"Population 1","Population 2")))</f>
        <v>Excluded</v>
      </c>
      <c r="P913" s="18" t="str">
        <f aca="false">IF(O913="Excluded","Excluded – nil closing balance",IF(M913&gt;Summary!$C$5,"Above Materiality","Below Materiality"))</f>
        <v>Excluded – nil closing balance</v>
      </c>
      <c r="Q913" s="20" t="str">
        <f aca="false">IF(P913="Below Materiality",T913,"")</f>
        <v/>
      </c>
      <c r="R913" s="21" t="str">
        <f aca="false">IF(P913="Above Materiality",COUNTIFS($O$2:$O$1092,O913,$P$2:$P$1092,"Above Materiality",$M$2:$M$1092,"&gt;"&amp;M913)+COUNTIFS($O$2:$O$1092,O913,$P$2:$P$1092,"Above Materiality",$M$2:$M$1092,M913,$A$2:$A$1092,"&lt;"&amp;A913)+1,"")</f>
        <v/>
      </c>
      <c r="S913" s="21" t="str">
        <f aca="false">IF(P913&lt;&gt;"Below Materiality","",IF(Summary!$C$9="Random",COUNTIFS($O$2:$O$1092,O913,$Q$2:$Q$1092,"&gt;"&amp;Q913)+1,COUNTIFS($O$2:$O$1092,O913,$P$2:$P$1092,"Below Materiality",$M$2:$M$1092,"&gt;"&amp;M913)+COUNTIFS($O$2:$O$1092,O913,$P$2:$P$1092,"Below Materiality",$M$2:$M$1092,M913,$A$2:$A$1092,"&lt;"&amp;A913)+1))</f>
        <v/>
      </c>
      <c r="T913" s="22"/>
      <c r="U913" s="21" t="str">
        <f aca="false">IF(R913="","",O913&amp;"|A|"&amp;R913)</f>
        <v/>
      </c>
      <c r="V913" s="21" t="str">
        <f aca="false">IF(S913="","",O913&amp;"|R|"&amp;S913)</f>
        <v/>
      </c>
    </row>
    <row r="914" customFormat="false" ht="15" hidden="false" customHeight="false" outlineLevel="0" collapsed="false">
      <c r="A914" s="18" t="n">
        <v>913</v>
      </c>
      <c r="B914" s="18"/>
      <c r="C914" s="18"/>
      <c r="D914" s="18"/>
      <c r="E914" s="18" t="s">
        <v>1752</v>
      </c>
      <c r="F914" s="18" t="s">
        <v>1753</v>
      </c>
      <c r="G914" s="18" t="s">
        <v>74</v>
      </c>
      <c r="H914" s="18" t="n">
        <v>718</v>
      </c>
      <c r="I914" s="19" t="n">
        <v>0</v>
      </c>
      <c r="J914" s="19" t="n">
        <v>7700</v>
      </c>
      <c r="K914" s="19" t="n">
        <v>7700</v>
      </c>
      <c r="L914" s="19" t="n">
        <v>0</v>
      </c>
      <c r="M914" s="19" t="n">
        <f aca="false">ABS(L914)</f>
        <v>0</v>
      </c>
      <c r="N914" s="18" t="str">
        <f aca="false">IF(L914=0,"Nil balance",IF(G914="AR file",IF(L914&gt;0,"Accounts Receivable","Customer Advances"),IF(L914&lt;0,"Accounts Payable","Supplier Advances")))</f>
        <v>Nil balance</v>
      </c>
      <c r="O914" s="18" t="str">
        <f aca="false">IF(L914=0,"Excluded",IF(Summary!$C$4="By ledger",IF(G914="AR file","Population 1","Population 2"),IF(L914&gt;0,"Population 1","Population 2")))</f>
        <v>Excluded</v>
      </c>
      <c r="P914" s="18" t="str">
        <f aca="false">IF(O914="Excluded","Excluded – nil closing balance",IF(M914&gt;Summary!$C$5,"Above Materiality","Below Materiality"))</f>
        <v>Excluded – nil closing balance</v>
      </c>
      <c r="Q914" s="20" t="str">
        <f aca="false">IF(P914="Below Materiality",T914,"")</f>
        <v/>
      </c>
      <c r="R914" s="21" t="str">
        <f aca="false">IF(P914="Above Materiality",COUNTIFS($O$2:$O$1092,O914,$P$2:$P$1092,"Above Materiality",$M$2:$M$1092,"&gt;"&amp;M914)+COUNTIFS($O$2:$O$1092,O914,$P$2:$P$1092,"Above Materiality",$M$2:$M$1092,M914,$A$2:$A$1092,"&lt;"&amp;A914)+1,"")</f>
        <v/>
      </c>
      <c r="S914" s="21" t="str">
        <f aca="false">IF(P914&lt;&gt;"Below Materiality","",IF(Summary!$C$9="Random",COUNTIFS($O$2:$O$1092,O914,$Q$2:$Q$1092,"&gt;"&amp;Q914)+1,COUNTIFS($O$2:$O$1092,O914,$P$2:$P$1092,"Below Materiality",$M$2:$M$1092,"&gt;"&amp;M914)+COUNTIFS($O$2:$O$1092,O914,$P$2:$P$1092,"Below Materiality",$M$2:$M$1092,M914,$A$2:$A$1092,"&lt;"&amp;A914)+1))</f>
        <v/>
      </c>
      <c r="T914" s="22"/>
      <c r="U914" s="21" t="str">
        <f aca="false">IF(R914="","",O914&amp;"|A|"&amp;R914)</f>
        <v/>
      </c>
      <c r="V914" s="21" t="str">
        <f aca="false">IF(S914="","",O914&amp;"|R|"&amp;S914)</f>
        <v/>
      </c>
    </row>
    <row r="915" customFormat="false" ht="15" hidden="false" customHeight="false" outlineLevel="0" collapsed="false">
      <c r="A915" s="18" t="n">
        <v>914</v>
      </c>
      <c r="B915" s="18"/>
      <c r="C915" s="18"/>
      <c r="D915" s="18"/>
      <c r="E915" s="18" t="s">
        <v>1754</v>
      </c>
      <c r="F915" s="18" t="s">
        <v>908</v>
      </c>
      <c r="G915" s="18" t="s">
        <v>74</v>
      </c>
      <c r="H915" s="18" t="n">
        <v>719</v>
      </c>
      <c r="I915" s="19" t="n">
        <v>0</v>
      </c>
      <c r="J915" s="19" t="n">
        <v>50</v>
      </c>
      <c r="K915" s="19" t="n">
        <v>50</v>
      </c>
      <c r="L915" s="19" t="n">
        <v>0</v>
      </c>
      <c r="M915" s="19" t="n">
        <f aca="false">ABS(L915)</f>
        <v>0</v>
      </c>
      <c r="N915" s="18" t="str">
        <f aca="false">IF(L915=0,"Nil balance",IF(G915="AR file",IF(L915&gt;0,"Accounts Receivable","Customer Advances"),IF(L915&lt;0,"Accounts Payable","Supplier Advances")))</f>
        <v>Nil balance</v>
      </c>
      <c r="O915" s="18" t="str">
        <f aca="false">IF(L915=0,"Excluded",IF(Summary!$C$4="By ledger",IF(G915="AR file","Population 1","Population 2"),IF(L915&gt;0,"Population 1","Population 2")))</f>
        <v>Excluded</v>
      </c>
      <c r="P915" s="18" t="str">
        <f aca="false">IF(O915="Excluded","Excluded – nil closing balance",IF(M915&gt;Summary!$C$5,"Above Materiality","Below Materiality"))</f>
        <v>Excluded – nil closing balance</v>
      </c>
      <c r="Q915" s="20" t="str">
        <f aca="false">IF(P915="Below Materiality",T915,"")</f>
        <v/>
      </c>
      <c r="R915" s="21" t="str">
        <f aca="false">IF(P915="Above Materiality",COUNTIFS($O$2:$O$1092,O915,$P$2:$P$1092,"Above Materiality",$M$2:$M$1092,"&gt;"&amp;M915)+COUNTIFS($O$2:$O$1092,O915,$P$2:$P$1092,"Above Materiality",$M$2:$M$1092,M915,$A$2:$A$1092,"&lt;"&amp;A915)+1,"")</f>
        <v/>
      </c>
      <c r="S915" s="21" t="str">
        <f aca="false">IF(P915&lt;&gt;"Below Materiality","",IF(Summary!$C$9="Random",COUNTIFS($O$2:$O$1092,O915,$Q$2:$Q$1092,"&gt;"&amp;Q915)+1,COUNTIFS($O$2:$O$1092,O915,$P$2:$P$1092,"Below Materiality",$M$2:$M$1092,"&gt;"&amp;M915)+COUNTIFS($O$2:$O$1092,O915,$P$2:$P$1092,"Below Materiality",$M$2:$M$1092,M915,$A$2:$A$1092,"&lt;"&amp;A915)+1))</f>
        <v/>
      </c>
      <c r="T915" s="22"/>
      <c r="U915" s="21" t="str">
        <f aca="false">IF(R915="","",O915&amp;"|A|"&amp;R915)</f>
        <v/>
      </c>
      <c r="V915" s="21" t="str">
        <f aca="false">IF(S915="","",O915&amp;"|R|"&amp;S915)</f>
        <v/>
      </c>
    </row>
    <row r="916" customFormat="false" ht="15" hidden="false" customHeight="false" outlineLevel="0" collapsed="false">
      <c r="A916" s="18" t="n">
        <v>915</v>
      </c>
      <c r="B916" s="18"/>
      <c r="C916" s="18"/>
      <c r="D916" s="18"/>
      <c r="E916" s="18" t="s">
        <v>1755</v>
      </c>
      <c r="F916" s="18" t="s">
        <v>540</v>
      </c>
      <c r="G916" s="18" t="s">
        <v>74</v>
      </c>
      <c r="H916" s="18" t="n">
        <v>720</v>
      </c>
      <c r="I916" s="19" t="n">
        <v>0</v>
      </c>
      <c r="J916" s="19" t="n">
        <v>345</v>
      </c>
      <c r="K916" s="19" t="n">
        <v>345</v>
      </c>
      <c r="L916" s="19" t="n">
        <v>0</v>
      </c>
      <c r="M916" s="19" t="n">
        <f aca="false">ABS(L916)</f>
        <v>0</v>
      </c>
      <c r="N916" s="18" t="str">
        <f aca="false">IF(L916=0,"Nil balance",IF(G916="AR file",IF(L916&gt;0,"Accounts Receivable","Customer Advances"),IF(L916&lt;0,"Accounts Payable","Supplier Advances")))</f>
        <v>Nil balance</v>
      </c>
      <c r="O916" s="18" t="str">
        <f aca="false">IF(L916=0,"Excluded",IF(Summary!$C$4="By ledger",IF(G916="AR file","Population 1","Population 2"),IF(L916&gt;0,"Population 1","Population 2")))</f>
        <v>Excluded</v>
      </c>
      <c r="P916" s="18" t="str">
        <f aca="false">IF(O916="Excluded","Excluded – nil closing balance",IF(M916&gt;Summary!$C$5,"Above Materiality","Below Materiality"))</f>
        <v>Excluded – nil closing balance</v>
      </c>
      <c r="Q916" s="20" t="str">
        <f aca="false">IF(P916="Below Materiality",T916,"")</f>
        <v/>
      </c>
      <c r="R916" s="21" t="str">
        <f aca="false">IF(P916="Above Materiality",COUNTIFS($O$2:$O$1092,O916,$P$2:$P$1092,"Above Materiality",$M$2:$M$1092,"&gt;"&amp;M916)+COUNTIFS($O$2:$O$1092,O916,$P$2:$P$1092,"Above Materiality",$M$2:$M$1092,M916,$A$2:$A$1092,"&lt;"&amp;A916)+1,"")</f>
        <v/>
      </c>
      <c r="S916" s="21" t="str">
        <f aca="false">IF(P916&lt;&gt;"Below Materiality","",IF(Summary!$C$9="Random",COUNTIFS($O$2:$O$1092,O916,$Q$2:$Q$1092,"&gt;"&amp;Q916)+1,COUNTIFS($O$2:$O$1092,O916,$P$2:$P$1092,"Below Materiality",$M$2:$M$1092,"&gt;"&amp;M916)+COUNTIFS($O$2:$O$1092,O916,$P$2:$P$1092,"Below Materiality",$M$2:$M$1092,M916,$A$2:$A$1092,"&lt;"&amp;A916)+1))</f>
        <v/>
      </c>
      <c r="T916" s="22"/>
      <c r="U916" s="21" t="str">
        <f aca="false">IF(R916="","",O916&amp;"|A|"&amp;R916)</f>
        <v/>
      </c>
      <c r="V916" s="21" t="str">
        <f aca="false">IF(S916="","",O916&amp;"|R|"&amp;S916)</f>
        <v/>
      </c>
    </row>
    <row r="917" customFormat="false" ht="15" hidden="false" customHeight="false" outlineLevel="0" collapsed="false">
      <c r="A917" s="18" t="n">
        <v>916</v>
      </c>
      <c r="B917" s="18"/>
      <c r="C917" s="18"/>
      <c r="D917" s="18"/>
      <c r="E917" s="18" t="s">
        <v>1756</v>
      </c>
      <c r="F917" s="18" t="s">
        <v>1319</v>
      </c>
      <c r="G917" s="18" t="s">
        <v>74</v>
      </c>
      <c r="H917" s="18" t="n">
        <v>721</v>
      </c>
      <c r="I917" s="19" t="n">
        <v>0</v>
      </c>
      <c r="J917" s="19" t="n">
        <v>460</v>
      </c>
      <c r="K917" s="19" t="n">
        <v>460</v>
      </c>
      <c r="L917" s="19" t="n">
        <v>0</v>
      </c>
      <c r="M917" s="19" t="n">
        <f aca="false">ABS(L917)</f>
        <v>0</v>
      </c>
      <c r="N917" s="18" t="str">
        <f aca="false">IF(L917=0,"Nil balance",IF(G917="AR file",IF(L917&gt;0,"Accounts Receivable","Customer Advances"),IF(L917&lt;0,"Accounts Payable","Supplier Advances")))</f>
        <v>Nil balance</v>
      </c>
      <c r="O917" s="18" t="str">
        <f aca="false">IF(L917=0,"Excluded",IF(Summary!$C$4="By ledger",IF(G917="AR file","Population 1","Population 2"),IF(L917&gt;0,"Population 1","Population 2")))</f>
        <v>Excluded</v>
      </c>
      <c r="P917" s="18" t="str">
        <f aca="false">IF(O917="Excluded","Excluded – nil closing balance",IF(M917&gt;Summary!$C$5,"Above Materiality","Below Materiality"))</f>
        <v>Excluded – nil closing balance</v>
      </c>
      <c r="Q917" s="20" t="str">
        <f aca="false">IF(P917="Below Materiality",T917,"")</f>
        <v/>
      </c>
      <c r="R917" s="21" t="str">
        <f aca="false">IF(P917="Above Materiality",COUNTIFS($O$2:$O$1092,O917,$P$2:$P$1092,"Above Materiality",$M$2:$M$1092,"&gt;"&amp;M917)+COUNTIFS($O$2:$O$1092,O917,$P$2:$P$1092,"Above Materiality",$M$2:$M$1092,M917,$A$2:$A$1092,"&lt;"&amp;A917)+1,"")</f>
        <v/>
      </c>
      <c r="S917" s="21" t="str">
        <f aca="false">IF(P917&lt;&gt;"Below Materiality","",IF(Summary!$C$9="Random",COUNTIFS($O$2:$O$1092,O917,$Q$2:$Q$1092,"&gt;"&amp;Q917)+1,COUNTIFS($O$2:$O$1092,O917,$P$2:$P$1092,"Below Materiality",$M$2:$M$1092,"&gt;"&amp;M917)+COUNTIFS($O$2:$O$1092,O917,$P$2:$P$1092,"Below Materiality",$M$2:$M$1092,M917,$A$2:$A$1092,"&lt;"&amp;A917)+1))</f>
        <v/>
      </c>
      <c r="T917" s="22"/>
      <c r="U917" s="21" t="str">
        <f aca="false">IF(R917="","",O917&amp;"|A|"&amp;R917)</f>
        <v/>
      </c>
      <c r="V917" s="21" t="str">
        <f aca="false">IF(S917="","",O917&amp;"|R|"&amp;S917)</f>
        <v/>
      </c>
    </row>
    <row r="918" customFormat="false" ht="15" hidden="false" customHeight="false" outlineLevel="0" collapsed="false">
      <c r="A918" s="18" t="n">
        <v>917</v>
      </c>
      <c r="B918" s="18"/>
      <c r="C918" s="18"/>
      <c r="D918" s="18"/>
      <c r="E918" s="18" t="s">
        <v>1757</v>
      </c>
      <c r="F918" s="18" t="s">
        <v>1758</v>
      </c>
      <c r="G918" s="18" t="s">
        <v>74</v>
      </c>
      <c r="H918" s="18" t="n">
        <v>722</v>
      </c>
      <c r="I918" s="19" t="n">
        <v>0</v>
      </c>
      <c r="J918" s="19" t="n">
        <v>822.5</v>
      </c>
      <c r="K918" s="19" t="n">
        <v>822.5</v>
      </c>
      <c r="L918" s="19" t="n">
        <v>0</v>
      </c>
      <c r="M918" s="19" t="n">
        <f aca="false">ABS(L918)</f>
        <v>0</v>
      </c>
      <c r="N918" s="18" t="str">
        <f aca="false">IF(L918=0,"Nil balance",IF(G918="AR file",IF(L918&gt;0,"Accounts Receivable","Customer Advances"),IF(L918&lt;0,"Accounts Payable","Supplier Advances")))</f>
        <v>Nil balance</v>
      </c>
      <c r="O918" s="18" t="str">
        <f aca="false">IF(L918=0,"Excluded",IF(Summary!$C$4="By ledger",IF(G918="AR file","Population 1","Population 2"),IF(L918&gt;0,"Population 1","Population 2")))</f>
        <v>Excluded</v>
      </c>
      <c r="P918" s="18" t="str">
        <f aca="false">IF(O918="Excluded","Excluded – nil closing balance",IF(M918&gt;Summary!$C$5,"Above Materiality","Below Materiality"))</f>
        <v>Excluded – nil closing balance</v>
      </c>
      <c r="Q918" s="20" t="str">
        <f aca="false">IF(P918="Below Materiality",T918,"")</f>
        <v/>
      </c>
      <c r="R918" s="21" t="str">
        <f aca="false">IF(P918="Above Materiality",COUNTIFS($O$2:$O$1092,O918,$P$2:$P$1092,"Above Materiality",$M$2:$M$1092,"&gt;"&amp;M918)+COUNTIFS($O$2:$O$1092,O918,$P$2:$P$1092,"Above Materiality",$M$2:$M$1092,M918,$A$2:$A$1092,"&lt;"&amp;A918)+1,"")</f>
        <v/>
      </c>
      <c r="S918" s="21" t="str">
        <f aca="false">IF(P918&lt;&gt;"Below Materiality","",IF(Summary!$C$9="Random",COUNTIFS($O$2:$O$1092,O918,$Q$2:$Q$1092,"&gt;"&amp;Q918)+1,COUNTIFS($O$2:$O$1092,O918,$P$2:$P$1092,"Below Materiality",$M$2:$M$1092,"&gt;"&amp;M918)+COUNTIFS($O$2:$O$1092,O918,$P$2:$P$1092,"Below Materiality",$M$2:$M$1092,M918,$A$2:$A$1092,"&lt;"&amp;A918)+1))</f>
        <v/>
      </c>
      <c r="T918" s="22"/>
      <c r="U918" s="21" t="str">
        <f aca="false">IF(R918="","",O918&amp;"|A|"&amp;R918)</f>
        <v/>
      </c>
      <c r="V918" s="21" t="str">
        <f aca="false">IF(S918="","",O918&amp;"|R|"&amp;S918)</f>
        <v/>
      </c>
    </row>
    <row r="919" customFormat="false" ht="15" hidden="false" customHeight="false" outlineLevel="0" collapsed="false">
      <c r="A919" s="18" t="n">
        <v>918</v>
      </c>
      <c r="B919" s="18"/>
      <c r="C919" s="18"/>
      <c r="D919" s="18"/>
      <c r="E919" s="18" t="s">
        <v>1759</v>
      </c>
      <c r="F919" s="18" t="s">
        <v>1760</v>
      </c>
      <c r="G919" s="18" t="s">
        <v>74</v>
      </c>
      <c r="H919" s="18" t="n">
        <v>723</v>
      </c>
      <c r="I919" s="19" t="n">
        <v>0</v>
      </c>
      <c r="J919" s="19" t="n">
        <v>5351.5</v>
      </c>
      <c r="K919" s="19" t="n">
        <v>5351.5</v>
      </c>
      <c r="L919" s="19" t="n">
        <v>0</v>
      </c>
      <c r="M919" s="19" t="n">
        <f aca="false">ABS(L919)</f>
        <v>0</v>
      </c>
      <c r="N919" s="18" t="str">
        <f aca="false">IF(L919=0,"Nil balance",IF(G919="AR file",IF(L919&gt;0,"Accounts Receivable","Customer Advances"),IF(L919&lt;0,"Accounts Payable","Supplier Advances")))</f>
        <v>Nil balance</v>
      </c>
      <c r="O919" s="18" t="str">
        <f aca="false">IF(L919=0,"Excluded",IF(Summary!$C$4="By ledger",IF(G919="AR file","Population 1","Population 2"),IF(L919&gt;0,"Population 1","Population 2")))</f>
        <v>Excluded</v>
      </c>
      <c r="P919" s="18" t="str">
        <f aca="false">IF(O919="Excluded","Excluded – nil closing balance",IF(M919&gt;Summary!$C$5,"Above Materiality","Below Materiality"))</f>
        <v>Excluded – nil closing balance</v>
      </c>
      <c r="Q919" s="20" t="str">
        <f aca="false">IF(P919="Below Materiality",T919,"")</f>
        <v/>
      </c>
      <c r="R919" s="21" t="str">
        <f aca="false">IF(P919="Above Materiality",COUNTIFS($O$2:$O$1092,O919,$P$2:$P$1092,"Above Materiality",$M$2:$M$1092,"&gt;"&amp;M919)+COUNTIFS($O$2:$O$1092,O919,$P$2:$P$1092,"Above Materiality",$M$2:$M$1092,M919,$A$2:$A$1092,"&lt;"&amp;A919)+1,"")</f>
        <v/>
      </c>
      <c r="S919" s="21" t="str">
        <f aca="false">IF(P919&lt;&gt;"Below Materiality","",IF(Summary!$C$9="Random",COUNTIFS($O$2:$O$1092,O919,$Q$2:$Q$1092,"&gt;"&amp;Q919)+1,COUNTIFS($O$2:$O$1092,O919,$P$2:$P$1092,"Below Materiality",$M$2:$M$1092,"&gt;"&amp;M919)+COUNTIFS($O$2:$O$1092,O919,$P$2:$P$1092,"Below Materiality",$M$2:$M$1092,M919,$A$2:$A$1092,"&lt;"&amp;A919)+1))</f>
        <v/>
      </c>
      <c r="T919" s="22"/>
      <c r="U919" s="21" t="str">
        <f aca="false">IF(R919="","",O919&amp;"|A|"&amp;R919)</f>
        <v/>
      </c>
      <c r="V919" s="21" t="str">
        <f aca="false">IF(S919="","",O919&amp;"|R|"&amp;S919)</f>
        <v/>
      </c>
    </row>
    <row r="920" customFormat="false" ht="15" hidden="false" customHeight="false" outlineLevel="0" collapsed="false">
      <c r="A920" s="18" t="n">
        <v>919</v>
      </c>
      <c r="B920" s="18"/>
      <c r="C920" s="18"/>
      <c r="D920" s="18"/>
      <c r="E920" s="18" t="s">
        <v>1761</v>
      </c>
      <c r="F920" s="18" t="s">
        <v>1762</v>
      </c>
      <c r="G920" s="18" t="s">
        <v>74</v>
      </c>
      <c r="H920" s="18" t="n">
        <v>724</v>
      </c>
      <c r="I920" s="19" t="n">
        <v>0</v>
      </c>
      <c r="J920" s="19" t="n">
        <v>3938.75</v>
      </c>
      <c r="K920" s="19" t="n">
        <v>3938.75</v>
      </c>
      <c r="L920" s="19" t="n">
        <v>0</v>
      </c>
      <c r="M920" s="19" t="n">
        <f aca="false">ABS(L920)</f>
        <v>0</v>
      </c>
      <c r="N920" s="18" t="str">
        <f aca="false">IF(L920=0,"Nil balance",IF(G920="AR file",IF(L920&gt;0,"Accounts Receivable","Customer Advances"),IF(L920&lt;0,"Accounts Payable","Supplier Advances")))</f>
        <v>Nil balance</v>
      </c>
      <c r="O920" s="18" t="str">
        <f aca="false">IF(L920=0,"Excluded",IF(Summary!$C$4="By ledger",IF(G920="AR file","Population 1","Population 2"),IF(L920&gt;0,"Population 1","Population 2")))</f>
        <v>Excluded</v>
      </c>
      <c r="P920" s="18" t="str">
        <f aca="false">IF(O920="Excluded","Excluded – nil closing balance",IF(M920&gt;Summary!$C$5,"Above Materiality","Below Materiality"))</f>
        <v>Excluded – nil closing balance</v>
      </c>
      <c r="Q920" s="20" t="str">
        <f aca="false">IF(P920="Below Materiality",T920,"")</f>
        <v/>
      </c>
      <c r="R920" s="21" t="str">
        <f aca="false">IF(P920="Above Materiality",COUNTIFS($O$2:$O$1092,O920,$P$2:$P$1092,"Above Materiality",$M$2:$M$1092,"&gt;"&amp;M920)+COUNTIFS($O$2:$O$1092,O920,$P$2:$P$1092,"Above Materiality",$M$2:$M$1092,M920,$A$2:$A$1092,"&lt;"&amp;A920)+1,"")</f>
        <v/>
      </c>
      <c r="S920" s="21" t="str">
        <f aca="false">IF(P920&lt;&gt;"Below Materiality","",IF(Summary!$C$9="Random",COUNTIFS($O$2:$O$1092,O920,$Q$2:$Q$1092,"&gt;"&amp;Q920)+1,COUNTIFS($O$2:$O$1092,O920,$P$2:$P$1092,"Below Materiality",$M$2:$M$1092,"&gt;"&amp;M920)+COUNTIFS($O$2:$O$1092,O920,$P$2:$P$1092,"Below Materiality",$M$2:$M$1092,M920,$A$2:$A$1092,"&lt;"&amp;A920)+1))</f>
        <v/>
      </c>
      <c r="T920" s="22"/>
      <c r="U920" s="21" t="str">
        <f aca="false">IF(R920="","",O920&amp;"|A|"&amp;R920)</f>
        <v/>
      </c>
      <c r="V920" s="21" t="str">
        <f aca="false">IF(S920="","",O920&amp;"|R|"&amp;S920)</f>
        <v/>
      </c>
    </row>
    <row r="921" customFormat="false" ht="15" hidden="false" customHeight="false" outlineLevel="0" collapsed="false">
      <c r="A921" s="18" t="n">
        <v>920</v>
      </c>
      <c r="B921" s="18"/>
      <c r="C921" s="18"/>
      <c r="D921" s="18"/>
      <c r="E921" s="18" t="s">
        <v>1763</v>
      </c>
      <c r="F921" s="18" t="s">
        <v>1764</v>
      </c>
      <c r="G921" s="18" t="s">
        <v>74</v>
      </c>
      <c r="H921" s="18" t="n">
        <v>725</v>
      </c>
      <c r="I921" s="19" t="n">
        <v>0</v>
      </c>
      <c r="J921" s="19" t="n">
        <v>2415</v>
      </c>
      <c r="K921" s="19" t="n">
        <v>2415</v>
      </c>
      <c r="L921" s="19" t="n">
        <v>0</v>
      </c>
      <c r="M921" s="19" t="n">
        <f aca="false">ABS(L921)</f>
        <v>0</v>
      </c>
      <c r="N921" s="18" t="str">
        <f aca="false">IF(L921=0,"Nil balance",IF(G921="AR file",IF(L921&gt;0,"Accounts Receivable","Customer Advances"),IF(L921&lt;0,"Accounts Payable","Supplier Advances")))</f>
        <v>Nil balance</v>
      </c>
      <c r="O921" s="18" t="str">
        <f aca="false">IF(L921=0,"Excluded",IF(Summary!$C$4="By ledger",IF(G921="AR file","Population 1","Population 2"),IF(L921&gt;0,"Population 1","Population 2")))</f>
        <v>Excluded</v>
      </c>
      <c r="P921" s="18" t="str">
        <f aca="false">IF(O921="Excluded","Excluded – nil closing balance",IF(M921&gt;Summary!$C$5,"Above Materiality","Below Materiality"))</f>
        <v>Excluded – nil closing balance</v>
      </c>
      <c r="Q921" s="20" t="str">
        <f aca="false">IF(P921="Below Materiality",T921,"")</f>
        <v/>
      </c>
      <c r="R921" s="21" t="str">
        <f aca="false">IF(P921="Above Materiality",COUNTIFS($O$2:$O$1092,O921,$P$2:$P$1092,"Above Materiality",$M$2:$M$1092,"&gt;"&amp;M921)+COUNTIFS($O$2:$O$1092,O921,$P$2:$P$1092,"Above Materiality",$M$2:$M$1092,M921,$A$2:$A$1092,"&lt;"&amp;A921)+1,"")</f>
        <v/>
      </c>
      <c r="S921" s="21" t="str">
        <f aca="false">IF(P921&lt;&gt;"Below Materiality","",IF(Summary!$C$9="Random",COUNTIFS($O$2:$O$1092,O921,$Q$2:$Q$1092,"&gt;"&amp;Q921)+1,COUNTIFS($O$2:$O$1092,O921,$P$2:$P$1092,"Below Materiality",$M$2:$M$1092,"&gt;"&amp;M921)+COUNTIFS($O$2:$O$1092,O921,$P$2:$P$1092,"Below Materiality",$M$2:$M$1092,M921,$A$2:$A$1092,"&lt;"&amp;A921)+1))</f>
        <v/>
      </c>
      <c r="T921" s="22"/>
      <c r="U921" s="21" t="str">
        <f aca="false">IF(R921="","",O921&amp;"|A|"&amp;R921)</f>
        <v/>
      </c>
      <c r="V921" s="21" t="str">
        <f aca="false">IF(S921="","",O921&amp;"|R|"&amp;S921)</f>
        <v/>
      </c>
    </row>
    <row r="922" customFormat="false" ht="15" hidden="false" customHeight="false" outlineLevel="0" collapsed="false">
      <c r="A922" s="18" t="n">
        <v>921</v>
      </c>
      <c r="B922" s="18"/>
      <c r="C922" s="18"/>
      <c r="D922" s="18"/>
      <c r="E922" s="18" t="s">
        <v>1765</v>
      </c>
      <c r="F922" s="18" t="s">
        <v>1766</v>
      </c>
      <c r="G922" s="18" t="s">
        <v>74</v>
      </c>
      <c r="H922" s="18" t="n">
        <v>726</v>
      </c>
      <c r="I922" s="19" t="n">
        <v>0</v>
      </c>
      <c r="J922" s="19" t="n">
        <v>5995.5</v>
      </c>
      <c r="K922" s="19" t="n">
        <v>5995.5</v>
      </c>
      <c r="L922" s="19" t="n">
        <v>0</v>
      </c>
      <c r="M922" s="19" t="n">
        <f aca="false">ABS(L922)</f>
        <v>0</v>
      </c>
      <c r="N922" s="18" t="str">
        <f aca="false">IF(L922=0,"Nil balance",IF(G922="AR file",IF(L922&gt;0,"Accounts Receivable","Customer Advances"),IF(L922&lt;0,"Accounts Payable","Supplier Advances")))</f>
        <v>Nil balance</v>
      </c>
      <c r="O922" s="18" t="str">
        <f aca="false">IF(L922=0,"Excluded",IF(Summary!$C$4="By ledger",IF(G922="AR file","Population 1","Population 2"),IF(L922&gt;0,"Population 1","Population 2")))</f>
        <v>Excluded</v>
      </c>
      <c r="P922" s="18" t="str">
        <f aca="false">IF(O922="Excluded","Excluded – nil closing balance",IF(M922&gt;Summary!$C$5,"Above Materiality","Below Materiality"))</f>
        <v>Excluded – nil closing balance</v>
      </c>
      <c r="Q922" s="20" t="str">
        <f aca="false">IF(P922="Below Materiality",T922,"")</f>
        <v/>
      </c>
      <c r="R922" s="21" t="str">
        <f aca="false">IF(P922="Above Materiality",COUNTIFS($O$2:$O$1092,O922,$P$2:$P$1092,"Above Materiality",$M$2:$M$1092,"&gt;"&amp;M922)+COUNTIFS($O$2:$O$1092,O922,$P$2:$P$1092,"Above Materiality",$M$2:$M$1092,M922,$A$2:$A$1092,"&lt;"&amp;A922)+1,"")</f>
        <v/>
      </c>
      <c r="S922" s="21" t="str">
        <f aca="false">IF(P922&lt;&gt;"Below Materiality","",IF(Summary!$C$9="Random",COUNTIFS($O$2:$O$1092,O922,$Q$2:$Q$1092,"&gt;"&amp;Q922)+1,COUNTIFS($O$2:$O$1092,O922,$P$2:$P$1092,"Below Materiality",$M$2:$M$1092,"&gt;"&amp;M922)+COUNTIFS($O$2:$O$1092,O922,$P$2:$P$1092,"Below Materiality",$M$2:$M$1092,M922,$A$2:$A$1092,"&lt;"&amp;A922)+1))</f>
        <v/>
      </c>
      <c r="T922" s="22"/>
      <c r="U922" s="21" t="str">
        <f aca="false">IF(R922="","",O922&amp;"|A|"&amp;R922)</f>
        <v/>
      </c>
      <c r="V922" s="21" t="str">
        <f aca="false">IF(S922="","",O922&amp;"|R|"&amp;S922)</f>
        <v/>
      </c>
    </row>
    <row r="923" customFormat="false" ht="15" hidden="false" customHeight="false" outlineLevel="0" collapsed="false">
      <c r="A923" s="18" t="n">
        <v>922</v>
      </c>
      <c r="B923" s="18"/>
      <c r="C923" s="18"/>
      <c r="D923" s="18"/>
      <c r="E923" s="18" t="s">
        <v>1767</v>
      </c>
      <c r="F923" s="18" t="s">
        <v>1600</v>
      </c>
      <c r="G923" s="18" t="s">
        <v>74</v>
      </c>
      <c r="H923" s="18" t="n">
        <v>727</v>
      </c>
      <c r="I923" s="19" t="n">
        <v>0</v>
      </c>
      <c r="J923" s="19" t="n">
        <v>1200</v>
      </c>
      <c r="K923" s="19" t="n">
        <v>1200</v>
      </c>
      <c r="L923" s="19" t="n">
        <v>0</v>
      </c>
      <c r="M923" s="19" t="n">
        <f aca="false">ABS(L923)</f>
        <v>0</v>
      </c>
      <c r="N923" s="18" t="str">
        <f aca="false">IF(L923=0,"Nil balance",IF(G923="AR file",IF(L923&gt;0,"Accounts Receivable","Customer Advances"),IF(L923&lt;0,"Accounts Payable","Supplier Advances")))</f>
        <v>Nil balance</v>
      </c>
      <c r="O923" s="18" t="str">
        <f aca="false">IF(L923=0,"Excluded",IF(Summary!$C$4="By ledger",IF(G923="AR file","Population 1","Population 2"),IF(L923&gt;0,"Population 1","Population 2")))</f>
        <v>Excluded</v>
      </c>
      <c r="P923" s="18" t="str">
        <f aca="false">IF(O923="Excluded","Excluded – nil closing balance",IF(M923&gt;Summary!$C$5,"Above Materiality","Below Materiality"))</f>
        <v>Excluded – nil closing balance</v>
      </c>
      <c r="Q923" s="20" t="str">
        <f aca="false">IF(P923="Below Materiality",T923,"")</f>
        <v/>
      </c>
      <c r="R923" s="21" t="str">
        <f aca="false">IF(P923="Above Materiality",COUNTIFS($O$2:$O$1092,O923,$P$2:$P$1092,"Above Materiality",$M$2:$M$1092,"&gt;"&amp;M923)+COUNTIFS($O$2:$O$1092,O923,$P$2:$P$1092,"Above Materiality",$M$2:$M$1092,M923,$A$2:$A$1092,"&lt;"&amp;A923)+1,"")</f>
        <v/>
      </c>
      <c r="S923" s="21" t="str">
        <f aca="false">IF(P923&lt;&gt;"Below Materiality","",IF(Summary!$C$9="Random",COUNTIFS($O$2:$O$1092,O923,$Q$2:$Q$1092,"&gt;"&amp;Q923)+1,COUNTIFS($O$2:$O$1092,O923,$P$2:$P$1092,"Below Materiality",$M$2:$M$1092,"&gt;"&amp;M923)+COUNTIFS($O$2:$O$1092,O923,$P$2:$P$1092,"Below Materiality",$M$2:$M$1092,M923,$A$2:$A$1092,"&lt;"&amp;A923)+1))</f>
        <v/>
      </c>
      <c r="T923" s="22"/>
      <c r="U923" s="21" t="str">
        <f aca="false">IF(R923="","",O923&amp;"|A|"&amp;R923)</f>
        <v/>
      </c>
      <c r="V923" s="21" t="str">
        <f aca="false">IF(S923="","",O923&amp;"|R|"&amp;S923)</f>
        <v/>
      </c>
    </row>
    <row r="924" customFormat="false" ht="15" hidden="false" customHeight="false" outlineLevel="0" collapsed="false">
      <c r="A924" s="18" t="n">
        <v>923</v>
      </c>
      <c r="B924" s="18"/>
      <c r="C924" s="18"/>
      <c r="D924" s="18"/>
      <c r="E924" s="18" t="s">
        <v>1768</v>
      </c>
      <c r="F924" s="18" t="s">
        <v>1159</v>
      </c>
      <c r="G924" s="18" t="s">
        <v>74</v>
      </c>
      <c r="H924" s="18" t="n">
        <v>728</v>
      </c>
      <c r="I924" s="19" t="n">
        <v>0</v>
      </c>
      <c r="J924" s="19" t="n">
        <v>69</v>
      </c>
      <c r="K924" s="19" t="n">
        <v>69</v>
      </c>
      <c r="L924" s="19" t="n">
        <v>0</v>
      </c>
      <c r="M924" s="19" t="n">
        <f aca="false">ABS(L924)</f>
        <v>0</v>
      </c>
      <c r="N924" s="18" t="str">
        <f aca="false">IF(L924=0,"Nil balance",IF(G924="AR file",IF(L924&gt;0,"Accounts Receivable","Customer Advances"),IF(L924&lt;0,"Accounts Payable","Supplier Advances")))</f>
        <v>Nil balance</v>
      </c>
      <c r="O924" s="18" t="str">
        <f aca="false">IF(L924=0,"Excluded",IF(Summary!$C$4="By ledger",IF(G924="AR file","Population 1","Population 2"),IF(L924&gt;0,"Population 1","Population 2")))</f>
        <v>Excluded</v>
      </c>
      <c r="P924" s="18" t="str">
        <f aca="false">IF(O924="Excluded","Excluded – nil closing balance",IF(M924&gt;Summary!$C$5,"Above Materiality","Below Materiality"))</f>
        <v>Excluded – nil closing balance</v>
      </c>
      <c r="Q924" s="20" t="str">
        <f aca="false">IF(P924="Below Materiality",T924,"")</f>
        <v/>
      </c>
      <c r="R924" s="21" t="str">
        <f aca="false">IF(P924="Above Materiality",COUNTIFS($O$2:$O$1092,O924,$P$2:$P$1092,"Above Materiality",$M$2:$M$1092,"&gt;"&amp;M924)+COUNTIFS($O$2:$O$1092,O924,$P$2:$P$1092,"Above Materiality",$M$2:$M$1092,M924,$A$2:$A$1092,"&lt;"&amp;A924)+1,"")</f>
        <v/>
      </c>
      <c r="S924" s="21" t="str">
        <f aca="false">IF(P924&lt;&gt;"Below Materiality","",IF(Summary!$C$9="Random",COUNTIFS($O$2:$O$1092,O924,$Q$2:$Q$1092,"&gt;"&amp;Q924)+1,COUNTIFS($O$2:$O$1092,O924,$P$2:$P$1092,"Below Materiality",$M$2:$M$1092,"&gt;"&amp;M924)+COUNTIFS($O$2:$O$1092,O924,$P$2:$P$1092,"Below Materiality",$M$2:$M$1092,M924,$A$2:$A$1092,"&lt;"&amp;A924)+1))</f>
        <v/>
      </c>
      <c r="T924" s="22"/>
      <c r="U924" s="21" t="str">
        <f aca="false">IF(R924="","",O924&amp;"|A|"&amp;R924)</f>
        <v/>
      </c>
      <c r="V924" s="21" t="str">
        <f aca="false">IF(S924="","",O924&amp;"|R|"&amp;S924)</f>
        <v/>
      </c>
    </row>
    <row r="925" customFormat="false" ht="15" hidden="false" customHeight="false" outlineLevel="0" collapsed="false">
      <c r="A925" s="18" t="n">
        <v>924</v>
      </c>
      <c r="B925" s="18"/>
      <c r="C925" s="18"/>
      <c r="D925" s="18"/>
      <c r="E925" s="18" t="s">
        <v>1769</v>
      </c>
      <c r="F925" s="18" t="s">
        <v>640</v>
      </c>
      <c r="G925" s="18" t="s">
        <v>74</v>
      </c>
      <c r="H925" s="18" t="n">
        <v>729</v>
      </c>
      <c r="I925" s="19" t="n">
        <v>0</v>
      </c>
      <c r="J925" s="19" t="n">
        <v>103.5</v>
      </c>
      <c r="K925" s="19" t="n">
        <v>103.5</v>
      </c>
      <c r="L925" s="19" t="n">
        <v>0</v>
      </c>
      <c r="M925" s="19" t="n">
        <f aca="false">ABS(L925)</f>
        <v>0</v>
      </c>
      <c r="N925" s="18" t="str">
        <f aca="false">IF(L925=0,"Nil balance",IF(G925="AR file",IF(L925&gt;0,"Accounts Receivable","Customer Advances"),IF(L925&lt;0,"Accounts Payable","Supplier Advances")))</f>
        <v>Nil balance</v>
      </c>
      <c r="O925" s="18" t="str">
        <f aca="false">IF(L925=0,"Excluded",IF(Summary!$C$4="By ledger",IF(G925="AR file","Population 1","Population 2"),IF(L925&gt;0,"Population 1","Population 2")))</f>
        <v>Excluded</v>
      </c>
      <c r="P925" s="18" t="str">
        <f aca="false">IF(O925="Excluded","Excluded – nil closing balance",IF(M925&gt;Summary!$C$5,"Above Materiality","Below Materiality"))</f>
        <v>Excluded – nil closing balance</v>
      </c>
      <c r="Q925" s="20" t="str">
        <f aca="false">IF(P925="Below Materiality",T925,"")</f>
        <v/>
      </c>
      <c r="R925" s="21" t="str">
        <f aca="false">IF(P925="Above Materiality",COUNTIFS($O$2:$O$1092,O925,$P$2:$P$1092,"Above Materiality",$M$2:$M$1092,"&gt;"&amp;M925)+COUNTIFS($O$2:$O$1092,O925,$P$2:$P$1092,"Above Materiality",$M$2:$M$1092,M925,$A$2:$A$1092,"&lt;"&amp;A925)+1,"")</f>
        <v/>
      </c>
      <c r="S925" s="21" t="str">
        <f aca="false">IF(P925&lt;&gt;"Below Materiality","",IF(Summary!$C$9="Random",COUNTIFS($O$2:$O$1092,O925,$Q$2:$Q$1092,"&gt;"&amp;Q925)+1,COUNTIFS($O$2:$O$1092,O925,$P$2:$P$1092,"Below Materiality",$M$2:$M$1092,"&gt;"&amp;M925)+COUNTIFS($O$2:$O$1092,O925,$P$2:$P$1092,"Below Materiality",$M$2:$M$1092,M925,$A$2:$A$1092,"&lt;"&amp;A925)+1))</f>
        <v/>
      </c>
      <c r="T925" s="22"/>
      <c r="U925" s="21" t="str">
        <f aca="false">IF(R925="","",O925&amp;"|A|"&amp;R925)</f>
        <v/>
      </c>
      <c r="V925" s="21" t="str">
        <f aca="false">IF(S925="","",O925&amp;"|R|"&amp;S925)</f>
        <v/>
      </c>
    </row>
    <row r="926" customFormat="false" ht="15" hidden="false" customHeight="false" outlineLevel="0" collapsed="false">
      <c r="A926" s="18" t="n">
        <v>925</v>
      </c>
      <c r="B926" s="18"/>
      <c r="C926" s="18"/>
      <c r="D926" s="18"/>
      <c r="E926" s="18" t="s">
        <v>1770</v>
      </c>
      <c r="F926" s="18" t="s">
        <v>1771</v>
      </c>
      <c r="G926" s="18" t="s">
        <v>74</v>
      </c>
      <c r="H926" s="18" t="n">
        <v>730</v>
      </c>
      <c r="I926" s="19" t="n">
        <v>0</v>
      </c>
      <c r="J926" s="19" t="n">
        <v>513.75</v>
      </c>
      <c r="K926" s="19" t="n">
        <v>513.75</v>
      </c>
      <c r="L926" s="19" t="n">
        <v>0</v>
      </c>
      <c r="M926" s="19" t="n">
        <f aca="false">ABS(L926)</f>
        <v>0</v>
      </c>
      <c r="N926" s="18" t="str">
        <f aca="false">IF(L926=0,"Nil balance",IF(G926="AR file",IF(L926&gt;0,"Accounts Receivable","Customer Advances"),IF(L926&lt;0,"Accounts Payable","Supplier Advances")))</f>
        <v>Nil balance</v>
      </c>
      <c r="O926" s="18" t="str">
        <f aca="false">IF(L926=0,"Excluded",IF(Summary!$C$4="By ledger",IF(G926="AR file","Population 1","Population 2"),IF(L926&gt;0,"Population 1","Population 2")))</f>
        <v>Excluded</v>
      </c>
      <c r="P926" s="18" t="str">
        <f aca="false">IF(O926="Excluded","Excluded – nil closing balance",IF(M926&gt;Summary!$C$5,"Above Materiality","Below Materiality"))</f>
        <v>Excluded – nil closing balance</v>
      </c>
      <c r="Q926" s="20" t="str">
        <f aca="false">IF(P926="Below Materiality",T926,"")</f>
        <v/>
      </c>
      <c r="R926" s="21" t="str">
        <f aca="false">IF(P926="Above Materiality",COUNTIFS($O$2:$O$1092,O926,$P$2:$P$1092,"Above Materiality",$M$2:$M$1092,"&gt;"&amp;M926)+COUNTIFS($O$2:$O$1092,O926,$P$2:$P$1092,"Above Materiality",$M$2:$M$1092,M926,$A$2:$A$1092,"&lt;"&amp;A926)+1,"")</f>
        <v/>
      </c>
      <c r="S926" s="21" t="str">
        <f aca="false">IF(P926&lt;&gt;"Below Materiality","",IF(Summary!$C$9="Random",COUNTIFS($O$2:$O$1092,O926,$Q$2:$Q$1092,"&gt;"&amp;Q926)+1,COUNTIFS($O$2:$O$1092,O926,$P$2:$P$1092,"Below Materiality",$M$2:$M$1092,"&gt;"&amp;M926)+COUNTIFS($O$2:$O$1092,O926,$P$2:$P$1092,"Below Materiality",$M$2:$M$1092,M926,$A$2:$A$1092,"&lt;"&amp;A926)+1))</f>
        <v/>
      </c>
      <c r="T926" s="22"/>
      <c r="U926" s="21" t="str">
        <f aca="false">IF(R926="","",O926&amp;"|A|"&amp;R926)</f>
        <v/>
      </c>
      <c r="V926" s="21" t="str">
        <f aca="false">IF(S926="","",O926&amp;"|R|"&amp;S926)</f>
        <v/>
      </c>
    </row>
    <row r="927" customFormat="false" ht="15" hidden="false" customHeight="false" outlineLevel="0" collapsed="false">
      <c r="A927" s="18" t="n">
        <v>926</v>
      </c>
      <c r="B927" s="18"/>
      <c r="C927" s="18"/>
      <c r="D927" s="18"/>
      <c r="E927" s="18" t="s">
        <v>1772</v>
      </c>
      <c r="F927" s="18" t="s">
        <v>510</v>
      </c>
      <c r="G927" s="18" t="s">
        <v>74</v>
      </c>
      <c r="H927" s="18" t="n">
        <v>731</v>
      </c>
      <c r="I927" s="19" t="n">
        <v>0</v>
      </c>
      <c r="J927" s="19" t="n">
        <v>75</v>
      </c>
      <c r="K927" s="19" t="n">
        <v>75</v>
      </c>
      <c r="L927" s="19" t="n">
        <v>0</v>
      </c>
      <c r="M927" s="19" t="n">
        <f aca="false">ABS(L927)</f>
        <v>0</v>
      </c>
      <c r="N927" s="18" t="str">
        <f aca="false">IF(L927=0,"Nil balance",IF(G927="AR file",IF(L927&gt;0,"Accounts Receivable","Customer Advances"),IF(L927&lt;0,"Accounts Payable","Supplier Advances")))</f>
        <v>Nil balance</v>
      </c>
      <c r="O927" s="18" t="str">
        <f aca="false">IF(L927=0,"Excluded",IF(Summary!$C$4="By ledger",IF(G927="AR file","Population 1","Population 2"),IF(L927&gt;0,"Population 1","Population 2")))</f>
        <v>Excluded</v>
      </c>
      <c r="P927" s="18" t="str">
        <f aca="false">IF(O927="Excluded","Excluded – nil closing balance",IF(M927&gt;Summary!$C$5,"Above Materiality","Below Materiality"))</f>
        <v>Excluded – nil closing balance</v>
      </c>
      <c r="Q927" s="20" t="str">
        <f aca="false">IF(P927="Below Materiality",T927,"")</f>
        <v/>
      </c>
      <c r="R927" s="21" t="str">
        <f aca="false">IF(P927="Above Materiality",COUNTIFS($O$2:$O$1092,O927,$P$2:$P$1092,"Above Materiality",$M$2:$M$1092,"&gt;"&amp;M927)+COUNTIFS($O$2:$O$1092,O927,$P$2:$P$1092,"Above Materiality",$M$2:$M$1092,M927,$A$2:$A$1092,"&lt;"&amp;A927)+1,"")</f>
        <v/>
      </c>
      <c r="S927" s="21" t="str">
        <f aca="false">IF(P927&lt;&gt;"Below Materiality","",IF(Summary!$C$9="Random",COUNTIFS($O$2:$O$1092,O927,$Q$2:$Q$1092,"&gt;"&amp;Q927)+1,COUNTIFS($O$2:$O$1092,O927,$P$2:$P$1092,"Below Materiality",$M$2:$M$1092,"&gt;"&amp;M927)+COUNTIFS($O$2:$O$1092,O927,$P$2:$P$1092,"Below Materiality",$M$2:$M$1092,M927,$A$2:$A$1092,"&lt;"&amp;A927)+1))</f>
        <v/>
      </c>
      <c r="T927" s="22"/>
      <c r="U927" s="21" t="str">
        <f aca="false">IF(R927="","",O927&amp;"|A|"&amp;R927)</f>
        <v/>
      </c>
      <c r="V927" s="21" t="str">
        <f aca="false">IF(S927="","",O927&amp;"|R|"&amp;S927)</f>
        <v/>
      </c>
    </row>
    <row r="928" customFormat="false" ht="15" hidden="false" customHeight="false" outlineLevel="0" collapsed="false">
      <c r="A928" s="18" t="n">
        <v>927</v>
      </c>
      <c r="B928" s="18"/>
      <c r="C928" s="18"/>
      <c r="D928" s="18"/>
      <c r="E928" s="18" t="s">
        <v>1773</v>
      </c>
      <c r="F928" s="18" t="s">
        <v>1774</v>
      </c>
      <c r="G928" s="18" t="s">
        <v>74</v>
      </c>
      <c r="H928" s="18" t="n">
        <v>732</v>
      </c>
      <c r="I928" s="19" t="n">
        <v>0</v>
      </c>
      <c r="J928" s="19" t="n">
        <v>23</v>
      </c>
      <c r="K928" s="19" t="n">
        <v>23</v>
      </c>
      <c r="L928" s="19" t="n">
        <v>0</v>
      </c>
      <c r="M928" s="19" t="n">
        <f aca="false">ABS(L928)</f>
        <v>0</v>
      </c>
      <c r="N928" s="18" t="str">
        <f aca="false">IF(L928=0,"Nil balance",IF(G928="AR file",IF(L928&gt;0,"Accounts Receivable","Customer Advances"),IF(L928&lt;0,"Accounts Payable","Supplier Advances")))</f>
        <v>Nil balance</v>
      </c>
      <c r="O928" s="18" t="str">
        <f aca="false">IF(L928=0,"Excluded",IF(Summary!$C$4="By ledger",IF(G928="AR file","Population 1","Population 2"),IF(L928&gt;0,"Population 1","Population 2")))</f>
        <v>Excluded</v>
      </c>
      <c r="P928" s="18" t="str">
        <f aca="false">IF(O928="Excluded","Excluded – nil closing balance",IF(M928&gt;Summary!$C$5,"Above Materiality","Below Materiality"))</f>
        <v>Excluded – nil closing balance</v>
      </c>
      <c r="Q928" s="20" t="str">
        <f aca="false">IF(P928="Below Materiality",T928,"")</f>
        <v/>
      </c>
      <c r="R928" s="21" t="str">
        <f aca="false">IF(P928="Above Materiality",COUNTIFS($O$2:$O$1092,O928,$P$2:$P$1092,"Above Materiality",$M$2:$M$1092,"&gt;"&amp;M928)+COUNTIFS($O$2:$O$1092,O928,$P$2:$P$1092,"Above Materiality",$M$2:$M$1092,M928,$A$2:$A$1092,"&lt;"&amp;A928)+1,"")</f>
        <v/>
      </c>
      <c r="S928" s="21" t="str">
        <f aca="false">IF(P928&lt;&gt;"Below Materiality","",IF(Summary!$C$9="Random",COUNTIFS($O$2:$O$1092,O928,$Q$2:$Q$1092,"&gt;"&amp;Q928)+1,COUNTIFS($O$2:$O$1092,O928,$P$2:$P$1092,"Below Materiality",$M$2:$M$1092,"&gt;"&amp;M928)+COUNTIFS($O$2:$O$1092,O928,$P$2:$P$1092,"Below Materiality",$M$2:$M$1092,M928,$A$2:$A$1092,"&lt;"&amp;A928)+1))</f>
        <v/>
      </c>
      <c r="T928" s="22"/>
      <c r="U928" s="21" t="str">
        <f aca="false">IF(R928="","",O928&amp;"|A|"&amp;R928)</f>
        <v/>
      </c>
      <c r="V928" s="21" t="str">
        <f aca="false">IF(S928="","",O928&amp;"|R|"&amp;S928)</f>
        <v/>
      </c>
    </row>
    <row r="929" customFormat="false" ht="15" hidden="false" customHeight="false" outlineLevel="0" collapsed="false">
      <c r="A929" s="18" t="n">
        <v>928</v>
      </c>
      <c r="B929" s="18"/>
      <c r="C929" s="18"/>
      <c r="D929" s="18"/>
      <c r="E929" s="18" t="s">
        <v>1775</v>
      </c>
      <c r="F929" s="18" t="s">
        <v>1776</v>
      </c>
      <c r="G929" s="18" t="s">
        <v>74</v>
      </c>
      <c r="H929" s="18" t="n">
        <v>733</v>
      </c>
      <c r="I929" s="19" t="n">
        <v>0</v>
      </c>
      <c r="J929" s="19" t="n">
        <v>1886</v>
      </c>
      <c r="K929" s="19" t="n">
        <v>1886</v>
      </c>
      <c r="L929" s="19" t="n">
        <v>0</v>
      </c>
      <c r="M929" s="19" t="n">
        <f aca="false">ABS(L929)</f>
        <v>0</v>
      </c>
      <c r="N929" s="18" t="str">
        <f aca="false">IF(L929=0,"Nil balance",IF(G929="AR file",IF(L929&gt;0,"Accounts Receivable","Customer Advances"),IF(L929&lt;0,"Accounts Payable","Supplier Advances")))</f>
        <v>Nil balance</v>
      </c>
      <c r="O929" s="18" t="str">
        <f aca="false">IF(L929=0,"Excluded",IF(Summary!$C$4="By ledger",IF(G929="AR file","Population 1","Population 2"),IF(L929&gt;0,"Population 1","Population 2")))</f>
        <v>Excluded</v>
      </c>
      <c r="P929" s="18" t="str">
        <f aca="false">IF(O929="Excluded","Excluded – nil closing balance",IF(M929&gt;Summary!$C$5,"Above Materiality","Below Materiality"))</f>
        <v>Excluded – nil closing balance</v>
      </c>
      <c r="Q929" s="20" t="str">
        <f aca="false">IF(P929="Below Materiality",T929,"")</f>
        <v/>
      </c>
      <c r="R929" s="21" t="str">
        <f aca="false">IF(P929="Above Materiality",COUNTIFS($O$2:$O$1092,O929,$P$2:$P$1092,"Above Materiality",$M$2:$M$1092,"&gt;"&amp;M929)+COUNTIFS($O$2:$O$1092,O929,$P$2:$P$1092,"Above Materiality",$M$2:$M$1092,M929,$A$2:$A$1092,"&lt;"&amp;A929)+1,"")</f>
        <v/>
      </c>
      <c r="S929" s="21" t="str">
        <f aca="false">IF(P929&lt;&gt;"Below Materiality","",IF(Summary!$C$9="Random",COUNTIFS($O$2:$O$1092,O929,$Q$2:$Q$1092,"&gt;"&amp;Q929)+1,COUNTIFS($O$2:$O$1092,O929,$P$2:$P$1092,"Below Materiality",$M$2:$M$1092,"&gt;"&amp;M929)+COUNTIFS($O$2:$O$1092,O929,$P$2:$P$1092,"Below Materiality",$M$2:$M$1092,M929,$A$2:$A$1092,"&lt;"&amp;A929)+1))</f>
        <v/>
      </c>
      <c r="T929" s="22"/>
      <c r="U929" s="21" t="str">
        <f aca="false">IF(R929="","",O929&amp;"|A|"&amp;R929)</f>
        <v/>
      </c>
      <c r="V929" s="21" t="str">
        <f aca="false">IF(S929="","",O929&amp;"|R|"&amp;S929)</f>
        <v/>
      </c>
    </row>
    <row r="930" customFormat="false" ht="15" hidden="false" customHeight="false" outlineLevel="0" collapsed="false">
      <c r="A930" s="18" t="n">
        <v>929</v>
      </c>
      <c r="B930" s="18"/>
      <c r="C930" s="18"/>
      <c r="D930" s="18"/>
      <c r="E930" s="18" t="s">
        <v>1777</v>
      </c>
      <c r="F930" s="18" t="s">
        <v>482</v>
      </c>
      <c r="G930" s="18" t="s">
        <v>74</v>
      </c>
      <c r="H930" s="18" t="n">
        <v>734</v>
      </c>
      <c r="I930" s="19" t="n">
        <v>0</v>
      </c>
      <c r="J930" s="19" t="n">
        <v>575</v>
      </c>
      <c r="K930" s="19" t="n">
        <v>575</v>
      </c>
      <c r="L930" s="19" t="n">
        <v>0</v>
      </c>
      <c r="M930" s="19" t="n">
        <f aca="false">ABS(L930)</f>
        <v>0</v>
      </c>
      <c r="N930" s="18" t="str">
        <f aca="false">IF(L930=0,"Nil balance",IF(G930="AR file",IF(L930&gt;0,"Accounts Receivable","Customer Advances"),IF(L930&lt;0,"Accounts Payable","Supplier Advances")))</f>
        <v>Nil balance</v>
      </c>
      <c r="O930" s="18" t="str">
        <f aca="false">IF(L930=0,"Excluded",IF(Summary!$C$4="By ledger",IF(G930="AR file","Population 1","Population 2"),IF(L930&gt;0,"Population 1","Population 2")))</f>
        <v>Excluded</v>
      </c>
      <c r="P930" s="18" t="str">
        <f aca="false">IF(O930="Excluded","Excluded – nil closing balance",IF(M930&gt;Summary!$C$5,"Above Materiality","Below Materiality"))</f>
        <v>Excluded – nil closing balance</v>
      </c>
      <c r="Q930" s="20" t="str">
        <f aca="false">IF(P930="Below Materiality",T930,"")</f>
        <v/>
      </c>
      <c r="R930" s="21" t="str">
        <f aca="false">IF(P930="Above Materiality",COUNTIFS($O$2:$O$1092,O930,$P$2:$P$1092,"Above Materiality",$M$2:$M$1092,"&gt;"&amp;M930)+COUNTIFS($O$2:$O$1092,O930,$P$2:$P$1092,"Above Materiality",$M$2:$M$1092,M930,$A$2:$A$1092,"&lt;"&amp;A930)+1,"")</f>
        <v/>
      </c>
      <c r="S930" s="21" t="str">
        <f aca="false">IF(P930&lt;&gt;"Below Materiality","",IF(Summary!$C$9="Random",COUNTIFS($O$2:$O$1092,O930,$Q$2:$Q$1092,"&gt;"&amp;Q930)+1,COUNTIFS($O$2:$O$1092,O930,$P$2:$P$1092,"Below Materiality",$M$2:$M$1092,"&gt;"&amp;M930)+COUNTIFS($O$2:$O$1092,O930,$P$2:$P$1092,"Below Materiality",$M$2:$M$1092,M930,$A$2:$A$1092,"&lt;"&amp;A930)+1))</f>
        <v/>
      </c>
      <c r="T930" s="22"/>
      <c r="U930" s="21" t="str">
        <f aca="false">IF(R930="","",O930&amp;"|A|"&amp;R930)</f>
        <v/>
      </c>
      <c r="V930" s="21" t="str">
        <f aca="false">IF(S930="","",O930&amp;"|R|"&amp;S930)</f>
        <v/>
      </c>
    </row>
    <row r="931" customFormat="false" ht="15" hidden="false" customHeight="false" outlineLevel="0" collapsed="false">
      <c r="A931" s="18" t="n">
        <v>930</v>
      </c>
      <c r="B931" s="18"/>
      <c r="C931" s="18"/>
      <c r="D931" s="18"/>
      <c r="E931" s="18" t="s">
        <v>1778</v>
      </c>
      <c r="F931" s="18" t="s">
        <v>1779</v>
      </c>
      <c r="G931" s="18" t="s">
        <v>74</v>
      </c>
      <c r="H931" s="18" t="n">
        <v>735</v>
      </c>
      <c r="I931" s="19" t="n">
        <v>0</v>
      </c>
      <c r="J931" s="19" t="n">
        <v>517</v>
      </c>
      <c r="K931" s="19" t="n">
        <v>517</v>
      </c>
      <c r="L931" s="19" t="n">
        <v>0</v>
      </c>
      <c r="M931" s="19" t="n">
        <f aca="false">ABS(L931)</f>
        <v>0</v>
      </c>
      <c r="N931" s="18" t="str">
        <f aca="false">IF(L931=0,"Nil balance",IF(G931="AR file",IF(L931&gt;0,"Accounts Receivable","Customer Advances"),IF(L931&lt;0,"Accounts Payable","Supplier Advances")))</f>
        <v>Nil balance</v>
      </c>
      <c r="O931" s="18" t="str">
        <f aca="false">IF(L931=0,"Excluded",IF(Summary!$C$4="By ledger",IF(G931="AR file","Population 1","Population 2"),IF(L931&gt;0,"Population 1","Population 2")))</f>
        <v>Excluded</v>
      </c>
      <c r="P931" s="18" t="str">
        <f aca="false">IF(O931="Excluded","Excluded – nil closing balance",IF(M931&gt;Summary!$C$5,"Above Materiality","Below Materiality"))</f>
        <v>Excluded – nil closing balance</v>
      </c>
      <c r="Q931" s="20" t="str">
        <f aca="false">IF(P931="Below Materiality",T931,"")</f>
        <v/>
      </c>
      <c r="R931" s="21" t="str">
        <f aca="false">IF(P931="Above Materiality",COUNTIFS($O$2:$O$1092,O931,$P$2:$P$1092,"Above Materiality",$M$2:$M$1092,"&gt;"&amp;M931)+COUNTIFS($O$2:$O$1092,O931,$P$2:$P$1092,"Above Materiality",$M$2:$M$1092,M931,$A$2:$A$1092,"&lt;"&amp;A931)+1,"")</f>
        <v/>
      </c>
      <c r="S931" s="21" t="str">
        <f aca="false">IF(P931&lt;&gt;"Below Materiality","",IF(Summary!$C$9="Random",COUNTIFS($O$2:$O$1092,O931,$Q$2:$Q$1092,"&gt;"&amp;Q931)+1,COUNTIFS($O$2:$O$1092,O931,$P$2:$P$1092,"Below Materiality",$M$2:$M$1092,"&gt;"&amp;M931)+COUNTIFS($O$2:$O$1092,O931,$P$2:$P$1092,"Below Materiality",$M$2:$M$1092,M931,$A$2:$A$1092,"&lt;"&amp;A931)+1))</f>
        <v/>
      </c>
      <c r="T931" s="22"/>
      <c r="U931" s="21" t="str">
        <f aca="false">IF(R931="","",O931&amp;"|A|"&amp;R931)</f>
        <v/>
      </c>
      <c r="V931" s="21" t="str">
        <f aca="false">IF(S931="","",O931&amp;"|R|"&amp;S931)</f>
        <v/>
      </c>
    </row>
    <row r="932" customFormat="false" ht="15" hidden="false" customHeight="false" outlineLevel="0" collapsed="false">
      <c r="A932" s="18" t="n">
        <v>931</v>
      </c>
      <c r="B932" s="18"/>
      <c r="C932" s="18"/>
      <c r="D932" s="18"/>
      <c r="E932" s="18" t="s">
        <v>1780</v>
      </c>
      <c r="F932" s="18" t="s">
        <v>1781</v>
      </c>
      <c r="G932" s="18" t="s">
        <v>74</v>
      </c>
      <c r="H932" s="18" t="n">
        <v>736</v>
      </c>
      <c r="I932" s="19" t="n">
        <v>0</v>
      </c>
      <c r="J932" s="19" t="n">
        <v>2471</v>
      </c>
      <c r="K932" s="19" t="n">
        <v>2471</v>
      </c>
      <c r="L932" s="19" t="n">
        <v>0</v>
      </c>
      <c r="M932" s="19" t="n">
        <f aca="false">ABS(L932)</f>
        <v>0</v>
      </c>
      <c r="N932" s="18" t="str">
        <f aca="false">IF(L932=0,"Nil balance",IF(G932="AR file",IF(L932&gt;0,"Accounts Receivable","Customer Advances"),IF(L932&lt;0,"Accounts Payable","Supplier Advances")))</f>
        <v>Nil balance</v>
      </c>
      <c r="O932" s="18" t="str">
        <f aca="false">IF(L932=0,"Excluded",IF(Summary!$C$4="By ledger",IF(G932="AR file","Population 1","Population 2"),IF(L932&gt;0,"Population 1","Population 2")))</f>
        <v>Excluded</v>
      </c>
      <c r="P932" s="18" t="str">
        <f aca="false">IF(O932="Excluded","Excluded – nil closing balance",IF(M932&gt;Summary!$C$5,"Above Materiality","Below Materiality"))</f>
        <v>Excluded – nil closing balance</v>
      </c>
      <c r="Q932" s="20" t="str">
        <f aca="false">IF(P932="Below Materiality",T932,"")</f>
        <v/>
      </c>
      <c r="R932" s="21" t="str">
        <f aca="false">IF(P932="Above Materiality",COUNTIFS($O$2:$O$1092,O932,$P$2:$P$1092,"Above Materiality",$M$2:$M$1092,"&gt;"&amp;M932)+COUNTIFS($O$2:$O$1092,O932,$P$2:$P$1092,"Above Materiality",$M$2:$M$1092,M932,$A$2:$A$1092,"&lt;"&amp;A932)+1,"")</f>
        <v/>
      </c>
      <c r="S932" s="21" t="str">
        <f aca="false">IF(P932&lt;&gt;"Below Materiality","",IF(Summary!$C$9="Random",COUNTIFS($O$2:$O$1092,O932,$Q$2:$Q$1092,"&gt;"&amp;Q932)+1,COUNTIFS($O$2:$O$1092,O932,$P$2:$P$1092,"Below Materiality",$M$2:$M$1092,"&gt;"&amp;M932)+COUNTIFS($O$2:$O$1092,O932,$P$2:$P$1092,"Below Materiality",$M$2:$M$1092,M932,$A$2:$A$1092,"&lt;"&amp;A932)+1))</f>
        <v/>
      </c>
      <c r="T932" s="22"/>
      <c r="U932" s="21" t="str">
        <f aca="false">IF(R932="","",O932&amp;"|A|"&amp;R932)</f>
        <v/>
      </c>
      <c r="V932" s="21" t="str">
        <f aca="false">IF(S932="","",O932&amp;"|R|"&amp;S932)</f>
        <v/>
      </c>
    </row>
    <row r="933" customFormat="false" ht="15" hidden="false" customHeight="false" outlineLevel="0" collapsed="false">
      <c r="A933" s="18" t="n">
        <v>932</v>
      </c>
      <c r="B933" s="18"/>
      <c r="C933" s="18"/>
      <c r="D933" s="18"/>
      <c r="E933" s="18" t="s">
        <v>1782</v>
      </c>
      <c r="F933" s="18" t="s">
        <v>979</v>
      </c>
      <c r="G933" s="18" t="s">
        <v>74</v>
      </c>
      <c r="H933" s="18" t="n">
        <v>737</v>
      </c>
      <c r="I933" s="19" t="n">
        <v>0</v>
      </c>
      <c r="J933" s="19" t="n">
        <v>28.75</v>
      </c>
      <c r="K933" s="19" t="n">
        <v>28.75</v>
      </c>
      <c r="L933" s="19" t="n">
        <v>0</v>
      </c>
      <c r="M933" s="19" t="n">
        <f aca="false">ABS(L933)</f>
        <v>0</v>
      </c>
      <c r="N933" s="18" t="str">
        <f aca="false">IF(L933=0,"Nil balance",IF(G933="AR file",IF(L933&gt;0,"Accounts Receivable","Customer Advances"),IF(L933&lt;0,"Accounts Payable","Supplier Advances")))</f>
        <v>Nil balance</v>
      </c>
      <c r="O933" s="18" t="str">
        <f aca="false">IF(L933=0,"Excluded",IF(Summary!$C$4="By ledger",IF(G933="AR file","Population 1","Population 2"),IF(L933&gt;0,"Population 1","Population 2")))</f>
        <v>Excluded</v>
      </c>
      <c r="P933" s="18" t="str">
        <f aca="false">IF(O933="Excluded","Excluded – nil closing balance",IF(M933&gt;Summary!$C$5,"Above Materiality","Below Materiality"))</f>
        <v>Excluded – nil closing balance</v>
      </c>
      <c r="Q933" s="20" t="str">
        <f aca="false">IF(P933="Below Materiality",T933,"")</f>
        <v/>
      </c>
      <c r="R933" s="21" t="str">
        <f aca="false">IF(P933="Above Materiality",COUNTIFS($O$2:$O$1092,O933,$P$2:$P$1092,"Above Materiality",$M$2:$M$1092,"&gt;"&amp;M933)+COUNTIFS($O$2:$O$1092,O933,$P$2:$P$1092,"Above Materiality",$M$2:$M$1092,M933,$A$2:$A$1092,"&lt;"&amp;A933)+1,"")</f>
        <v/>
      </c>
      <c r="S933" s="21" t="str">
        <f aca="false">IF(P933&lt;&gt;"Below Materiality","",IF(Summary!$C$9="Random",COUNTIFS($O$2:$O$1092,O933,$Q$2:$Q$1092,"&gt;"&amp;Q933)+1,COUNTIFS($O$2:$O$1092,O933,$P$2:$P$1092,"Below Materiality",$M$2:$M$1092,"&gt;"&amp;M933)+COUNTIFS($O$2:$O$1092,O933,$P$2:$P$1092,"Below Materiality",$M$2:$M$1092,M933,$A$2:$A$1092,"&lt;"&amp;A933)+1))</f>
        <v/>
      </c>
      <c r="T933" s="22"/>
      <c r="U933" s="21" t="str">
        <f aca="false">IF(R933="","",O933&amp;"|A|"&amp;R933)</f>
        <v/>
      </c>
      <c r="V933" s="21" t="str">
        <f aca="false">IF(S933="","",O933&amp;"|R|"&amp;S933)</f>
        <v/>
      </c>
    </row>
    <row r="934" customFormat="false" ht="15" hidden="false" customHeight="false" outlineLevel="0" collapsed="false">
      <c r="A934" s="18" t="n">
        <v>933</v>
      </c>
      <c r="B934" s="18"/>
      <c r="C934" s="18"/>
      <c r="D934" s="18"/>
      <c r="E934" s="18" t="s">
        <v>1783</v>
      </c>
      <c r="F934" s="18" t="s">
        <v>734</v>
      </c>
      <c r="G934" s="18" t="s">
        <v>74</v>
      </c>
      <c r="H934" s="18" t="n">
        <v>738</v>
      </c>
      <c r="I934" s="19" t="n">
        <v>0</v>
      </c>
      <c r="J934" s="19" t="n">
        <v>7935</v>
      </c>
      <c r="K934" s="19" t="n">
        <v>7935</v>
      </c>
      <c r="L934" s="19" t="n">
        <v>0</v>
      </c>
      <c r="M934" s="19" t="n">
        <f aca="false">ABS(L934)</f>
        <v>0</v>
      </c>
      <c r="N934" s="18" t="str">
        <f aca="false">IF(L934=0,"Nil balance",IF(G934="AR file",IF(L934&gt;0,"Accounts Receivable","Customer Advances"),IF(L934&lt;0,"Accounts Payable","Supplier Advances")))</f>
        <v>Nil balance</v>
      </c>
      <c r="O934" s="18" t="str">
        <f aca="false">IF(L934=0,"Excluded",IF(Summary!$C$4="By ledger",IF(G934="AR file","Population 1","Population 2"),IF(L934&gt;0,"Population 1","Population 2")))</f>
        <v>Excluded</v>
      </c>
      <c r="P934" s="18" t="str">
        <f aca="false">IF(O934="Excluded","Excluded – nil closing balance",IF(M934&gt;Summary!$C$5,"Above Materiality","Below Materiality"))</f>
        <v>Excluded – nil closing balance</v>
      </c>
      <c r="Q934" s="20" t="str">
        <f aca="false">IF(P934="Below Materiality",T934,"")</f>
        <v/>
      </c>
      <c r="R934" s="21" t="str">
        <f aca="false">IF(P934="Above Materiality",COUNTIFS($O$2:$O$1092,O934,$P$2:$P$1092,"Above Materiality",$M$2:$M$1092,"&gt;"&amp;M934)+COUNTIFS($O$2:$O$1092,O934,$P$2:$P$1092,"Above Materiality",$M$2:$M$1092,M934,$A$2:$A$1092,"&lt;"&amp;A934)+1,"")</f>
        <v/>
      </c>
      <c r="S934" s="21" t="str">
        <f aca="false">IF(P934&lt;&gt;"Below Materiality","",IF(Summary!$C$9="Random",COUNTIFS($O$2:$O$1092,O934,$Q$2:$Q$1092,"&gt;"&amp;Q934)+1,COUNTIFS($O$2:$O$1092,O934,$P$2:$P$1092,"Below Materiality",$M$2:$M$1092,"&gt;"&amp;M934)+COUNTIFS($O$2:$O$1092,O934,$P$2:$P$1092,"Below Materiality",$M$2:$M$1092,M934,$A$2:$A$1092,"&lt;"&amp;A934)+1))</f>
        <v/>
      </c>
      <c r="T934" s="22"/>
      <c r="U934" s="21" t="str">
        <f aca="false">IF(R934="","",O934&amp;"|A|"&amp;R934)</f>
        <v/>
      </c>
      <c r="V934" s="21" t="str">
        <f aca="false">IF(S934="","",O934&amp;"|R|"&amp;S934)</f>
        <v/>
      </c>
    </row>
    <row r="935" customFormat="false" ht="15" hidden="false" customHeight="false" outlineLevel="0" collapsed="false">
      <c r="A935" s="18" t="n">
        <v>934</v>
      </c>
      <c r="B935" s="18"/>
      <c r="C935" s="18"/>
      <c r="D935" s="18"/>
      <c r="E935" s="18" t="s">
        <v>1784</v>
      </c>
      <c r="F935" s="18" t="s">
        <v>1159</v>
      </c>
      <c r="G935" s="18" t="s">
        <v>74</v>
      </c>
      <c r="H935" s="18" t="n">
        <v>739</v>
      </c>
      <c r="I935" s="19" t="n">
        <v>0</v>
      </c>
      <c r="J935" s="19" t="n">
        <v>69</v>
      </c>
      <c r="K935" s="19" t="n">
        <v>69</v>
      </c>
      <c r="L935" s="19" t="n">
        <v>0</v>
      </c>
      <c r="M935" s="19" t="n">
        <f aca="false">ABS(L935)</f>
        <v>0</v>
      </c>
      <c r="N935" s="18" t="str">
        <f aca="false">IF(L935=0,"Nil balance",IF(G935="AR file",IF(L935&gt;0,"Accounts Receivable","Customer Advances"),IF(L935&lt;0,"Accounts Payable","Supplier Advances")))</f>
        <v>Nil balance</v>
      </c>
      <c r="O935" s="18" t="str">
        <f aca="false">IF(L935=0,"Excluded",IF(Summary!$C$4="By ledger",IF(G935="AR file","Population 1","Population 2"),IF(L935&gt;0,"Population 1","Population 2")))</f>
        <v>Excluded</v>
      </c>
      <c r="P935" s="18" t="str">
        <f aca="false">IF(O935="Excluded","Excluded – nil closing balance",IF(M935&gt;Summary!$C$5,"Above Materiality","Below Materiality"))</f>
        <v>Excluded – nil closing balance</v>
      </c>
      <c r="Q935" s="20" t="str">
        <f aca="false">IF(P935="Below Materiality",T935,"")</f>
        <v/>
      </c>
      <c r="R935" s="21" t="str">
        <f aca="false">IF(P935="Above Materiality",COUNTIFS($O$2:$O$1092,O935,$P$2:$P$1092,"Above Materiality",$M$2:$M$1092,"&gt;"&amp;M935)+COUNTIFS($O$2:$O$1092,O935,$P$2:$P$1092,"Above Materiality",$M$2:$M$1092,M935,$A$2:$A$1092,"&lt;"&amp;A935)+1,"")</f>
        <v/>
      </c>
      <c r="S935" s="21" t="str">
        <f aca="false">IF(P935&lt;&gt;"Below Materiality","",IF(Summary!$C$9="Random",COUNTIFS($O$2:$O$1092,O935,$Q$2:$Q$1092,"&gt;"&amp;Q935)+1,COUNTIFS($O$2:$O$1092,O935,$P$2:$P$1092,"Below Materiality",$M$2:$M$1092,"&gt;"&amp;M935)+COUNTIFS($O$2:$O$1092,O935,$P$2:$P$1092,"Below Materiality",$M$2:$M$1092,M935,$A$2:$A$1092,"&lt;"&amp;A935)+1))</f>
        <v/>
      </c>
      <c r="T935" s="22"/>
      <c r="U935" s="21" t="str">
        <f aca="false">IF(R935="","",O935&amp;"|A|"&amp;R935)</f>
        <v/>
      </c>
      <c r="V935" s="21" t="str">
        <f aca="false">IF(S935="","",O935&amp;"|R|"&amp;S935)</f>
        <v/>
      </c>
    </row>
    <row r="936" customFormat="false" ht="15" hidden="false" customHeight="false" outlineLevel="0" collapsed="false">
      <c r="A936" s="18" t="n">
        <v>935</v>
      </c>
      <c r="B936" s="18"/>
      <c r="C936" s="18"/>
      <c r="D936" s="18"/>
      <c r="E936" s="18" t="s">
        <v>1785</v>
      </c>
      <c r="F936" s="18" t="s">
        <v>908</v>
      </c>
      <c r="G936" s="18" t="s">
        <v>74</v>
      </c>
      <c r="H936" s="18" t="n">
        <v>740</v>
      </c>
      <c r="I936" s="19" t="n">
        <v>0</v>
      </c>
      <c r="J936" s="19" t="n">
        <v>50</v>
      </c>
      <c r="K936" s="19" t="n">
        <v>50</v>
      </c>
      <c r="L936" s="19" t="n">
        <v>0</v>
      </c>
      <c r="M936" s="19" t="n">
        <f aca="false">ABS(L936)</f>
        <v>0</v>
      </c>
      <c r="N936" s="18" t="str">
        <f aca="false">IF(L936=0,"Nil balance",IF(G936="AR file",IF(L936&gt;0,"Accounts Receivable","Customer Advances"),IF(L936&lt;0,"Accounts Payable","Supplier Advances")))</f>
        <v>Nil balance</v>
      </c>
      <c r="O936" s="18" t="str">
        <f aca="false">IF(L936=0,"Excluded",IF(Summary!$C$4="By ledger",IF(G936="AR file","Population 1","Population 2"),IF(L936&gt;0,"Population 1","Population 2")))</f>
        <v>Excluded</v>
      </c>
      <c r="P936" s="18" t="str">
        <f aca="false">IF(O936="Excluded","Excluded – nil closing balance",IF(M936&gt;Summary!$C$5,"Above Materiality","Below Materiality"))</f>
        <v>Excluded – nil closing balance</v>
      </c>
      <c r="Q936" s="20" t="str">
        <f aca="false">IF(P936="Below Materiality",T936,"")</f>
        <v/>
      </c>
      <c r="R936" s="21" t="str">
        <f aca="false">IF(P936="Above Materiality",COUNTIFS($O$2:$O$1092,O936,$P$2:$P$1092,"Above Materiality",$M$2:$M$1092,"&gt;"&amp;M936)+COUNTIFS($O$2:$O$1092,O936,$P$2:$P$1092,"Above Materiality",$M$2:$M$1092,M936,$A$2:$A$1092,"&lt;"&amp;A936)+1,"")</f>
        <v/>
      </c>
      <c r="S936" s="21" t="str">
        <f aca="false">IF(P936&lt;&gt;"Below Materiality","",IF(Summary!$C$9="Random",COUNTIFS($O$2:$O$1092,O936,$Q$2:$Q$1092,"&gt;"&amp;Q936)+1,COUNTIFS($O$2:$O$1092,O936,$P$2:$P$1092,"Below Materiality",$M$2:$M$1092,"&gt;"&amp;M936)+COUNTIFS($O$2:$O$1092,O936,$P$2:$P$1092,"Below Materiality",$M$2:$M$1092,M936,$A$2:$A$1092,"&lt;"&amp;A936)+1))</f>
        <v/>
      </c>
      <c r="T936" s="22"/>
      <c r="U936" s="21" t="str">
        <f aca="false">IF(R936="","",O936&amp;"|A|"&amp;R936)</f>
        <v/>
      </c>
      <c r="V936" s="21" t="str">
        <f aca="false">IF(S936="","",O936&amp;"|R|"&amp;S936)</f>
        <v/>
      </c>
    </row>
    <row r="937" customFormat="false" ht="15" hidden="false" customHeight="false" outlineLevel="0" collapsed="false">
      <c r="A937" s="18" t="n">
        <v>936</v>
      </c>
      <c r="B937" s="18"/>
      <c r="C937" s="18"/>
      <c r="D937" s="18"/>
      <c r="E937" s="18" t="s">
        <v>1786</v>
      </c>
      <c r="F937" s="18" t="s">
        <v>1787</v>
      </c>
      <c r="G937" s="18" t="s">
        <v>74</v>
      </c>
      <c r="H937" s="18" t="n">
        <v>741</v>
      </c>
      <c r="I937" s="19" t="n">
        <v>0</v>
      </c>
      <c r="J937" s="19" t="n">
        <v>3615</v>
      </c>
      <c r="K937" s="19" t="n">
        <v>3615</v>
      </c>
      <c r="L937" s="19" t="n">
        <v>0</v>
      </c>
      <c r="M937" s="19" t="n">
        <f aca="false">ABS(L937)</f>
        <v>0</v>
      </c>
      <c r="N937" s="18" t="str">
        <f aca="false">IF(L937=0,"Nil balance",IF(G937="AR file",IF(L937&gt;0,"Accounts Receivable","Customer Advances"),IF(L937&lt;0,"Accounts Payable","Supplier Advances")))</f>
        <v>Nil balance</v>
      </c>
      <c r="O937" s="18" t="str">
        <f aca="false">IF(L937=0,"Excluded",IF(Summary!$C$4="By ledger",IF(G937="AR file","Population 1","Population 2"),IF(L937&gt;0,"Population 1","Population 2")))</f>
        <v>Excluded</v>
      </c>
      <c r="P937" s="18" t="str">
        <f aca="false">IF(O937="Excluded","Excluded – nil closing balance",IF(M937&gt;Summary!$C$5,"Above Materiality","Below Materiality"))</f>
        <v>Excluded – nil closing balance</v>
      </c>
      <c r="Q937" s="20" t="str">
        <f aca="false">IF(P937="Below Materiality",T937,"")</f>
        <v/>
      </c>
      <c r="R937" s="21" t="str">
        <f aca="false">IF(P937="Above Materiality",COUNTIFS($O$2:$O$1092,O937,$P$2:$P$1092,"Above Materiality",$M$2:$M$1092,"&gt;"&amp;M937)+COUNTIFS($O$2:$O$1092,O937,$P$2:$P$1092,"Above Materiality",$M$2:$M$1092,M937,$A$2:$A$1092,"&lt;"&amp;A937)+1,"")</f>
        <v/>
      </c>
      <c r="S937" s="21" t="str">
        <f aca="false">IF(P937&lt;&gt;"Below Materiality","",IF(Summary!$C$9="Random",COUNTIFS($O$2:$O$1092,O937,$Q$2:$Q$1092,"&gt;"&amp;Q937)+1,COUNTIFS($O$2:$O$1092,O937,$P$2:$P$1092,"Below Materiality",$M$2:$M$1092,"&gt;"&amp;M937)+COUNTIFS($O$2:$O$1092,O937,$P$2:$P$1092,"Below Materiality",$M$2:$M$1092,M937,$A$2:$A$1092,"&lt;"&amp;A937)+1))</f>
        <v/>
      </c>
      <c r="T937" s="22"/>
      <c r="U937" s="21" t="str">
        <f aca="false">IF(R937="","",O937&amp;"|A|"&amp;R937)</f>
        <v/>
      </c>
      <c r="V937" s="21" t="str">
        <f aca="false">IF(S937="","",O937&amp;"|R|"&amp;S937)</f>
        <v/>
      </c>
    </row>
    <row r="938" customFormat="false" ht="15" hidden="false" customHeight="false" outlineLevel="0" collapsed="false">
      <c r="A938" s="18" t="n">
        <v>937</v>
      </c>
      <c r="B938" s="18"/>
      <c r="C938" s="18"/>
      <c r="D938" s="18"/>
      <c r="E938" s="18" t="s">
        <v>1788</v>
      </c>
      <c r="F938" s="18" t="s">
        <v>1789</v>
      </c>
      <c r="G938" s="18" t="s">
        <v>74</v>
      </c>
      <c r="H938" s="18" t="n">
        <v>742</v>
      </c>
      <c r="I938" s="19" t="n">
        <v>0</v>
      </c>
      <c r="J938" s="19" t="n">
        <v>4019.25</v>
      </c>
      <c r="K938" s="19" t="n">
        <v>4019.25</v>
      </c>
      <c r="L938" s="19" t="n">
        <v>0</v>
      </c>
      <c r="M938" s="19" t="n">
        <f aca="false">ABS(L938)</f>
        <v>0</v>
      </c>
      <c r="N938" s="18" t="str">
        <f aca="false">IF(L938=0,"Nil balance",IF(G938="AR file",IF(L938&gt;0,"Accounts Receivable","Customer Advances"),IF(L938&lt;0,"Accounts Payable","Supplier Advances")))</f>
        <v>Nil balance</v>
      </c>
      <c r="O938" s="18" t="str">
        <f aca="false">IF(L938=0,"Excluded",IF(Summary!$C$4="By ledger",IF(G938="AR file","Population 1","Population 2"),IF(L938&gt;0,"Population 1","Population 2")))</f>
        <v>Excluded</v>
      </c>
      <c r="P938" s="18" t="str">
        <f aca="false">IF(O938="Excluded","Excluded – nil closing balance",IF(M938&gt;Summary!$C$5,"Above Materiality","Below Materiality"))</f>
        <v>Excluded – nil closing balance</v>
      </c>
      <c r="Q938" s="20" t="str">
        <f aca="false">IF(P938="Below Materiality",T938,"")</f>
        <v/>
      </c>
      <c r="R938" s="21" t="str">
        <f aca="false">IF(P938="Above Materiality",COUNTIFS($O$2:$O$1092,O938,$P$2:$P$1092,"Above Materiality",$M$2:$M$1092,"&gt;"&amp;M938)+COUNTIFS($O$2:$O$1092,O938,$P$2:$P$1092,"Above Materiality",$M$2:$M$1092,M938,$A$2:$A$1092,"&lt;"&amp;A938)+1,"")</f>
        <v/>
      </c>
      <c r="S938" s="21" t="str">
        <f aca="false">IF(P938&lt;&gt;"Below Materiality","",IF(Summary!$C$9="Random",COUNTIFS($O$2:$O$1092,O938,$Q$2:$Q$1092,"&gt;"&amp;Q938)+1,COUNTIFS($O$2:$O$1092,O938,$P$2:$P$1092,"Below Materiality",$M$2:$M$1092,"&gt;"&amp;M938)+COUNTIFS($O$2:$O$1092,O938,$P$2:$P$1092,"Below Materiality",$M$2:$M$1092,M938,$A$2:$A$1092,"&lt;"&amp;A938)+1))</f>
        <v/>
      </c>
      <c r="T938" s="22"/>
      <c r="U938" s="21" t="str">
        <f aca="false">IF(R938="","",O938&amp;"|A|"&amp;R938)</f>
        <v/>
      </c>
      <c r="V938" s="21" t="str">
        <f aca="false">IF(S938="","",O938&amp;"|R|"&amp;S938)</f>
        <v/>
      </c>
    </row>
    <row r="939" customFormat="false" ht="15" hidden="false" customHeight="false" outlineLevel="0" collapsed="false">
      <c r="A939" s="18" t="n">
        <v>938</v>
      </c>
      <c r="B939" s="18"/>
      <c r="C939" s="18"/>
      <c r="D939" s="18"/>
      <c r="E939" s="18" t="s">
        <v>1790</v>
      </c>
      <c r="F939" s="18" t="s">
        <v>1791</v>
      </c>
      <c r="G939" s="18" t="s">
        <v>74</v>
      </c>
      <c r="H939" s="18" t="n">
        <v>743</v>
      </c>
      <c r="I939" s="19" t="n">
        <v>0</v>
      </c>
      <c r="J939" s="19" t="n">
        <v>4838.8</v>
      </c>
      <c r="K939" s="19" t="n">
        <v>4838.8</v>
      </c>
      <c r="L939" s="19" t="n">
        <v>0</v>
      </c>
      <c r="M939" s="19" t="n">
        <f aca="false">ABS(L939)</f>
        <v>0</v>
      </c>
      <c r="N939" s="18" t="str">
        <f aca="false">IF(L939=0,"Nil balance",IF(G939="AR file",IF(L939&gt;0,"Accounts Receivable","Customer Advances"),IF(L939&lt;0,"Accounts Payable","Supplier Advances")))</f>
        <v>Nil balance</v>
      </c>
      <c r="O939" s="18" t="str">
        <f aca="false">IF(L939=0,"Excluded",IF(Summary!$C$4="By ledger",IF(G939="AR file","Population 1","Population 2"),IF(L939&gt;0,"Population 1","Population 2")))</f>
        <v>Excluded</v>
      </c>
      <c r="P939" s="18" t="str">
        <f aca="false">IF(O939="Excluded","Excluded – nil closing balance",IF(M939&gt;Summary!$C$5,"Above Materiality","Below Materiality"))</f>
        <v>Excluded – nil closing balance</v>
      </c>
      <c r="Q939" s="20" t="str">
        <f aca="false">IF(P939="Below Materiality",T939,"")</f>
        <v/>
      </c>
      <c r="R939" s="21" t="str">
        <f aca="false">IF(P939="Above Materiality",COUNTIFS($O$2:$O$1092,O939,$P$2:$P$1092,"Above Materiality",$M$2:$M$1092,"&gt;"&amp;M939)+COUNTIFS($O$2:$O$1092,O939,$P$2:$P$1092,"Above Materiality",$M$2:$M$1092,M939,$A$2:$A$1092,"&lt;"&amp;A939)+1,"")</f>
        <v/>
      </c>
      <c r="S939" s="21" t="str">
        <f aca="false">IF(P939&lt;&gt;"Below Materiality","",IF(Summary!$C$9="Random",COUNTIFS($O$2:$O$1092,O939,$Q$2:$Q$1092,"&gt;"&amp;Q939)+1,COUNTIFS($O$2:$O$1092,O939,$P$2:$P$1092,"Below Materiality",$M$2:$M$1092,"&gt;"&amp;M939)+COUNTIFS($O$2:$O$1092,O939,$P$2:$P$1092,"Below Materiality",$M$2:$M$1092,M939,$A$2:$A$1092,"&lt;"&amp;A939)+1))</f>
        <v/>
      </c>
      <c r="T939" s="22"/>
      <c r="U939" s="21" t="str">
        <f aca="false">IF(R939="","",O939&amp;"|A|"&amp;R939)</f>
        <v/>
      </c>
      <c r="V939" s="21" t="str">
        <f aca="false">IF(S939="","",O939&amp;"|R|"&amp;S939)</f>
        <v/>
      </c>
    </row>
    <row r="940" customFormat="false" ht="15" hidden="false" customHeight="false" outlineLevel="0" collapsed="false">
      <c r="A940" s="18" t="n">
        <v>939</v>
      </c>
      <c r="B940" s="18"/>
      <c r="C940" s="18"/>
      <c r="D940" s="18"/>
      <c r="E940" s="18" t="s">
        <v>1792</v>
      </c>
      <c r="F940" s="18" t="s">
        <v>1793</v>
      </c>
      <c r="G940" s="18" t="s">
        <v>74</v>
      </c>
      <c r="H940" s="18" t="n">
        <v>744</v>
      </c>
      <c r="I940" s="19" t="n">
        <v>0</v>
      </c>
      <c r="J940" s="19" t="n">
        <v>18</v>
      </c>
      <c r="K940" s="19" t="n">
        <v>18</v>
      </c>
      <c r="L940" s="19" t="n">
        <v>0</v>
      </c>
      <c r="M940" s="19" t="n">
        <f aca="false">ABS(L940)</f>
        <v>0</v>
      </c>
      <c r="N940" s="18" t="str">
        <f aca="false">IF(L940=0,"Nil balance",IF(G940="AR file",IF(L940&gt;0,"Accounts Receivable","Customer Advances"),IF(L940&lt;0,"Accounts Payable","Supplier Advances")))</f>
        <v>Nil balance</v>
      </c>
      <c r="O940" s="18" t="str">
        <f aca="false">IF(L940=0,"Excluded",IF(Summary!$C$4="By ledger",IF(G940="AR file","Population 1","Population 2"),IF(L940&gt;0,"Population 1","Population 2")))</f>
        <v>Excluded</v>
      </c>
      <c r="P940" s="18" t="str">
        <f aca="false">IF(O940="Excluded","Excluded – nil closing balance",IF(M940&gt;Summary!$C$5,"Above Materiality","Below Materiality"))</f>
        <v>Excluded – nil closing balance</v>
      </c>
      <c r="Q940" s="20" t="str">
        <f aca="false">IF(P940="Below Materiality",T940,"")</f>
        <v/>
      </c>
      <c r="R940" s="21" t="str">
        <f aca="false">IF(P940="Above Materiality",COUNTIFS($O$2:$O$1092,O940,$P$2:$P$1092,"Above Materiality",$M$2:$M$1092,"&gt;"&amp;M940)+COUNTIFS($O$2:$O$1092,O940,$P$2:$P$1092,"Above Materiality",$M$2:$M$1092,M940,$A$2:$A$1092,"&lt;"&amp;A940)+1,"")</f>
        <v/>
      </c>
      <c r="S940" s="21" t="str">
        <f aca="false">IF(P940&lt;&gt;"Below Materiality","",IF(Summary!$C$9="Random",COUNTIFS($O$2:$O$1092,O940,$Q$2:$Q$1092,"&gt;"&amp;Q940)+1,COUNTIFS($O$2:$O$1092,O940,$P$2:$P$1092,"Below Materiality",$M$2:$M$1092,"&gt;"&amp;M940)+COUNTIFS($O$2:$O$1092,O940,$P$2:$P$1092,"Below Materiality",$M$2:$M$1092,M940,$A$2:$A$1092,"&lt;"&amp;A940)+1))</f>
        <v/>
      </c>
      <c r="T940" s="22"/>
      <c r="U940" s="21" t="str">
        <f aca="false">IF(R940="","",O940&amp;"|A|"&amp;R940)</f>
        <v/>
      </c>
      <c r="V940" s="21" t="str">
        <f aca="false">IF(S940="","",O940&amp;"|R|"&amp;S940)</f>
        <v/>
      </c>
    </row>
    <row r="941" customFormat="false" ht="15" hidden="false" customHeight="false" outlineLevel="0" collapsed="false">
      <c r="A941" s="18" t="n">
        <v>940</v>
      </c>
      <c r="B941" s="18"/>
      <c r="C941" s="18"/>
      <c r="D941" s="18"/>
      <c r="E941" s="18" t="s">
        <v>1794</v>
      </c>
      <c r="F941" s="18" t="s">
        <v>417</v>
      </c>
      <c r="G941" s="18" t="s">
        <v>74</v>
      </c>
      <c r="H941" s="18" t="n">
        <v>745</v>
      </c>
      <c r="I941" s="19" t="n">
        <v>0</v>
      </c>
      <c r="J941" s="19" t="n">
        <v>276</v>
      </c>
      <c r="K941" s="19" t="n">
        <v>276</v>
      </c>
      <c r="L941" s="19" t="n">
        <v>0</v>
      </c>
      <c r="M941" s="19" t="n">
        <f aca="false">ABS(L941)</f>
        <v>0</v>
      </c>
      <c r="N941" s="18" t="str">
        <f aca="false">IF(L941=0,"Nil balance",IF(G941="AR file",IF(L941&gt;0,"Accounts Receivable","Customer Advances"),IF(L941&lt;0,"Accounts Payable","Supplier Advances")))</f>
        <v>Nil balance</v>
      </c>
      <c r="O941" s="18" t="str">
        <f aca="false">IF(L941=0,"Excluded",IF(Summary!$C$4="By ledger",IF(G941="AR file","Population 1","Population 2"),IF(L941&gt;0,"Population 1","Population 2")))</f>
        <v>Excluded</v>
      </c>
      <c r="P941" s="18" t="str">
        <f aca="false">IF(O941="Excluded","Excluded – nil closing balance",IF(M941&gt;Summary!$C$5,"Above Materiality","Below Materiality"))</f>
        <v>Excluded – nil closing balance</v>
      </c>
      <c r="Q941" s="20" t="str">
        <f aca="false">IF(P941="Below Materiality",T941,"")</f>
        <v/>
      </c>
      <c r="R941" s="21" t="str">
        <f aca="false">IF(P941="Above Materiality",COUNTIFS($O$2:$O$1092,O941,$P$2:$P$1092,"Above Materiality",$M$2:$M$1092,"&gt;"&amp;M941)+COUNTIFS($O$2:$O$1092,O941,$P$2:$P$1092,"Above Materiality",$M$2:$M$1092,M941,$A$2:$A$1092,"&lt;"&amp;A941)+1,"")</f>
        <v/>
      </c>
      <c r="S941" s="21" t="str">
        <f aca="false">IF(P941&lt;&gt;"Below Materiality","",IF(Summary!$C$9="Random",COUNTIFS($O$2:$O$1092,O941,$Q$2:$Q$1092,"&gt;"&amp;Q941)+1,COUNTIFS($O$2:$O$1092,O941,$P$2:$P$1092,"Below Materiality",$M$2:$M$1092,"&gt;"&amp;M941)+COUNTIFS($O$2:$O$1092,O941,$P$2:$P$1092,"Below Materiality",$M$2:$M$1092,M941,$A$2:$A$1092,"&lt;"&amp;A941)+1))</f>
        <v/>
      </c>
      <c r="T941" s="22"/>
      <c r="U941" s="21" t="str">
        <f aca="false">IF(R941="","",O941&amp;"|A|"&amp;R941)</f>
        <v/>
      </c>
      <c r="V941" s="21" t="str">
        <f aca="false">IF(S941="","",O941&amp;"|R|"&amp;S941)</f>
        <v/>
      </c>
    </row>
    <row r="942" customFormat="false" ht="15" hidden="false" customHeight="false" outlineLevel="0" collapsed="false">
      <c r="A942" s="18" t="n">
        <v>941</v>
      </c>
      <c r="B942" s="18"/>
      <c r="C942" s="18"/>
      <c r="D942" s="18"/>
      <c r="E942" s="18" t="s">
        <v>1795</v>
      </c>
      <c r="F942" s="18" t="s">
        <v>1144</v>
      </c>
      <c r="G942" s="18" t="s">
        <v>74</v>
      </c>
      <c r="H942" s="18" t="n">
        <v>746</v>
      </c>
      <c r="I942" s="19" t="n">
        <v>0</v>
      </c>
      <c r="J942" s="19" t="n">
        <v>184</v>
      </c>
      <c r="K942" s="19" t="n">
        <v>184</v>
      </c>
      <c r="L942" s="19" t="n">
        <v>0</v>
      </c>
      <c r="M942" s="19" t="n">
        <f aca="false">ABS(L942)</f>
        <v>0</v>
      </c>
      <c r="N942" s="18" t="str">
        <f aca="false">IF(L942=0,"Nil balance",IF(G942="AR file",IF(L942&gt;0,"Accounts Receivable","Customer Advances"),IF(L942&lt;0,"Accounts Payable","Supplier Advances")))</f>
        <v>Nil balance</v>
      </c>
      <c r="O942" s="18" t="str">
        <f aca="false">IF(L942=0,"Excluded",IF(Summary!$C$4="By ledger",IF(G942="AR file","Population 1","Population 2"),IF(L942&gt;0,"Population 1","Population 2")))</f>
        <v>Excluded</v>
      </c>
      <c r="P942" s="18" t="str">
        <f aca="false">IF(O942="Excluded","Excluded – nil closing balance",IF(M942&gt;Summary!$C$5,"Above Materiality","Below Materiality"))</f>
        <v>Excluded – nil closing balance</v>
      </c>
      <c r="Q942" s="20" t="str">
        <f aca="false">IF(P942="Below Materiality",T942,"")</f>
        <v/>
      </c>
      <c r="R942" s="21" t="str">
        <f aca="false">IF(P942="Above Materiality",COUNTIFS($O$2:$O$1092,O942,$P$2:$P$1092,"Above Materiality",$M$2:$M$1092,"&gt;"&amp;M942)+COUNTIFS($O$2:$O$1092,O942,$P$2:$P$1092,"Above Materiality",$M$2:$M$1092,M942,$A$2:$A$1092,"&lt;"&amp;A942)+1,"")</f>
        <v/>
      </c>
      <c r="S942" s="21" t="str">
        <f aca="false">IF(P942&lt;&gt;"Below Materiality","",IF(Summary!$C$9="Random",COUNTIFS($O$2:$O$1092,O942,$Q$2:$Q$1092,"&gt;"&amp;Q942)+1,COUNTIFS($O$2:$O$1092,O942,$P$2:$P$1092,"Below Materiality",$M$2:$M$1092,"&gt;"&amp;M942)+COUNTIFS($O$2:$O$1092,O942,$P$2:$P$1092,"Below Materiality",$M$2:$M$1092,M942,$A$2:$A$1092,"&lt;"&amp;A942)+1))</f>
        <v/>
      </c>
      <c r="T942" s="22"/>
      <c r="U942" s="21" t="str">
        <f aca="false">IF(R942="","",O942&amp;"|A|"&amp;R942)</f>
        <v/>
      </c>
      <c r="V942" s="21" t="str">
        <f aca="false">IF(S942="","",O942&amp;"|R|"&amp;S942)</f>
        <v/>
      </c>
    </row>
    <row r="943" customFormat="false" ht="15" hidden="false" customHeight="false" outlineLevel="0" collapsed="false">
      <c r="A943" s="18" t="n">
        <v>942</v>
      </c>
      <c r="B943" s="18"/>
      <c r="C943" s="18"/>
      <c r="D943" s="18"/>
      <c r="E943" s="18" t="s">
        <v>1796</v>
      </c>
      <c r="F943" s="18" t="s">
        <v>474</v>
      </c>
      <c r="G943" s="18" t="s">
        <v>74</v>
      </c>
      <c r="H943" s="18" t="n">
        <v>747</v>
      </c>
      <c r="I943" s="19" t="n">
        <v>0</v>
      </c>
      <c r="J943" s="19" t="n">
        <v>115</v>
      </c>
      <c r="K943" s="19" t="n">
        <v>115</v>
      </c>
      <c r="L943" s="19" t="n">
        <v>0</v>
      </c>
      <c r="M943" s="19" t="n">
        <f aca="false">ABS(L943)</f>
        <v>0</v>
      </c>
      <c r="N943" s="18" t="str">
        <f aca="false">IF(L943=0,"Nil balance",IF(G943="AR file",IF(L943&gt;0,"Accounts Receivable","Customer Advances"),IF(L943&lt;0,"Accounts Payable","Supplier Advances")))</f>
        <v>Nil balance</v>
      </c>
      <c r="O943" s="18" t="str">
        <f aca="false">IF(L943=0,"Excluded",IF(Summary!$C$4="By ledger",IF(G943="AR file","Population 1","Population 2"),IF(L943&gt;0,"Population 1","Population 2")))</f>
        <v>Excluded</v>
      </c>
      <c r="P943" s="18" t="str">
        <f aca="false">IF(O943="Excluded","Excluded – nil closing balance",IF(M943&gt;Summary!$C$5,"Above Materiality","Below Materiality"))</f>
        <v>Excluded – nil closing balance</v>
      </c>
      <c r="Q943" s="20" t="str">
        <f aca="false">IF(P943="Below Materiality",T943,"")</f>
        <v/>
      </c>
      <c r="R943" s="21" t="str">
        <f aca="false">IF(P943="Above Materiality",COUNTIFS($O$2:$O$1092,O943,$P$2:$P$1092,"Above Materiality",$M$2:$M$1092,"&gt;"&amp;M943)+COUNTIFS($O$2:$O$1092,O943,$P$2:$P$1092,"Above Materiality",$M$2:$M$1092,M943,$A$2:$A$1092,"&lt;"&amp;A943)+1,"")</f>
        <v/>
      </c>
      <c r="S943" s="21" t="str">
        <f aca="false">IF(P943&lt;&gt;"Below Materiality","",IF(Summary!$C$9="Random",COUNTIFS($O$2:$O$1092,O943,$Q$2:$Q$1092,"&gt;"&amp;Q943)+1,COUNTIFS($O$2:$O$1092,O943,$P$2:$P$1092,"Below Materiality",$M$2:$M$1092,"&gt;"&amp;M943)+COUNTIFS($O$2:$O$1092,O943,$P$2:$P$1092,"Below Materiality",$M$2:$M$1092,M943,$A$2:$A$1092,"&lt;"&amp;A943)+1))</f>
        <v/>
      </c>
      <c r="T943" s="22"/>
      <c r="U943" s="21" t="str">
        <f aca="false">IF(R943="","",O943&amp;"|A|"&amp;R943)</f>
        <v/>
      </c>
      <c r="V943" s="21" t="str">
        <f aca="false">IF(S943="","",O943&amp;"|R|"&amp;S943)</f>
        <v/>
      </c>
    </row>
    <row r="944" customFormat="false" ht="15" hidden="false" customHeight="false" outlineLevel="0" collapsed="false">
      <c r="A944" s="18" t="n">
        <v>943</v>
      </c>
      <c r="B944" s="18"/>
      <c r="C944" s="18"/>
      <c r="D944" s="18"/>
      <c r="E944" s="18" t="s">
        <v>1797</v>
      </c>
      <c r="F944" s="18" t="s">
        <v>1798</v>
      </c>
      <c r="G944" s="18" t="s">
        <v>74</v>
      </c>
      <c r="H944" s="18" t="n">
        <v>748</v>
      </c>
      <c r="I944" s="19" t="n">
        <v>0</v>
      </c>
      <c r="J944" s="19" t="n">
        <v>524.4</v>
      </c>
      <c r="K944" s="19" t="n">
        <v>524.4</v>
      </c>
      <c r="L944" s="19" t="n">
        <v>0</v>
      </c>
      <c r="M944" s="19" t="n">
        <f aca="false">ABS(L944)</f>
        <v>0</v>
      </c>
      <c r="N944" s="18" t="str">
        <f aca="false">IF(L944=0,"Nil balance",IF(G944="AR file",IF(L944&gt;0,"Accounts Receivable","Customer Advances"),IF(L944&lt;0,"Accounts Payable","Supplier Advances")))</f>
        <v>Nil balance</v>
      </c>
      <c r="O944" s="18" t="str">
        <f aca="false">IF(L944=0,"Excluded",IF(Summary!$C$4="By ledger",IF(G944="AR file","Population 1","Population 2"),IF(L944&gt;0,"Population 1","Population 2")))</f>
        <v>Excluded</v>
      </c>
      <c r="P944" s="18" t="str">
        <f aca="false">IF(O944="Excluded","Excluded – nil closing balance",IF(M944&gt;Summary!$C$5,"Above Materiality","Below Materiality"))</f>
        <v>Excluded – nil closing balance</v>
      </c>
      <c r="Q944" s="20" t="str">
        <f aca="false">IF(P944="Below Materiality",T944,"")</f>
        <v/>
      </c>
      <c r="R944" s="21" t="str">
        <f aca="false">IF(P944="Above Materiality",COUNTIFS($O$2:$O$1092,O944,$P$2:$P$1092,"Above Materiality",$M$2:$M$1092,"&gt;"&amp;M944)+COUNTIFS($O$2:$O$1092,O944,$P$2:$P$1092,"Above Materiality",$M$2:$M$1092,M944,$A$2:$A$1092,"&lt;"&amp;A944)+1,"")</f>
        <v/>
      </c>
      <c r="S944" s="21" t="str">
        <f aca="false">IF(P944&lt;&gt;"Below Materiality","",IF(Summary!$C$9="Random",COUNTIFS($O$2:$O$1092,O944,$Q$2:$Q$1092,"&gt;"&amp;Q944)+1,COUNTIFS($O$2:$O$1092,O944,$P$2:$P$1092,"Below Materiality",$M$2:$M$1092,"&gt;"&amp;M944)+COUNTIFS($O$2:$O$1092,O944,$P$2:$P$1092,"Below Materiality",$M$2:$M$1092,M944,$A$2:$A$1092,"&lt;"&amp;A944)+1))</f>
        <v/>
      </c>
      <c r="T944" s="22"/>
      <c r="U944" s="21" t="str">
        <f aca="false">IF(R944="","",O944&amp;"|A|"&amp;R944)</f>
        <v/>
      </c>
      <c r="V944" s="21" t="str">
        <f aca="false">IF(S944="","",O944&amp;"|R|"&amp;S944)</f>
        <v/>
      </c>
    </row>
    <row r="945" customFormat="false" ht="15" hidden="false" customHeight="false" outlineLevel="0" collapsed="false">
      <c r="A945" s="18" t="n">
        <v>944</v>
      </c>
      <c r="B945" s="18"/>
      <c r="C945" s="18"/>
      <c r="D945" s="18"/>
      <c r="E945" s="18" t="s">
        <v>1799</v>
      </c>
      <c r="F945" s="18" t="s">
        <v>1608</v>
      </c>
      <c r="G945" s="18" t="s">
        <v>74</v>
      </c>
      <c r="H945" s="18" t="n">
        <v>749</v>
      </c>
      <c r="I945" s="19" t="n">
        <v>0</v>
      </c>
      <c r="J945" s="19" t="n">
        <v>150</v>
      </c>
      <c r="K945" s="19" t="n">
        <v>150</v>
      </c>
      <c r="L945" s="19" t="n">
        <v>0</v>
      </c>
      <c r="M945" s="19" t="n">
        <f aca="false">ABS(L945)</f>
        <v>0</v>
      </c>
      <c r="N945" s="18" t="str">
        <f aca="false">IF(L945=0,"Nil balance",IF(G945="AR file",IF(L945&gt;0,"Accounts Receivable","Customer Advances"),IF(L945&lt;0,"Accounts Payable","Supplier Advances")))</f>
        <v>Nil balance</v>
      </c>
      <c r="O945" s="18" t="str">
        <f aca="false">IF(L945=0,"Excluded",IF(Summary!$C$4="By ledger",IF(G945="AR file","Population 1","Population 2"),IF(L945&gt;0,"Population 1","Population 2")))</f>
        <v>Excluded</v>
      </c>
      <c r="P945" s="18" t="str">
        <f aca="false">IF(O945="Excluded","Excluded – nil closing balance",IF(M945&gt;Summary!$C$5,"Above Materiality","Below Materiality"))</f>
        <v>Excluded – nil closing balance</v>
      </c>
      <c r="Q945" s="20" t="str">
        <f aca="false">IF(P945="Below Materiality",T945,"")</f>
        <v/>
      </c>
      <c r="R945" s="21" t="str">
        <f aca="false">IF(P945="Above Materiality",COUNTIFS($O$2:$O$1092,O945,$P$2:$P$1092,"Above Materiality",$M$2:$M$1092,"&gt;"&amp;M945)+COUNTIFS($O$2:$O$1092,O945,$P$2:$P$1092,"Above Materiality",$M$2:$M$1092,M945,$A$2:$A$1092,"&lt;"&amp;A945)+1,"")</f>
        <v/>
      </c>
      <c r="S945" s="21" t="str">
        <f aca="false">IF(P945&lt;&gt;"Below Materiality","",IF(Summary!$C$9="Random",COUNTIFS($O$2:$O$1092,O945,$Q$2:$Q$1092,"&gt;"&amp;Q945)+1,COUNTIFS($O$2:$O$1092,O945,$P$2:$P$1092,"Below Materiality",$M$2:$M$1092,"&gt;"&amp;M945)+COUNTIFS($O$2:$O$1092,O945,$P$2:$P$1092,"Below Materiality",$M$2:$M$1092,M945,$A$2:$A$1092,"&lt;"&amp;A945)+1))</f>
        <v/>
      </c>
      <c r="T945" s="22"/>
      <c r="U945" s="21" t="str">
        <f aca="false">IF(R945="","",O945&amp;"|A|"&amp;R945)</f>
        <v/>
      </c>
      <c r="V945" s="21" t="str">
        <f aca="false">IF(S945="","",O945&amp;"|R|"&amp;S945)</f>
        <v/>
      </c>
    </row>
    <row r="946" customFormat="false" ht="15" hidden="false" customHeight="false" outlineLevel="0" collapsed="false">
      <c r="A946" s="18" t="n">
        <v>945</v>
      </c>
      <c r="B946" s="18"/>
      <c r="C946" s="18"/>
      <c r="D946" s="18"/>
      <c r="E946" s="18" t="s">
        <v>1800</v>
      </c>
      <c r="F946" s="18" t="s">
        <v>1801</v>
      </c>
      <c r="G946" s="18" t="s">
        <v>74</v>
      </c>
      <c r="H946" s="18" t="n">
        <v>750</v>
      </c>
      <c r="I946" s="19" t="n">
        <v>0</v>
      </c>
      <c r="J946" s="19" t="n">
        <v>3450</v>
      </c>
      <c r="K946" s="19" t="n">
        <v>3450</v>
      </c>
      <c r="L946" s="19" t="n">
        <v>0</v>
      </c>
      <c r="M946" s="19" t="n">
        <f aca="false">ABS(L946)</f>
        <v>0</v>
      </c>
      <c r="N946" s="18" t="str">
        <f aca="false">IF(L946=0,"Nil balance",IF(G946="AR file",IF(L946&gt;0,"Accounts Receivable","Customer Advances"),IF(L946&lt;0,"Accounts Payable","Supplier Advances")))</f>
        <v>Nil balance</v>
      </c>
      <c r="O946" s="18" t="str">
        <f aca="false">IF(L946=0,"Excluded",IF(Summary!$C$4="By ledger",IF(G946="AR file","Population 1","Population 2"),IF(L946&gt;0,"Population 1","Population 2")))</f>
        <v>Excluded</v>
      </c>
      <c r="P946" s="18" t="str">
        <f aca="false">IF(O946="Excluded","Excluded – nil closing balance",IF(M946&gt;Summary!$C$5,"Above Materiality","Below Materiality"))</f>
        <v>Excluded – nil closing balance</v>
      </c>
      <c r="Q946" s="20" t="str">
        <f aca="false">IF(P946="Below Materiality",T946,"")</f>
        <v/>
      </c>
      <c r="R946" s="21" t="str">
        <f aca="false">IF(P946="Above Materiality",COUNTIFS($O$2:$O$1092,O946,$P$2:$P$1092,"Above Materiality",$M$2:$M$1092,"&gt;"&amp;M946)+COUNTIFS($O$2:$O$1092,O946,$P$2:$P$1092,"Above Materiality",$M$2:$M$1092,M946,$A$2:$A$1092,"&lt;"&amp;A946)+1,"")</f>
        <v/>
      </c>
      <c r="S946" s="21" t="str">
        <f aca="false">IF(P946&lt;&gt;"Below Materiality","",IF(Summary!$C$9="Random",COUNTIFS($O$2:$O$1092,O946,$Q$2:$Q$1092,"&gt;"&amp;Q946)+1,COUNTIFS($O$2:$O$1092,O946,$P$2:$P$1092,"Below Materiality",$M$2:$M$1092,"&gt;"&amp;M946)+COUNTIFS($O$2:$O$1092,O946,$P$2:$P$1092,"Below Materiality",$M$2:$M$1092,M946,$A$2:$A$1092,"&lt;"&amp;A946)+1))</f>
        <v/>
      </c>
      <c r="T946" s="22"/>
      <c r="U946" s="21" t="str">
        <f aca="false">IF(R946="","",O946&amp;"|A|"&amp;R946)</f>
        <v/>
      </c>
      <c r="V946" s="21" t="str">
        <f aca="false">IF(S946="","",O946&amp;"|R|"&amp;S946)</f>
        <v/>
      </c>
    </row>
    <row r="947" customFormat="false" ht="15" hidden="false" customHeight="false" outlineLevel="0" collapsed="false">
      <c r="A947" s="18" t="n">
        <v>946</v>
      </c>
      <c r="B947" s="18"/>
      <c r="C947" s="18"/>
      <c r="D947" s="18"/>
      <c r="E947" s="18" t="s">
        <v>1802</v>
      </c>
      <c r="F947" s="18" t="s">
        <v>1803</v>
      </c>
      <c r="G947" s="18" t="s">
        <v>74</v>
      </c>
      <c r="H947" s="18" t="n">
        <v>751</v>
      </c>
      <c r="I947" s="19" t="n">
        <v>0</v>
      </c>
      <c r="J947" s="19" t="n">
        <v>1494.1</v>
      </c>
      <c r="K947" s="19" t="n">
        <v>1494.1</v>
      </c>
      <c r="L947" s="19" t="n">
        <v>0</v>
      </c>
      <c r="M947" s="19" t="n">
        <f aca="false">ABS(L947)</f>
        <v>0</v>
      </c>
      <c r="N947" s="18" t="str">
        <f aca="false">IF(L947=0,"Nil balance",IF(G947="AR file",IF(L947&gt;0,"Accounts Receivable","Customer Advances"),IF(L947&lt;0,"Accounts Payable","Supplier Advances")))</f>
        <v>Nil balance</v>
      </c>
      <c r="O947" s="18" t="str">
        <f aca="false">IF(L947=0,"Excluded",IF(Summary!$C$4="By ledger",IF(G947="AR file","Population 1","Population 2"),IF(L947&gt;0,"Population 1","Population 2")))</f>
        <v>Excluded</v>
      </c>
      <c r="P947" s="18" t="str">
        <f aca="false">IF(O947="Excluded","Excluded – nil closing balance",IF(M947&gt;Summary!$C$5,"Above Materiality","Below Materiality"))</f>
        <v>Excluded – nil closing balance</v>
      </c>
      <c r="Q947" s="20" t="str">
        <f aca="false">IF(P947="Below Materiality",T947,"")</f>
        <v/>
      </c>
      <c r="R947" s="21" t="str">
        <f aca="false">IF(P947="Above Materiality",COUNTIFS($O$2:$O$1092,O947,$P$2:$P$1092,"Above Materiality",$M$2:$M$1092,"&gt;"&amp;M947)+COUNTIFS($O$2:$O$1092,O947,$P$2:$P$1092,"Above Materiality",$M$2:$M$1092,M947,$A$2:$A$1092,"&lt;"&amp;A947)+1,"")</f>
        <v/>
      </c>
      <c r="S947" s="21" t="str">
        <f aca="false">IF(P947&lt;&gt;"Below Materiality","",IF(Summary!$C$9="Random",COUNTIFS($O$2:$O$1092,O947,$Q$2:$Q$1092,"&gt;"&amp;Q947)+1,COUNTIFS($O$2:$O$1092,O947,$P$2:$P$1092,"Below Materiality",$M$2:$M$1092,"&gt;"&amp;M947)+COUNTIFS($O$2:$O$1092,O947,$P$2:$P$1092,"Below Materiality",$M$2:$M$1092,M947,$A$2:$A$1092,"&lt;"&amp;A947)+1))</f>
        <v/>
      </c>
      <c r="T947" s="22"/>
      <c r="U947" s="21" t="str">
        <f aca="false">IF(R947="","",O947&amp;"|A|"&amp;R947)</f>
        <v/>
      </c>
      <c r="V947" s="21" t="str">
        <f aca="false">IF(S947="","",O947&amp;"|R|"&amp;S947)</f>
        <v/>
      </c>
    </row>
    <row r="948" customFormat="false" ht="15" hidden="false" customHeight="false" outlineLevel="0" collapsed="false">
      <c r="A948" s="18" t="n">
        <v>947</v>
      </c>
      <c r="B948" s="18"/>
      <c r="C948" s="18"/>
      <c r="D948" s="18"/>
      <c r="E948" s="18" t="s">
        <v>1804</v>
      </c>
      <c r="F948" s="18" t="s">
        <v>1805</v>
      </c>
      <c r="G948" s="18" t="s">
        <v>74</v>
      </c>
      <c r="H948" s="18" t="n">
        <v>752</v>
      </c>
      <c r="I948" s="19" t="n">
        <v>0</v>
      </c>
      <c r="J948" s="19" t="n">
        <v>258.75</v>
      </c>
      <c r="K948" s="19" t="n">
        <v>258.75</v>
      </c>
      <c r="L948" s="19" t="n">
        <v>0</v>
      </c>
      <c r="M948" s="19" t="n">
        <f aca="false">ABS(L948)</f>
        <v>0</v>
      </c>
      <c r="N948" s="18" t="str">
        <f aca="false">IF(L948=0,"Nil balance",IF(G948="AR file",IF(L948&gt;0,"Accounts Receivable","Customer Advances"),IF(L948&lt;0,"Accounts Payable","Supplier Advances")))</f>
        <v>Nil balance</v>
      </c>
      <c r="O948" s="18" t="str">
        <f aca="false">IF(L948=0,"Excluded",IF(Summary!$C$4="By ledger",IF(G948="AR file","Population 1","Population 2"),IF(L948&gt;0,"Population 1","Population 2")))</f>
        <v>Excluded</v>
      </c>
      <c r="P948" s="18" t="str">
        <f aca="false">IF(O948="Excluded","Excluded – nil closing balance",IF(M948&gt;Summary!$C$5,"Above Materiality","Below Materiality"))</f>
        <v>Excluded – nil closing balance</v>
      </c>
      <c r="Q948" s="20" t="str">
        <f aca="false">IF(P948="Below Materiality",T948,"")</f>
        <v/>
      </c>
      <c r="R948" s="21" t="str">
        <f aca="false">IF(P948="Above Materiality",COUNTIFS($O$2:$O$1092,O948,$P$2:$P$1092,"Above Materiality",$M$2:$M$1092,"&gt;"&amp;M948)+COUNTIFS($O$2:$O$1092,O948,$P$2:$P$1092,"Above Materiality",$M$2:$M$1092,M948,$A$2:$A$1092,"&lt;"&amp;A948)+1,"")</f>
        <v/>
      </c>
      <c r="S948" s="21" t="str">
        <f aca="false">IF(P948&lt;&gt;"Below Materiality","",IF(Summary!$C$9="Random",COUNTIFS($O$2:$O$1092,O948,$Q$2:$Q$1092,"&gt;"&amp;Q948)+1,COUNTIFS($O$2:$O$1092,O948,$P$2:$P$1092,"Below Materiality",$M$2:$M$1092,"&gt;"&amp;M948)+COUNTIFS($O$2:$O$1092,O948,$P$2:$P$1092,"Below Materiality",$M$2:$M$1092,M948,$A$2:$A$1092,"&lt;"&amp;A948)+1))</f>
        <v/>
      </c>
      <c r="T948" s="22"/>
      <c r="U948" s="21" t="str">
        <f aca="false">IF(R948="","",O948&amp;"|A|"&amp;R948)</f>
        <v/>
      </c>
      <c r="V948" s="21" t="str">
        <f aca="false">IF(S948="","",O948&amp;"|R|"&amp;S948)</f>
        <v/>
      </c>
    </row>
    <row r="949" customFormat="false" ht="15" hidden="false" customHeight="false" outlineLevel="0" collapsed="false">
      <c r="A949" s="18" t="n">
        <v>948</v>
      </c>
      <c r="B949" s="18"/>
      <c r="C949" s="18"/>
      <c r="D949" s="18"/>
      <c r="E949" s="18" t="s">
        <v>1806</v>
      </c>
      <c r="F949" s="18" t="s">
        <v>334</v>
      </c>
      <c r="G949" s="18" t="s">
        <v>74</v>
      </c>
      <c r="H949" s="18" t="n">
        <v>753</v>
      </c>
      <c r="I949" s="19" t="n">
        <v>0</v>
      </c>
      <c r="J949" s="19" t="n">
        <v>500</v>
      </c>
      <c r="K949" s="19" t="n">
        <v>500</v>
      </c>
      <c r="L949" s="19" t="n">
        <v>0</v>
      </c>
      <c r="M949" s="19" t="n">
        <f aca="false">ABS(L949)</f>
        <v>0</v>
      </c>
      <c r="N949" s="18" t="str">
        <f aca="false">IF(L949=0,"Nil balance",IF(G949="AR file",IF(L949&gt;0,"Accounts Receivable","Customer Advances"),IF(L949&lt;0,"Accounts Payable","Supplier Advances")))</f>
        <v>Nil balance</v>
      </c>
      <c r="O949" s="18" t="str">
        <f aca="false">IF(L949=0,"Excluded",IF(Summary!$C$4="By ledger",IF(G949="AR file","Population 1","Population 2"),IF(L949&gt;0,"Population 1","Population 2")))</f>
        <v>Excluded</v>
      </c>
      <c r="P949" s="18" t="str">
        <f aca="false">IF(O949="Excluded","Excluded – nil closing balance",IF(M949&gt;Summary!$C$5,"Above Materiality","Below Materiality"))</f>
        <v>Excluded – nil closing balance</v>
      </c>
      <c r="Q949" s="20" t="str">
        <f aca="false">IF(P949="Below Materiality",T949,"")</f>
        <v/>
      </c>
      <c r="R949" s="21" t="str">
        <f aca="false">IF(P949="Above Materiality",COUNTIFS($O$2:$O$1092,O949,$P$2:$P$1092,"Above Materiality",$M$2:$M$1092,"&gt;"&amp;M949)+COUNTIFS($O$2:$O$1092,O949,$P$2:$P$1092,"Above Materiality",$M$2:$M$1092,M949,$A$2:$A$1092,"&lt;"&amp;A949)+1,"")</f>
        <v/>
      </c>
      <c r="S949" s="21" t="str">
        <f aca="false">IF(P949&lt;&gt;"Below Materiality","",IF(Summary!$C$9="Random",COUNTIFS($O$2:$O$1092,O949,$Q$2:$Q$1092,"&gt;"&amp;Q949)+1,COUNTIFS($O$2:$O$1092,O949,$P$2:$P$1092,"Below Materiality",$M$2:$M$1092,"&gt;"&amp;M949)+COUNTIFS($O$2:$O$1092,O949,$P$2:$P$1092,"Below Materiality",$M$2:$M$1092,M949,$A$2:$A$1092,"&lt;"&amp;A949)+1))</f>
        <v/>
      </c>
      <c r="T949" s="22"/>
      <c r="U949" s="21" t="str">
        <f aca="false">IF(R949="","",O949&amp;"|A|"&amp;R949)</f>
        <v/>
      </c>
      <c r="V949" s="21" t="str">
        <f aca="false">IF(S949="","",O949&amp;"|R|"&amp;S949)</f>
        <v/>
      </c>
    </row>
    <row r="950" customFormat="false" ht="15" hidden="false" customHeight="false" outlineLevel="0" collapsed="false">
      <c r="A950" s="18" t="n">
        <v>949</v>
      </c>
      <c r="B950" s="18"/>
      <c r="C950" s="18"/>
      <c r="D950" s="18"/>
      <c r="E950" s="18" t="s">
        <v>1807</v>
      </c>
      <c r="F950" s="18" t="s">
        <v>860</v>
      </c>
      <c r="G950" s="18" t="s">
        <v>74</v>
      </c>
      <c r="H950" s="18" t="n">
        <v>755</v>
      </c>
      <c r="I950" s="19" t="n">
        <v>0</v>
      </c>
      <c r="J950" s="19" t="n">
        <v>402.5</v>
      </c>
      <c r="K950" s="19" t="n">
        <v>402.5</v>
      </c>
      <c r="L950" s="19" t="n">
        <v>0</v>
      </c>
      <c r="M950" s="19" t="n">
        <f aca="false">ABS(L950)</f>
        <v>0</v>
      </c>
      <c r="N950" s="18" t="str">
        <f aca="false">IF(L950=0,"Nil balance",IF(G950="AR file",IF(L950&gt;0,"Accounts Receivable","Customer Advances"),IF(L950&lt;0,"Accounts Payable","Supplier Advances")))</f>
        <v>Nil balance</v>
      </c>
      <c r="O950" s="18" t="str">
        <f aca="false">IF(L950=0,"Excluded",IF(Summary!$C$4="By ledger",IF(G950="AR file","Population 1","Population 2"),IF(L950&gt;0,"Population 1","Population 2")))</f>
        <v>Excluded</v>
      </c>
      <c r="P950" s="18" t="str">
        <f aca="false">IF(O950="Excluded","Excluded – nil closing balance",IF(M950&gt;Summary!$C$5,"Above Materiality","Below Materiality"))</f>
        <v>Excluded – nil closing balance</v>
      </c>
      <c r="Q950" s="20" t="str">
        <f aca="false">IF(P950="Below Materiality",T950,"")</f>
        <v/>
      </c>
      <c r="R950" s="21" t="str">
        <f aca="false">IF(P950="Above Materiality",COUNTIFS($O$2:$O$1092,O950,$P$2:$P$1092,"Above Materiality",$M$2:$M$1092,"&gt;"&amp;M950)+COUNTIFS($O$2:$O$1092,O950,$P$2:$P$1092,"Above Materiality",$M$2:$M$1092,M950,$A$2:$A$1092,"&lt;"&amp;A950)+1,"")</f>
        <v/>
      </c>
      <c r="S950" s="21" t="str">
        <f aca="false">IF(P950&lt;&gt;"Below Materiality","",IF(Summary!$C$9="Random",COUNTIFS($O$2:$O$1092,O950,$Q$2:$Q$1092,"&gt;"&amp;Q950)+1,COUNTIFS($O$2:$O$1092,O950,$P$2:$P$1092,"Below Materiality",$M$2:$M$1092,"&gt;"&amp;M950)+COUNTIFS($O$2:$O$1092,O950,$P$2:$P$1092,"Below Materiality",$M$2:$M$1092,M950,$A$2:$A$1092,"&lt;"&amp;A950)+1))</f>
        <v/>
      </c>
      <c r="T950" s="22"/>
      <c r="U950" s="21" t="str">
        <f aca="false">IF(R950="","",O950&amp;"|A|"&amp;R950)</f>
        <v/>
      </c>
      <c r="V950" s="21" t="str">
        <f aca="false">IF(S950="","",O950&amp;"|R|"&amp;S950)</f>
        <v/>
      </c>
    </row>
    <row r="951" customFormat="false" ht="15" hidden="false" customHeight="false" outlineLevel="0" collapsed="false">
      <c r="A951" s="18" t="n">
        <v>950</v>
      </c>
      <c r="B951" s="18"/>
      <c r="C951" s="18"/>
      <c r="D951" s="18"/>
      <c r="E951" s="18" t="s">
        <v>1808</v>
      </c>
      <c r="F951" s="18" t="s">
        <v>1753</v>
      </c>
      <c r="G951" s="18" t="s">
        <v>74</v>
      </c>
      <c r="H951" s="18" t="n">
        <v>756</v>
      </c>
      <c r="I951" s="19" t="n">
        <v>0</v>
      </c>
      <c r="J951" s="19" t="n">
        <v>7700</v>
      </c>
      <c r="K951" s="19" t="n">
        <v>7700</v>
      </c>
      <c r="L951" s="19" t="n">
        <v>0</v>
      </c>
      <c r="M951" s="19" t="n">
        <f aca="false">ABS(L951)</f>
        <v>0</v>
      </c>
      <c r="N951" s="18" t="str">
        <f aca="false">IF(L951=0,"Nil balance",IF(G951="AR file",IF(L951&gt;0,"Accounts Receivable","Customer Advances"),IF(L951&lt;0,"Accounts Payable","Supplier Advances")))</f>
        <v>Nil balance</v>
      </c>
      <c r="O951" s="18" t="str">
        <f aca="false">IF(L951=0,"Excluded",IF(Summary!$C$4="By ledger",IF(G951="AR file","Population 1","Population 2"),IF(L951&gt;0,"Population 1","Population 2")))</f>
        <v>Excluded</v>
      </c>
      <c r="P951" s="18" t="str">
        <f aca="false">IF(O951="Excluded","Excluded – nil closing balance",IF(M951&gt;Summary!$C$5,"Above Materiality","Below Materiality"))</f>
        <v>Excluded – nil closing balance</v>
      </c>
      <c r="Q951" s="20" t="str">
        <f aca="false">IF(P951="Below Materiality",T951,"")</f>
        <v/>
      </c>
      <c r="R951" s="21" t="str">
        <f aca="false">IF(P951="Above Materiality",COUNTIFS($O$2:$O$1092,O951,$P$2:$P$1092,"Above Materiality",$M$2:$M$1092,"&gt;"&amp;M951)+COUNTIFS($O$2:$O$1092,O951,$P$2:$P$1092,"Above Materiality",$M$2:$M$1092,M951,$A$2:$A$1092,"&lt;"&amp;A951)+1,"")</f>
        <v/>
      </c>
      <c r="S951" s="21" t="str">
        <f aca="false">IF(P951&lt;&gt;"Below Materiality","",IF(Summary!$C$9="Random",COUNTIFS($O$2:$O$1092,O951,$Q$2:$Q$1092,"&gt;"&amp;Q951)+1,COUNTIFS($O$2:$O$1092,O951,$P$2:$P$1092,"Below Materiality",$M$2:$M$1092,"&gt;"&amp;M951)+COUNTIFS($O$2:$O$1092,O951,$P$2:$P$1092,"Below Materiality",$M$2:$M$1092,M951,$A$2:$A$1092,"&lt;"&amp;A951)+1))</f>
        <v/>
      </c>
      <c r="T951" s="22"/>
      <c r="U951" s="21" t="str">
        <f aca="false">IF(R951="","",O951&amp;"|A|"&amp;R951)</f>
        <v/>
      </c>
      <c r="V951" s="21" t="str">
        <f aca="false">IF(S951="","",O951&amp;"|R|"&amp;S951)</f>
        <v/>
      </c>
    </row>
    <row r="952" customFormat="false" ht="15" hidden="false" customHeight="false" outlineLevel="0" collapsed="false">
      <c r="A952" s="18" t="n">
        <v>951</v>
      </c>
      <c r="B952" s="18"/>
      <c r="C952" s="18"/>
      <c r="D952" s="18"/>
      <c r="E952" s="18" t="s">
        <v>1809</v>
      </c>
      <c r="F952" s="18" t="s">
        <v>1608</v>
      </c>
      <c r="G952" s="18" t="s">
        <v>74</v>
      </c>
      <c r="H952" s="18" t="n">
        <v>757</v>
      </c>
      <c r="I952" s="19" t="n">
        <v>0</v>
      </c>
      <c r="J952" s="19" t="n">
        <v>150</v>
      </c>
      <c r="K952" s="19" t="n">
        <v>150</v>
      </c>
      <c r="L952" s="19" t="n">
        <v>0</v>
      </c>
      <c r="M952" s="19" t="n">
        <f aca="false">ABS(L952)</f>
        <v>0</v>
      </c>
      <c r="N952" s="18" t="str">
        <f aca="false">IF(L952=0,"Nil balance",IF(G952="AR file",IF(L952&gt;0,"Accounts Receivable","Customer Advances"),IF(L952&lt;0,"Accounts Payable","Supplier Advances")))</f>
        <v>Nil balance</v>
      </c>
      <c r="O952" s="18" t="str">
        <f aca="false">IF(L952=0,"Excluded",IF(Summary!$C$4="By ledger",IF(G952="AR file","Population 1","Population 2"),IF(L952&gt;0,"Population 1","Population 2")))</f>
        <v>Excluded</v>
      </c>
      <c r="P952" s="18" t="str">
        <f aca="false">IF(O952="Excluded","Excluded – nil closing balance",IF(M952&gt;Summary!$C$5,"Above Materiality","Below Materiality"))</f>
        <v>Excluded – nil closing balance</v>
      </c>
      <c r="Q952" s="20" t="str">
        <f aca="false">IF(P952="Below Materiality",T952,"")</f>
        <v/>
      </c>
      <c r="R952" s="21" t="str">
        <f aca="false">IF(P952="Above Materiality",COUNTIFS($O$2:$O$1092,O952,$P$2:$P$1092,"Above Materiality",$M$2:$M$1092,"&gt;"&amp;M952)+COUNTIFS($O$2:$O$1092,O952,$P$2:$P$1092,"Above Materiality",$M$2:$M$1092,M952,$A$2:$A$1092,"&lt;"&amp;A952)+1,"")</f>
        <v/>
      </c>
      <c r="S952" s="21" t="str">
        <f aca="false">IF(P952&lt;&gt;"Below Materiality","",IF(Summary!$C$9="Random",COUNTIFS($O$2:$O$1092,O952,$Q$2:$Q$1092,"&gt;"&amp;Q952)+1,COUNTIFS($O$2:$O$1092,O952,$P$2:$P$1092,"Below Materiality",$M$2:$M$1092,"&gt;"&amp;M952)+COUNTIFS($O$2:$O$1092,O952,$P$2:$P$1092,"Below Materiality",$M$2:$M$1092,M952,$A$2:$A$1092,"&lt;"&amp;A952)+1))</f>
        <v/>
      </c>
      <c r="T952" s="22"/>
      <c r="U952" s="21" t="str">
        <f aca="false">IF(R952="","",O952&amp;"|A|"&amp;R952)</f>
        <v/>
      </c>
      <c r="V952" s="21" t="str">
        <f aca="false">IF(S952="","",O952&amp;"|R|"&amp;S952)</f>
        <v/>
      </c>
    </row>
    <row r="953" customFormat="false" ht="15" hidden="false" customHeight="false" outlineLevel="0" collapsed="false">
      <c r="A953" s="18" t="n">
        <v>952</v>
      </c>
      <c r="B953" s="18"/>
      <c r="C953" s="18"/>
      <c r="D953" s="18"/>
      <c r="E953" s="18" t="s">
        <v>1810</v>
      </c>
      <c r="F953" s="18" t="s">
        <v>1811</v>
      </c>
      <c r="G953" s="18" t="s">
        <v>74</v>
      </c>
      <c r="H953" s="18" t="n">
        <v>758</v>
      </c>
      <c r="I953" s="19" t="n">
        <v>0</v>
      </c>
      <c r="J953" s="19" t="n">
        <v>319.7</v>
      </c>
      <c r="K953" s="19" t="n">
        <v>319.7</v>
      </c>
      <c r="L953" s="19" t="n">
        <v>0</v>
      </c>
      <c r="M953" s="19" t="n">
        <f aca="false">ABS(L953)</f>
        <v>0</v>
      </c>
      <c r="N953" s="18" t="str">
        <f aca="false">IF(L953=0,"Nil balance",IF(G953="AR file",IF(L953&gt;0,"Accounts Receivable","Customer Advances"),IF(L953&lt;0,"Accounts Payable","Supplier Advances")))</f>
        <v>Nil balance</v>
      </c>
      <c r="O953" s="18" t="str">
        <f aca="false">IF(L953=0,"Excluded",IF(Summary!$C$4="By ledger",IF(G953="AR file","Population 1","Population 2"),IF(L953&gt;0,"Population 1","Population 2")))</f>
        <v>Excluded</v>
      </c>
      <c r="P953" s="18" t="str">
        <f aca="false">IF(O953="Excluded","Excluded – nil closing balance",IF(M953&gt;Summary!$C$5,"Above Materiality","Below Materiality"))</f>
        <v>Excluded – nil closing balance</v>
      </c>
      <c r="Q953" s="20" t="str">
        <f aca="false">IF(P953="Below Materiality",T953,"")</f>
        <v/>
      </c>
      <c r="R953" s="21" t="str">
        <f aca="false">IF(P953="Above Materiality",COUNTIFS($O$2:$O$1092,O953,$P$2:$P$1092,"Above Materiality",$M$2:$M$1092,"&gt;"&amp;M953)+COUNTIFS($O$2:$O$1092,O953,$P$2:$P$1092,"Above Materiality",$M$2:$M$1092,M953,$A$2:$A$1092,"&lt;"&amp;A953)+1,"")</f>
        <v/>
      </c>
      <c r="S953" s="21" t="str">
        <f aca="false">IF(P953&lt;&gt;"Below Materiality","",IF(Summary!$C$9="Random",COUNTIFS($O$2:$O$1092,O953,$Q$2:$Q$1092,"&gt;"&amp;Q953)+1,COUNTIFS($O$2:$O$1092,O953,$P$2:$P$1092,"Below Materiality",$M$2:$M$1092,"&gt;"&amp;M953)+COUNTIFS($O$2:$O$1092,O953,$P$2:$P$1092,"Below Materiality",$M$2:$M$1092,M953,$A$2:$A$1092,"&lt;"&amp;A953)+1))</f>
        <v/>
      </c>
      <c r="T953" s="22"/>
      <c r="U953" s="21" t="str">
        <f aca="false">IF(R953="","",O953&amp;"|A|"&amp;R953)</f>
        <v/>
      </c>
      <c r="V953" s="21" t="str">
        <f aca="false">IF(S953="","",O953&amp;"|R|"&amp;S953)</f>
        <v/>
      </c>
    </row>
    <row r="954" customFormat="false" ht="15" hidden="false" customHeight="false" outlineLevel="0" collapsed="false">
      <c r="A954" s="18" t="n">
        <v>953</v>
      </c>
      <c r="B954" s="18"/>
      <c r="C954" s="18"/>
      <c r="D954" s="18"/>
      <c r="E954" s="18" t="s">
        <v>1812</v>
      </c>
      <c r="F954" s="18" t="s">
        <v>1222</v>
      </c>
      <c r="G954" s="18" t="s">
        <v>74</v>
      </c>
      <c r="H954" s="18" t="n">
        <v>759</v>
      </c>
      <c r="I954" s="19" t="n">
        <v>0</v>
      </c>
      <c r="J954" s="19" t="n">
        <v>850</v>
      </c>
      <c r="K954" s="19" t="n">
        <v>850</v>
      </c>
      <c r="L954" s="19" t="n">
        <v>0</v>
      </c>
      <c r="M954" s="19" t="n">
        <f aca="false">ABS(L954)</f>
        <v>0</v>
      </c>
      <c r="N954" s="18" t="str">
        <f aca="false">IF(L954=0,"Nil balance",IF(G954="AR file",IF(L954&gt;0,"Accounts Receivable","Customer Advances"),IF(L954&lt;0,"Accounts Payable","Supplier Advances")))</f>
        <v>Nil balance</v>
      </c>
      <c r="O954" s="18" t="str">
        <f aca="false">IF(L954=0,"Excluded",IF(Summary!$C$4="By ledger",IF(G954="AR file","Population 1","Population 2"),IF(L954&gt;0,"Population 1","Population 2")))</f>
        <v>Excluded</v>
      </c>
      <c r="P954" s="18" t="str">
        <f aca="false">IF(O954="Excluded","Excluded – nil closing balance",IF(M954&gt;Summary!$C$5,"Above Materiality","Below Materiality"))</f>
        <v>Excluded – nil closing balance</v>
      </c>
      <c r="Q954" s="20" t="str">
        <f aca="false">IF(P954="Below Materiality",T954,"")</f>
        <v/>
      </c>
      <c r="R954" s="21" t="str">
        <f aca="false">IF(P954="Above Materiality",COUNTIFS($O$2:$O$1092,O954,$P$2:$P$1092,"Above Materiality",$M$2:$M$1092,"&gt;"&amp;M954)+COUNTIFS($O$2:$O$1092,O954,$P$2:$P$1092,"Above Materiality",$M$2:$M$1092,M954,$A$2:$A$1092,"&lt;"&amp;A954)+1,"")</f>
        <v/>
      </c>
      <c r="S954" s="21" t="str">
        <f aca="false">IF(P954&lt;&gt;"Below Materiality","",IF(Summary!$C$9="Random",COUNTIFS($O$2:$O$1092,O954,$Q$2:$Q$1092,"&gt;"&amp;Q954)+1,COUNTIFS($O$2:$O$1092,O954,$P$2:$P$1092,"Below Materiality",$M$2:$M$1092,"&gt;"&amp;M954)+COUNTIFS($O$2:$O$1092,O954,$P$2:$P$1092,"Below Materiality",$M$2:$M$1092,M954,$A$2:$A$1092,"&lt;"&amp;A954)+1))</f>
        <v/>
      </c>
      <c r="T954" s="22"/>
      <c r="U954" s="21" t="str">
        <f aca="false">IF(R954="","",O954&amp;"|A|"&amp;R954)</f>
        <v/>
      </c>
      <c r="V954" s="21" t="str">
        <f aca="false">IF(S954="","",O954&amp;"|R|"&amp;S954)</f>
        <v/>
      </c>
    </row>
    <row r="955" customFormat="false" ht="15" hidden="false" customHeight="false" outlineLevel="0" collapsed="false">
      <c r="A955" s="18" t="n">
        <v>954</v>
      </c>
      <c r="B955" s="18"/>
      <c r="C955" s="18"/>
      <c r="D955" s="18"/>
      <c r="E955" s="18" t="s">
        <v>1813</v>
      </c>
      <c r="F955" s="18" t="s">
        <v>1814</v>
      </c>
      <c r="G955" s="18" t="s">
        <v>74</v>
      </c>
      <c r="H955" s="18" t="n">
        <v>761</v>
      </c>
      <c r="I955" s="19" t="n">
        <v>0</v>
      </c>
      <c r="J955" s="19" t="n">
        <v>1943.5</v>
      </c>
      <c r="K955" s="19" t="n">
        <v>1943.5</v>
      </c>
      <c r="L955" s="19" t="n">
        <v>0</v>
      </c>
      <c r="M955" s="19" t="n">
        <f aca="false">ABS(L955)</f>
        <v>0</v>
      </c>
      <c r="N955" s="18" t="str">
        <f aca="false">IF(L955=0,"Nil balance",IF(G955="AR file",IF(L955&gt;0,"Accounts Receivable","Customer Advances"),IF(L955&lt;0,"Accounts Payable","Supplier Advances")))</f>
        <v>Nil balance</v>
      </c>
      <c r="O955" s="18" t="str">
        <f aca="false">IF(L955=0,"Excluded",IF(Summary!$C$4="By ledger",IF(G955="AR file","Population 1","Population 2"),IF(L955&gt;0,"Population 1","Population 2")))</f>
        <v>Excluded</v>
      </c>
      <c r="P955" s="18" t="str">
        <f aca="false">IF(O955="Excluded","Excluded – nil closing balance",IF(M955&gt;Summary!$C$5,"Above Materiality","Below Materiality"))</f>
        <v>Excluded – nil closing balance</v>
      </c>
      <c r="Q955" s="20" t="str">
        <f aca="false">IF(P955="Below Materiality",T955,"")</f>
        <v/>
      </c>
      <c r="R955" s="21" t="str">
        <f aca="false">IF(P955="Above Materiality",COUNTIFS($O$2:$O$1092,O955,$P$2:$P$1092,"Above Materiality",$M$2:$M$1092,"&gt;"&amp;M955)+COUNTIFS($O$2:$O$1092,O955,$P$2:$P$1092,"Above Materiality",$M$2:$M$1092,M955,$A$2:$A$1092,"&lt;"&amp;A955)+1,"")</f>
        <v/>
      </c>
      <c r="S955" s="21" t="str">
        <f aca="false">IF(P955&lt;&gt;"Below Materiality","",IF(Summary!$C$9="Random",COUNTIFS($O$2:$O$1092,O955,$Q$2:$Q$1092,"&gt;"&amp;Q955)+1,COUNTIFS($O$2:$O$1092,O955,$P$2:$P$1092,"Below Materiality",$M$2:$M$1092,"&gt;"&amp;M955)+COUNTIFS($O$2:$O$1092,O955,$P$2:$P$1092,"Below Materiality",$M$2:$M$1092,M955,$A$2:$A$1092,"&lt;"&amp;A955)+1))</f>
        <v/>
      </c>
      <c r="T955" s="22"/>
      <c r="U955" s="21" t="str">
        <f aca="false">IF(R955="","",O955&amp;"|A|"&amp;R955)</f>
        <v/>
      </c>
      <c r="V955" s="21" t="str">
        <f aca="false">IF(S955="","",O955&amp;"|R|"&amp;S955)</f>
        <v/>
      </c>
    </row>
    <row r="956" customFormat="false" ht="15" hidden="false" customHeight="false" outlineLevel="0" collapsed="false">
      <c r="A956" s="18" t="n">
        <v>955</v>
      </c>
      <c r="B956" s="18"/>
      <c r="C956" s="18"/>
      <c r="D956" s="18"/>
      <c r="E956" s="18" t="s">
        <v>1815</v>
      </c>
      <c r="F956" s="18" t="s">
        <v>581</v>
      </c>
      <c r="G956" s="18" t="s">
        <v>74</v>
      </c>
      <c r="H956" s="18" t="n">
        <v>762</v>
      </c>
      <c r="I956" s="19" t="n">
        <v>0</v>
      </c>
      <c r="J956" s="19" t="n">
        <v>600</v>
      </c>
      <c r="K956" s="19" t="n">
        <v>600</v>
      </c>
      <c r="L956" s="19" t="n">
        <v>0</v>
      </c>
      <c r="M956" s="19" t="n">
        <f aca="false">ABS(L956)</f>
        <v>0</v>
      </c>
      <c r="N956" s="18" t="str">
        <f aca="false">IF(L956=0,"Nil balance",IF(G956="AR file",IF(L956&gt;0,"Accounts Receivable","Customer Advances"),IF(L956&lt;0,"Accounts Payable","Supplier Advances")))</f>
        <v>Nil balance</v>
      </c>
      <c r="O956" s="18" t="str">
        <f aca="false">IF(L956=0,"Excluded",IF(Summary!$C$4="By ledger",IF(G956="AR file","Population 1","Population 2"),IF(L956&gt;0,"Population 1","Population 2")))</f>
        <v>Excluded</v>
      </c>
      <c r="P956" s="18" t="str">
        <f aca="false">IF(O956="Excluded","Excluded – nil closing balance",IF(M956&gt;Summary!$C$5,"Above Materiality","Below Materiality"))</f>
        <v>Excluded – nil closing balance</v>
      </c>
      <c r="Q956" s="20" t="str">
        <f aca="false">IF(P956="Below Materiality",T956,"")</f>
        <v/>
      </c>
      <c r="R956" s="21" t="str">
        <f aca="false">IF(P956="Above Materiality",COUNTIFS($O$2:$O$1092,O956,$P$2:$P$1092,"Above Materiality",$M$2:$M$1092,"&gt;"&amp;M956)+COUNTIFS($O$2:$O$1092,O956,$P$2:$P$1092,"Above Materiality",$M$2:$M$1092,M956,$A$2:$A$1092,"&lt;"&amp;A956)+1,"")</f>
        <v/>
      </c>
      <c r="S956" s="21" t="str">
        <f aca="false">IF(P956&lt;&gt;"Below Materiality","",IF(Summary!$C$9="Random",COUNTIFS($O$2:$O$1092,O956,$Q$2:$Q$1092,"&gt;"&amp;Q956)+1,COUNTIFS($O$2:$O$1092,O956,$P$2:$P$1092,"Below Materiality",$M$2:$M$1092,"&gt;"&amp;M956)+COUNTIFS($O$2:$O$1092,O956,$P$2:$P$1092,"Below Materiality",$M$2:$M$1092,M956,$A$2:$A$1092,"&lt;"&amp;A956)+1))</f>
        <v/>
      </c>
      <c r="T956" s="22"/>
      <c r="U956" s="21" t="str">
        <f aca="false">IF(R956="","",O956&amp;"|A|"&amp;R956)</f>
        <v/>
      </c>
      <c r="V956" s="21" t="str">
        <f aca="false">IF(S956="","",O956&amp;"|R|"&amp;S956)</f>
        <v/>
      </c>
    </row>
    <row r="957" customFormat="false" ht="15" hidden="false" customHeight="false" outlineLevel="0" collapsed="false">
      <c r="A957" s="18" t="n">
        <v>956</v>
      </c>
      <c r="B957" s="18"/>
      <c r="C957" s="18"/>
      <c r="D957" s="18"/>
      <c r="E957" s="18" t="s">
        <v>1816</v>
      </c>
      <c r="F957" s="18" t="s">
        <v>1817</v>
      </c>
      <c r="G957" s="18" t="s">
        <v>74</v>
      </c>
      <c r="H957" s="18" t="n">
        <v>763</v>
      </c>
      <c r="I957" s="19" t="n">
        <v>0</v>
      </c>
      <c r="J957" s="19" t="n">
        <v>17898.6</v>
      </c>
      <c r="K957" s="19" t="n">
        <v>17898.6</v>
      </c>
      <c r="L957" s="19" t="n">
        <v>0</v>
      </c>
      <c r="M957" s="19" t="n">
        <f aca="false">ABS(L957)</f>
        <v>0</v>
      </c>
      <c r="N957" s="18" t="str">
        <f aca="false">IF(L957=0,"Nil balance",IF(G957="AR file",IF(L957&gt;0,"Accounts Receivable","Customer Advances"),IF(L957&lt;0,"Accounts Payable","Supplier Advances")))</f>
        <v>Nil balance</v>
      </c>
      <c r="O957" s="18" t="str">
        <f aca="false">IF(L957=0,"Excluded",IF(Summary!$C$4="By ledger",IF(G957="AR file","Population 1","Population 2"),IF(L957&gt;0,"Population 1","Population 2")))</f>
        <v>Excluded</v>
      </c>
      <c r="P957" s="18" t="str">
        <f aca="false">IF(O957="Excluded","Excluded – nil closing balance",IF(M957&gt;Summary!$C$5,"Above Materiality","Below Materiality"))</f>
        <v>Excluded – nil closing balance</v>
      </c>
      <c r="Q957" s="20" t="str">
        <f aca="false">IF(P957="Below Materiality",T957,"")</f>
        <v/>
      </c>
      <c r="R957" s="21" t="str">
        <f aca="false">IF(P957="Above Materiality",COUNTIFS($O$2:$O$1092,O957,$P$2:$P$1092,"Above Materiality",$M$2:$M$1092,"&gt;"&amp;M957)+COUNTIFS($O$2:$O$1092,O957,$P$2:$P$1092,"Above Materiality",$M$2:$M$1092,M957,$A$2:$A$1092,"&lt;"&amp;A957)+1,"")</f>
        <v/>
      </c>
      <c r="S957" s="21" t="str">
        <f aca="false">IF(P957&lt;&gt;"Below Materiality","",IF(Summary!$C$9="Random",COUNTIFS($O$2:$O$1092,O957,$Q$2:$Q$1092,"&gt;"&amp;Q957)+1,COUNTIFS($O$2:$O$1092,O957,$P$2:$P$1092,"Below Materiality",$M$2:$M$1092,"&gt;"&amp;M957)+COUNTIFS($O$2:$O$1092,O957,$P$2:$P$1092,"Below Materiality",$M$2:$M$1092,M957,$A$2:$A$1092,"&lt;"&amp;A957)+1))</f>
        <v/>
      </c>
      <c r="T957" s="22"/>
      <c r="U957" s="21" t="str">
        <f aca="false">IF(R957="","",O957&amp;"|A|"&amp;R957)</f>
        <v/>
      </c>
      <c r="V957" s="21" t="str">
        <f aca="false">IF(S957="","",O957&amp;"|R|"&amp;S957)</f>
        <v/>
      </c>
    </row>
    <row r="958" customFormat="false" ht="15" hidden="false" customHeight="false" outlineLevel="0" collapsed="false">
      <c r="A958" s="18" t="n">
        <v>957</v>
      </c>
      <c r="B958" s="18"/>
      <c r="C958" s="18"/>
      <c r="D958" s="18"/>
      <c r="E958" s="18" t="s">
        <v>1818</v>
      </c>
      <c r="F958" s="18" t="s">
        <v>1819</v>
      </c>
      <c r="G958" s="18" t="s">
        <v>74</v>
      </c>
      <c r="H958" s="18" t="n">
        <v>764</v>
      </c>
      <c r="I958" s="19" t="n">
        <v>0</v>
      </c>
      <c r="J958" s="19" t="n">
        <v>110</v>
      </c>
      <c r="K958" s="19" t="n">
        <v>110</v>
      </c>
      <c r="L958" s="19" t="n">
        <v>0</v>
      </c>
      <c r="M958" s="19" t="n">
        <f aca="false">ABS(L958)</f>
        <v>0</v>
      </c>
      <c r="N958" s="18" t="str">
        <f aca="false">IF(L958=0,"Nil balance",IF(G958="AR file",IF(L958&gt;0,"Accounts Receivable","Customer Advances"),IF(L958&lt;0,"Accounts Payable","Supplier Advances")))</f>
        <v>Nil balance</v>
      </c>
      <c r="O958" s="18" t="str">
        <f aca="false">IF(L958=0,"Excluded",IF(Summary!$C$4="By ledger",IF(G958="AR file","Population 1","Population 2"),IF(L958&gt;0,"Population 1","Population 2")))</f>
        <v>Excluded</v>
      </c>
      <c r="P958" s="18" t="str">
        <f aca="false">IF(O958="Excluded","Excluded – nil closing balance",IF(M958&gt;Summary!$C$5,"Above Materiality","Below Materiality"))</f>
        <v>Excluded – nil closing balance</v>
      </c>
      <c r="Q958" s="20" t="str">
        <f aca="false">IF(P958="Below Materiality",T958,"")</f>
        <v/>
      </c>
      <c r="R958" s="21" t="str">
        <f aca="false">IF(P958="Above Materiality",COUNTIFS($O$2:$O$1092,O958,$P$2:$P$1092,"Above Materiality",$M$2:$M$1092,"&gt;"&amp;M958)+COUNTIFS($O$2:$O$1092,O958,$P$2:$P$1092,"Above Materiality",$M$2:$M$1092,M958,$A$2:$A$1092,"&lt;"&amp;A958)+1,"")</f>
        <v/>
      </c>
      <c r="S958" s="21" t="str">
        <f aca="false">IF(P958&lt;&gt;"Below Materiality","",IF(Summary!$C$9="Random",COUNTIFS($O$2:$O$1092,O958,$Q$2:$Q$1092,"&gt;"&amp;Q958)+1,COUNTIFS($O$2:$O$1092,O958,$P$2:$P$1092,"Below Materiality",$M$2:$M$1092,"&gt;"&amp;M958)+COUNTIFS($O$2:$O$1092,O958,$P$2:$P$1092,"Below Materiality",$M$2:$M$1092,M958,$A$2:$A$1092,"&lt;"&amp;A958)+1))</f>
        <v/>
      </c>
      <c r="T958" s="22"/>
      <c r="U958" s="21" t="str">
        <f aca="false">IF(R958="","",O958&amp;"|A|"&amp;R958)</f>
        <v/>
      </c>
      <c r="V958" s="21" t="str">
        <f aca="false">IF(S958="","",O958&amp;"|R|"&amp;S958)</f>
        <v/>
      </c>
    </row>
    <row r="959" customFormat="false" ht="15" hidden="false" customHeight="false" outlineLevel="0" collapsed="false">
      <c r="A959" s="18" t="n">
        <v>958</v>
      </c>
      <c r="B959" s="18"/>
      <c r="C959" s="18"/>
      <c r="D959" s="18"/>
      <c r="E959" s="18" t="s">
        <v>1820</v>
      </c>
      <c r="F959" s="18" t="s">
        <v>840</v>
      </c>
      <c r="G959" s="18" t="s">
        <v>74</v>
      </c>
      <c r="H959" s="18" t="n">
        <v>765</v>
      </c>
      <c r="I959" s="19" t="n">
        <v>0</v>
      </c>
      <c r="J959" s="19" t="n">
        <v>230</v>
      </c>
      <c r="K959" s="19" t="n">
        <v>230</v>
      </c>
      <c r="L959" s="19" t="n">
        <v>0</v>
      </c>
      <c r="M959" s="19" t="n">
        <f aca="false">ABS(L959)</f>
        <v>0</v>
      </c>
      <c r="N959" s="18" t="str">
        <f aca="false">IF(L959=0,"Nil balance",IF(G959="AR file",IF(L959&gt;0,"Accounts Receivable","Customer Advances"),IF(L959&lt;0,"Accounts Payable","Supplier Advances")))</f>
        <v>Nil balance</v>
      </c>
      <c r="O959" s="18" t="str">
        <f aca="false">IF(L959=0,"Excluded",IF(Summary!$C$4="By ledger",IF(G959="AR file","Population 1","Population 2"),IF(L959&gt;0,"Population 1","Population 2")))</f>
        <v>Excluded</v>
      </c>
      <c r="P959" s="18" t="str">
        <f aca="false">IF(O959="Excluded","Excluded – nil closing balance",IF(M959&gt;Summary!$C$5,"Above Materiality","Below Materiality"))</f>
        <v>Excluded – nil closing balance</v>
      </c>
      <c r="Q959" s="20" t="str">
        <f aca="false">IF(P959="Below Materiality",T959,"")</f>
        <v/>
      </c>
      <c r="R959" s="21" t="str">
        <f aca="false">IF(P959="Above Materiality",COUNTIFS($O$2:$O$1092,O959,$P$2:$P$1092,"Above Materiality",$M$2:$M$1092,"&gt;"&amp;M959)+COUNTIFS($O$2:$O$1092,O959,$P$2:$P$1092,"Above Materiality",$M$2:$M$1092,M959,$A$2:$A$1092,"&lt;"&amp;A959)+1,"")</f>
        <v/>
      </c>
      <c r="S959" s="21" t="str">
        <f aca="false">IF(P959&lt;&gt;"Below Materiality","",IF(Summary!$C$9="Random",COUNTIFS($O$2:$O$1092,O959,$Q$2:$Q$1092,"&gt;"&amp;Q959)+1,COUNTIFS($O$2:$O$1092,O959,$P$2:$P$1092,"Below Materiality",$M$2:$M$1092,"&gt;"&amp;M959)+COUNTIFS($O$2:$O$1092,O959,$P$2:$P$1092,"Below Materiality",$M$2:$M$1092,M959,$A$2:$A$1092,"&lt;"&amp;A959)+1))</f>
        <v/>
      </c>
      <c r="T959" s="22"/>
      <c r="U959" s="21" t="str">
        <f aca="false">IF(R959="","",O959&amp;"|A|"&amp;R959)</f>
        <v/>
      </c>
      <c r="V959" s="21" t="str">
        <f aca="false">IF(S959="","",O959&amp;"|R|"&amp;S959)</f>
        <v/>
      </c>
    </row>
    <row r="960" customFormat="false" ht="15" hidden="false" customHeight="false" outlineLevel="0" collapsed="false">
      <c r="A960" s="18" t="n">
        <v>959</v>
      </c>
      <c r="B960" s="18"/>
      <c r="C960" s="18"/>
      <c r="D960" s="18"/>
      <c r="E960" s="18" t="s">
        <v>1821</v>
      </c>
      <c r="F960" s="18" t="s">
        <v>1822</v>
      </c>
      <c r="G960" s="18" t="s">
        <v>74</v>
      </c>
      <c r="H960" s="18" t="n">
        <v>766</v>
      </c>
      <c r="I960" s="19" t="n">
        <v>0</v>
      </c>
      <c r="J960" s="19" t="n">
        <v>28290</v>
      </c>
      <c r="K960" s="19" t="n">
        <v>28290</v>
      </c>
      <c r="L960" s="19" t="n">
        <v>0</v>
      </c>
      <c r="M960" s="19" t="n">
        <f aca="false">ABS(L960)</f>
        <v>0</v>
      </c>
      <c r="N960" s="18" t="str">
        <f aca="false">IF(L960=0,"Nil balance",IF(G960="AR file",IF(L960&gt;0,"Accounts Receivable","Customer Advances"),IF(L960&lt;0,"Accounts Payable","Supplier Advances")))</f>
        <v>Nil balance</v>
      </c>
      <c r="O960" s="18" t="str">
        <f aca="false">IF(L960=0,"Excluded",IF(Summary!$C$4="By ledger",IF(G960="AR file","Population 1","Population 2"),IF(L960&gt;0,"Population 1","Population 2")))</f>
        <v>Excluded</v>
      </c>
      <c r="P960" s="18" t="str">
        <f aca="false">IF(O960="Excluded","Excluded – nil closing balance",IF(M960&gt;Summary!$C$5,"Above Materiality","Below Materiality"))</f>
        <v>Excluded – nil closing balance</v>
      </c>
      <c r="Q960" s="20" t="str">
        <f aca="false">IF(P960="Below Materiality",T960,"")</f>
        <v/>
      </c>
      <c r="R960" s="21" t="str">
        <f aca="false">IF(P960="Above Materiality",COUNTIFS($O$2:$O$1092,O960,$P$2:$P$1092,"Above Materiality",$M$2:$M$1092,"&gt;"&amp;M960)+COUNTIFS($O$2:$O$1092,O960,$P$2:$P$1092,"Above Materiality",$M$2:$M$1092,M960,$A$2:$A$1092,"&lt;"&amp;A960)+1,"")</f>
        <v/>
      </c>
      <c r="S960" s="21" t="str">
        <f aca="false">IF(P960&lt;&gt;"Below Materiality","",IF(Summary!$C$9="Random",COUNTIFS($O$2:$O$1092,O960,$Q$2:$Q$1092,"&gt;"&amp;Q960)+1,COUNTIFS($O$2:$O$1092,O960,$P$2:$P$1092,"Below Materiality",$M$2:$M$1092,"&gt;"&amp;M960)+COUNTIFS($O$2:$O$1092,O960,$P$2:$P$1092,"Below Materiality",$M$2:$M$1092,M960,$A$2:$A$1092,"&lt;"&amp;A960)+1))</f>
        <v/>
      </c>
      <c r="T960" s="22"/>
      <c r="U960" s="21" t="str">
        <f aca="false">IF(R960="","",O960&amp;"|A|"&amp;R960)</f>
        <v/>
      </c>
      <c r="V960" s="21" t="str">
        <f aca="false">IF(S960="","",O960&amp;"|R|"&amp;S960)</f>
        <v/>
      </c>
    </row>
    <row r="961" customFormat="false" ht="15" hidden="false" customHeight="false" outlineLevel="0" collapsed="false">
      <c r="A961" s="18" t="n">
        <v>960</v>
      </c>
      <c r="B961" s="18"/>
      <c r="C961" s="18"/>
      <c r="D961" s="18"/>
      <c r="E961" s="18" t="s">
        <v>1823</v>
      </c>
      <c r="F961" s="18" t="s">
        <v>1824</v>
      </c>
      <c r="G961" s="18" t="s">
        <v>74</v>
      </c>
      <c r="H961" s="18" t="n">
        <v>767</v>
      </c>
      <c r="I961" s="19" t="n">
        <v>0</v>
      </c>
      <c r="J961" s="19" t="n">
        <v>143</v>
      </c>
      <c r="K961" s="19" t="n">
        <v>143</v>
      </c>
      <c r="L961" s="19" t="n">
        <v>0</v>
      </c>
      <c r="M961" s="19" t="n">
        <f aca="false">ABS(L961)</f>
        <v>0</v>
      </c>
      <c r="N961" s="18" t="str">
        <f aca="false">IF(L961=0,"Nil balance",IF(G961="AR file",IF(L961&gt;0,"Accounts Receivable","Customer Advances"),IF(L961&lt;0,"Accounts Payable","Supplier Advances")))</f>
        <v>Nil balance</v>
      </c>
      <c r="O961" s="18" t="str">
        <f aca="false">IF(L961=0,"Excluded",IF(Summary!$C$4="By ledger",IF(G961="AR file","Population 1","Population 2"),IF(L961&gt;0,"Population 1","Population 2")))</f>
        <v>Excluded</v>
      </c>
      <c r="P961" s="18" t="str">
        <f aca="false">IF(O961="Excluded","Excluded – nil closing balance",IF(M961&gt;Summary!$C$5,"Above Materiality","Below Materiality"))</f>
        <v>Excluded – nil closing balance</v>
      </c>
      <c r="Q961" s="20" t="str">
        <f aca="false">IF(P961="Below Materiality",T961,"")</f>
        <v/>
      </c>
      <c r="R961" s="21" t="str">
        <f aca="false">IF(P961="Above Materiality",COUNTIFS($O$2:$O$1092,O961,$P$2:$P$1092,"Above Materiality",$M$2:$M$1092,"&gt;"&amp;M961)+COUNTIFS($O$2:$O$1092,O961,$P$2:$P$1092,"Above Materiality",$M$2:$M$1092,M961,$A$2:$A$1092,"&lt;"&amp;A961)+1,"")</f>
        <v/>
      </c>
      <c r="S961" s="21" t="str">
        <f aca="false">IF(P961&lt;&gt;"Below Materiality","",IF(Summary!$C$9="Random",COUNTIFS($O$2:$O$1092,O961,$Q$2:$Q$1092,"&gt;"&amp;Q961)+1,COUNTIFS($O$2:$O$1092,O961,$P$2:$P$1092,"Below Materiality",$M$2:$M$1092,"&gt;"&amp;M961)+COUNTIFS($O$2:$O$1092,O961,$P$2:$P$1092,"Below Materiality",$M$2:$M$1092,M961,$A$2:$A$1092,"&lt;"&amp;A961)+1))</f>
        <v/>
      </c>
      <c r="T961" s="22"/>
      <c r="U961" s="21" t="str">
        <f aca="false">IF(R961="","",O961&amp;"|A|"&amp;R961)</f>
        <v/>
      </c>
      <c r="V961" s="21" t="str">
        <f aca="false">IF(S961="","",O961&amp;"|R|"&amp;S961)</f>
        <v/>
      </c>
    </row>
    <row r="962" customFormat="false" ht="15" hidden="false" customHeight="false" outlineLevel="0" collapsed="false">
      <c r="A962" s="18" t="n">
        <v>961</v>
      </c>
      <c r="B962" s="18"/>
      <c r="C962" s="18"/>
      <c r="D962" s="18"/>
      <c r="E962" s="18" t="s">
        <v>1825</v>
      </c>
      <c r="F962" s="18" t="s">
        <v>1826</v>
      </c>
      <c r="G962" s="18" t="s">
        <v>74</v>
      </c>
      <c r="H962" s="18" t="n">
        <v>768</v>
      </c>
      <c r="I962" s="19" t="n">
        <v>0</v>
      </c>
      <c r="J962" s="19" t="n">
        <v>96</v>
      </c>
      <c r="K962" s="19" t="n">
        <v>96</v>
      </c>
      <c r="L962" s="19" t="n">
        <v>0</v>
      </c>
      <c r="M962" s="19" t="n">
        <f aca="false">ABS(L962)</f>
        <v>0</v>
      </c>
      <c r="N962" s="18" t="str">
        <f aca="false">IF(L962=0,"Nil balance",IF(G962="AR file",IF(L962&gt;0,"Accounts Receivable","Customer Advances"),IF(L962&lt;0,"Accounts Payable","Supplier Advances")))</f>
        <v>Nil balance</v>
      </c>
      <c r="O962" s="18" t="str">
        <f aca="false">IF(L962=0,"Excluded",IF(Summary!$C$4="By ledger",IF(G962="AR file","Population 1","Population 2"),IF(L962&gt;0,"Population 1","Population 2")))</f>
        <v>Excluded</v>
      </c>
      <c r="P962" s="18" t="str">
        <f aca="false">IF(O962="Excluded","Excluded – nil closing balance",IF(M962&gt;Summary!$C$5,"Above Materiality","Below Materiality"))</f>
        <v>Excluded – nil closing balance</v>
      </c>
      <c r="Q962" s="20" t="str">
        <f aca="false">IF(P962="Below Materiality",T962,"")</f>
        <v/>
      </c>
      <c r="R962" s="21" t="str">
        <f aca="false">IF(P962="Above Materiality",COUNTIFS($O$2:$O$1092,O962,$P$2:$P$1092,"Above Materiality",$M$2:$M$1092,"&gt;"&amp;M962)+COUNTIFS($O$2:$O$1092,O962,$P$2:$P$1092,"Above Materiality",$M$2:$M$1092,M962,$A$2:$A$1092,"&lt;"&amp;A962)+1,"")</f>
        <v/>
      </c>
      <c r="S962" s="21" t="str">
        <f aca="false">IF(P962&lt;&gt;"Below Materiality","",IF(Summary!$C$9="Random",COUNTIFS($O$2:$O$1092,O962,$Q$2:$Q$1092,"&gt;"&amp;Q962)+1,COUNTIFS($O$2:$O$1092,O962,$P$2:$P$1092,"Below Materiality",$M$2:$M$1092,"&gt;"&amp;M962)+COUNTIFS($O$2:$O$1092,O962,$P$2:$P$1092,"Below Materiality",$M$2:$M$1092,M962,$A$2:$A$1092,"&lt;"&amp;A962)+1))</f>
        <v/>
      </c>
      <c r="T962" s="22"/>
      <c r="U962" s="21" t="str">
        <f aca="false">IF(R962="","",O962&amp;"|A|"&amp;R962)</f>
        <v/>
      </c>
      <c r="V962" s="21" t="str">
        <f aca="false">IF(S962="","",O962&amp;"|R|"&amp;S962)</f>
        <v/>
      </c>
    </row>
    <row r="963" customFormat="false" ht="15" hidden="false" customHeight="false" outlineLevel="0" collapsed="false">
      <c r="A963" s="18" t="n">
        <v>962</v>
      </c>
      <c r="B963" s="18"/>
      <c r="C963" s="18"/>
      <c r="D963" s="18"/>
      <c r="E963" s="18" t="s">
        <v>1827</v>
      </c>
      <c r="F963" s="18" t="s">
        <v>417</v>
      </c>
      <c r="G963" s="18" t="s">
        <v>74</v>
      </c>
      <c r="H963" s="18" t="n">
        <v>769</v>
      </c>
      <c r="I963" s="19" t="n">
        <v>0</v>
      </c>
      <c r="J963" s="19" t="n">
        <v>276</v>
      </c>
      <c r="K963" s="19" t="n">
        <v>276</v>
      </c>
      <c r="L963" s="19" t="n">
        <v>0</v>
      </c>
      <c r="M963" s="19" t="n">
        <f aca="false">ABS(L963)</f>
        <v>0</v>
      </c>
      <c r="N963" s="18" t="str">
        <f aca="false">IF(L963=0,"Nil balance",IF(G963="AR file",IF(L963&gt;0,"Accounts Receivable","Customer Advances"),IF(L963&lt;0,"Accounts Payable","Supplier Advances")))</f>
        <v>Nil balance</v>
      </c>
      <c r="O963" s="18" t="str">
        <f aca="false">IF(L963=0,"Excluded",IF(Summary!$C$4="By ledger",IF(G963="AR file","Population 1","Population 2"),IF(L963&gt;0,"Population 1","Population 2")))</f>
        <v>Excluded</v>
      </c>
      <c r="P963" s="18" t="str">
        <f aca="false">IF(O963="Excluded","Excluded – nil closing balance",IF(M963&gt;Summary!$C$5,"Above Materiality","Below Materiality"))</f>
        <v>Excluded – nil closing balance</v>
      </c>
      <c r="Q963" s="20" t="str">
        <f aca="false">IF(P963="Below Materiality",T963,"")</f>
        <v/>
      </c>
      <c r="R963" s="21" t="str">
        <f aca="false">IF(P963="Above Materiality",COUNTIFS($O$2:$O$1092,O963,$P$2:$P$1092,"Above Materiality",$M$2:$M$1092,"&gt;"&amp;M963)+COUNTIFS($O$2:$O$1092,O963,$P$2:$P$1092,"Above Materiality",$M$2:$M$1092,M963,$A$2:$A$1092,"&lt;"&amp;A963)+1,"")</f>
        <v/>
      </c>
      <c r="S963" s="21" t="str">
        <f aca="false">IF(P963&lt;&gt;"Below Materiality","",IF(Summary!$C$9="Random",COUNTIFS($O$2:$O$1092,O963,$Q$2:$Q$1092,"&gt;"&amp;Q963)+1,COUNTIFS($O$2:$O$1092,O963,$P$2:$P$1092,"Below Materiality",$M$2:$M$1092,"&gt;"&amp;M963)+COUNTIFS($O$2:$O$1092,O963,$P$2:$P$1092,"Below Materiality",$M$2:$M$1092,M963,$A$2:$A$1092,"&lt;"&amp;A963)+1))</f>
        <v/>
      </c>
      <c r="T963" s="22"/>
      <c r="U963" s="21" t="str">
        <f aca="false">IF(R963="","",O963&amp;"|A|"&amp;R963)</f>
        <v/>
      </c>
      <c r="V963" s="21" t="str">
        <f aca="false">IF(S963="","",O963&amp;"|R|"&amp;S963)</f>
        <v/>
      </c>
    </row>
    <row r="964" customFormat="false" ht="15" hidden="false" customHeight="false" outlineLevel="0" collapsed="false">
      <c r="A964" s="18" t="n">
        <v>963</v>
      </c>
      <c r="B964" s="18"/>
      <c r="C964" s="18"/>
      <c r="D964" s="18"/>
      <c r="E964" s="18" t="s">
        <v>1828</v>
      </c>
      <c r="F964" s="18" t="s">
        <v>1829</v>
      </c>
      <c r="G964" s="18" t="s">
        <v>74</v>
      </c>
      <c r="H964" s="18" t="n">
        <v>770</v>
      </c>
      <c r="I964" s="19" t="n">
        <v>0</v>
      </c>
      <c r="J964" s="19" t="n">
        <v>5805</v>
      </c>
      <c r="K964" s="19" t="n">
        <v>5805</v>
      </c>
      <c r="L964" s="19" t="n">
        <v>0</v>
      </c>
      <c r="M964" s="19" t="n">
        <f aca="false">ABS(L964)</f>
        <v>0</v>
      </c>
      <c r="N964" s="18" t="str">
        <f aca="false">IF(L964=0,"Nil balance",IF(G964="AR file",IF(L964&gt;0,"Accounts Receivable","Customer Advances"),IF(L964&lt;0,"Accounts Payable","Supplier Advances")))</f>
        <v>Nil balance</v>
      </c>
      <c r="O964" s="18" t="str">
        <f aca="false">IF(L964=0,"Excluded",IF(Summary!$C$4="By ledger",IF(G964="AR file","Population 1","Population 2"),IF(L964&gt;0,"Population 1","Population 2")))</f>
        <v>Excluded</v>
      </c>
      <c r="P964" s="18" t="str">
        <f aca="false">IF(O964="Excluded","Excluded – nil closing balance",IF(M964&gt;Summary!$C$5,"Above Materiality","Below Materiality"))</f>
        <v>Excluded – nil closing balance</v>
      </c>
      <c r="Q964" s="20" t="str">
        <f aca="false">IF(P964="Below Materiality",T964,"")</f>
        <v/>
      </c>
      <c r="R964" s="21" t="str">
        <f aca="false">IF(P964="Above Materiality",COUNTIFS($O$2:$O$1092,O964,$P$2:$P$1092,"Above Materiality",$M$2:$M$1092,"&gt;"&amp;M964)+COUNTIFS($O$2:$O$1092,O964,$P$2:$P$1092,"Above Materiality",$M$2:$M$1092,M964,$A$2:$A$1092,"&lt;"&amp;A964)+1,"")</f>
        <v/>
      </c>
      <c r="S964" s="21" t="str">
        <f aca="false">IF(P964&lt;&gt;"Below Materiality","",IF(Summary!$C$9="Random",COUNTIFS($O$2:$O$1092,O964,$Q$2:$Q$1092,"&gt;"&amp;Q964)+1,COUNTIFS($O$2:$O$1092,O964,$P$2:$P$1092,"Below Materiality",$M$2:$M$1092,"&gt;"&amp;M964)+COUNTIFS($O$2:$O$1092,O964,$P$2:$P$1092,"Below Materiality",$M$2:$M$1092,M964,$A$2:$A$1092,"&lt;"&amp;A964)+1))</f>
        <v/>
      </c>
      <c r="T964" s="22"/>
      <c r="U964" s="21" t="str">
        <f aca="false">IF(R964="","",O964&amp;"|A|"&amp;R964)</f>
        <v/>
      </c>
      <c r="V964" s="21" t="str">
        <f aca="false">IF(S964="","",O964&amp;"|R|"&amp;S964)</f>
        <v/>
      </c>
    </row>
    <row r="965" customFormat="false" ht="15" hidden="false" customHeight="false" outlineLevel="0" collapsed="false">
      <c r="A965" s="18" t="n">
        <v>964</v>
      </c>
      <c r="B965" s="18"/>
      <c r="C965" s="18"/>
      <c r="D965" s="18"/>
      <c r="E965" s="18" t="s">
        <v>1830</v>
      </c>
      <c r="F965" s="18" t="s">
        <v>474</v>
      </c>
      <c r="G965" s="18" t="s">
        <v>74</v>
      </c>
      <c r="H965" s="18" t="n">
        <v>772</v>
      </c>
      <c r="I965" s="19" t="n">
        <v>0</v>
      </c>
      <c r="J965" s="19" t="n">
        <v>115</v>
      </c>
      <c r="K965" s="19" t="n">
        <v>115</v>
      </c>
      <c r="L965" s="19" t="n">
        <v>0</v>
      </c>
      <c r="M965" s="19" t="n">
        <f aca="false">ABS(L965)</f>
        <v>0</v>
      </c>
      <c r="N965" s="18" t="str">
        <f aca="false">IF(L965=0,"Nil balance",IF(G965="AR file",IF(L965&gt;0,"Accounts Receivable","Customer Advances"),IF(L965&lt;0,"Accounts Payable","Supplier Advances")))</f>
        <v>Nil balance</v>
      </c>
      <c r="O965" s="18" t="str">
        <f aca="false">IF(L965=0,"Excluded",IF(Summary!$C$4="By ledger",IF(G965="AR file","Population 1","Population 2"),IF(L965&gt;0,"Population 1","Population 2")))</f>
        <v>Excluded</v>
      </c>
      <c r="P965" s="18" t="str">
        <f aca="false">IF(O965="Excluded","Excluded – nil closing balance",IF(M965&gt;Summary!$C$5,"Above Materiality","Below Materiality"))</f>
        <v>Excluded – nil closing balance</v>
      </c>
      <c r="Q965" s="20" t="str">
        <f aca="false">IF(P965="Below Materiality",T965,"")</f>
        <v/>
      </c>
      <c r="R965" s="21" t="str">
        <f aca="false">IF(P965="Above Materiality",COUNTIFS($O$2:$O$1092,O965,$P$2:$P$1092,"Above Materiality",$M$2:$M$1092,"&gt;"&amp;M965)+COUNTIFS($O$2:$O$1092,O965,$P$2:$P$1092,"Above Materiality",$M$2:$M$1092,M965,$A$2:$A$1092,"&lt;"&amp;A965)+1,"")</f>
        <v/>
      </c>
      <c r="S965" s="21" t="str">
        <f aca="false">IF(P965&lt;&gt;"Below Materiality","",IF(Summary!$C$9="Random",COUNTIFS($O$2:$O$1092,O965,$Q$2:$Q$1092,"&gt;"&amp;Q965)+1,COUNTIFS($O$2:$O$1092,O965,$P$2:$P$1092,"Below Materiality",$M$2:$M$1092,"&gt;"&amp;M965)+COUNTIFS($O$2:$O$1092,O965,$P$2:$P$1092,"Below Materiality",$M$2:$M$1092,M965,$A$2:$A$1092,"&lt;"&amp;A965)+1))</f>
        <v/>
      </c>
      <c r="T965" s="22"/>
      <c r="U965" s="21" t="str">
        <f aca="false">IF(R965="","",O965&amp;"|A|"&amp;R965)</f>
        <v/>
      </c>
      <c r="V965" s="21" t="str">
        <f aca="false">IF(S965="","",O965&amp;"|R|"&amp;S965)</f>
        <v/>
      </c>
    </row>
    <row r="966" customFormat="false" ht="15" hidden="false" customHeight="false" outlineLevel="0" collapsed="false">
      <c r="A966" s="18" t="n">
        <v>965</v>
      </c>
      <c r="B966" s="18"/>
      <c r="C966" s="18"/>
      <c r="D966" s="18"/>
      <c r="E966" s="18" t="s">
        <v>1831</v>
      </c>
      <c r="F966" s="18" t="s">
        <v>1832</v>
      </c>
      <c r="G966" s="18" t="s">
        <v>74</v>
      </c>
      <c r="H966" s="18" t="n">
        <v>773</v>
      </c>
      <c r="I966" s="19" t="n">
        <v>0</v>
      </c>
      <c r="J966" s="19" t="n">
        <v>540</v>
      </c>
      <c r="K966" s="19" t="n">
        <v>540</v>
      </c>
      <c r="L966" s="19" t="n">
        <v>0</v>
      </c>
      <c r="M966" s="19" t="n">
        <f aca="false">ABS(L966)</f>
        <v>0</v>
      </c>
      <c r="N966" s="18" t="str">
        <f aca="false">IF(L966=0,"Nil balance",IF(G966="AR file",IF(L966&gt;0,"Accounts Receivable","Customer Advances"),IF(L966&lt;0,"Accounts Payable","Supplier Advances")))</f>
        <v>Nil balance</v>
      </c>
      <c r="O966" s="18" t="str">
        <f aca="false">IF(L966=0,"Excluded",IF(Summary!$C$4="By ledger",IF(G966="AR file","Population 1","Population 2"),IF(L966&gt;0,"Population 1","Population 2")))</f>
        <v>Excluded</v>
      </c>
      <c r="P966" s="18" t="str">
        <f aca="false">IF(O966="Excluded","Excluded – nil closing balance",IF(M966&gt;Summary!$C$5,"Above Materiality","Below Materiality"))</f>
        <v>Excluded – nil closing balance</v>
      </c>
      <c r="Q966" s="20" t="str">
        <f aca="false">IF(P966="Below Materiality",T966,"")</f>
        <v/>
      </c>
      <c r="R966" s="21" t="str">
        <f aca="false">IF(P966="Above Materiality",COUNTIFS($O$2:$O$1092,O966,$P$2:$P$1092,"Above Materiality",$M$2:$M$1092,"&gt;"&amp;M966)+COUNTIFS($O$2:$O$1092,O966,$P$2:$P$1092,"Above Materiality",$M$2:$M$1092,M966,$A$2:$A$1092,"&lt;"&amp;A966)+1,"")</f>
        <v/>
      </c>
      <c r="S966" s="21" t="str">
        <f aca="false">IF(P966&lt;&gt;"Below Materiality","",IF(Summary!$C$9="Random",COUNTIFS($O$2:$O$1092,O966,$Q$2:$Q$1092,"&gt;"&amp;Q966)+1,COUNTIFS($O$2:$O$1092,O966,$P$2:$P$1092,"Below Materiality",$M$2:$M$1092,"&gt;"&amp;M966)+COUNTIFS($O$2:$O$1092,O966,$P$2:$P$1092,"Below Materiality",$M$2:$M$1092,M966,$A$2:$A$1092,"&lt;"&amp;A966)+1))</f>
        <v/>
      </c>
      <c r="T966" s="22"/>
      <c r="U966" s="21" t="str">
        <f aca="false">IF(R966="","",O966&amp;"|A|"&amp;R966)</f>
        <v/>
      </c>
      <c r="V966" s="21" t="str">
        <f aca="false">IF(S966="","",O966&amp;"|R|"&amp;S966)</f>
        <v/>
      </c>
    </row>
    <row r="967" customFormat="false" ht="15" hidden="false" customHeight="false" outlineLevel="0" collapsed="false">
      <c r="A967" s="18" t="n">
        <v>966</v>
      </c>
      <c r="B967" s="18"/>
      <c r="C967" s="18"/>
      <c r="D967" s="18"/>
      <c r="E967" s="18" t="s">
        <v>1833</v>
      </c>
      <c r="F967" s="18" t="s">
        <v>348</v>
      </c>
      <c r="G967" s="18" t="s">
        <v>74</v>
      </c>
      <c r="H967" s="18" t="n">
        <v>774</v>
      </c>
      <c r="I967" s="19" t="n">
        <v>0</v>
      </c>
      <c r="J967" s="19" t="n">
        <v>35</v>
      </c>
      <c r="K967" s="19" t="n">
        <v>35</v>
      </c>
      <c r="L967" s="19" t="n">
        <v>0</v>
      </c>
      <c r="M967" s="19" t="n">
        <f aca="false">ABS(L967)</f>
        <v>0</v>
      </c>
      <c r="N967" s="18" t="str">
        <f aca="false">IF(L967=0,"Nil balance",IF(G967="AR file",IF(L967&gt;0,"Accounts Receivable","Customer Advances"),IF(L967&lt;0,"Accounts Payable","Supplier Advances")))</f>
        <v>Nil balance</v>
      </c>
      <c r="O967" s="18" t="str">
        <f aca="false">IF(L967=0,"Excluded",IF(Summary!$C$4="By ledger",IF(G967="AR file","Population 1","Population 2"),IF(L967&gt;0,"Population 1","Population 2")))</f>
        <v>Excluded</v>
      </c>
      <c r="P967" s="18" t="str">
        <f aca="false">IF(O967="Excluded","Excluded – nil closing balance",IF(M967&gt;Summary!$C$5,"Above Materiality","Below Materiality"))</f>
        <v>Excluded – nil closing balance</v>
      </c>
      <c r="Q967" s="20" t="str">
        <f aca="false">IF(P967="Below Materiality",T967,"")</f>
        <v/>
      </c>
      <c r="R967" s="21" t="str">
        <f aca="false">IF(P967="Above Materiality",COUNTIFS($O$2:$O$1092,O967,$P$2:$P$1092,"Above Materiality",$M$2:$M$1092,"&gt;"&amp;M967)+COUNTIFS($O$2:$O$1092,O967,$P$2:$P$1092,"Above Materiality",$M$2:$M$1092,M967,$A$2:$A$1092,"&lt;"&amp;A967)+1,"")</f>
        <v/>
      </c>
      <c r="S967" s="21" t="str">
        <f aca="false">IF(P967&lt;&gt;"Below Materiality","",IF(Summary!$C$9="Random",COUNTIFS($O$2:$O$1092,O967,$Q$2:$Q$1092,"&gt;"&amp;Q967)+1,COUNTIFS($O$2:$O$1092,O967,$P$2:$P$1092,"Below Materiality",$M$2:$M$1092,"&gt;"&amp;M967)+COUNTIFS($O$2:$O$1092,O967,$P$2:$P$1092,"Below Materiality",$M$2:$M$1092,M967,$A$2:$A$1092,"&lt;"&amp;A967)+1))</f>
        <v/>
      </c>
      <c r="T967" s="22"/>
      <c r="U967" s="21" t="str">
        <f aca="false">IF(R967="","",O967&amp;"|A|"&amp;R967)</f>
        <v/>
      </c>
      <c r="V967" s="21" t="str">
        <f aca="false">IF(S967="","",O967&amp;"|R|"&amp;S967)</f>
        <v/>
      </c>
    </row>
    <row r="968" customFormat="false" ht="15" hidden="false" customHeight="false" outlineLevel="0" collapsed="false">
      <c r="A968" s="18" t="n">
        <v>967</v>
      </c>
      <c r="B968" s="18"/>
      <c r="C968" s="18"/>
      <c r="D968" s="18"/>
      <c r="E968" s="18" t="s">
        <v>1834</v>
      </c>
      <c r="F968" s="18" t="s">
        <v>581</v>
      </c>
      <c r="G968" s="18" t="s">
        <v>74</v>
      </c>
      <c r="H968" s="18" t="n">
        <v>775</v>
      </c>
      <c r="I968" s="19" t="n">
        <v>0</v>
      </c>
      <c r="J968" s="19" t="n">
        <v>600</v>
      </c>
      <c r="K968" s="19" t="n">
        <v>600</v>
      </c>
      <c r="L968" s="19" t="n">
        <v>0</v>
      </c>
      <c r="M968" s="19" t="n">
        <f aca="false">ABS(L968)</f>
        <v>0</v>
      </c>
      <c r="N968" s="18" t="str">
        <f aca="false">IF(L968=0,"Nil balance",IF(G968="AR file",IF(L968&gt;0,"Accounts Receivable","Customer Advances"),IF(L968&lt;0,"Accounts Payable","Supplier Advances")))</f>
        <v>Nil balance</v>
      </c>
      <c r="O968" s="18" t="str">
        <f aca="false">IF(L968=0,"Excluded",IF(Summary!$C$4="By ledger",IF(G968="AR file","Population 1","Population 2"),IF(L968&gt;0,"Population 1","Population 2")))</f>
        <v>Excluded</v>
      </c>
      <c r="P968" s="18" t="str">
        <f aca="false">IF(O968="Excluded","Excluded – nil closing balance",IF(M968&gt;Summary!$C$5,"Above Materiality","Below Materiality"))</f>
        <v>Excluded – nil closing balance</v>
      </c>
      <c r="Q968" s="20" t="str">
        <f aca="false">IF(P968="Below Materiality",T968,"")</f>
        <v/>
      </c>
      <c r="R968" s="21" t="str">
        <f aca="false">IF(P968="Above Materiality",COUNTIFS($O$2:$O$1092,O968,$P$2:$P$1092,"Above Materiality",$M$2:$M$1092,"&gt;"&amp;M968)+COUNTIFS($O$2:$O$1092,O968,$P$2:$P$1092,"Above Materiality",$M$2:$M$1092,M968,$A$2:$A$1092,"&lt;"&amp;A968)+1,"")</f>
        <v/>
      </c>
      <c r="S968" s="21" t="str">
        <f aca="false">IF(P968&lt;&gt;"Below Materiality","",IF(Summary!$C$9="Random",COUNTIFS($O$2:$O$1092,O968,$Q$2:$Q$1092,"&gt;"&amp;Q968)+1,COUNTIFS($O$2:$O$1092,O968,$P$2:$P$1092,"Below Materiality",$M$2:$M$1092,"&gt;"&amp;M968)+COUNTIFS($O$2:$O$1092,O968,$P$2:$P$1092,"Below Materiality",$M$2:$M$1092,M968,$A$2:$A$1092,"&lt;"&amp;A968)+1))</f>
        <v/>
      </c>
      <c r="T968" s="22"/>
      <c r="U968" s="21" t="str">
        <f aca="false">IF(R968="","",O968&amp;"|A|"&amp;R968)</f>
        <v/>
      </c>
      <c r="V968" s="21" t="str">
        <f aca="false">IF(S968="","",O968&amp;"|R|"&amp;S968)</f>
        <v/>
      </c>
    </row>
    <row r="969" customFormat="false" ht="15" hidden="false" customHeight="false" outlineLevel="0" collapsed="false">
      <c r="A969" s="18" t="n">
        <v>968</v>
      </c>
      <c r="B969" s="18"/>
      <c r="C969" s="18"/>
      <c r="D969" s="18"/>
      <c r="E969" s="18" t="s">
        <v>1835</v>
      </c>
      <c r="F969" s="18" t="s">
        <v>1207</v>
      </c>
      <c r="G969" s="18" t="s">
        <v>74</v>
      </c>
      <c r="H969" s="18" t="n">
        <v>776</v>
      </c>
      <c r="I969" s="19" t="n">
        <v>0</v>
      </c>
      <c r="J969" s="19" t="n">
        <v>6440</v>
      </c>
      <c r="K969" s="19" t="n">
        <v>6440</v>
      </c>
      <c r="L969" s="19" t="n">
        <v>0</v>
      </c>
      <c r="M969" s="19" t="n">
        <f aca="false">ABS(L969)</f>
        <v>0</v>
      </c>
      <c r="N969" s="18" t="str">
        <f aca="false">IF(L969=0,"Nil balance",IF(G969="AR file",IF(L969&gt;0,"Accounts Receivable","Customer Advances"),IF(L969&lt;0,"Accounts Payable","Supplier Advances")))</f>
        <v>Nil balance</v>
      </c>
      <c r="O969" s="18" t="str">
        <f aca="false">IF(L969=0,"Excluded",IF(Summary!$C$4="By ledger",IF(G969="AR file","Population 1","Population 2"),IF(L969&gt;0,"Population 1","Population 2")))</f>
        <v>Excluded</v>
      </c>
      <c r="P969" s="18" t="str">
        <f aca="false">IF(O969="Excluded","Excluded – nil closing balance",IF(M969&gt;Summary!$C$5,"Above Materiality","Below Materiality"))</f>
        <v>Excluded – nil closing balance</v>
      </c>
      <c r="Q969" s="20" t="str">
        <f aca="false">IF(P969="Below Materiality",T969,"")</f>
        <v/>
      </c>
      <c r="R969" s="21" t="str">
        <f aca="false">IF(P969="Above Materiality",COUNTIFS($O$2:$O$1092,O969,$P$2:$P$1092,"Above Materiality",$M$2:$M$1092,"&gt;"&amp;M969)+COUNTIFS($O$2:$O$1092,O969,$P$2:$P$1092,"Above Materiality",$M$2:$M$1092,M969,$A$2:$A$1092,"&lt;"&amp;A969)+1,"")</f>
        <v/>
      </c>
      <c r="S969" s="21" t="str">
        <f aca="false">IF(P969&lt;&gt;"Below Materiality","",IF(Summary!$C$9="Random",COUNTIFS($O$2:$O$1092,O969,$Q$2:$Q$1092,"&gt;"&amp;Q969)+1,COUNTIFS($O$2:$O$1092,O969,$P$2:$P$1092,"Below Materiality",$M$2:$M$1092,"&gt;"&amp;M969)+COUNTIFS($O$2:$O$1092,O969,$P$2:$P$1092,"Below Materiality",$M$2:$M$1092,M969,$A$2:$A$1092,"&lt;"&amp;A969)+1))</f>
        <v/>
      </c>
      <c r="T969" s="22"/>
      <c r="U969" s="21" t="str">
        <f aca="false">IF(R969="","",O969&amp;"|A|"&amp;R969)</f>
        <v/>
      </c>
      <c r="V969" s="21" t="str">
        <f aca="false">IF(S969="","",O969&amp;"|R|"&amp;S969)</f>
        <v/>
      </c>
    </row>
    <row r="970" customFormat="false" ht="15" hidden="false" customHeight="false" outlineLevel="0" collapsed="false">
      <c r="A970" s="18" t="n">
        <v>969</v>
      </c>
      <c r="B970" s="18"/>
      <c r="C970" s="18"/>
      <c r="D970" s="18"/>
      <c r="E970" s="18" t="s">
        <v>1836</v>
      </c>
      <c r="F970" s="18" t="s">
        <v>908</v>
      </c>
      <c r="G970" s="18" t="s">
        <v>74</v>
      </c>
      <c r="H970" s="18" t="n">
        <v>777</v>
      </c>
      <c r="I970" s="19" t="n">
        <v>0</v>
      </c>
      <c r="J970" s="19" t="n">
        <v>50</v>
      </c>
      <c r="K970" s="19" t="n">
        <v>50</v>
      </c>
      <c r="L970" s="19" t="n">
        <v>0</v>
      </c>
      <c r="M970" s="19" t="n">
        <f aca="false">ABS(L970)</f>
        <v>0</v>
      </c>
      <c r="N970" s="18" t="str">
        <f aca="false">IF(L970=0,"Nil balance",IF(G970="AR file",IF(L970&gt;0,"Accounts Receivable","Customer Advances"),IF(L970&lt;0,"Accounts Payable","Supplier Advances")))</f>
        <v>Nil balance</v>
      </c>
      <c r="O970" s="18" t="str">
        <f aca="false">IF(L970=0,"Excluded",IF(Summary!$C$4="By ledger",IF(G970="AR file","Population 1","Population 2"),IF(L970&gt;0,"Population 1","Population 2")))</f>
        <v>Excluded</v>
      </c>
      <c r="P970" s="18" t="str">
        <f aca="false">IF(O970="Excluded","Excluded – nil closing balance",IF(M970&gt;Summary!$C$5,"Above Materiality","Below Materiality"))</f>
        <v>Excluded – nil closing balance</v>
      </c>
      <c r="Q970" s="20" t="str">
        <f aca="false">IF(P970="Below Materiality",T970,"")</f>
        <v/>
      </c>
      <c r="R970" s="21" t="str">
        <f aca="false">IF(P970="Above Materiality",COUNTIFS($O$2:$O$1092,O970,$P$2:$P$1092,"Above Materiality",$M$2:$M$1092,"&gt;"&amp;M970)+COUNTIFS($O$2:$O$1092,O970,$P$2:$P$1092,"Above Materiality",$M$2:$M$1092,M970,$A$2:$A$1092,"&lt;"&amp;A970)+1,"")</f>
        <v/>
      </c>
      <c r="S970" s="21" t="str">
        <f aca="false">IF(P970&lt;&gt;"Below Materiality","",IF(Summary!$C$9="Random",COUNTIFS($O$2:$O$1092,O970,$Q$2:$Q$1092,"&gt;"&amp;Q970)+1,COUNTIFS($O$2:$O$1092,O970,$P$2:$P$1092,"Below Materiality",$M$2:$M$1092,"&gt;"&amp;M970)+COUNTIFS($O$2:$O$1092,O970,$P$2:$P$1092,"Below Materiality",$M$2:$M$1092,M970,$A$2:$A$1092,"&lt;"&amp;A970)+1))</f>
        <v/>
      </c>
      <c r="T970" s="22"/>
      <c r="U970" s="21" t="str">
        <f aca="false">IF(R970="","",O970&amp;"|A|"&amp;R970)</f>
        <v/>
      </c>
      <c r="V970" s="21" t="str">
        <f aca="false">IF(S970="","",O970&amp;"|R|"&amp;S970)</f>
        <v/>
      </c>
    </row>
    <row r="971" customFormat="false" ht="15" hidden="false" customHeight="false" outlineLevel="0" collapsed="false">
      <c r="A971" s="18" t="n">
        <v>970</v>
      </c>
      <c r="B971" s="18"/>
      <c r="C971" s="18"/>
      <c r="D971" s="18"/>
      <c r="E971" s="18" t="s">
        <v>1837</v>
      </c>
      <c r="F971" s="18" t="s">
        <v>1838</v>
      </c>
      <c r="G971" s="18" t="s">
        <v>74</v>
      </c>
      <c r="H971" s="18" t="n">
        <v>778</v>
      </c>
      <c r="I971" s="19" t="n">
        <v>0</v>
      </c>
      <c r="J971" s="19" t="n">
        <v>6025</v>
      </c>
      <c r="K971" s="19" t="n">
        <v>6025</v>
      </c>
      <c r="L971" s="19" t="n">
        <v>0</v>
      </c>
      <c r="M971" s="19" t="n">
        <f aca="false">ABS(L971)</f>
        <v>0</v>
      </c>
      <c r="N971" s="18" t="str">
        <f aca="false">IF(L971=0,"Nil balance",IF(G971="AR file",IF(L971&gt;0,"Accounts Receivable","Customer Advances"),IF(L971&lt;0,"Accounts Payable","Supplier Advances")))</f>
        <v>Nil balance</v>
      </c>
      <c r="O971" s="18" t="str">
        <f aca="false">IF(L971=0,"Excluded",IF(Summary!$C$4="By ledger",IF(G971="AR file","Population 1","Population 2"),IF(L971&gt;0,"Population 1","Population 2")))</f>
        <v>Excluded</v>
      </c>
      <c r="P971" s="18" t="str">
        <f aca="false">IF(O971="Excluded","Excluded – nil closing balance",IF(M971&gt;Summary!$C$5,"Above Materiality","Below Materiality"))</f>
        <v>Excluded – nil closing balance</v>
      </c>
      <c r="Q971" s="20" t="str">
        <f aca="false">IF(P971="Below Materiality",T971,"")</f>
        <v/>
      </c>
      <c r="R971" s="21" t="str">
        <f aca="false">IF(P971="Above Materiality",COUNTIFS($O$2:$O$1092,O971,$P$2:$P$1092,"Above Materiality",$M$2:$M$1092,"&gt;"&amp;M971)+COUNTIFS($O$2:$O$1092,O971,$P$2:$P$1092,"Above Materiality",$M$2:$M$1092,M971,$A$2:$A$1092,"&lt;"&amp;A971)+1,"")</f>
        <v/>
      </c>
      <c r="S971" s="21" t="str">
        <f aca="false">IF(P971&lt;&gt;"Below Materiality","",IF(Summary!$C$9="Random",COUNTIFS($O$2:$O$1092,O971,$Q$2:$Q$1092,"&gt;"&amp;Q971)+1,COUNTIFS($O$2:$O$1092,O971,$P$2:$P$1092,"Below Materiality",$M$2:$M$1092,"&gt;"&amp;M971)+COUNTIFS($O$2:$O$1092,O971,$P$2:$P$1092,"Below Materiality",$M$2:$M$1092,M971,$A$2:$A$1092,"&lt;"&amp;A971)+1))</f>
        <v/>
      </c>
      <c r="T971" s="22"/>
      <c r="U971" s="21" t="str">
        <f aca="false">IF(R971="","",O971&amp;"|A|"&amp;R971)</f>
        <v/>
      </c>
      <c r="V971" s="21" t="str">
        <f aca="false">IF(S971="","",O971&amp;"|R|"&amp;S971)</f>
        <v/>
      </c>
    </row>
    <row r="972" customFormat="false" ht="15" hidden="false" customHeight="false" outlineLevel="0" collapsed="false">
      <c r="A972" s="18" t="n">
        <v>971</v>
      </c>
      <c r="B972" s="18"/>
      <c r="C972" s="18"/>
      <c r="D972" s="18"/>
      <c r="E972" s="18" t="s">
        <v>1839</v>
      </c>
      <c r="F972" s="18" t="s">
        <v>840</v>
      </c>
      <c r="G972" s="18" t="s">
        <v>74</v>
      </c>
      <c r="H972" s="18" t="n">
        <v>779</v>
      </c>
      <c r="I972" s="19" t="n">
        <v>0</v>
      </c>
      <c r="J972" s="19" t="n">
        <v>230</v>
      </c>
      <c r="K972" s="19" t="n">
        <v>230</v>
      </c>
      <c r="L972" s="19" t="n">
        <v>0</v>
      </c>
      <c r="M972" s="19" t="n">
        <f aca="false">ABS(L972)</f>
        <v>0</v>
      </c>
      <c r="N972" s="18" t="str">
        <f aca="false">IF(L972=0,"Nil balance",IF(G972="AR file",IF(L972&gt;0,"Accounts Receivable","Customer Advances"),IF(L972&lt;0,"Accounts Payable","Supplier Advances")))</f>
        <v>Nil balance</v>
      </c>
      <c r="O972" s="18" t="str">
        <f aca="false">IF(L972=0,"Excluded",IF(Summary!$C$4="By ledger",IF(G972="AR file","Population 1","Population 2"),IF(L972&gt;0,"Population 1","Population 2")))</f>
        <v>Excluded</v>
      </c>
      <c r="P972" s="18" t="str">
        <f aca="false">IF(O972="Excluded","Excluded – nil closing balance",IF(M972&gt;Summary!$C$5,"Above Materiality","Below Materiality"))</f>
        <v>Excluded – nil closing balance</v>
      </c>
      <c r="Q972" s="20" t="str">
        <f aca="false">IF(P972="Below Materiality",T972,"")</f>
        <v/>
      </c>
      <c r="R972" s="21" t="str">
        <f aca="false">IF(P972="Above Materiality",COUNTIFS($O$2:$O$1092,O972,$P$2:$P$1092,"Above Materiality",$M$2:$M$1092,"&gt;"&amp;M972)+COUNTIFS($O$2:$O$1092,O972,$P$2:$P$1092,"Above Materiality",$M$2:$M$1092,M972,$A$2:$A$1092,"&lt;"&amp;A972)+1,"")</f>
        <v/>
      </c>
      <c r="S972" s="21" t="str">
        <f aca="false">IF(P972&lt;&gt;"Below Materiality","",IF(Summary!$C$9="Random",COUNTIFS($O$2:$O$1092,O972,$Q$2:$Q$1092,"&gt;"&amp;Q972)+1,COUNTIFS($O$2:$O$1092,O972,$P$2:$P$1092,"Below Materiality",$M$2:$M$1092,"&gt;"&amp;M972)+COUNTIFS($O$2:$O$1092,O972,$P$2:$P$1092,"Below Materiality",$M$2:$M$1092,M972,$A$2:$A$1092,"&lt;"&amp;A972)+1))</f>
        <v/>
      </c>
      <c r="T972" s="22"/>
      <c r="U972" s="21" t="str">
        <f aca="false">IF(R972="","",O972&amp;"|A|"&amp;R972)</f>
        <v/>
      </c>
      <c r="V972" s="21" t="str">
        <f aca="false">IF(S972="","",O972&amp;"|R|"&amp;S972)</f>
        <v/>
      </c>
    </row>
    <row r="973" customFormat="false" ht="15" hidden="false" customHeight="false" outlineLevel="0" collapsed="false">
      <c r="A973" s="18" t="n">
        <v>972</v>
      </c>
      <c r="B973" s="18"/>
      <c r="C973" s="18"/>
      <c r="D973" s="18"/>
      <c r="E973" s="18" t="s">
        <v>1840</v>
      </c>
      <c r="F973" s="18" t="s">
        <v>1474</v>
      </c>
      <c r="G973" s="18" t="s">
        <v>74</v>
      </c>
      <c r="H973" s="18" t="n">
        <v>780</v>
      </c>
      <c r="I973" s="19" t="n">
        <v>0</v>
      </c>
      <c r="J973" s="19" t="n">
        <v>368</v>
      </c>
      <c r="K973" s="19" t="n">
        <v>368</v>
      </c>
      <c r="L973" s="19" t="n">
        <v>0</v>
      </c>
      <c r="M973" s="19" t="n">
        <f aca="false">ABS(L973)</f>
        <v>0</v>
      </c>
      <c r="N973" s="18" t="str">
        <f aca="false">IF(L973=0,"Nil balance",IF(G973="AR file",IF(L973&gt;0,"Accounts Receivable","Customer Advances"),IF(L973&lt;0,"Accounts Payable","Supplier Advances")))</f>
        <v>Nil balance</v>
      </c>
      <c r="O973" s="18" t="str">
        <f aca="false">IF(L973=0,"Excluded",IF(Summary!$C$4="By ledger",IF(G973="AR file","Population 1","Population 2"),IF(L973&gt;0,"Population 1","Population 2")))</f>
        <v>Excluded</v>
      </c>
      <c r="P973" s="18" t="str">
        <f aca="false">IF(O973="Excluded","Excluded – nil closing balance",IF(M973&gt;Summary!$C$5,"Above Materiality","Below Materiality"))</f>
        <v>Excluded – nil closing balance</v>
      </c>
      <c r="Q973" s="20" t="str">
        <f aca="false">IF(P973="Below Materiality",T973,"")</f>
        <v/>
      </c>
      <c r="R973" s="21" t="str">
        <f aca="false">IF(P973="Above Materiality",COUNTIFS($O$2:$O$1092,O973,$P$2:$P$1092,"Above Materiality",$M$2:$M$1092,"&gt;"&amp;M973)+COUNTIFS($O$2:$O$1092,O973,$P$2:$P$1092,"Above Materiality",$M$2:$M$1092,M973,$A$2:$A$1092,"&lt;"&amp;A973)+1,"")</f>
        <v/>
      </c>
      <c r="S973" s="21" t="str">
        <f aca="false">IF(P973&lt;&gt;"Below Materiality","",IF(Summary!$C$9="Random",COUNTIFS($O$2:$O$1092,O973,$Q$2:$Q$1092,"&gt;"&amp;Q973)+1,COUNTIFS($O$2:$O$1092,O973,$P$2:$P$1092,"Below Materiality",$M$2:$M$1092,"&gt;"&amp;M973)+COUNTIFS($O$2:$O$1092,O973,$P$2:$P$1092,"Below Materiality",$M$2:$M$1092,M973,$A$2:$A$1092,"&lt;"&amp;A973)+1))</f>
        <v/>
      </c>
      <c r="T973" s="22"/>
      <c r="U973" s="21" t="str">
        <f aca="false">IF(R973="","",O973&amp;"|A|"&amp;R973)</f>
        <v/>
      </c>
      <c r="V973" s="21" t="str">
        <f aca="false">IF(S973="","",O973&amp;"|R|"&amp;S973)</f>
        <v/>
      </c>
    </row>
    <row r="974" customFormat="false" ht="15" hidden="false" customHeight="false" outlineLevel="0" collapsed="false">
      <c r="A974" s="18" t="n">
        <v>973</v>
      </c>
      <c r="B974" s="18"/>
      <c r="C974" s="18"/>
      <c r="D974" s="18"/>
      <c r="E974" s="18" t="s">
        <v>1841</v>
      </c>
      <c r="F974" s="18" t="s">
        <v>482</v>
      </c>
      <c r="G974" s="18" t="s">
        <v>74</v>
      </c>
      <c r="H974" s="18" t="n">
        <v>781</v>
      </c>
      <c r="I974" s="19" t="n">
        <v>0</v>
      </c>
      <c r="J974" s="19" t="n">
        <v>575</v>
      </c>
      <c r="K974" s="19" t="n">
        <v>575</v>
      </c>
      <c r="L974" s="19" t="n">
        <v>0</v>
      </c>
      <c r="M974" s="19" t="n">
        <f aca="false">ABS(L974)</f>
        <v>0</v>
      </c>
      <c r="N974" s="18" t="str">
        <f aca="false">IF(L974=0,"Nil balance",IF(G974="AR file",IF(L974&gt;0,"Accounts Receivable","Customer Advances"),IF(L974&lt;0,"Accounts Payable","Supplier Advances")))</f>
        <v>Nil balance</v>
      </c>
      <c r="O974" s="18" t="str">
        <f aca="false">IF(L974=0,"Excluded",IF(Summary!$C$4="By ledger",IF(G974="AR file","Population 1","Population 2"),IF(L974&gt;0,"Population 1","Population 2")))</f>
        <v>Excluded</v>
      </c>
      <c r="P974" s="18" t="str">
        <f aca="false">IF(O974="Excluded","Excluded – nil closing balance",IF(M974&gt;Summary!$C$5,"Above Materiality","Below Materiality"))</f>
        <v>Excluded – nil closing balance</v>
      </c>
      <c r="Q974" s="20" t="str">
        <f aca="false">IF(P974="Below Materiality",T974,"")</f>
        <v/>
      </c>
      <c r="R974" s="21" t="str">
        <f aca="false">IF(P974="Above Materiality",COUNTIFS($O$2:$O$1092,O974,$P$2:$P$1092,"Above Materiality",$M$2:$M$1092,"&gt;"&amp;M974)+COUNTIFS($O$2:$O$1092,O974,$P$2:$P$1092,"Above Materiality",$M$2:$M$1092,M974,$A$2:$A$1092,"&lt;"&amp;A974)+1,"")</f>
        <v/>
      </c>
      <c r="S974" s="21" t="str">
        <f aca="false">IF(P974&lt;&gt;"Below Materiality","",IF(Summary!$C$9="Random",COUNTIFS($O$2:$O$1092,O974,$Q$2:$Q$1092,"&gt;"&amp;Q974)+1,COUNTIFS($O$2:$O$1092,O974,$P$2:$P$1092,"Below Materiality",$M$2:$M$1092,"&gt;"&amp;M974)+COUNTIFS($O$2:$O$1092,O974,$P$2:$P$1092,"Below Materiality",$M$2:$M$1092,M974,$A$2:$A$1092,"&lt;"&amp;A974)+1))</f>
        <v/>
      </c>
      <c r="T974" s="22"/>
      <c r="U974" s="21" t="str">
        <f aca="false">IF(R974="","",O974&amp;"|A|"&amp;R974)</f>
        <v/>
      </c>
      <c r="V974" s="21" t="str">
        <f aca="false">IF(S974="","",O974&amp;"|R|"&amp;S974)</f>
        <v/>
      </c>
    </row>
    <row r="975" customFormat="false" ht="15" hidden="false" customHeight="false" outlineLevel="0" collapsed="false">
      <c r="A975" s="18" t="n">
        <v>974</v>
      </c>
      <c r="B975" s="18"/>
      <c r="C975" s="18"/>
      <c r="D975" s="18"/>
      <c r="E975" s="18" t="s">
        <v>1842</v>
      </c>
      <c r="F975" s="18" t="s">
        <v>1843</v>
      </c>
      <c r="G975" s="18" t="s">
        <v>74</v>
      </c>
      <c r="H975" s="18" t="n">
        <v>782</v>
      </c>
      <c r="I975" s="19" t="n">
        <v>0</v>
      </c>
      <c r="J975" s="19" t="n">
        <v>5290</v>
      </c>
      <c r="K975" s="19" t="n">
        <v>5290</v>
      </c>
      <c r="L975" s="19" t="n">
        <v>0</v>
      </c>
      <c r="M975" s="19" t="n">
        <f aca="false">ABS(L975)</f>
        <v>0</v>
      </c>
      <c r="N975" s="18" t="str">
        <f aca="false">IF(L975=0,"Nil balance",IF(G975="AR file",IF(L975&gt;0,"Accounts Receivable","Customer Advances"),IF(L975&lt;0,"Accounts Payable","Supplier Advances")))</f>
        <v>Nil balance</v>
      </c>
      <c r="O975" s="18" t="str">
        <f aca="false">IF(L975=0,"Excluded",IF(Summary!$C$4="By ledger",IF(G975="AR file","Population 1","Population 2"),IF(L975&gt;0,"Population 1","Population 2")))</f>
        <v>Excluded</v>
      </c>
      <c r="P975" s="18" t="str">
        <f aca="false">IF(O975="Excluded","Excluded – nil closing balance",IF(M975&gt;Summary!$C$5,"Above Materiality","Below Materiality"))</f>
        <v>Excluded – nil closing balance</v>
      </c>
      <c r="Q975" s="20" t="str">
        <f aca="false">IF(P975="Below Materiality",T975,"")</f>
        <v/>
      </c>
      <c r="R975" s="21" t="str">
        <f aca="false">IF(P975="Above Materiality",COUNTIFS($O$2:$O$1092,O975,$P$2:$P$1092,"Above Materiality",$M$2:$M$1092,"&gt;"&amp;M975)+COUNTIFS($O$2:$O$1092,O975,$P$2:$P$1092,"Above Materiality",$M$2:$M$1092,M975,$A$2:$A$1092,"&lt;"&amp;A975)+1,"")</f>
        <v/>
      </c>
      <c r="S975" s="21" t="str">
        <f aca="false">IF(P975&lt;&gt;"Below Materiality","",IF(Summary!$C$9="Random",COUNTIFS($O$2:$O$1092,O975,$Q$2:$Q$1092,"&gt;"&amp;Q975)+1,COUNTIFS($O$2:$O$1092,O975,$P$2:$P$1092,"Below Materiality",$M$2:$M$1092,"&gt;"&amp;M975)+COUNTIFS($O$2:$O$1092,O975,$P$2:$P$1092,"Below Materiality",$M$2:$M$1092,M975,$A$2:$A$1092,"&lt;"&amp;A975)+1))</f>
        <v/>
      </c>
      <c r="T975" s="22"/>
      <c r="U975" s="21" t="str">
        <f aca="false">IF(R975="","",O975&amp;"|A|"&amp;R975)</f>
        <v/>
      </c>
      <c r="V975" s="21" t="str">
        <f aca="false">IF(S975="","",O975&amp;"|R|"&amp;S975)</f>
        <v/>
      </c>
    </row>
    <row r="976" customFormat="false" ht="15" hidden="false" customHeight="false" outlineLevel="0" collapsed="false">
      <c r="A976" s="18" t="n">
        <v>975</v>
      </c>
      <c r="B976" s="18"/>
      <c r="C976" s="18"/>
      <c r="D976" s="18"/>
      <c r="E976" s="18" t="s">
        <v>1844</v>
      </c>
      <c r="F976" s="18" t="s">
        <v>1845</v>
      </c>
      <c r="G976" s="18" t="s">
        <v>74</v>
      </c>
      <c r="H976" s="18" t="n">
        <v>783</v>
      </c>
      <c r="I976" s="19" t="n">
        <v>0</v>
      </c>
      <c r="J976" s="19" t="n">
        <v>90</v>
      </c>
      <c r="K976" s="19" t="n">
        <v>90</v>
      </c>
      <c r="L976" s="19" t="n">
        <v>0</v>
      </c>
      <c r="M976" s="19" t="n">
        <f aca="false">ABS(L976)</f>
        <v>0</v>
      </c>
      <c r="N976" s="18" t="str">
        <f aca="false">IF(L976=0,"Nil balance",IF(G976="AR file",IF(L976&gt;0,"Accounts Receivable","Customer Advances"),IF(L976&lt;0,"Accounts Payable","Supplier Advances")))</f>
        <v>Nil balance</v>
      </c>
      <c r="O976" s="18" t="str">
        <f aca="false">IF(L976=0,"Excluded",IF(Summary!$C$4="By ledger",IF(G976="AR file","Population 1","Population 2"),IF(L976&gt;0,"Population 1","Population 2")))</f>
        <v>Excluded</v>
      </c>
      <c r="P976" s="18" t="str">
        <f aca="false">IF(O976="Excluded","Excluded – nil closing balance",IF(M976&gt;Summary!$C$5,"Above Materiality","Below Materiality"))</f>
        <v>Excluded – nil closing balance</v>
      </c>
      <c r="Q976" s="20" t="str">
        <f aca="false">IF(P976="Below Materiality",T976,"")</f>
        <v/>
      </c>
      <c r="R976" s="21" t="str">
        <f aca="false">IF(P976="Above Materiality",COUNTIFS($O$2:$O$1092,O976,$P$2:$P$1092,"Above Materiality",$M$2:$M$1092,"&gt;"&amp;M976)+COUNTIFS($O$2:$O$1092,O976,$P$2:$P$1092,"Above Materiality",$M$2:$M$1092,M976,$A$2:$A$1092,"&lt;"&amp;A976)+1,"")</f>
        <v/>
      </c>
      <c r="S976" s="21" t="str">
        <f aca="false">IF(P976&lt;&gt;"Below Materiality","",IF(Summary!$C$9="Random",COUNTIFS($O$2:$O$1092,O976,$Q$2:$Q$1092,"&gt;"&amp;Q976)+1,COUNTIFS($O$2:$O$1092,O976,$P$2:$P$1092,"Below Materiality",$M$2:$M$1092,"&gt;"&amp;M976)+COUNTIFS($O$2:$O$1092,O976,$P$2:$P$1092,"Below Materiality",$M$2:$M$1092,M976,$A$2:$A$1092,"&lt;"&amp;A976)+1))</f>
        <v/>
      </c>
      <c r="T976" s="22"/>
      <c r="U976" s="21" t="str">
        <f aca="false">IF(R976="","",O976&amp;"|A|"&amp;R976)</f>
        <v/>
      </c>
      <c r="V976" s="21" t="str">
        <f aca="false">IF(S976="","",O976&amp;"|R|"&amp;S976)</f>
        <v/>
      </c>
    </row>
    <row r="977" customFormat="false" ht="15" hidden="false" customHeight="false" outlineLevel="0" collapsed="false">
      <c r="A977" s="18" t="n">
        <v>976</v>
      </c>
      <c r="B977" s="18"/>
      <c r="C977" s="18"/>
      <c r="D977" s="18"/>
      <c r="E977" s="18" t="s">
        <v>1846</v>
      </c>
      <c r="F977" s="18" t="s">
        <v>1643</v>
      </c>
      <c r="G977" s="18" t="s">
        <v>74</v>
      </c>
      <c r="H977" s="18" t="n">
        <v>784</v>
      </c>
      <c r="I977" s="19" t="n">
        <v>0</v>
      </c>
      <c r="J977" s="19" t="n">
        <v>195.5</v>
      </c>
      <c r="K977" s="19" t="n">
        <v>195.5</v>
      </c>
      <c r="L977" s="19" t="n">
        <v>0</v>
      </c>
      <c r="M977" s="19" t="n">
        <f aca="false">ABS(L977)</f>
        <v>0</v>
      </c>
      <c r="N977" s="18" t="str">
        <f aca="false">IF(L977=0,"Nil balance",IF(G977="AR file",IF(L977&gt;0,"Accounts Receivable","Customer Advances"),IF(L977&lt;0,"Accounts Payable","Supplier Advances")))</f>
        <v>Nil balance</v>
      </c>
      <c r="O977" s="18" t="str">
        <f aca="false">IF(L977=0,"Excluded",IF(Summary!$C$4="By ledger",IF(G977="AR file","Population 1","Population 2"),IF(L977&gt;0,"Population 1","Population 2")))</f>
        <v>Excluded</v>
      </c>
      <c r="P977" s="18" t="str">
        <f aca="false">IF(O977="Excluded","Excluded – nil closing balance",IF(M977&gt;Summary!$C$5,"Above Materiality","Below Materiality"))</f>
        <v>Excluded – nil closing balance</v>
      </c>
      <c r="Q977" s="20" t="str">
        <f aca="false">IF(P977="Below Materiality",T977,"")</f>
        <v/>
      </c>
      <c r="R977" s="21" t="str">
        <f aca="false">IF(P977="Above Materiality",COUNTIFS($O$2:$O$1092,O977,$P$2:$P$1092,"Above Materiality",$M$2:$M$1092,"&gt;"&amp;M977)+COUNTIFS($O$2:$O$1092,O977,$P$2:$P$1092,"Above Materiality",$M$2:$M$1092,M977,$A$2:$A$1092,"&lt;"&amp;A977)+1,"")</f>
        <v/>
      </c>
      <c r="S977" s="21" t="str">
        <f aca="false">IF(P977&lt;&gt;"Below Materiality","",IF(Summary!$C$9="Random",COUNTIFS($O$2:$O$1092,O977,$Q$2:$Q$1092,"&gt;"&amp;Q977)+1,COUNTIFS($O$2:$O$1092,O977,$P$2:$P$1092,"Below Materiality",$M$2:$M$1092,"&gt;"&amp;M977)+COUNTIFS($O$2:$O$1092,O977,$P$2:$P$1092,"Below Materiality",$M$2:$M$1092,M977,$A$2:$A$1092,"&lt;"&amp;A977)+1))</f>
        <v/>
      </c>
      <c r="T977" s="22"/>
      <c r="U977" s="21" t="str">
        <f aca="false">IF(R977="","",O977&amp;"|A|"&amp;R977)</f>
        <v/>
      </c>
      <c r="V977" s="21" t="str">
        <f aca="false">IF(S977="","",O977&amp;"|R|"&amp;S977)</f>
        <v/>
      </c>
    </row>
    <row r="978" customFormat="false" ht="15" hidden="false" customHeight="false" outlineLevel="0" collapsed="false">
      <c r="A978" s="18" t="n">
        <v>977</v>
      </c>
      <c r="B978" s="18"/>
      <c r="C978" s="18"/>
      <c r="D978" s="18"/>
      <c r="E978" s="18" t="s">
        <v>1847</v>
      </c>
      <c r="F978" s="18" t="s">
        <v>1848</v>
      </c>
      <c r="G978" s="18" t="s">
        <v>74</v>
      </c>
      <c r="H978" s="18" t="n">
        <v>785</v>
      </c>
      <c r="I978" s="19" t="n">
        <v>0</v>
      </c>
      <c r="J978" s="19" t="n">
        <v>135</v>
      </c>
      <c r="K978" s="19" t="n">
        <v>135</v>
      </c>
      <c r="L978" s="19" t="n">
        <v>0</v>
      </c>
      <c r="M978" s="19" t="n">
        <f aca="false">ABS(L978)</f>
        <v>0</v>
      </c>
      <c r="N978" s="18" t="str">
        <f aca="false">IF(L978=0,"Nil balance",IF(G978="AR file",IF(L978&gt;0,"Accounts Receivable","Customer Advances"),IF(L978&lt;0,"Accounts Payable","Supplier Advances")))</f>
        <v>Nil balance</v>
      </c>
      <c r="O978" s="18" t="str">
        <f aca="false">IF(L978=0,"Excluded",IF(Summary!$C$4="By ledger",IF(G978="AR file","Population 1","Population 2"),IF(L978&gt;0,"Population 1","Population 2")))</f>
        <v>Excluded</v>
      </c>
      <c r="P978" s="18" t="str">
        <f aca="false">IF(O978="Excluded","Excluded – nil closing balance",IF(M978&gt;Summary!$C$5,"Above Materiality","Below Materiality"))</f>
        <v>Excluded – nil closing balance</v>
      </c>
      <c r="Q978" s="20" t="str">
        <f aca="false">IF(P978="Below Materiality",T978,"")</f>
        <v/>
      </c>
      <c r="R978" s="21" t="str">
        <f aca="false">IF(P978="Above Materiality",COUNTIFS($O$2:$O$1092,O978,$P$2:$P$1092,"Above Materiality",$M$2:$M$1092,"&gt;"&amp;M978)+COUNTIFS($O$2:$O$1092,O978,$P$2:$P$1092,"Above Materiality",$M$2:$M$1092,M978,$A$2:$A$1092,"&lt;"&amp;A978)+1,"")</f>
        <v/>
      </c>
      <c r="S978" s="21" t="str">
        <f aca="false">IF(P978&lt;&gt;"Below Materiality","",IF(Summary!$C$9="Random",COUNTIFS($O$2:$O$1092,O978,$Q$2:$Q$1092,"&gt;"&amp;Q978)+1,COUNTIFS($O$2:$O$1092,O978,$P$2:$P$1092,"Below Materiality",$M$2:$M$1092,"&gt;"&amp;M978)+COUNTIFS($O$2:$O$1092,O978,$P$2:$P$1092,"Below Materiality",$M$2:$M$1092,M978,$A$2:$A$1092,"&lt;"&amp;A978)+1))</f>
        <v/>
      </c>
      <c r="T978" s="22"/>
      <c r="U978" s="21" t="str">
        <f aca="false">IF(R978="","",O978&amp;"|A|"&amp;R978)</f>
        <v/>
      </c>
      <c r="V978" s="21" t="str">
        <f aca="false">IF(S978="","",O978&amp;"|R|"&amp;S978)</f>
        <v/>
      </c>
    </row>
    <row r="979" customFormat="false" ht="15" hidden="false" customHeight="false" outlineLevel="0" collapsed="false">
      <c r="A979" s="18" t="n">
        <v>978</v>
      </c>
      <c r="B979" s="18"/>
      <c r="C979" s="18"/>
      <c r="D979" s="18"/>
      <c r="E979" s="18" t="s">
        <v>1849</v>
      </c>
      <c r="F979" s="18" t="s">
        <v>1850</v>
      </c>
      <c r="G979" s="18" t="s">
        <v>74</v>
      </c>
      <c r="H979" s="18" t="n">
        <v>786</v>
      </c>
      <c r="I979" s="19" t="n">
        <v>0</v>
      </c>
      <c r="J979" s="19" t="n">
        <v>235.75</v>
      </c>
      <c r="K979" s="19" t="n">
        <v>235.75</v>
      </c>
      <c r="L979" s="19" t="n">
        <v>0</v>
      </c>
      <c r="M979" s="19" t="n">
        <f aca="false">ABS(L979)</f>
        <v>0</v>
      </c>
      <c r="N979" s="18" t="str">
        <f aca="false">IF(L979=0,"Nil balance",IF(G979="AR file",IF(L979&gt;0,"Accounts Receivable","Customer Advances"),IF(L979&lt;0,"Accounts Payable","Supplier Advances")))</f>
        <v>Nil balance</v>
      </c>
      <c r="O979" s="18" t="str">
        <f aca="false">IF(L979=0,"Excluded",IF(Summary!$C$4="By ledger",IF(G979="AR file","Population 1","Population 2"),IF(L979&gt;0,"Population 1","Population 2")))</f>
        <v>Excluded</v>
      </c>
      <c r="P979" s="18" t="str">
        <f aca="false">IF(O979="Excluded","Excluded – nil closing balance",IF(M979&gt;Summary!$C$5,"Above Materiality","Below Materiality"))</f>
        <v>Excluded – nil closing balance</v>
      </c>
      <c r="Q979" s="20" t="str">
        <f aca="false">IF(P979="Below Materiality",T979,"")</f>
        <v/>
      </c>
      <c r="R979" s="21" t="str">
        <f aca="false">IF(P979="Above Materiality",COUNTIFS($O$2:$O$1092,O979,$P$2:$P$1092,"Above Materiality",$M$2:$M$1092,"&gt;"&amp;M979)+COUNTIFS($O$2:$O$1092,O979,$P$2:$P$1092,"Above Materiality",$M$2:$M$1092,M979,$A$2:$A$1092,"&lt;"&amp;A979)+1,"")</f>
        <v/>
      </c>
      <c r="S979" s="21" t="str">
        <f aca="false">IF(P979&lt;&gt;"Below Materiality","",IF(Summary!$C$9="Random",COUNTIFS($O$2:$O$1092,O979,$Q$2:$Q$1092,"&gt;"&amp;Q979)+1,COUNTIFS($O$2:$O$1092,O979,$P$2:$P$1092,"Below Materiality",$M$2:$M$1092,"&gt;"&amp;M979)+COUNTIFS($O$2:$O$1092,O979,$P$2:$P$1092,"Below Materiality",$M$2:$M$1092,M979,$A$2:$A$1092,"&lt;"&amp;A979)+1))</f>
        <v/>
      </c>
      <c r="T979" s="22"/>
      <c r="U979" s="21" t="str">
        <f aca="false">IF(R979="","",O979&amp;"|A|"&amp;R979)</f>
        <v/>
      </c>
      <c r="V979" s="21" t="str">
        <f aca="false">IF(S979="","",O979&amp;"|R|"&amp;S979)</f>
        <v/>
      </c>
    </row>
    <row r="980" customFormat="false" ht="15" hidden="false" customHeight="false" outlineLevel="0" collapsed="false">
      <c r="A980" s="18" t="n">
        <v>979</v>
      </c>
      <c r="B980" s="18"/>
      <c r="C980" s="18"/>
      <c r="D980" s="18"/>
      <c r="E980" s="18" t="s">
        <v>1851</v>
      </c>
      <c r="F980" s="18" t="s">
        <v>482</v>
      </c>
      <c r="G980" s="18" t="s">
        <v>74</v>
      </c>
      <c r="H980" s="18" t="n">
        <v>787</v>
      </c>
      <c r="I980" s="19" t="n">
        <v>0</v>
      </c>
      <c r="J980" s="19" t="n">
        <v>575</v>
      </c>
      <c r="K980" s="19" t="n">
        <v>575</v>
      </c>
      <c r="L980" s="19" t="n">
        <v>0</v>
      </c>
      <c r="M980" s="19" t="n">
        <f aca="false">ABS(L980)</f>
        <v>0</v>
      </c>
      <c r="N980" s="18" t="str">
        <f aca="false">IF(L980=0,"Nil balance",IF(G980="AR file",IF(L980&gt;0,"Accounts Receivable","Customer Advances"),IF(L980&lt;0,"Accounts Payable","Supplier Advances")))</f>
        <v>Nil balance</v>
      </c>
      <c r="O980" s="18" t="str">
        <f aca="false">IF(L980=0,"Excluded",IF(Summary!$C$4="By ledger",IF(G980="AR file","Population 1","Population 2"),IF(L980&gt;0,"Population 1","Population 2")))</f>
        <v>Excluded</v>
      </c>
      <c r="P980" s="18" t="str">
        <f aca="false">IF(O980="Excluded","Excluded – nil closing balance",IF(M980&gt;Summary!$C$5,"Above Materiality","Below Materiality"))</f>
        <v>Excluded – nil closing balance</v>
      </c>
      <c r="Q980" s="20" t="str">
        <f aca="false">IF(P980="Below Materiality",T980,"")</f>
        <v/>
      </c>
      <c r="R980" s="21" t="str">
        <f aca="false">IF(P980="Above Materiality",COUNTIFS($O$2:$O$1092,O980,$P$2:$P$1092,"Above Materiality",$M$2:$M$1092,"&gt;"&amp;M980)+COUNTIFS($O$2:$O$1092,O980,$P$2:$P$1092,"Above Materiality",$M$2:$M$1092,M980,$A$2:$A$1092,"&lt;"&amp;A980)+1,"")</f>
        <v/>
      </c>
      <c r="S980" s="21" t="str">
        <f aca="false">IF(P980&lt;&gt;"Below Materiality","",IF(Summary!$C$9="Random",COUNTIFS($O$2:$O$1092,O980,$Q$2:$Q$1092,"&gt;"&amp;Q980)+1,COUNTIFS($O$2:$O$1092,O980,$P$2:$P$1092,"Below Materiality",$M$2:$M$1092,"&gt;"&amp;M980)+COUNTIFS($O$2:$O$1092,O980,$P$2:$P$1092,"Below Materiality",$M$2:$M$1092,M980,$A$2:$A$1092,"&lt;"&amp;A980)+1))</f>
        <v/>
      </c>
      <c r="T980" s="22"/>
      <c r="U980" s="21" t="str">
        <f aca="false">IF(R980="","",O980&amp;"|A|"&amp;R980)</f>
        <v/>
      </c>
      <c r="V980" s="21" t="str">
        <f aca="false">IF(S980="","",O980&amp;"|R|"&amp;S980)</f>
        <v/>
      </c>
    </row>
    <row r="981" customFormat="false" ht="15" hidden="false" customHeight="false" outlineLevel="0" collapsed="false">
      <c r="A981" s="18" t="n">
        <v>980</v>
      </c>
      <c r="B981" s="18"/>
      <c r="C981" s="18"/>
      <c r="D981" s="18"/>
      <c r="E981" s="18" t="s">
        <v>1852</v>
      </c>
      <c r="F981" s="18" t="s">
        <v>677</v>
      </c>
      <c r="G981" s="18" t="s">
        <v>74</v>
      </c>
      <c r="H981" s="18" t="n">
        <v>788</v>
      </c>
      <c r="I981" s="19" t="n">
        <v>0</v>
      </c>
      <c r="J981" s="19" t="n">
        <v>3036</v>
      </c>
      <c r="K981" s="19" t="n">
        <v>3036</v>
      </c>
      <c r="L981" s="19" t="n">
        <v>0</v>
      </c>
      <c r="M981" s="19" t="n">
        <f aca="false">ABS(L981)</f>
        <v>0</v>
      </c>
      <c r="N981" s="18" t="str">
        <f aca="false">IF(L981=0,"Nil balance",IF(G981="AR file",IF(L981&gt;0,"Accounts Receivable","Customer Advances"),IF(L981&lt;0,"Accounts Payable","Supplier Advances")))</f>
        <v>Nil balance</v>
      </c>
      <c r="O981" s="18" t="str">
        <f aca="false">IF(L981=0,"Excluded",IF(Summary!$C$4="By ledger",IF(G981="AR file","Population 1","Population 2"),IF(L981&gt;0,"Population 1","Population 2")))</f>
        <v>Excluded</v>
      </c>
      <c r="P981" s="18" t="str">
        <f aca="false">IF(O981="Excluded","Excluded – nil closing balance",IF(M981&gt;Summary!$C$5,"Above Materiality","Below Materiality"))</f>
        <v>Excluded – nil closing balance</v>
      </c>
      <c r="Q981" s="20" t="str">
        <f aca="false">IF(P981="Below Materiality",T981,"")</f>
        <v/>
      </c>
      <c r="R981" s="21" t="str">
        <f aca="false">IF(P981="Above Materiality",COUNTIFS($O$2:$O$1092,O981,$P$2:$P$1092,"Above Materiality",$M$2:$M$1092,"&gt;"&amp;M981)+COUNTIFS($O$2:$O$1092,O981,$P$2:$P$1092,"Above Materiality",$M$2:$M$1092,M981,$A$2:$A$1092,"&lt;"&amp;A981)+1,"")</f>
        <v/>
      </c>
      <c r="S981" s="21" t="str">
        <f aca="false">IF(P981&lt;&gt;"Below Materiality","",IF(Summary!$C$9="Random",COUNTIFS($O$2:$O$1092,O981,$Q$2:$Q$1092,"&gt;"&amp;Q981)+1,COUNTIFS($O$2:$O$1092,O981,$P$2:$P$1092,"Below Materiality",$M$2:$M$1092,"&gt;"&amp;M981)+COUNTIFS($O$2:$O$1092,O981,$P$2:$P$1092,"Below Materiality",$M$2:$M$1092,M981,$A$2:$A$1092,"&lt;"&amp;A981)+1))</f>
        <v/>
      </c>
      <c r="T981" s="22"/>
      <c r="U981" s="21" t="str">
        <f aca="false">IF(R981="","",O981&amp;"|A|"&amp;R981)</f>
        <v/>
      </c>
      <c r="V981" s="21" t="str">
        <f aca="false">IF(S981="","",O981&amp;"|R|"&amp;S981)</f>
        <v/>
      </c>
    </row>
    <row r="982" customFormat="false" ht="15" hidden="false" customHeight="false" outlineLevel="0" collapsed="false">
      <c r="A982" s="18" t="n">
        <v>981</v>
      </c>
      <c r="B982" s="18"/>
      <c r="C982" s="18"/>
      <c r="D982" s="18"/>
      <c r="E982" s="18" t="s">
        <v>1853</v>
      </c>
      <c r="F982" s="18" t="s">
        <v>1070</v>
      </c>
      <c r="G982" s="18" t="s">
        <v>74</v>
      </c>
      <c r="H982" s="18" t="n">
        <v>789</v>
      </c>
      <c r="I982" s="19" t="n">
        <v>0</v>
      </c>
      <c r="J982" s="19" t="n">
        <v>46</v>
      </c>
      <c r="K982" s="19" t="n">
        <v>46</v>
      </c>
      <c r="L982" s="19" t="n">
        <v>0</v>
      </c>
      <c r="M982" s="19" t="n">
        <f aca="false">ABS(L982)</f>
        <v>0</v>
      </c>
      <c r="N982" s="18" t="str">
        <f aca="false">IF(L982=0,"Nil balance",IF(G982="AR file",IF(L982&gt;0,"Accounts Receivable","Customer Advances"),IF(L982&lt;0,"Accounts Payable","Supplier Advances")))</f>
        <v>Nil balance</v>
      </c>
      <c r="O982" s="18" t="str">
        <f aca="false">IF(L982=0,"Excluded",IF(Summary!$C$4="By ledger",IF(G982="AR file","Population 1","Population 2"),IF(L982&gt;0,"Population 1","Population 2")))</f>
        <v>Excluded</v>
      </c>
      <c r="P982" s="18" t="str">
        <f aca="false">IF(O982="Excluded","Excluded – nil closing balance",IF(M982&gt;Summary!$C$5,"Above Materiality","Below Materiality"))</f>
        <v>Excluded – nil closing balance</v>
      </c>
      <c r="Q982" s="20" t="str">
        <f aca="false">IF(P982="Below Materiality",T982,"")</f>
        <v/>
      </c>
      <c r="R982" s="21" t="str">
        <f aca="false">IF(P982="Above Materiality",COUNTIFS($O$2:$O$1092,O982,$P$2:$P$1092,"Above Materiality",$M$2:$M$1092,"&gt;"&amp;M982)+COUNTIFS($O$2:$O$1092,O982,$P$2:$P$1092,"Above Materiality",$M$2:$M$1092,M982,$A$2:$A$1092,"&lt;"&amp;A982)+1,"")</f>
        <v/>
      </c>
      <c r="S982" s="21" t="str">
        <f aca="false">IF(P982&lt;&gt;"Below Materiality","",IF(Summary!$C$9="Random",COUNTIFS($O$2:$O$1092,O982,$Q$2:$Q$1092,"&gt;"&amp;Q982)+1,COUNTIFS($O$2:$O$1092,O982,$P$2:$P$1092,"Below Materiality",$M$2:$M$1092,"&gt;"&amp;M982)+COUNTIFS($O$2:$O$1092,O982,$P$2:$P$1092,"Below Materiality",$M$2:$M$1092,M982,$A$2:$A$1092,"&lt;"&amp;A982)+1))</f>
        <v/>
      </c>
      <c r="T982" s="22"/>
      <c r="U982" s="21" t="str">
        <f aca="false">IF(R982="","",O982&amp;"|A|"&amp;R982)</f>
        <v/>
      </c>
      <c r="V982" s="21" t="str">
        <f aca="false">IF(S982="","",O982&amp;"|R|"&amp;S982)</f>
        <v/>
      </c>
    </row>
    <row r="983" customFormat="false" ht="15" hidden="false" customHeight="false" outlineLevel="0" collapsed="false">
      <c r="A983" s="18" t="n">
        <v>982</v>
      </c>
      <c r="B983" s="18"/>
      <c r="C983" s="18"/>
      <c r="D983" s="18"/>
      <c r="E983" s="18" t="s">
        <v>1854</v>
      </c>
      <c r="F983" s="18" t="s">
        <v>417</v>
      </c>
      <c r="G983" s="18" t="s">
        <v>74</v>
      </c>
      <c r="H983" s="18" t="n">
        <v>790</v>
      </c>
      <c r="I983" s="19" t="n">
        <v>0</v>
      </c>
      <c r="J983" s="19" t="n">
        <v>276</v>
      </c>
      <c r="K983" s="19" t="n">
        <v>276</v>
      </c>
      <c r="L983" s="19" t="n">
        <v>0</v>
      </c>
      <c r="M983" s="19" t="n">
        <f aca="false">ABS(L983)</f>
        <v>0</v>
      </c>
      <c r="N983" s="18" t="str">
        <f aca="false">IF(L983=0,"Nil balance",IF(G983="AR file",IF(L983&gt;0,"Accounts Receivable","Customer Advances"),IF(L983&lt;0,"Accounts Payable","Supplier Advances")))</f>
        <v>Nil balance</v>
      </c>
      <c r="O983" s="18" t="str">
        <f aca="false">IF(L983=0,"Excluded",IF(Summary!$C$4="By ledger",IF(G983="AR file","Population 1","Population 2"),IF(L983&gt;0,"Population 1","Population 2")))</f>
        <v>Excluded</v>
      </c>
      <c r="P983" s="18" t="str">
        <f aca="false">IF(O983="Excluded","Excluded – nil closing balance",IF(M983&gt;Summary!$C$5,"Above Materiality","Below Materiality"))</f>
        <v>Excluded – nil closing balance</v>
      </c>
      <c r="Q983" s="20" t="str">
        <f aca="false">IF(P983="Below Materiality",T983,"")</f>
        <v/>
      </c>
      <c r="R983" s="21" t="str">
        <f aca="false">IF(P983="Above Materiality",COUNTIFS($O$2:$O$1092,O983,$P$2:$P$1092,"Above Materiality",$M$2:$M$1092,"&gt;"&amp;M983)+COUNTIFS($O$2:$O$1092,O983,$P$2:$P$1092,"Above Materiality",$M$2:$M$1092,M983,$A$2:$A$1092,"&lt;"&amp;A983)+1,"")</f>
        <v/>
      </c>
      <c r="S983" s="21" t="str">
        <f aca="false">IF(P983&lt;&gt;"Below Materiality","",IF(Summary!$C$9="Random",COUNTIFS($O$2:$O$1092,O983,$Q$2:$Q$1092,"&gt;"&amp;Q983)+1,COUNTIFS($O$2:$O$1092,O983,$P$2:$P$1092,"Below Materiality",$M$2:$M$1092,"&gt;"&amp;M983)+COUNTIFS($O$2:$O$1092,O983,$P$2:$P$1092,"Below Materiality",$M$2:$M$1092,M983,$A$2:$A$1092,"&lt;"&amp;A983)+1))</f>
        <v/>
      </c>
      <c r="T983" s="22"/>
      <c r="U983" s="21" t="str">
        <f aca="false">IF(R983="","",O983&amp;"|A|"&amp;R983)</f>
        <v/>
      </c>
      <c r="V983" s="21" t="str">
        <f aca="false">IF(S983="","",O983&amp;"|R|"&amp;S983)</f>
        <v/>
      </c>
    </row>
    <row r="984" customFormat="false" ht="15" hidden="false" customHeight="false" outlineLevel="0" collapsed="false">
      <c r="A984" s="18" t="n">
        <v>983</v>
      </c>
      <c r="B984" s="18"/>
      <c r="C984" s="18"/>
      <c r="D984" s="18"/>
      <c r="E984" s="18" t="s">
        <v>1855</v>
      </c>
      <c r="F984" s="18" t="s">
        <v>1856</v>
      </c>
      <c r="G984" s="18" t="s">
        <v>74</v>
      </c>
      <c r="H984" s="18" t="n">
        <v>791</v>
      </c>
      <c r="I984" s="19" t="n">
        <v>0</v>
      </c>
      <c r="J984" s="19" t="n">
        <v>3162.5</v>
      </c>
      <c r="K984" s="19" t="n">
        <v>3162.5</v>
      </c>
      <c r="L984" s="19" t="n">
        <v>0</v>
      </c>
      <c r="M984" s="19" t="n">
        <f aca="false">ABS(L984)</f>
        <v>0</v>
      </c>
      <c r="N984" s="18" t="str">
        <f aca="false">IF(L984=0,"Nil balance",IF(G984="AR file",IF(L984&gt;0,"Accounts Receivable","Customer Advances"),IF(L984&lt;0,"Accounts Payable","Supplier Advances")))</f>
        <v>Nil balance</v>
      </c>
      <c r="O984" s="18" t="str">
        <f aca="false">IF(L984=0,"Excluded",IF(Summary!$C$4="By ledger",IF(G984="AR file","Population 1","Population 2"),IF(L984&gt;0,"Population 1","Population 2")))</f>
        <v>Excluded</v>
      </c>
      <c r="P984" s="18" t="str">
        <f aca="false">IF(O984="Excluded","Excluded – nil closing balance",IF(M984&gt;Summary!$C$5,"Above Materiality","Below Materiality"))</f>
        <v>Excluded – nil closing balance</v>
      </c>
      <c r="Q984" s="20" t="str">
        <f aca="false">IF(P984="Below Materiality",T984,"")</f>
        <v/>
      </c>
      <c r="R984" s="21" t="str">
        <f aca="false">IF(P984="Above Materiality",COUNTIFS($O$2:$O$1092,O984,$P$2:$P$1092,"Above Materiality",$M$2:$M$1092,"&gt;"&amp;M984)+COUNTIFS($O$2:$O$1092,O984,$P$2:$P$1092,"Above Materiality",$M$2:$M$1092,M984,$A$2:$A$1092,"&lt;"&amp;A984)+1,"")</f>
        <v/>
      </c>
      <c r="S984" s="21" t="str">
        <f aca="false">IF(P984&lt;&gt;"Below Materiality","",IF(Summary!$C$9="Random",COUNTIFS($O$2:$O$1092,O984,$Q$2:$Q$1092,"&gt;"&amp;Q984)+1,COUNTIFS($O$2:$O$1092,O984,$P$2:$P$1092,"Below Materiality",$M$2:$M$1092,"&gt;"&amp;M984)+COUNTIFS($O$2:$O$1092,O984,$P$2:$P$1092,"Below Materiality",$M$2:$M$1092,M984,$A$2:$A$1092,"&lt;"&amp;A984)+1))</f>
        <v/>
      </c>
      <c r="T984" s="22"/>
      <c r="U984" s="21" t="str">
        <f aca="false">IF(R984="","",O984&amp;"|A|"&amp;R984)</f>
        <v/>
      </c>
      <c r="V984" s="21" t="str">
        <f aca="false">IF(S984="","",O984&amp;"|R|"&amp;S984)</f>
        <v/>
      </c>
    </row>
    <row r="985" customFormat="false" ht="15" hidden="false" customHeight="false" outlineLevel="0" collapsed="false">
      <c r="A985" s="18" t="n">
        <v>984</v>
      </c>
      <c r="B985" s="18"/>
      <c r="C985" s="18"/>
      <c r="D985" s="18"/>
      <c r="E985" s="18" t="s">
        <v>1857</v>
      </c>
      <c r="F985" s="18" t="s">
        <v>1858</v>
      </c>
      <c r="G985" s="18" t="s">
        <v>74</v>
      </c>
      <c r="H985" s="18" t="n">
        <v>792</v>
      </c>
      <c r="I985" s="19" t="n">
        <v>0</v>
      </c>
      <c r="J985" s="19" t="n">
        <v>1679</v>
      </c>
      <c r="K985" s="19" t="n">
        <v>1679</v>
      </c>
      <c r="L985" s="19" t="n">
        <v>0</v>
      </c>
      <c r="M985" s="19" t="n">
        <f aca="false">ABS(L985)</f>
        <v>0</v>
      </c>
      <c r="N985" s="18" t="str">
        <f aca="false">IF(L985=0,"Nil balance",IF(G985="AR file",IF(L985&gt;0,"Accounts Receivable","Customer Advances"),IF(L985&lt;0,"Accounts Payable","Supplier Advances")))</f>
        <v>Nil balance</v>
      </c>
      <c r="O985" s="18" t="str">
        <f aca="false">IF(L985=0,"Excluded",IF(Summary!$C$4="By ledger",IF(G985="AR file","Population 1","Population 2"),IF(L985&gt;0,"Population 1","Population 2")))</f>
        <v>Excluded</v>
      </c>
      <c r="P985" s="18" t="str">
        <f aca="false">IF(O985="Excluded","Excluded – nil closing balance",IF(M985&gt;Summary!$C$5,"Above Materiality","Below Materiality"))</f>
        <v>Excluded – nil closing balance</v>
      </c>
      <c r="Q985" s="20" t="str">
        <f aca="false">IF(P985="Below Materiality",T985,"")</f>
        <v/>
      </c>
      <c r="R985" s="21" t="str">
        <f aca="false">IF(P985="Above Materiality",COUNTIFS($O$2:$O$1092,O985,$P$2:$P$1092,"Above Materiality",$M$2:$M$1092,"&gt;"&amp;M985)+COUNTIFS($O$2:$O$1092,O985,$P$2:$P$1092,"Above Materiality",$M$2:$M$1092,M985,$A$2:$A$1092,"&lt;"&amp;A985)+1,"")</f>
        <v/>
      </c>
      <c r="S985" s="21" t="str">
        <f aca="false">IF(P985&lt;&gt;"Below Materiality","",IF(Summary!$C$9="Random",COUNTIFS($O$2:$O$1092,O985,$Q$2:$Q$1092,"&gt;"&amp;Q985)+1,COUNTIFS($O$2:$O$1092,O985,$P$2:$P$1092,"Below Materiality",$M$2:$M$1092,"&gt;"&amp;M985)+COUNTIFS($O$2:$O$1092,O985,$P$2:$P$1092,"Below Materiality",$M$2:$M$1092,M985,$A$2:$A$1092,"&lt;"&amp;A985)+1))</f>
        <v/>
      </c>
      <c r="T985" s="22"/>
      <c r="U985" s="21" t="str">
        <f aca="false">IF(R985="","",O985&amp;"|A|"&amp;R985)</f>
        <v/>
      </c>
      <c r="V985" s="21" t="str">
        <f aca="false">IF(S985="","",O985&amp;"|R|"&amp;S985)</f>
        <v/>
      </c>
    </row>
    <row r="986" customFormat="false" ht="15" hidden="false" customHeight="false" outlineLevel="0" collapsed="false">
      <c r="A986" s="18" t="n">
        <v>985</v>
      </c>
      <c r="B986" s="18"/>
      <c r="C986" s="18"/>
      <c r="D986" s="18"/>
      <c r="E986" s="18" t="s">
        <v>1859</v>
      </c>
      <c r="F986" s="18" t="s">
        <v>1860</v>
      </c>
      <c r="G986" s="18" t="s">
        <v>74</v>
      </c>
      <c r="H986" s="18" t="n">
        <v>793</v>
      </c>
      <c r="I986" s="19" t="n">
        <v>0</v>
      </c>
      <c r="J986" s="19" t="n">
        <v>20</v>
      </c>
      <c r="K986" s="19" t="n">
        <v>20</v>
      </c>
      <c r="L986" s="19" t="n">
        <v>0</v>
      </c>
      <c r="M986" s="19" t="n">
        <f aca="false">ABS(L986)</f>
        <v>0</v>
      </c>
      <c r="N986" s="18" t="str">
        <f aca="false">IF(L986=0,"Nil balance",IF(G986="AR file",IF(L986&gt;0,"Accounts Receivable","Customer Advances"),IF(L986&lt;0,"Accounts Payable","Supplier Advances")))</f>
        <v>Nil balance</v>
      </c>
      <c r="O986" s="18" t="str">
        <f aca="false">IF(L986=0,"Excluded",IF(Summary!$C$4="By ledger",IF(G986="AR file","Population 1","Population 2"),IF(L986&gt;0,"Population 1","Population 2")))</f>
        <v>Excluded</v>
      </c>
      <c r="P986" s="18" t="str">
        <f aca="false">IF(O986="Excluded","Excluded – nil closing balance",IF(M986&gt;Summary!$C$5,"Above Materiality","Below Materiality"))</f>
        <v>Excluded – nil closing balance</v>
      </c>
      <c r="Q986" s="20" t="str">
        <f aca="false">IF(P986="Below Materiality",T986,"")</f>
        <v/>
      </c>
      <c r="R986" s="21" t="str">
        <f aca="false">IF(P986="Above Materiality",COUNTIFS($O$2:$O$1092,O986,$P$2:$P$1092,"Above Materiality",$M$2:$M$1092,"&gt;"&amp;M986)+COUNTIFS($O$2:$O$1092,O986,$P$2:$P$1092,"Above Materiality",$M$2:$M$1092,M986,$A$2:$A$1092,"&lt;"&amp;A986)+1,"")</f>
        <v/>
      </c>
      <c r="S986" s="21" t="str">
        <f aca="false">IF(P986&lt;&gt;"Below Materiality","",IF(Summary!$C$9="Random",COUNTIFS($O$2:$O$1092,O986,$Q$2:$Q$1092,"&gt;"&amp;Q986)+1,COUNTIFS($O$2:$O$1092,O986,$P$2:$P$1092,"Below Materiality",$M$2:$M$1092,"&gt;"&amp;M986)+COUNTIFS($O$2:$O$1092,O986,$P$2:$P$1092,"Below Materiality",$M$2:$M$1092,M986,$A$2:$A$1092,"&lt;"&amp;A986)+1))</f>
        <v/>
      </c>
      <c r="T986" s="22"/>
      <c r="U986" s="21" t="str">
        <f aca="false">IF(R986="","",O986&amp;"|A|"&amp;R986)</f>
        <v/>
      </c>
      <c r="V986" s="21" t="str">
        <f aca="false">IF(S986="","",O986&amp;"|R|"&amp;S986)</f>
        <v/>
      </c>
    </row>
    <row r="987" customFormat="false" ht="15" hidden="false" customHeight="false" outlineLevel="0" collapsed="false">
      <c r="A987" s="18" t="n">
        <v>986</v>
      </c>
      <c r="B987" s="18"/>
      <c r="C987" s="18"/>
      <c r="D987" s="18"/>
      <c r="E987" s="18" t="s">
        <v>1861</v>
      </c>
      <c r="F987" s="18" t="s">
        <v>1319</v>
      </c>
      <c r="G987" s="18" t="s">
        <v>74</v>
      </c>
      <c r="H987" s="18" t="n">
        <v>795</v>
      </c>
      <c r="I987" s="19" t="n">
        <v>0</v>
      </c>
      <c r="J987" s="19" t="n">
        <v>460</v>
      </c>
      <c r="K987" s="19" t="n">
        <v>460</v>
      </c>
      <c r="L987" s="19" t="n">
        <v>0</v>
      </c>
      <c r="M987" s="19" t="n">
        <f aca="false">ABS(L987)</f>
        <v>0</v>
      </c>
      <c r="N987" s="18" t="str">
        <f aca="false">IF(L987=0,"Nil balance",IF(G987="AR file",IF(L987&gt;0,"Accounts Receivable","Customer Advances"),IF(L987&lt;0,"Accounts Payable","Supplier Advances")))</f>
        <v>Nil balance</v>
      </c>
      <c r="O987" s="18" t="str">
        <f aca="false">IF(L987=0,"Excluded",IF(Summary!$C$4="By ledger",IF(G987="AR file","Population 1","Population 2"),IF(L987&gt;0,"Population 1","Population 2")))</f>
        <v>Excluded</v>
      </c>
      <c r="P987" s="18" t="str">
        <f aca="false">IF(O987="Excluded","Excluded – nil closing balance",IF(M987&gt;Summary!$C$5,"Above Materiality","Below Materiality"))</f>
        <v>Excluded – nil closing balance</v>
      </c>
      <c r="Q987" s="20" t="str">
        <f aca="false">IF(P987="Below Materiality",T987,"")</f>
        <v/>
      </c>
      <c r="R987" s="21" t="str">
        <f aca="false">IF(P987="Above Materiality",COUNTIFS($O$2:$O$1092,O987,$P$2:$P$1092,"Above Materiality",$M$2:$M$1092,"&gt;"&amp;M987)+COUNTIFS($O$2:$O$1092,O987,$P$2:$P$1092,"Above Materiality",$M$2:$M$1092,M987,$A$2:$A$1092,"&lt;"&amp;A987)+1,"")</f>
        <v/>
      </c>
      <c r="S987" s="21" t="str">
        <f aca="false">IF(P987&lt;&gt;"Below Materiality","",IF(Summary!$C$9="Random",COUNTIFS($O$2:$O$1092,O987,$Q$2:$Q$1092,"&gt;"&amp;Q987)+1,COUNTIFS($O$2:$O$1092,O987,$P$2:$P$1092,"Below Materiality",$M$2:$M$1092,"&gt;"&amp;M987)+COUNTIFS($O$2:$O$1092,O987,$P$2:$P$1092,"Below Materiality",$M$2:$M$1092,M987,$A$2:$A$1092,"&lt;"&amp;A987)+1))</f>
        <v/>
      </c>
      <c r="T987" s="22"/>
      <c r="U987" s="21" t="str">
        <f aca="false">IF(R987="","",O987&amp;"|A|"&amp;R987)</f>
        <v/>
      </c>
      <c r="V987" s="21" t="str">
        <f aca="false">IF(S987="","",O987&amp;"|R|"&amp;S987)</f>
        <v/>
      </c>
    </row>
    <row r="988" customFormat="false" ht="15" hidden="false" customHeight="false" outlineLevel="0" collapsed="false">
      <c r="A988" s="18" t="n">
        <v>987</v>
      </c>
      <c r="B988" s="18"/>
      <c r="C988" s="18"/>
      <c r="D988" s="18"/>
      <c r="E988" s="18" t="s">
        <v>1862</v>
      </c>
      <c r="F988" s="18" t="s">
        <v>1863</v>
      </c>
      <c r="G988" s="18" t="s">
        <v>74</v>
      </c>
      <c r="H988" s="18" t="n">
        <v>796</v>
      </c>
      <c r="I988" s="19" t="n">
        <v>0</v>
      </c>
      <c r="J988" s="19" t="n">
        <v>2346</v>
      </c>
      <c r="K988" s="19" t="n">
        <v>2346</v>
      </c>
      <c r="L988" s="19" t="n">
        <v>0</v>
      </c>
      <c r="M988" s="19" t="n">
        <f aca="false">ABS(L988)</f>
        <v>0</v>
      </c>
      <c r="N988" s="18" t="str">
        <f aca="false">IF(L988=0,"Nil balance",IF(G988="AR file",IF(L988&gt;0,"Accounts Receivable","Customer Advances"),IF(L988&lt;0,"Accounts Payable","Supplier Advances")))</f>
        <v>Nil balance</v>
      </c>
      <c r="O988" s="18" t="str">
        <f aca="false">IF(L988=0,"Excluded",IF(Summary!$C$4="By ledger",IF(G988="AR file","Population 1","Population 2"),IF(L988&gt;0,"Population 1","Population 2")))</f>
        <v>Excluded</v>
      </c>
      <c r="P988" s="18" t="str">
        <f aca="false">IF(O988="Excluded","Excluded – nil closing balance",IF(M988&gt;Summary!$C$5,"Above Materiality","Below Materiality"))</f>
        <v>Excluded – nil closing balance</v>
      </c>
      <c r="Q988" s="20" t="str">
        <f aca="false">IF(P988="Below Materiality",T988,"")</f>
        <v/>
      </c>
      <c r="R988" s="21" t="str">
        <f aca="false">IF(P988="Above Materiality",COUNTIFS($O$2:$O$1092,O988,$P$2:$P$1092,"Above Materiality",$M$2:$M$1092,"&gt;"&amp;M988)+COUNTIFS($O$2:$O$1092,O988,$P$2:$P$1092,"Above Materiality",$M$2:$M$1092,M988,$A$2:$A$1092,"&lt;"&amp;A988)+1,"")</f>
        <v/>
      </c>
      <c r="S988" s="21" t="str">
        <f aca="false">IF(P988&lt;&gt;"Below Materiality","",IF(Summary!$C$9="Random",COUNTIFS($O$2:$O$1092,O988,$Q$2:$Q$1092,"&gt;"&amp;Q988)+1,COUNTIFS($O$2:$O$1092,O988,$P$2:$P$1092,"Below Materiality",$M$2:$M$1092,"&gt;"&amp;M988)+COUNTIFS($O$2:$O$1092,O988,$P$2:$P$1092,"Below Materiality",$M$2:$M$1092,M988,$A$2:$A$1092,"&lt;"&amp;A988)+1))</f>
        <v/>
      </c>
      <c r="T988" s="22"/>
      <c r="U988" s="21" t="str">
        <f aca="false">IF(R988="","",O988&amp;"|A|"&amp;R988)</f>
        <v/>
      </c>
      <c r="V988" s="21" t="str">
        <f aca="false">IF(S988="","",O988&amp;"|R|"&amp;S988)</f>
        <v/>
      </c>
    </row>
    <row r="989" customFormat="false" ht="15" hidden="false" customHeight="false" outlineLevel="0" collapsed="false">
      <c r="A989" s="18" t="n">
        <v>988</v>
      </c>
      <c r="B989" s="18"/>
      <c r="C989" s="18"/>
      <c r="D989" s="18"/>
      <c r="E989" s="18" t="s">
        <v>1864</v>
      </c>
      <c r="F989" s="18" t="s">
        <v>1394</v>
      </c>
      <c r="G989" s="18" t="s">
        <v>74</v>
      </c>
      <c r="H989" s="18" t="n">
        <v>797</v>
      </c>
      <c r="I989" s="19" t="n">
        <v>0</v>
      </c>
      <c r="J989" s="19" t="n">
        <v>805</v>
      </c>
      <c r="K989" s="19" t="n">
        <v>805</v>
      </c>
      <c r="L989" s="19" t="n">
        <v>0</v>
      </c>
      <c r="M989" s="19" t="n">
        <f aca="false">ABS(L989)</f>
        <v>0</v>
      </c>
      <c r="N989" s="18" t="str">
        <f aca="false">IF(L989=0,"Nil balance",IF(G989="AR file",IF(L989&gt;0,"Accounts Receivable","Customer Advances"),IF(L989&lt;0,"Accounts Payable","Supplier Advances")))</f>
        <v>Nil balance</v>
      </c>
      <c r="O989" s="18" t="str">
        <f aca="false">IF(L989=0,"Excluded",IF(Summary!$C$4="By ledger",IF(G989="AR file","Population 1","Population 2"),IF(L989&gt;0,"Population 1","Population 2")))</f>
        <v>Excluded</v>
      </c>
      <c r="P989" s="18" t="str">
        <f aca="false">IF(O989="Excluded","Excluded – nil closing balance",IF(M989&gt;Summary!$C$5,"Above Materiality","Below Materiality"))</f>
        <v>Excluded – nil closing balance</v>
      </c>
      <c r="Q989" s="20" t="str">
        <f aca="false">IF(P989="Below Materiality",T989,"")</f>
        <v/>
      </c>
      <c r="R989" s="21" t="str">
        <f aca="false">IF(P989="Above Materiality",COUNTIFS($O$2:$O$1092,O989,$P$2:$P$1092,"Above Materiality",$M$2:$M$1092,"&gt;"&amp;M989)+COUNTIFS($O$2:$O$1092,O989,$P$2:$P$1092,"Above Materiality",$M$2:$M$1092,M989,$A$2:$A$1092,"&lt;"&amp;A989)+1,"")</f>
        <v/>
      </c>
      <c r="S989" s="21" t="str">
        <f aca="false">IF(P989&lt;&gt;"Below Materiality","",IF(Summary!$C$9="Random",COUNTIFS($O$2:$O$1092,O989,$Q$2:$Q$1092,"&gt;"&amp;Q989)+1,COUNTIFS($O$2:$O$1092,O989,$P$2:$P$1092,"Below Materiality",$M$2:$M$1092,"&gt;"&amp;M989)+COUNTIFS($O$2:$O$1092,O989,$P$2:$P$1092,"Below Materiality",$M$2:$M$1092,M989,$A$2:$A$1092,"&lt;"&amp;A989)+1))</f>
        <v/>
      </c>
      <c r="T989" s="22"/>
      <c r="U989" s="21" t="str">
        <f aca="false">IF(R989="","",O989&amp;"|A|"&amp;R989)</f>
        <v/>
      </c>
      <c r="V989" s="21" t="str">
        <f aca="false">IF(S989="","",O989&amp;"|R|"&amp;S989)</f>
        <v/>
      </c>
    </row>
    <row r="990" customFormat="false" ht="15" hidden="false" customHeight="false" outlineLevel="0" collapsed="false">
      <c r="A990" s="18" t="n">
        <v>989</v>
      </c>
      <c r="B990" s="18"/>
      <c r="C990" s="18"/>
      <c r="D990" s="18"/>
      <c r="E990" s="18" t="s">
        <v>1865</v>
      </c>
      <c r="F990" s="18" t="s">
        <v>466</v>
      </c>
      <c r="G990" s="18" t="s">
        <v>74</v>
      </c>
      <c r="H990" s="18" t="n">
        <v>798</v>
      </c>
      <c r="I990" s="19" t="n">
        <v>0</v>
      </c>
      <c r="J990" s="19" t="n">
        <v>4830</v>
      </c>
      <c r="K990" s="19" t="n">
        <v>4830</v>
      </c>
      <c r="L990" s="19" t="n">
        <v>0</v>
      </c>
      <c r="M990" s="19" t="n">
        <f aca="false">ABS(L990)</f>
        <v>0</v>
      </c>
      <c r="N990" s="18" t="str">
        <f aca="false">IF(L990=0,"Nil balance",IF(G990="AR file",IF(L990&gt;0,"Accounts Receivable","Customer Advances"),IF(L990&lt;0,"Accounts Payable","Supplier Advances")))</f>
        <v>Nil balance</v>
      </c>
      <c r="O990" s="18" t="str">
        <f aca="false">IF(L990=0,"Excluded",IF(Summary!$C$4="By ledger",IF(G990="AR file","Population 1","Population 2"),IF(L990&gt;0,"Population 1","Population 2")))</f>
        <v>Excluded</v>
      </c>
      <c r="P990" s="18" t="str">
        <f aca="false">IF(O990="Excluded","Excluded – nil closing balance",IF(M990&gt;Summary!$C$5,"Above Materiality","Below Materiality"))</f>
        <v>Excluded – nil closing balance</v>
      </c>
      <c r="Q990" s="20" t="str">
        <f aca="false">IF(P990="Below Materiality",T990,"")</f>
        <v/>
      </c>
      <c r="R990" s="21" t="str">
        <f aca="false">IF(P990="Above Materiality",COUNTIFS($O$2:$O$1092,O990,$P$2:$P$1092,"Above Materiality",$M$2:$M$1092,"&gt;"&amp;M990)+COUNTIFS($O$2:$O$1092,O990,$P$2:$P$1092,"Above Materiality",$M$2:$M$1092,M990,$A$2:$A$1092,"&lt;"&amp;A990)+1,"")</f>
        <v/>
      </c>
      <c r="S990" s="21" t="str">
        <f aca="false">IF(P990&lt;&gt;"Below Materiality","",IF(Summary!$C$9="Random",COUNTIFS($O$2:$O$1092,O990,$Q$2:$Q$1092,"&gt;"&amp;Q990)+1,COUNTIFS($O$2:$O$1092,O990,$P$2:$P$1092,"Below Materiality",$M$2:$M$1092,"&gt;"&amp;M990)+COUNTIFS($O$2:$O$1092,O990,$P$2:$P$1092,"Below Materiality",$M$2:$M$1092,M990,$A$2:$A$1092,"&lt;"&amp;A990)+1))</f>
        <v/>
      </c>
      <c r="T990" s="22"/>
      <c r="U990" s="21" t="str">
        <f aca="false">IF(R990="","",O990&amp;"|A|"&amp;R990)</f>
        <v/>
      </c>
      <c r="V990" s="21" t="str">
        <f aca="false">IF(S990="","",O990&amp;"|R|"&amp;S990)</f>
        <v/>
      </c>
    </row>
    <row r="991" customFormat="false" ht="15" hidden="false" customHeight="false" outlineLevel="0" collapsed="false">
      <c r="A991" s="18" t="n">
        <v>990</v>
      </c>
      <c r="B991" s="18"/>
      <c r="C991" s="18"/>
      <c r="D991" s="18"/>
      <c r="E991" s="18" t="s">
        <v>1866</v>
      </c>
      <c r="F991" s="18" t="s">
        <v>1171</v>
      </c>
      <c r="G991" s="18" t="s">
        <v>74</v>
      </c>
      <c r="H991" s="18" t="n">
        <v>799</v>
      </c>
      <c r="I991" s="19" t="n">
        <v>0</v>
      </c>
      <c r="J991" s="19" t="n">
        <v>1000</v>
      </c>
      <c r="K991" s="19" t="n">
        <v>1000</v>
      </c>
      <c r="L991" s="19" t="n">
        <v>0</v>
      </c>
      <c r="M991" s="19" t="n">
        <f aca="false">ABS(L991)</f>
        <v>0</v>
      </c>
      <c r="N991" s="18" t="str">
        <f aca="false">IF(L991=0,"Nil balance",IF(G991="AR file",IF(L991&gt;0,"Accounts Receivable","Customer Advances"),IF(L991&lt;0,"Accounts Payable","Supplier Advances")))</f>
        <v>Nil balance</v>
      </c>
      <c r="O991" s="18" t="str">
        <f aca="false">IF(L991=0,"Excluded",IF(Summary!$C$4="By ledger",IF(G991="AR file","Population 1","Population 2"),IF(L991&gt;0,"Population 1","Population 2")))</f>
        <v>Excluded</v>
      </c>
      <c r="P991" s="18" t="str">
        <f aca="false">IF(O991="Excluded","Excluded – nil closing balance",IF(M991&gt;Summary!$C$5,"Above Materiality","Below Materiality"))</f>
        <v>Excluded – nil closing balance</v>
      </c>
      <c r="Q991" s="20" t="str">
        <f aca="false">IF(P991="Below Materiality",T991,"")</f>
        <v/>
      </c>
      <c r="R991" s="21" t="str">
        <f aca="false">IF(P991="Above Materiality",COUNTIFS($O$2:$O$1092,O991,$P$2:$P$1092,"Above Materiality",$M$2:$M$1092,"&gt;"&amp;M991)+COUNTIFS($O$2:$O$1092,O991,$P$2:$P$1092,"Above Materiality",$M$2:$M$1092,M991,$A$2:$A$1092,"&lt;"&amp;A991)+1,"")</f>
        <v/>
      </c>
      <c r="S991" s="21" t="str">
        <f aca="false">IF(P991&lt;&gt;"Below Materiality","",IF(Summary!$C$9="Random",COUNTIFS($O$2:$O$1092,O991,$Q$2:$Q$1092,"&gt;"&amp;Q991)+1,COUNTIFS($O$2:$O$1092,O991,$P$2:$P$1092,"Below Materiality",$M$2:$M$1092,"&gt;"&amp;M991)+COUNTIFS($O$2:$O$1092,O991,$P$2:$P$1092,"Below Materiality",$M$2:$M$1092,M991,$A$2:$A$1092,"&lt;"&amp;A991)+1))</f>
        <v/>
      </c>
      <c r="T991" s="22"/>
      <c r="U991" s="21" t="str">
        <f aca="false">IF(R991="","",O991&amp;"|A|"&amp;R991)</f>
        <v/>
      </c>
      <c r="V991" s="21" t="str">
        <f aca="false">IF(S991="","",O991&amp;"|R|"&amp;S991)</f>
        <v/>
      </c>
    </row>
    <row r="992" customFormat="false" ht="15" hidden="false" customHeight="false" outlineLevel="0" collapsed="false">
      <c r="A992" s="18" t="n">
        <v>991</v>
      </c>
      <c r="B992" s="18"/>
      <c r="C992" s="18"/>
      <c r="D992" s="18"/>
      <c r="E992" s="18" t="s">
        <v>1867</v>
      </c>
      <c r="F992" s="18" t="s">
        <v>1868</v>
      </c>
      <c r="G992" s="18" t="s">
        <v>74</v>
      </c>
      <c r="H992" s="18" t="n">
        <v>800</v>
      </c>
      <c r="I992" s="19" t="n">
        <v>0</v>
      </c>
      <c r="J992" s="19" t="n">
        <v>837</v>
      </c>
      <c r="K992" s="19" t="n">
        <v>837</v>
      </c>
      <c r="L992" s="19" t="n">
        <v>0</v>
      </c>
      <c r="M992" s="19" t="n">
        <f aca="false">ABS(L992)</f>
        <v>0</v>
      </c>
      <c r="N992" s="18" t="str">
        <f aca="false">IF(L992=0,"Nil balance",IF(G992="AR file",IF(L992&gt;0,"Accounts Receivable","Customer Advances"),IF(L992&lt;0,"Accounts Payable","Supplier Advances")))</f>
        <v>Nil balance</v>
      </c>
      <c r="O992" s="18" t="str">
        <f aca="false">IF(L992=0,"Excluded",IF(Summary!$C$4="By ledger",IF(G992="AR file","Population 1","Population 2"),IF(L992&gt;0,"Population 1","Population 2")))</f>
        <v>Excluded</v>
      </c>
      <c r="P992" s="18" t="str">
        <f aca="false">IF(O992="Excluded","Excluded – nil closing balance",IF(M992&gt;Summary!$C$5,"Above Materiality","Below Materiality"))</f>
        <v>Excluded – nil closing balance</v>
      </c>
      <c r="Q992" s="20" t="str">
        <f aca="false">IF(P992="Below Materiality",T992,"")</f>
        <v/>
      </c>
      <c r="R992" s="21" t="str">
        <f aca="false">IF(P992="Above Materiality",COUNTIFS($O$2:$O$1092,O992,$P$2:$P$1092,"Above Materiality",$M$2:$M$1092,"&gt;"&amp;M992)+COUNTIFS($O$2:$O$1092,O992,$P$2:$P$1092,"Above Materiality",$M$2:$M$1092,M992,$A$2:$A$1092,"&lt;"&amp;A992)+1,"")</f>
        <v/>
      </c>
      <c r="S992" s="21" t="str">
        <f aca="false">IF(P992&lt;&gt;"Below Materiality","",IF(Summary!$C$9="Random",COUNTIFS($O$2:$O$1092,O992,$Q$2:$Q$1092,"&gt;"&amp;Q992)+1,COUNTIFS($O$2:$O$1092,O992,$P$2:$P$1092,"Below Materiality",$M$2:$M$1092,"&gt;"&amp;M992)+COUNTIFS($O$2:$O$1092,O992,$P$2:$P$1092,"Below Materiality",$M$2:$M$1092,M992,$A$2:$A$1092,"&lt;"&amp;A992)+1))</f>
        <v/>
      </c>
      <c r="T992" s="22"/>
      <c r="U992" s="21" t="str">
        <f aca="false">IF(R992="","",O992&amp;"|A|"&amp;R992)</f>
        <v/>
      </c>
      <c r="V992" s="21" t="str">
        <f aca="false">IF(S992="","",O992&amp;"|R|"&amp;S992)</f>
        <v/>
      </c>
    </row>
    <row r="993" customFormat="false" ht="15" hidden="false" customHeight="false" outlineLevel="0" collapsed="false">
      <c r="A993" s="18" t="n">
        <v>992</v>
      </c>
      <c r="B993" s="18"/>
      <c r="C993" s="18"/>
      <c r="D993" s="18"/>
      <c r="E993" s="18" t="s">
        <v>1869</v>
      </c>
      <c r="F993" s="18" t="s">
        <v>1870</v>
      </c>
      <c r="G993" s="18" t="s">
        <v>74</v>
      </c>
      <c r="H993" s="18" t="n">
        <v>801</v>
      </c>
      <c r="I993" s="19" t="n">
        <v>0</v>
      </c>
      <c r="J993" s="19" t="n">
        <v>20700</v>
      </c>
      <c r="K993" s="19" t="n">
        <v>20700</v>
      </c>
      <c r="L993" s="19" t="n">
        <v>0</v>
      </c>
      <c r="M993" s="19" t="n">
        <f aca="false">ABS(L993)</f>
        <v>0</v>
      </c>
      <c r="N993" s="18" t="str">
        <f aca="false">IF(L993=0,"Nil balance",IF(G993="AR file",IF(L993&gt;0,"Accounts Receivable","Customer Advances"),IF(L993&lt;0,"Accounts Payable","Supplier Advances")))</f>
        <v>Nil balance</v>
      </c>
      <c r="O993" s="18" t="str">
        <f aca="false">IF(L993=0,"Excluded",IF(Summary!$C$4="By ledger",IF(G993="AR file","Population 1","Population 2"),IF(L993&gt;0,"Population 1","Population 2")))</f>
        <v>Excluded</v>
      </c>
      <c r="P993" s="18" t="str">
        <f aca="false">IF(O993="Excluded","Excluded – nil closing balance",IF(M993&gt;Summary!$C$5,"Above Materiality","Below Materiality"))</f>
        <v>Excluded – nil closing balance</v>
      </c>
      <c r="Q993" s="20" t="str">
        <f aca="false">IF(P993="Below Materiality",T993,"")</f>
        <v/>
      </c>
      <c r="R993" s="21" t="str">
        <f aca="false">IF(P993="Above Materiality",COUNTIFS($O$2:$O$1092,O993,$P$2:$P$1092,"Above Materiality",$M$2:$M$1092,"&gt;"&amp;M993)+COUNTIFS($O$2:$O$1092,O993,$P$2:$P$1092,"Above Materiality",$M$2:$M$1092,M993,$A$2:$A$1092,"&lt;"&amp;A993)+1,"")</f>
        <v/>
      </c>
      <c r="S993" s="21" t="str">
        <f aca="false">IF(P993&lt;&gt;"Below Materiality","",IF(Summary!$C$9="Random",COUNTIFS($O$2:$O$1092,O993,$Q$2:$Q$1092,"&gt;"&amp;Q993)+1,COUNTIFS($O$2:$O$1092,O993,$P$2:$P$1092,"Below Materiality",$M$2:$M$1092,"&gt;"&amp;M993)+COUNTIFS($O$2:$O$1092,O993,$P$2:$P$1092,"Below Materiality",$M$2:$M$1092,M993,$A$2:$A$1092,"&lt;"&amp;A993)+1))</f>
        <v/>
      </c>
      <c r="T993" s="22"/>
      <c r="U993" s="21" t="str">
        <f aca="false">IF(R993="","",O993&amp;"|A|"&amp;R993)</f>
        <v/>
      </c>
      <c r="V993" s="21" t="str">
        <f aca="false">IF(S993="","",O993&amp;"|R|"&amp;S993)</f>
        <v/>
      </c>
    </row>
    <row r="994" customFormat="false" ht="15" hidden="false" customHeight="false" outlineLevel="0" collapsed="false">
      <c r="A994" s="18" t="n">
        <v>993</v>
      </c>
      <c r="B994" s="18"/>
      <c r="C994" s="18"/>
      <c r="D994" s="18"/>
      <c r="E994" s="18" t="s">
        <v>1871</v>
      </c>
      <c r="F994" s="18" t="s">
        <v>1872</v>
      </c>
      <c r="G994" s="18" t="s">
        <v>74</v>
      </c>
      <c r="H994" s="18" t="n">
        <v>803</v>
      </c>
      <c r="I994" s="19" t="n">
        <v>0</v>
      </c>
      <c r="J994" s="19" t="n">
        <v>1372</v>
      </c>
      <c r="K994" s="19" t="n">
        <v>1372</v>
      </c>
      <c r="L994" s="19" t="n">
        <v>0</v>
      </c>
      <c r="M994" s="19" t="n">
        <f aca="false">ABS(L994)</f>
        <v>0</v>
      </c>
      <c r="N994" s="18" t="str">
        <f aca="false">IF(L994=0,"Nil balance",IF(G994="AR file",IF(L994&gt;0,"Accounts Receivable","Customer Advances"),IF(L994&lt;0,"Accounts Payable","Supplier Advances")))</f>
        <v>Nil balance</v>
      </c>
      <c r="O994" s="18" t="str">
        <f aca="false">IF(L994=0,"Excluded",IF(Summary!$C$4="By ledger",IF(G994="AR file","Population 1","Population 2"),IF(L994&gt;0,"Population 1","Population 2")))</f>
        <v>Excluded</v>
      </c>
      <c r="P994" s="18" t="str">
        <f aca="false">IF(O994="Excluded","Excluded – nil closing balance",IF(M994&gt;Summary!$C$5,"Above Materiality","Below Materiality"))</f>
        <v>Excluded – nil closing balance</v>
      </c>
      <c r="Q994" s="20" t="str">
        <f aca="false">IF(P994="Below Materiality",T994,"")</f>
        <v/>
      </c>
      <c r="R994" s="21" t="str">
        <f aca="false">IF(P994="Above Materiality",COUNTIFS($O$2:$O$1092,O994,$P$2:$P$1092,"Above Materiality",$M$2:$M$1092,"&gt;"&amp;M994)+COUNTIFS($O$2:$O$1092,O994,$P$2:$P$1092,"Above Materiality",$M$2:$M$1092,M994,$A$2:$A$1092,"&lt;"&amp;A994)+1,"")</f>
        <v/>
      </c>
      <c r="S994" s="21" t="str">
        <f aca="false">IF(P994&lt;&gt;"Below Materiality","",IF(Summary!$C$9="Random",COUNTIFS($O$2:$O$1092,O994,$Q$2:$Q$1092,"&gt;"&amp;Q994)+1,COUNTIFS($O$2:$O$1092,O994,$P$2:$P$1092,"Below Materiality",$M$2:$M$1092,"&gt;"&amp;M994)+COUNTIFS($O$2:$O$1092,O994,$P$2:$P$1092,"Below Materiality",$M$2:$M$1092,M994,$A$2:$A$1092,"&lt;"&amp;A994)+1))</f>
        <v/>
      </c>
      <c r="T994" s="22"/>
      <c r="U994" s="21" t="str">
        <f aca="false">IF(R994="","",O994&amp;"|A|"&amp;R994)</f>
        <v/>
      </c>
      <c r="V994" s="21" t="str">
        <f aca="false">IF(S994="","",O994&amp;"|R|"&amp;S994)</f>
        <v/>
      </c>
    </row>
    <row r="995" customFormat="false" ht="15" hidden="false" customHeight="false" outlineLevel="0" collapsed="false">
      <c r="A995" s="18" t="n">
        <v>994</v>
      </c>
      <c r="B995" s="18"/>
      <c r="C995" s="18"/>
      <c r="D995" s="18"/>
      <c r="E995" s="18" t="s">
        <v>1873</v>
      </c>
      <c r="F995" s="18" t="s">
        <v>1874</v>
      </c>
      <c r="G995" s="18" t="s">
        <v>74</v>
      </c>
      <c r="H995" s="18" t="n">
        <v>804</v>
      </c>
      <c r="I995" s="19" t="n">
        <v>0</v>
      </c>
      <c r="J995" s="19" t="n">
        <v>5493.55</v>
      </c>
      <c r="K995" s="19" t="n">
        <v>5493.55</v>
      </c>
      <c r="L995" s="19" t="n">
        <v>0</v>
      </c>
      <c r="M995" s="19" t="n">
        <f aca="false">ABS(L995)</f>
        <v>0</v>
      </c>
      <c r="N995" s="18" t="str">
        <f aca="false">IF(L995=0,"Nil balance",IF(G995="AR file",IF(L995&gt;0,"Accounts Receivable","Customer Advances"),IF(L995&lt;0,"Accounts Payable","Supplier Advances")))</f>
        <v>Nil balance</v>
      </c>
      <c r="O995" s="18" t="str">
        <f aca="false">IF(L995=0,"Excluded",IF(Summary!$C$4="By ledger",IF(G995="AR file","Population 1","Population 2"),IF(L995&gt;0,"Population 1","Population 2")))</f>
        <v>Excluded</v>
      </c>
      <c r="P995" s="18" t="str">
        <f aca="false">IF(O995="Excluded","Excluded – nil closing balance",IF(M995&gt;Summary!$C$5,"Above Materiality","Below Materiality"))</f>
        <v>Excluded – nil closing balance</v>
      </c>
      <c r="Q995" s="20" t="str">
        <f aca="false">IF(P995="Below Materiality",T995,"")</f>
        <v/>
      </c>
      <c r="R995" s="21" t="str">
        <f aca="false">IF(P995="Above Materiality",COUNTIFS($O$2:$O$1092,O995,$P$2:$P$1092,"Above Materiality",$M$2:$M$1092,"&gt;"&amp;M995)+COUNTIFS($O$2:$O$1092,O995,$P$2:$P$1092,"Above Materiality",$M$2:$M$1092,M995,$A$2:$A$1092,"&lt;"&amp;A995)+1,"")</f>
        <v/>
      </c>
      <c r="S995" s="21" t="str">
        <f aca="false">IF(P995&lt;&gt;"Below Materiality","",IF(Summary!$C$9="Random",COUNTIFS($O$2:$O$1092,O995,$Q$2:$Q$1092,"&gt;"&amp;Q995)+1,COUNTIFS($O$2:$O$1092,O995,$P$2:$P$1092,"Below Materiality",$M$2:$M$1092,"&gt;"&amp;M995)+COUNTIFS($O$2:$O$1092,O995,$P$2:$P$1092,"Below Materiality",$M$2:$M$1092,M995,$A$2:$A$1092,"&lt;"&amp;A995)+1))</f>
        <v/>
      </c>
      <c r="T995" s="22"/>
      <c r="U995" s="21" t="str">
        <f aca="false">IF(R995="","",O995&amp;"|A|"&amp;R995)</f>
        <v/>
      </c>
      <c r="V995" s="21" t="str">
        <f aca="false">IF(S995="","",O995&amp;"|R|"&amp;S995)</f>
        <v/>
      </c>
    </row>
    <row r="996" customFormat="false" ht="15" hidden="false" customHeight="false" outlineLevel="0" collapsed="false">
      <c r="A996" s="18" t="n">
        <v>995</v>
      </c>
      <c r="B996" s="18"/>
      <c r="C996" s="18"/>
      <c r="D996" s="18"/>
      <c r="E996" s="18" t="s">
        <v>1875</v>
      </c>
      <c r="F996" s="18" t="s">
        <v>1002</v>
      </c>
      <c r="G996" s="18" t="s">
        <v>74</v>
      </c>
      <c r="H996" s="18" t="n">
        <v>805</v>
      </c>
      <c r="I996" s="19" t="n">
        <v>0</v>
      </c>
      <c r="J996" s="19" t="n">
        <v>362.25</v>
      </c>
      <c r="K996" s="19" t="n">
        <v>362.25</v>
      </c>
      <c r="L996" s="19" t="n">
        <v>0</v>
      </c>
      <c r="M996" s="19" t="n">
        <f aca="false">ABS(L996)</f>
        <v>0</v>
      </c>
      <c r="N996" s="18" t="str">
        <f aca="false">IF(L996=0,"Nil balance",IF(G996="AR file",IF(L996&gt;0,"Accounts Receivable","Customer Advances"),IF(L996&lt;0,"Accounts Payable","Supplier Advances")))</f>
        <v>Nil balance</v>
      </c>
      <c r="O996" s="18" t="str">
        <f aca="false">IF(L996=0,"Excluded",IF(Summary!$C$4="By ledger",IF(G996="AR file","Population 1","Population 2"),IF(L996&gt;0,"Population 1","Population 2")))</f>
        <v>Excluded</v>
      </c>
      <c r="P996" s="18" t="str">
        <f aca="false">IF(O996="Excluded","Excluded – nil closing balance",IF(M996&gt;Summary!$C$5,"Above Materiality","Below Materiality"))</f>
        <v>Excluded – nil closing balance</v>
      </c>
      <c r="Q996" s="20" t="str">
        <f aca="false">IF(P996="Below Materiality",T996,"")</f>
        <v/>
      </c>
      <c r="R996" s="21" t="str">
        <f aca="false">IF(P996="Above Materiality",COUNTIFS($O$2:$O$1092,O996,$P$2:$P$1092,"Above Materiality",$M$2:$M$1092,"&gt;"&amp;M996)+COUNTIFS($O$2:$O$1092,O996,$P$2:$P$1092,"Above Materiality",$M$2:$M$1092,M996,$A$2:$A$1092,"&lt;"&amp;A996)+1,"")</f>
        <v/>
      </c>
      <c r="S996" s="21" t="str">
        <f aca="false">IF(P996&lt;&gt;"Below Materiality","",IF(Summary!$C$9="Random",COUNTIFS($O$2:$O$1092,O996,$Q$2:$Q$1092,"&gt;"&amp;Q996)+1,COUNTIFS($O$2:$O$1092,O996,$P$2:$P$1092,"Below Materiality",$M$2:$M$1092,"&gt;"&amp;M996)+COUNTIFS($O$2:$O$1092,O996,$P$2:$P$1092,"Below Materiality",$M$2:$M$1092,M996,$A$2:$A$1092,"&lt;"&amp;A996)+1))</f>
        <v/>
      </c>
      <c r="T996" s="22"/>
      <c r="U996" s="21" t="str">
        <f aca="false">IF(R996="","",O996&amp;"|A|"&amp;R996)</f>
        <v/>
      </c>
      <c r="V996" s="21" t="str">
        <f aca="false">IF(S996="","",O996&amp;"|R|"&amp;S996)</f>
        <v/>
      </c>
    </row>
    <row r="997" customFormat="false" ht="15" hidden="false" customHeight="false" outlineLevel="0" collapsed="false">
      <c r="A997" s="18" t="n">
        <v>996</v>
      </c>
      <c r="B997" s="18"/>
      <c r="C997" s="18"/>
      <c r="D997" s="18"/>
      <c r="E997" s="18" t="s">
        <v>1876</v>
      </c>
      <c r="F997" s="18" t="s">
        <v>1413</v>
      </c>
      <c r="G997" s="18" t="s">
        <v>74</v>
      </c>
      <c r="H997" s="18" t="n">
        <v>806</v>
      </c>
      <c r="I997" s="19" t="n">
        <v>0</v>
      </c>
      <c r="J997" s="19" t="n">
        <v>130</v>
      </c>
      <c r="K997" s="19" t="n">
        <v>130</v>
      </c>
      <c r="L997" s="19" t="n">
        <v>0</v>
      </c>
      <c r="M997" s="19" t="n">
        <f aca="false">ABS(L997)</f>
        <v>0</v>
      </c>
      <c r="N997" s="18" t="str">
        <f aca="false">IF(L997=0,"Nil balance",IF(G997="AR file",IF(L997&gt;0,"Accounts Receivable","Customer Advances"),IF(L997&lt;0,"Accounts Payable","Supplier Advances")))</f>
        <v>Nil balance</v>
      </c>
      <c r="O997" s="18" t="str">
        <f aca="false">IF(L997=0,"Excluded",IF(Summary!$C$4="By ledger",IF(G997="AR file","Population 1","Population 2"),IF(L997&gt;0,"Population 1","Population 2")))</f>
        <v>Excluded</v>
      </c>
      <c r="P997" s="18" t="str">
        <f aca="false">IF(O997="Excluded","Excluded – nil closing balance",IF(M997&gt;Summary!$C$5,"Above Materiality","Below Materiality"))</f>
        <v>Excluded – nil closing balance</v>
      </c>
      <c r="Q997" s="20" t="str">
        <f aca="false">IF(P997="Below Materiality",T997,"")</f>
        <v/>
      </c>
      <c r="R997" s="21" t="str">
        <f aca="false">IF(P997="Above Materiality",COUNTIFS($O$2:$O$1092,O997,$P$2:$P$1092,"Above Materiality",$M$2:$M$1092,"&gt;"&amp;M997)+COUNTIFS($O$2:$O$1092,O997,$P$2:$P$1092,"Above Materiality",$M$2:$M$1092,M997,$A$2:$A$1092,"&lt;"&amp;A997)+1,"")</f>
        <v/>
      </c>
      <c r="S997" s="21" t="str">
        <f aca="false">IF(P997&lt;&gt;"Below Materiality","",IF(Summary!$C$9="Random",COUNTIFS($O$2:$O$1092,O997,$Q$2:$Q$1092,"&gt;"&amp;Q997)+1,COUNTIFS($O$2:$O$1092,O997,$P$2:$P$1092,"Below Materiality",$M$2:$M$1092,"&gt;"&amp;M997)+COUNTIFS($O$2:$O$1092,O997,$P$2:$P$1092,"Below Materiality",$M$2:$M$1092,M997,$A$2:$A$1092,"&lt;"&amp;A997)+1))</f>
        <v/>
      </c>
      <c r="T997" s="22"/>
      <c r="U997" s="21" t="str">
        <f aca="false">IF(R997="","",O997&amp;"|A|"&amp;R997)</f>
        <v/>
      </c>
      <c r="V997" s="21" t="str">
        <f aca="false">IF(S997="","",O997&amp;"|R|"&amp;S997)</f>
        <v/>
      </c>
    </row>
    <row r="998" customFormat="false" ht="15" hidden="false" customHeight="false" outlineLevel="0" collapsed="false">
      <c r="A998" s="18" t="n">
        <v>997</v>
      </c>
      <c r="B998" s="18"/>
      <c r="C998" s="18"/>
      <c r="D998" s="18"/>
      <c r="E998" s="18" t="s">
        <v>1877</v>
      </c>
      <c r="F998" s="18" t="s">
        <v>1878</v>
      </c>
      <c r="G998" s="18" t="s">
        <v>74</v>
      </c>
      <c r="H998" s="18" t="n">
        <v>807</v>
      </c>
      <c r="I998" s="19" t="n">
        <v>0</v>
      </c>
      <c r="J998" s="19" t="n">
        <v>12420</v>
      </c>
      <c r="K998" s="19" t="n">
        <v>12420</v>
      </c>
      <c r="L998" s="19" t="n">
        <v>0</v>
      </c>
      <c r="M998" s="19" t="n">
        <f aca="false">ABS(L998)</f>
        <v>0</v>
      </c>
      <c r="N998" s="18" t="str">
        <f aca="false">IF(L998=0,"Nil balance",IF(G998="AR file",IF(L998&gt;0,"Accounts Receivable","Customer Advances"),IF(L998&lt;0,"Accounts Payable","Supplier Advances")))</f>
        <v>Nil balance</v>
      </c>
      <c r="O998" s="18" t="str">
        <f aca="false">IF(L998=0,"Excluded",IF(Summary!$C$4="By ledger",IF(G998="AR file","Population 1","Population 2"),IF(L998&gt;0,"Population 1","Population 2")))</f>
        <v>Excluded</v>
      </c>
      <c r="P998" s="18" t="str">
        <f aca="false">IF(O998="Excluded","Excluded – nil closing balance",IF(M998&gt;Summary!$C$5,"Above Materiality","Below Materiality"))</f>
        <v>Excluded – nil closing balance</v>
      </c>
      <c r="Q998" s="20" t="str">
        <f aca="false">IF(P998="Below Materiality",T998,"")</f>
        <v/>
      </c>
      <c r="R998" s="21" t="str">
        <f aca="false">IF(P998="Above Materiality",COUNTIFS($O$2:$O$1092,O998,$P$2:$P$1092,"Above Materiality",$M$2:$M$1092,"&gt;"&amp;M998)+COUNTIFS($O$2:$O$1092,O998,$P$2:$P$1092,"Above Materiality",$M$2:$M$1092,M998,$A$2:$A$1092,"&lt;"&amp;A998)+1,"")</f>
        <v/>
      </c>
      <c r="S998" s="21" t="str">
        <f aca="false">IF(P998&lt;&gt;"Below Materiality","",IF(Summary!$C$9="Random",COUNTIFS($O$2:$O$1092,O998,$Q$2:$Q$1092,"&gt;"&amp;Q998)+1,COUNTIFS($O$2:$O$1092,O998,$P$2:$P$1092,"Below Materiality",$M$2:$M$1092,"&gt;"&amp;M998)+COUNTIFS($O$2:$O$1092,O998,$P$2:$P$1092,"Below Materiality",$M$2:$M$1092,M998,$A$2:$A$1092,"&lt;"&amp;A998)+1))</f>
        <v/>
      </c>
      <c r="T998" s="22"/>
      <c r="U998" s="21" t="str">
        <f aca="false">IF(R998="","",O998&amp;"|A|"&amp;R998)</f>
        <v/>
      </c>
      <c r="V998" s="21" t="str">
        <f aca="false">IF(S998="","",O998&amp;"|R|"&amp;S998)</f>
        <v/>
      </c>
    </row>
    <row r="999" customFormat="false" ht="15" hidden="false" customHeight="false" outlineLevel="0" collapsed="false">
      <c r="A999" s="18" t="n">
        <v>998</v>
      </c>
      <c r="B999" s="18"/>
      <c r="C999" s="18"/>
      <c r="D999" s="18"/>
      <c r="E999" s="18" t="s">
        <v>1879</v>
      </c>
      <c r="F999" s="18" t="s">
        <v>1880</v>
      </c>
      <c r="G999" s="18" t="s">
        <v>74</v>
      </c>
      <c r="H999" s="18" t="n">
        <v>808</v>
      </c>
      <c r="I999" s="19" t="n">
        <v>0</v>
      </c>
      <c r="J999" s="19" t="n">
        <v>1300</v>
      </c>
      <c r="K999" s="19" t="n">
        <v>1300</v>
      </c>
      <c r="L999" s="19" t="n">
        <v>0</v>
      </c>
      <c r="M999" s="19" t="n">
        <f aca="false">ABS(L999)</f>
        <v>0</v>
      </c>
      <c r="N999" s="18" t="str">
        <f aca="false">IF(L999=0,"Nil balance",IF(G999="AR file",IF(L999&gt;0,"Accounts Receivable","Customer Advances"),IF(L999&lt;0,"Accounts Payable","Supplier Advances")))</f>
        <v>Nil balance</v>
      </c>
      <c r="O999" s="18" t="str">
        <f aca="false">IF(L999=0,"Excluded",IF(Summary!$C$4="By ledger",IF(G999="AR file","Population 1","Population 2"),IF(L999&gt;0,"Population 1","Population 2")))</f>
        <v>Excluded</v>
      </c>
      <c r="P999" s="18" t="str">
        <f aca="false">IF(O999="Excluded","Excluded – nil closing balance",IF(M999&gt;Summary!$C$5,"Above Materiality","Below Materiality"))</f>
        <v>Excluded – nil closing balance</v>
      </c>
      <c r="Q999" s="20" t="str">
        <f aca="false">IF(P999="Below Materiality",T999,"")</f>
        <v/>
      </c>
      <c r="R999" s="21" t="str">
        <f aca="false">IF(P999="Above Materiality",COUNTIFS($O$2:$O$1092,O999,$P$2:$P$1092,"Above Materiality",$M$2:$M$1092,"&gt;"&amp;M999)+COUNTIFS($O$2:$O$1092,O999,$P$2:$P$1092,"Above Materiality",$M$2:$M$1092,M999,$A$2:$A$1092,"&lt;"&amp;A999)+1,"")</f>
        <v/>
      </c>
      <c r="S999" s="21" t="str">
        <f aca="false">IF(P999&lt;&gt;"Below Materiality","",IF(Summary!$C$9="Random",COUNTIFS($O$2:$O$1092,O999,$Q$2:$Q$1092,"&gt;"&amp;Q999)+1,COUNTIFS($O$2:$O$1092,O999,$P$2:$P$1092,"Below Materiality",$M$2:$M$1092,"&gt;"&amp;M999)+COUNTIFS($O$2:$O$1092,O999,$P$2:$P$1092,"Below Materiality",$M$2:$M$1092,M999,$A$2:$A$1092,"&lt;"&amp;A999)+1))</f>
        <v/>
      </c>
      <c r="T999" s="22"/>
      <c r="U999" s="21" t="str">
        <f aca="false">IF(R999="","",O999&amp;"|A|"&amp;R999)</f>
        <v/>
      </c>
      <c r="V999" s="21" t="str">
        <f aca="false">IF(S999="","",O999&amp;"|R|"&amp;S999)</f>
        <v/>
      </c>
    </row>
    <row r="1000" customFormat="false" ht="15" hidden="false" customHeight="false" outlineLevel="0" collapsed="false">
      <c r="A1000" s="18" t="n">
        <v>999</v>
      </c>
      <c r="B1000" s="18"/>
      <c r="C1000" s="18"/>
      <c r="D1000" s="18"/>
      <c r="E1000" s="18" t="s">
        <v>1881</v>
      </c>
      <c r="F1000" s="18" t="s">
        <v>455</v>
      </c>
      <c r="G1000" s="18" t="s">
        <v>74</v>
      </c>
      <c r="H1000" s="18" t="n">
        <v>809</v>
      </c>
      <c r="I1000" s="19" t="n">
        <v>0</v>
      </c>
      <c r="J1000" s="19" t="n">
        <v>161</v>
      </c>
      <c r="K1000" s="19" t="n">
        <v>161</v>
      </c>
      <c r="L1000" s="19" t="n">
        <v>0</v>
      </c>
      <c r="M1000" s="19" t="n">
        <f aca="false">ABS(L1000)</f>
        <v>0</v>
      </c>
      <c r="N1000" s="18" t="str">
        <f aca="false">IF(L1000=0,"Nil balance",IF(G1000="AR file",IF(L1000&gt;0,"Accounts Receivable","Customer Advances"),IF(L1000&lt;0,"Accounts Payable","Supplier Advances")))</f>
        <v>Nil balance</v>
      </c>
      <c r="O1000" s="18" t="str">
        <f aca="false">IF(L1000=0,"Excluded",IF(Summary!$C$4="By ledger",IF(G1000="AR file","Population 1","Population 2"),IF(L1000&gt;0,"Population 1","Population 2")))</f>
        <v>Excluded</v>
      </c>
      <c r="P1000" s="18" t="str">
        <f aca="false">IF(O1000="Excluded","Excluded – nil closing balance",IF(M1000&gt;Summary!$C$5,"Above Materiality","Below Materiality"))</f>
        <v>Excluded – nil closing balance</v>
      </c>
      <c r="Q1000" s="20" t="str">
        <f aca="false">IF(P1000="Below Materiality",T1000,"")</f>
        <v/>
      </c>
      <c r="R1000" s="21" t="str">
        <f aca="false">IF(P1000="Above Materiality",COUNTIFS($O$2:$O$1092,O1000,$P$2:$P$1092,"Above Materiality",$M$2:$M$1092,"&gt;"&amp;M1000)+COUNTIFS($O$2:$O$1092,O1000,$P$2:$P$1092,"Above Materiality",$M$2:$M$1092,M1000,$A$2:$A$1092,"&lt;"&amp;A1000)+1,"")</f>
        <v/>
      </c>
      <c r="S1000" s="21" t="str">
        <f aca="false">IF(P1000&lt;&gt;"Below Materiality","",IF(Summary!$C$9="Random",COUNTIFS($O$2:$O$1092,O1000,$Q$2:$Q$1092,"&gt;"&amp;Q1000)+1,COUNTIFS($O$2:$O$1092,O1000,$P$2:$P$1092,"Below Materiality",$M$2:$M$1092,"&gt;"&amp;M1000)+COUNTIFS($O$2:$O$1092,O1000,$P$2:$P$1092,"Below Materiality",$M$2:$M$1092,M1000,$A$2:$A$1092,"&lt;"&amp;A1000)+1))</f>
        <v/>
      </c>
      <c r="T1000" s="22"/>
      <c r="U1000" s="21" t="str">
        <f aca="false">IF(R1000="","",O1000&amp;"|A|"&amp;R1000)</f>
        <v/>
      </c>
      <c r="V1000" s="21" t="str">
        <f aca="false">IF(S1000="","",O1000&amp;"|R|"&amp;S1000)</f>
        <v/>
      </c>
    </row>
    <row r="1001" customFormat="false" ht="15" hidden="false" customHeight="false" outlineLevel="0" collapsed="false">
      <c r="A1001" s="18" t="n">
        <v>1000</v>
      </c>
      <c r="B1001" s="18"/>
      <c r="C1001" s="18"/>
      <c r="D1001" s="18"/>
      <c r="E1001" s="18" t="s">
        <v>1882</v>
      </c>
      <c r="F1001" s="18" t="s">
        <v>1883</v>
      </c>
      <c r="G1001" s="18" t="s">
        <v>74</v>
      </c>
      <c r="H1001" s="18" t="n">
        <v>810</v>
      </c>
      <c r="I1001" s="19" t="n">
        <v>0</v>
      </c>
      <c r="J1001" s="19" t="n">
        <v>1046.5</v>
      </c>
      <c r="K1001" s="19" t="n">
        <v>1046.5</v>
      </c>
      <c r="L1001" s="19" t="n">
        <v>0</v>
      </c>
      <c r="M1001" s="19" t="n">
        <f aca="false">ABS(L1001)</f>
        <v>0</v>
      </c>
      <c r="N1001" s="18" t="str">
        <f aca="false">IF(L1001=0,"Nil balance",IF(G1001="AR file",IF(L1001&gt;0,"Accounts Receivable","Customer Advances"),IF(L1001&lt;0,"Accounts Payable","Supplier Advances")))</f>
        <v>Nil balance</v>
      </c>
      <c r="O1001" s="18" t="str">
        <f aca="false">IF(L1001=0,"Excluded",IF(Summary!$C$4="By ledger",IF(G1001="AR file","Population 1","Population 2"),IF(L1001&gt;0,"Population 1","Population 2")))</f>
        <v>Excluded</v>
      </c>
      <c r="P1001" s="18" t="str">
        <f aca="false">IF(O1001="Excluded","Excluded – nil closing balance",IF(M1001&gt;Summary!$C$5,"Above Materiality","Below Materiality"))</f>
        <v>Excluded – nil closing balance</v>
      </c>
      <c r="Q1001" s="20" t="str">
        <f aca="false">IF(P1001="Below Materiality",T1001,"")</f>
        <v/>
      </c>
      <c r="R1001" s="21" t="str">
        <f aca="false">IF(P1001="Above Materiality",COUNTIFS($O$2:$O$1092,O1001,$P$2:$P$1092,"Above Materiality",$M$2:$M$1092,"&gt;"&amp;M1001)+COUNTIFS($O$2:$O$1092,O1001,$P$2:$P$1092,"Above Materiality",$M$2:$M$1092,M1001,$A$2:$A$1092,"&lt;"&amp;A1001)+1,"")</f>
        <v/>
      </c>
      <c r="S1001" s="21" t="str">
        <f aca="false">IF(P1001&lt;&gt;"Below Materiality","",IF(Summary!$C$9="Random",COUNTIFS($O$2:$O$1092,O1001,$Q$2:$Q$1092,"&gt;"&amp;Q1001)+1,COUNTIFS($O$2:$O$1092,O1001,$P$2:$P$1092,"Below Materiality",$M$2:$M$1092,"&gt;"&amp;M1001)+COUNTIFS($O$2:$O$1092,O1001,$P$2:$P$1092,"Below Materiality",$M$2:$M$1092,M1001,$A$2:$A$1092,"&lt;"&amp;A1001)+1))</f>
        <v/>
      </c>
      <c r="T1001" s="22"/>
      <c r="U1001" s="21" t="str">
        <f aca="false">IF(R1001="","",O1001&amp;"|A|"&amp;R1001)</f>
        <v/>
      </c>
      <c r="V1001" s="21" t="str">
        <f aca="false">IF(S1001="","",O1001&amp;"|R|"&amp;S1001)</f>
        <v/>
      </c>
    </row>
    <row r="1002" customFormat="false" ht="15" hidden="false" customHeight="false" outlineLevel="0" collapsed="false">
      <c r="A1002" s="18" t="n">
        <v>1001</v>
      </c>
      <c r="B1002" s="18"/>
      <c r="C1002" s="18"/>
      <c r="D1002" s="18"/>
      <c r="E1002" s="18" t="s">
        <v>1884</v>
      </c>
      <c r="F1002" s="18" t="s">
        <v>1885</v>
      </c>
      <c r="G1002" s="18" t="s">
        <v>74</v>
      </c>
      <c r="H1002" s="18" t="n">
        <v>811</v>
      </c>
      <c r="I1002" s="19" t="n">
        <v>0</v>
      </c>
      <c r="J1002" s="19" t="n">
        <v>905.6</v>
      </c>
      <c r="K1002" s="19" t="n">
        <v>905.6</v>
      </c>
      <c r="L1002" s="19" t="n">
        <v>0</v>
      </c>
      <c r="M1002" s="19" t="n">
        <f aca="false">ABS(L1002)</f>
        <v>0</v>
      </c>
      <c r="N1002" s="18" t="str">
        <f aca="false">IF(L1002=0,"Nil balance",IF(G1002="AR file",IF(L1002&gt;0,"Accounts Receivable","Customer Advances"),IF(L1002&lt;0,"Accounts Payable","Supplier Advances")))</f>
        <v>Nil balance</v>
      </c>
      <c r="O1002" s="18" t="str">
        <f aca="false">IF(L1002=0,"Excluded",IF(Summary!$C$4="By ledger",IF(G1002="AR file","Population 1","Population 2"),IF(L1002&gt;0,"Population 1","Population 2")))</f>
        <v>Excluded</v>
      </c>
      <c r="P1002" s="18" t="str">
        <f aca="false">IF(O1002="Excluded","Excluded – nil closing balance",IF(M1002&gt;Summary!$C$5,"Above Materiality","Below Materiality"))</f>
        <v>Excluded – nil closing balance</v>
      </c>
      <c r="Q1002" s="20" t="str">
        <f aca="false">IF(P1002="Below Materiality",T1002,"")</f>
        <v/>
      </c>
      <c r="R1002" s="21" t="str">
        <f aca="false">IF(P1002="Above Materiality",COUNTIFS($O$2:$O$1092,O1002,$P$2:$P$1092,"Above Materiality",$M$2:$M$1092,"&gt;"&amp;M1002)+COUNTIFS($O$2:$O$1092,O1002,$P$2:$P$1092,"Above Materiality",$M$2:$M$1092,M1002,$A$2:$A$1092,"&lt;"&amp;A1002)+1,"")</f>
        <v/>
      </c>
      <c r="S1002" s="21" t="str">
        <f aca="false">IF(P1002&lt;&gt;"Below Materiality","",IF(Summary!$C$9="Random",COUNTIFS($O$2:$O$1092,O1002,$Q$2:$Q$1092,"&gt;"&amp;Q1002)+1,COUNTIFS($O$2:$O$1092,O1002,$P$2:$P$1092,"Below Materiality",$M$2:$M$1092,"&gt;"&amp;M1002)+COUNTIFS($O$2:$O$1092,O1002,$P$2:$P$1092,"Below Materiality",$M$2:$M$1092,M1002,$A$2:$A$1092,"&lt;"&amp;A1002)+1))</f>
        <v/>
      </c>
      <c r="T1002" s="22"/>
      <c r="U1002" s="21" t="str">
        <f aca="false">IF(R1002="","",O1002&amp;"|A|"&amp;R1002)</f>
        <v/>
      </c>
      <c r="V1002" s="21" t="str">
        <f aca="false">IF(S1002="","",O1002&amp;"|R|"&amp;S1002)</f>
        <v/>
      </c>
    </row>
    <row r="1003" customFormat="false" ht="15" hidden="false" customHeight="false" outlineLevel="0" collapsed="false">
      <c r="A1003" s="18" t="n">
        <v>1002</v>
      </c>
      <c r="B1003" s="18"/>
      <c r="C1003" s="18"/>
      <c r="D1003" s="18"/>
      <c r="E1003" s="18" t="s">
        <v>1886</v>
      </c>
      <c r="F1003" s="18" t="s">
        <v>1203</v>
      </c>
      <c r="G1003" s="18" t="s">
        <v>74</v>
      </c>
      <c r="H1003" s="18" t="n">
        <v>812</v>
      </c>
      <c r="I1003" s="19" t="n">
        <v>0</v>
      </c>
      <c r="J1003" s="19" t="n">
        <v>320</v>
      </c>
      <c r="K1003" s="19" t="n">
        <v>320</v>
      </c>
      <c r="L1003" s="19" t="n">
        <v>0</v>
      </c>
      <c r="M1003" s="19" t="n">
        <f aca="false">ABS(L1003)</f>
        <v>0</v>
      </c>
      <c r="N1003" s="18" t="str">
        <f aca="false">IF(L1003=0,"Nil balance",IF(G1003="AR file",IF(L1003&gt;0,"Accounts Receivable","Customer Advances"),IF(L1003&lt;0,"Accounts Payable","Supplier Advances")))</f>
        <v>Nil balance</v>
      </c>
      <c r="O1003" s="18" t="str">
        <f aca="false">IF(L1003=0,"Excluded",IF(Summary!$C$4="By ledger",IF(G1003="AR file","Population 1","Population 2"),IF(L1003&gt;0,"Population 1","Population 2")))</f>
        <v>Excluded</v>
      </c>
      <c r="P1003" s="18" t="str">
        <f aca="false">IF(O1003="Excluded","Excluded – nil closing balance",IF(M1003&gt;Summary!$C$5,"Above Materiality","Below Materiality"))</f>
        <v>Excluded – nil closing balance</v>
      </c>
      <c r="Q1003" s="20" t="str">
        <f aca="false">IF(P1003="Below Materiality",T1003,"")</f>
        <v/>
      </c>
      <c r="R1003" s="21" t="str">
        <f aca="false">IF(P1003="Above Materiality",COUNTIFS($O$2:$O$1092,O1003,$P$2:$P$1092,"Above Materiality",$M$2:$M$1092,"&gt;"&amp;M1003)+COUNTIFS($O$2:$O$1092,O1003,$P$2:$P$1092,"Above Materiality",$M$2:$M$1092,M1003,$A$2:$A$1092,"&lt;"&amp;A1003)+1,"")</f>
        <v/>
      </c>
      <c r="S1003" s="21" t="str">
        <f aca="false">IF(P1003&lt;&gt;"Below Materiality","",IF(Summary!$C$9="Random",COUNTIFS($O$2:$O$1092,O1003,$Q$2:$Q$1092,"&gt;"&amp;Q1003)+1,COUNTIFS($O$2:$O$1092,O1003,$P$2:$P$1092,"Below Materiality",$M$2:$M$1092,"&gt;"&amp;M1003)+COUNTIFS($O$2:$O$1092,O1003,$P$2:$P$1092,"Below Materiality",$M$2:$M$1092,M1003,$A$2:$A$1092,"&lt;"&amp;A1003)+1))</f>
        <v/>
      </c>
      <c r="T1003" s="22"/>
      <c r="U1003" s="21" t="str">
        <f aca="false">IF(R1003="","",O1003&amp;"|A|"&amp;R1003)</f>
        <v/>
      </c>
      <c r="V1003" s="21" t="str">
        <f aca="false">IF(S1003="","",O1003&amp;"|R|"&amp;S1003)</f>
        <v/>
      </c>
    </row>
    <row r="1004" customFormat="false" ht="15" hidden="false" customHeight="false" outlineLevel="0" collapsed="false">
      <c r="A1004" s="18" t="n">
        <v>1003</v>
      </c>
      <c r="B1004" s="18"/>
      <c r="C1004" s="18"/>
      <c r="D1004" s="18"/>
      <c r="E1004" s="18" t="s">
        <v>1887</v>
      </c>
      <c r="F1004" s="18" t="s">
        <v>474</v>
      </c>
      <c r="G1004" s="18" t="s">
        <v>74</v>
      </c>
      <c r="H1004" s="18" t="n">
        <v>813</v>
      </c>
      <c r="I1004" s="19" t="n">
        <v>0</v>
      </c>
      <c r="J1004" s="19" t="n">
        <v>115</v>
      </c>
      <c r="K1004" s="19" t="n">
        <v>115</v>
      </c>
      <c r="L1004" s="19" t="n">
        <v>0</v>
      </c>
      <c r="M1004" s="19" t="n">
        <f aca="false">ABS(L1004)</f>
        <v>0</v>
      </c>
      <c r="N1004" s="18" t="str">
        <f aca="false">IF(L1004=0,"Nil balance",IF(G1004="AR file",IF(L1004&gt;0,"Accounts Receivable","Customer Advances"),IF(L1004&lt;0,"Accounts Payable","Supplier Advances")))</f>
        <v>Nil balance</v>
      </c>
      <c r="O1004" s="18" t="str">
        <f aca="false">IF(L1004=0,"Excluded",IF(Summary!$C$4="By ledger",IF(G1004="AR file","Population 1","Population 2"),IF(L1004&gt;0,"Population 1","Population 2")))</f>
        <v>Excluded</v>
      </c>
      <c r="P1004" s="18" t="str">
        <f aca="false">IF(O1004="Excluded","Excluded – nil closing balance",IF(M1004&gt;Summary!$C$5,"Above Materiality","Below Materiality"))</f>
        <v>Excluded – nil closing balance</v>
      </c>
      <c r="Q1004" s="20" t="str">
        <f aca="false">IF(P1004="Below Materiality",T1004,"")</f>
        <v/>
      </c>
      <c r="R1004" s="21" t="str">
        <f aca="false">IF(P1004="Above Materiality",COUNTIFS($O$2:$O$1092,O1004,$P$2:$P$1092,"Above Materiality",$M$2:$M$1092,"&gt;"&amp;M1004)+COUNTIFS($O$2:$O$1092,O1004,$P$2:$P$1092,"Above Materiality",$M$2:$M$1092,M1004,$A$2:$A$1092,"&lt;"&amp;A1004)+1,"")</f>
        <v/>
      </c>
      <c r="S1004" s="21" t="str">
        <f aca="false">IF(P1004&lt;&gt;"Below Materiality","",IF(Summary!$C$9="Random",COUNTIFS($O$2:$O$1092,O1004,$Q$2:$Q$1092,"&gt;"&amp;Q1004)+1,COUNTIFS($O$2:$O$1092,O1004,$P$2:$P$1092,"Below Materiality",$M$2:$M$1092,"&gt;"&amp;M1004)+COUNTIFS($O$2:$O$1092,O1004,$P$2:$P$1092,"Below Materiality",$M$2:$M$1092,M1004,$A$2:$A$1092,"&lt;"&amp;A1004)+1))</f>
        <v/>
      </c>
      <c r="T1004" s="22"/>
      <c r="U1004" s="21" t="str">
        <f aca="false">IF(R1004="","",O1004&amp;"|A|"&amp;R1004)</f>
        <v/>
      </c>
      <c r="V1004" s="21" t="str">
        <f aca="false">IF(S1004="","",O1004&amp;"|R|"&amp;S1004)</f>
        <v/>
      </c>
    </row>
    <row r="1005" customFormat="false" ht="15" hidden="false" customHeight="false" outlineLevel="0" collapsed="false">
      <c r="A1005" s="18" t="n">
        <v>1004</v>
      </c>
      <c r="B1005" s="18"/>
      <c r="C1005" s="18"/>
      <c r="D1005" s="18"/>
      <c r="E1005" s="18" t="s">
        <v>1888</v>
      </c>
      <c r="F1005" s="18" t="s">
        <v>490</v>
      </c>
      <c r="G1005" s="18" t="s">
        <v>74</v>
      </c>
      <c r="H1005" s="18" t="n">
        <v>814</v>
      </c>
      <c r="I1005" s="19" t="n">
        <v>0</v>
      </c>
      <c r="J1005" s="19" t="n">
        <v>125</v>
      </c>
      <c r="K1005" s="19" t="n">
        <v>125</v>
      </c>
      <c r="L1005" s="19" t="n">
        <v>0</v>
      </c>
      <c r="M1005" s="19" t="n">
        <f aca="false">ABS(L1005)</f>
        <v>0</v>
      </c>
      <c r="N1005" s="18" t="str">
        <f aca="false">IF(L1005=0,"Nil balance",IF(G1005="AR file",IF(L1005&gt;0,"Accounts Receivable","Customer Advances"),IF(L1005&lt;0,"Accounts Payable","Supplier Advances")))</f>
        <v>Nil balance</v>
      </c>
      <c r="O1005" s="18" t="str">
        <f aca="false">IF(L1005=0,"Excluded",IF(Summary!$C$4="By ledger",IF(G1005="AR file","Population 1","Population 2"),IF(L1005&gt;0,"Population 1","Population 2")))</f>
        <v>Excluded</v>
      </c>
      <c r="P1005" s="18" t="str">
        <f aca="false">IF(O1005="Excluded","Excluded – nil closing balance",IF(M1005&gt;Summary!$C$5,"Above Materiality","Below Materiality"))</f>
        <v>Excluded – nil closing balance</v>
      </c>
      <c r="Q1005" s="20" t="str">
        <f aca="false">IF(P1005="Below Materiality",T1005,"")</f>
        <v/>
      </c>
      <c r="R1005" s="21" t="str">
        <f aca="false">IF(P1005="Above Materiality",COUNTIFS($O$2:$O$1092,O1005,$P$2:$P$1092,"Above Materiality",$M$2:$M$1092,"&gt;"&amp;M1005)+COUNTIFS($O$2:$O$1092,O1005,$P$2:$P$1092,"Above Materiality",$M$2:$M$1092,M1005,$A$2:$A$1092,"&lt;"&amp;A1005)+1,"")</f>
        <v/>
      </c>
      <c r="S1005" s="21" t="str">
        <f aca="false">IF(P1005&lt;&gt;"Below Materiality","",IF(Summary!$C$9="Random",COUNTIFS($O$2:$O$1092,O1005,$Q$2:$Q$1092,"&gt;"&amp;Q1005)+1,COUNTIFS($O$2:$O$1092,O1005,$P$2:$P$1092,"Below Materiality",$M$2:$M$1092,"&gt;"&amp;M1005)+COUNTIFS($O$2:$O$1092,O1005,$P$2:$P$1092,"Below Materiality",$M$2:$M$1092,M1005,$A$2:$A$1092,"&lt;"&amp;A1005)+1))</f>
        <v/>
      </c>
      <c r="T1005" s="22"/>
      <c r="U1005" s="21" t="str">
        <f aca="false">IF(R1005="","",O1005&amp;"|A|"&amp;R1005)</f>
        <v/>
      </c>
      <c r="V1005" s="21" t="str">
        <f aca="false">IF(S1005="","",O1005&amp;"|R|"&amp;S1005)</f>
        <v/>
      </c>
    </row>
    <row r="1006" customFormat="false" ht="15" hidden="false" customHeight="false" outlineLevel="0" collapsed="false">
      <c r="A1006" s="18" t="n">
        <v>1005</v>
      </c>
      <c r="B1006" s="18"/>
      <c r="C1006" s="18"/>
      <c r="D1006" s="18"/>
      <c r="E1006" s="18" t="s">
        <v>1889</v>
      </c>
      <c r="F1006" s="18" t="s">
        <v>1401</v>
      </c>
      <c r="G1006" s="18" t="s">
        <v>74</v>
      </c>
      <c r="H1006" s="18" t="n">
        <v>815</v>
      </c>
      <c r="I1006" s="19" t="n">
        <v>0</v>
      </c>
      <c r="J1006" s="19" t="n">
        <v>1322.5</v>
      </c>
      <c r="K1006" s="19" t="n">
        <v>1322.5</v>
      </c>
      <c r="L1006" s="19" t="n">
        <v>0</v>
      </c>
      <c r="M1006" s="19" t="n">
        <f aca="false">ABS(L1006)</f>
        <v>0</v>
      </c>
      <c r="N1006" s="18" t="str">
        <f aca="false">IF(L1006=0,"Nil balance",IF(G1006="AR file",IF(L1006&gt;0,"Accounts Receivable","Customer Advances"),IF(L1006&lt;0,"Accounts Payable","Supplier Advances")))</f>
        <v>Nil balance</v>
      </c>
      <c r="O1006" s="18" t="str">
        <f aca="false">IF(L1006=0,"Excluded",IF(Summary!$C$4="By ledger",IF(G1006="AR file","Population 1","Population 2"),IF(L1006&gt;0,"Population 1","Population 2")))</f>
        <v>Excluded</v>
      </c>
      <c r="P1006" s="18" t="str">
        <f aca="false">IF(O1006="Excluded","Excluded – nil closing balance",IF(M1006&gt;Summary!$C$5,"Above Materiality","Below Materiality"))</f>
        <v>Excluded – nil closing balance</v>
      </c>
      <c r="Q1006" s="20" t="str">
        <f aca="false">IF(P1006="Below Materiality",T1006,"")</f>
        <v/>
      </c>
      <c r="R1006" s="21" t="str">
        <f aca="false">IF(P1006="Above Materiality",COUNTIFS($O$2:$O$1092,O1006,$P$2:$P$1092,"Above Materiality",$M$2:$M$1092,"&gt;"&amp;M1006)+COUNTIFS($O$2:$O$1092,O1006,$P$2:$P$1092,"Above Materiality",$M$2:$M$1092,M1006,$A$2:$A$1092,"&lt;"&amp;A1006)+1,"")</f>
        <v/>
      </c>
      <c r="S1006" s="21" t="str">
        <f aca="false">IF(P1006&lt;&gt;"Below Materiality","",IF(Summary!$C$9="Random",COUNTIFS($O$2:$O$1092,O1006,$Q$2:$Q$1092,"&gt;"&amp;Q1006)+1,COUNTIFS($O$2:$O$1092,O1006,$P$2:$P$1092,"Below Materiality",$M$2:$M$1092,"&gt;"&amp;M1006)+COUNTIFS($O$2:$O$1092,O1006,$P$2:$P$1092,"Below Materiality",$M$2:$M$1092,M1006,$A$2:$A$1092,"&lt;"&amp;A1006)+1))</f>
        <v/>
      </c>
      <c r="T1006" s="22"/>
      <c r="U1006" s="21" t="str">
        <f aca="false">IF(R1006="","",O1006&amp;"|A|"&amp;R1006)</f>
        <v/>
      </c>
      <c r="V1006" s="21" t="str">
        <f aca="false">IF(S1006="","",O1006&amp;"|R|"&amp;S1006)</f>
        <v/>
      </c>
    </row>
    <row r="1007" customFormat="false" ht="15" hidden="false" customHeight="false" outlineLevel="0" collapsed="false">
      <c r="A1007" s="18" t="n">
        <v>1006</v>
      </c>
      <c r="B1007" s="18"/>
      <c r="C1007" s="18"/>
      <c r="D1007" s="18"/>
      <c r="E1007" s="18" t="s">
        <v>1890</v>
      </c>
      <c r="F1007" s="18" t="s">
        <v>1891</v>
      </c>
      <c r="G1007" s="18" t="s">
        <v>74</v>
      </c>
      <c r="H1007" s="18" t="n">
        <v>816</v>
      </c>
      <c r="I1007" s="19" t="n">
        <v>0</v>
      </c>
      <c r="J1007" s="19" t="n">
        <v>15440</v>
      </c>
      <c r="K1007" s="19" t="n">
        <v>15440</v>
      </c>
      <c r="L1007" s="19" t="n">
        <v>0</v>
      </c>
      <c r="M1007" s="19" t="n">
        <f aca="false">ABS(L1007)</f>
        <v>0</v>
      </c>
      <c r="N1007" s="18" t="str">
        <f aca="false">IF(L1007=0,"Nil balance",IF(G1007="AR file",IF(L1007&gt;0,"Accounts Receivable","Customer Advances"),IF(L1007&lt;0,"Accounts Payable","Supplier Advances")))</f>
        <v>Nil balance</v>
      </c>
      <c r="O1007" s="18" t="str">
        <f aca="false">IF(L1007=0,"Excluded",IF(Summary!$C$4="By ledger",IF(G1007="AR file","Population 1","Population 2"),IF(L1007&gt;0,"Population 1","Population 2")))</f>
        <v>Excluded</v>
      </c>
      <c r="P1007" s="18" t="str">
        <f aca="false">IF(O1007="Excluded","Excluded – nil closing balance",IF(M1007&gt;Summary!$C$5,"Above Materiality","Below Materiality"))</f>
        <v>Excluded – nil closing balance</v>
      </c>
      <c r="Q1007" s="20" t="str">
        <f aca="false">IF(P1007="Below Materiality",T1007,"")</f>
        <v/>
      </c>
      <c r="R1007" s="21" t="str">
        <f aca="false">IF(P1007="Above Materiality",COUNTIFS($O$2:$O$1092,O1007,$P$2:$P$1092,"Above Materiality",$M$2:$M$1092,"&gt;"&amp;M1007)+COUNTIFS($O$2:$O$1092,O1007,$P$2:$P$1092,"Above Materiality",$M$2:$M$1092,M1007,$A$2:$A$1092,"&lt;"&amp;A1007)+1,"")</f>
        <v/>
      </c>
      <c r="S1007" s="21" t="str">
        <f aca="false">IF(P1007&lt;&gt;"Below Materiality","",IF(Summary!$C$9="Random",COUNTIFS($O$2:$O$1092,O1007,$Q$2:$Q$1092,"&gt;"&amp;Q1007)+1,COUNTIFS($O$2:$O$1092,O1007,$P$2:$P$1092,"Below Materiality",$M$2:$M$1092,"&gt;"&amp;M1007)+COUNTIFS($O$2:$O$1092,O1007,$P$2:$P$1092,"Below Materiality",$M$2:$M$1092,M1007,$A$2:$A$1092,"&lt;"&amp;A1007)+1))</f>
        <v/>
      </c>
      <c r="T1007" s="22"/>
      <c r="U1007" s="21" t="str">
        <f aca="false">IF(R1007="","",O1007&amp;"|A|"&amp;R1007)</f>
        <v/>
      </c>
      <c r="V1007" s="21" t="str">
        <f aca="false">IF(S1007="","",O1007&amp;"|R|"&amp;S1007)</f>
        <v/>
      </c>
    </row>
    <row r="1008" customFormat="false" ht="15" hidden="false" customHeight="false" outlineLevel="0" collapsed="false">
      <c r="A1008" s="18" t="n">
        <v>1007</v>
      </c>
      <c r="B1008" s="18"/>
      <c r="C1008" s="18"/>
      <c r="D1008" s="18"/>
      <c r="E1008" s="18" t="s">
        <v>1892</v>
      </c>
      <c r="F1008" s="18" t="s">
        <v>997</v>
      </c>
      <c r="G1008" s="18" t="s">
        <v>74</v>
      </c>
      <c r="H1008" s="18" t="n">
        <v>817</v>
      </c>
      <c r="I1008" s="19" t="n">
        <v>0</v>
      </c>
      <c r="J1008" s="19" t="n">
        <v>2000</v>
      </c>
      <c r="K1008" s="19" t="n">
        <v>2000</v>
      </c>
      <c r="L1008" s="19" t="n">
        <v>0</v>
      </c>
      <c r="M1008" s="19" t="n">
        <f aca="false">ABS(L1008)</f>
        <v>0</v>
      </c>
      <c r="N1008" s="18" t="str">
        <f aca="false">IF(L1008=0,"Nil balance",IF(G1008="AR file",IF(L1008&gt;0,"Accounts Receivable","Customer Advances"),IF(L1008&lt;0,"Accounts Payable","Supplier Advances")))</f>
        <v>Nil balance</v>
      </c>
      <c r="O1008" s="18" t="str">
        <f aca="false">IF(L1008=0,"Excluded",IF(Summary!$C$4="By ledger",IF(G1008="AR file","Population 1","Population 2"),IF(L1008&gt;0,"Population 1","Population 2")))</f>
        <v>Excluded</v>
      </c>
      <c r="P1008" s="18" t="str">
        <f aca="false">IF(O1008="Excluded","Excluded – nil closing balance",IF(M1008&gt;Summary!$C$5,"Above Materiality","Below Materiality"))</f>
        <v>Excluded – nil closing balance</v>
      </c>
      <c r="Q1008" s="20" t="str">
        <f aca="false">IF(P1008="Below Materiality",T1008,"")</f>
        <v/>
      </c>
      <c r="R1008" s="21" t="str">
        <f aca="false">IF(P1008="Above Materiality",COUNTIFS($O$2:$O$1092,O1008,$P$2:$P$1092,"Above Materiality",$M$2:$M$1092,"&gt;"&amp;M1008)+COUNTIFS($O$2:$O$1092,O1008,$P$2:$P$1092,"Above Materiality",$M$2:$M$1092,M1008,$A$2:$A$1092,"&lt;"&amp;A1008)+1,"")</f>
        <v/>
      </c>
      <c r="S1008" s="21" t="str">
        <f aca="false">IF(P1008&lt;&gt;"Below Materiality","",IF(Summary!$C$9="Random",COUNTIFS($O$2:$O$1092,O1008,$Q$2:$Q$1092,"&gt;"&amp;Q1008)+1,COUNTIFS($O$2:$O$1092,O1008,$P$2:$P$1092,"Below Materiality",$M$2:$M$1092,"&gt;"&amp;M1008)+COUNTIFS($O$2:$O$1092,O1008,$P$2:$P$1092,"Below Materiality",$M$2:$M$1092,M1008,$A$2:$A$1092,"&lt;"&amp;A1008)+1))</f>
        <v/>
      </c>
      <c r="T1008" s="22"/>
      <c r="U1008" s="21" t="str">
        <f aca="false">IF(R1008="","",O1008&amp;"|A|"&amp;R1008)</f>
        <v/>
      </c>
      <c r="V1008" s="21" t="str">
        <f aca="false">IF(S1008="","",O1008&amp;"|R|"&amp;S1008)</f>
        <v/>
      </c>
    </row>
    <row r="1009" customFormat="false" ht="15" hidden="false" customHeight="false" outlineLevel="0" collapsed="false">
      <c r="A1009" s="18" t="n">
        <v>1008</v>
      </c>
      <c r="B1009" s="18"/>
      <c r="C1009" s="18"/>
      <c r="D1009" s="18"/>
      <c r="E1009" s="18" t="s">
        <v>1893</v>
      </c>
      <c r="F1009" s="18" t="s">
        <v>764</v>
      </c>
      <c r="G1009" s="18" t="s">
        <v>74</v>
      </c>
      <c r="H1009" s="18" t="n">
        <v>820</v>
      </c>
      <c r="I1009" s="19" t="n">
        <v>0</v>
      </c>
      <c r="J1009" s="19" t="n">
        <v>920</v>
      </c>
      <c r="K1009" s="19" t="n">
        <v>920</v>
      </c>
      <c r="L1009" s="19" t="n">
        <v>0</v>
      </c>
      <c r="M1009" s="19" t="n">
        <f aca="false">ABS(L1009)</f>
        <v>0</v>
      </c>
      <c r="N1009" s="18" t="str">
        <f aca="false">IF(L1009=0,"Nil balance",IF(G1009="AR file",IF(L1009&gt;0,"Accounts Receivable","Customer Advances"),IF(L1009&lt;0,"Accounts Payable","Supplier Advances")))</f>
        <v>Nil balance</v>
      </c>
      <c r="O1009" s="18" t="str">
        <f aca="false">IF(L1009=0,"Excluded",IF(Summary!$C$4="By ledger",IF(G1009="AR file","Population 1","Population 2"),IF(L1009&gt;0,"Population 1","Population 2")))</f>
        <v>Excluded</v>
      </c>
      <c r="P1009" s="18" t="str">
        <f aca="false">IF(O1009="Excluded","Excluded – nil closing balance",IF(M1009&gt;Summary!$C$5,"Above Materiality","Below Materiality"))</f>
        <v>Excluded – nil closing balance</v>
      </c>
      <c r="Q1009" s="20" t="str">
        <f aca="false">IF(P1009="Below Materiality",T1009,"")</f>
        <v/>
      </c>
      <c r="R1009" s="21" t="str">
        <f aca="false">IF(P1009="Above Materiality",COUNTIFS($O$2:$O$1092,O1009,$P$2:$P$1092,"Above Materiality",$M$2:$M$1092,"&gt;"&amp;M1009)+COUNTIFS($O$2:$O$1092,O1009,$P$2:$P$1092,"Above Materiality",$M$2:$M$1092,M1009,$A$2:$A$1092,"&lt;"&amp;A1009)+1,"")</f>
        <v/>
      </c>
      <c r="S1009" s="21" t="str">
        <f aca="false">IF(P1009&lt;&gt;"Below Materiality","",IF(Summary!$C$9="Random",COUNTIFS($O$2:$O$1092,O1009,$Q$2:$Q$1092,"&gt;"&amp;Q1009)+1,COUNTIFS($O$2:$O$1092,O1009,$P$2:$P$1092,"Below Materiality",$M$2:$M$1092,"&gt;"&amp;M1009)+COUNTIFS($O$2:$O$1092,O1009,$P$2:$P$1092,"Below Materiality",$M$2:$M$1092,M1009,$A$2:$A$1092,"&lt;"&amp;A1009)+1))</f>
        <v/>
      </c>
      <c r="T1009" s="22"/>
      <c r="U1009" s="21" t="str">
        <f aca="false">IF(R1009="","",O1009&amp;"|A|"&amp;R1009)</f>
        <v/>
      </c>
      <c r="V1009" s="21" t="str">
        <f aca="false">IF(S1009="","",O1009&amp;"|R|"&amp;S1009)</f>
        <v/>
      </c>
    </row>
    <row r="1010" customFormat="false" ht="15" hidden="false" customHeight="false" outlineLevel="0" collapsed="false">
      <c r="A1010" s="18" t="n">
        <v>1009</v>
      </c>
      <c r="B1010" s="18"/>
      <c r="C1010" s="18"/>
      <c r="D1010" s="18"/>
      <c r="E1010" s="18" t="s">
        <v>1894</v>
      </c>
      <c r="F1010" s="18" t="s">
        <v>1103</v>
      </c>
      <c r="G1010" s="18" t="s">
        <v>74</v>
      </c>
      <c r="H1010" s="18" t="n">
        <v>821</v>
      </c>
      <c r="I1010" s="19" t="n">
        <v>0</v>
      </c>
      <c r="J1010" s="19" t="n">
        <v>207</v>
      </c>
      <c r="K1010" s="19" t="n">
        <v>207</v>
      </c>
      <c r="L1010" s="19" t="n">
        <v>0</v>
      </c>
      <c r="M1010" s="19" t="n">
        <f aca="false">ABS(L1010)</f>
        <v>0</v>
      </c>
      <c r="N1010" s="18" t="str">
        <f aca="false">IF(L1010=0,"Nil balance",IF(G1010="AR file",IF(L1010&gt;0,"Accounts Receivable","Customer Advances"),IF(L1010&lt;0,"Accounts Payable","Supplier Advances")))</f>
        <v>Nil balance</v>
      </c>
      <c r="O1010" s="18" t="str">
        <f aca="false">IF(L1010=0,"Excluded",IF(Summary!$C$4="By ledger",IF(G1010="AR file","Population 1","Population 2"),IF(L1010&gt;0,"Population 1","Population 2")))</f>
        <v>Excluded</v>
      </c>
      <c r="P1010" s="18" t="str">
        <f aca="false">IF(O1010="Excluded","Excluded – nil closing balance",IF(M1010&gt;Summary!$C$5,"Above Materiality","Below Materiality"))</f>
        <v>Excluded – nil closing balance</v>
      </c>
      <c r="Q1010" s="20" t="str">
        <f aca="false">IF(P1010="Below Materiality",T1010,"")</f>
        <v/>
      </c>
      <c r="R1010" s="21" t="str">
        <f aca="false">IF(P1010="Above Materiality",COUNTIFS($O$2:$O$1092,O1010,$P$2:$P$1092,"Above Materiality",$M$2:$M$1092,"&gt;"&amp;M1010)+COUNTIFS($O$2:$O$1092,O1010,$P$2:$P$1092,"Above Materiality",$M$2:$M$1092,M1010,$A$2:$A$1092,"&lt;"&amp;A1010)+1,"")</f>
        <v/>
      </c>
      <c r="S1010" s="21" t="str">
        <f aca="false">IF(P1010&lt;&gt;"Below Materiality","",IF(Summary!$C$9="Random",COUNTIFS($O$2:$O$1092,O1010,$Q$2:$Q$1092,"&gt;"&amp;Q1010)+1,COUNTIFS($O$2:$O$1092,O1010,$P$2:$P$1092,"Below Materiality",$M$2:$M$1092,"&gt;"&amp;M1010)+COUNTIFS($O$2:$O$1092,O1010,$P$2:$P$1092,"Below Materiality",$M$2:$M$1092,M1010,$A$2:$A$1092,"&lt;"&amp;A1010)+1))</f>
        <v/>
      </c>
      <c r="T1010" s="22"/>
      <c r="U1010" s="21" t="str">
        <f aca="false">IF(R1010="","",O1010&amp;"|A|"&amp;R1010)</f>
        <v/>
      </c>
      <c r="V1010" s="21" t="str">
        <f aca="false">IF(S1010="","",O1010&amp;"|R|"&amp;S1010)</f>
        <v/>
      </c>
    </row>
    <row r="1011" customFormat="false" ht="15" hidden="false" customHeight="false" outlineLevel="0" collapsed="false">
      <c r="A1011" s="18" t="n">
        <v>1010</v>
      </c>
      <c r="B1011" s="18"/>
      <c r="C1011" s="18"/>
      <c r="D1011" s="18"/>
      <c r="E1011" s="18" t="s">
        <v>1895</v>
      </c>
      <c r="F1011" s="18" t="s">
        <v>1047</v>
      </c>
      <c r="G1011" s="18" t="s">
        <v>74</v>
      </c>
      <c r="H1011" s="18" t="n">
        <v>822</v>
      </c>
      <c r="I1011" s="19" t="n">
        <v>0</v>
      </c>
      <c r="J1011" s="19" t="n">
        <v>57.5</v>
      </c>
      <c r="K1011" s="19" t="n">
        <v>57.5</v>
      </c>
      <c r="L1011" s="19" t="n">
        <v>0</v>
      </c>
      <c r="M1011" s="19" t="n">
        <f aca="false">ABS(L1011)</f>
        <v>0</v>
      </c>
      <c r="N1011" s="18" t="str">
        <f aca="false">IF(L1011=0,"Nil balance",IF(G1011="AR file",IF(L1011&gt;0,"Accounts Receivable","Customer Advances"),IF(L1011&lt;0,"Accounts Payable","Supplier Advances")))</f>
        <v>Nil balance</v>
      </c>
      <c r="O1011" s="18" t="str">
        <f aca="false">IF(L1011=0,"Excluded",IF(Summary!$C$4="By ledger",IF(G1011="AR file","Population 1","Population 2"),IF(L1011&gt;0,"Population 1","Population 2")))</f>
        <v>Excluded</v>
      </c>
      <c r="P1011" s="18" t="str">
        <f aca="false">IF(O1011="Excluded","Excluded – nil closing balance",IF(M1011&gt;Summary!$C$5,"Above Materiality","Below Materiality"))</f>
        <v>Excluded – nil closing balance</v>
      </c>
      <c r="Q1011" s="20" t="str">
        <f aca="false">IF(P1011="Below Materiality",T1011,"")</f>
        <v/>
      </c>
      <c r="R1011" s="21" t="str">
        <f aca="false">IF(P1011="Above Materiality",COUNTIFS($O$2:$O$1092,O1011,$P$2:$P$1092,"Above Materiality",$M$2:$M$1092,"&gt;"&amp;M1011)+COUNTIFS($O$2:$O$1092,O1011,$P$2:$P$1092,"Above Materiality",$M$2:$M$1092,M1011,$A$2:$A$1092,"&lt;"&amp;A1011)+1,"")</f>
        <v/>
      </c>
      <c r="S1011" s="21" t="str">
        <f aca="false">IF(P1011&lt;&gt;"Below Materiality","",IF(Summary!$C$9="Random",COUNTIFS($O$2:$O$1092,O1011,$Q$2:$Q$1092,"&gt;"&amp;Q1011)+1,COUNTIFS($O$2:$O$1092,O1011,$P$2:$P$1092,"Below Materiality",$M$2:$M$1092,"&gt;"&amp;M1011)+COUNTIFS($O$2:$O$1092,O1011,$P$2:$P$1092,"Below Materiality",$M$2:$M$1092,M1011,$A$2:$A$1092,"&lt;"&amp;A1011)+1))</f>
        <v/>
      </c>
      <c r="T1011" s="22"/>
      <c r="U1011" s="21" t="str">
        <f aca="false">IF(R1011="","",O1011&amp;"|A|"&amp;R1011)</f>
        <v/>
      </c>
      <c r="V1011" s="21" t="str">
        <f aca="false">IF(S1011="","",O1011&amp;"|R|"&amp;S1011)</f>
        <v/>
      </c>
    </row>
    <row r="1012" customFormat="false" ht="15" hidden="false" customHeight="false" outlineLevel="0" collapsed="false">
      <c r="A1012" s="18" t="n">
        <v>1011</v>
      </c>
      <c r="B1012" s="18"/>
      <c r="C1012" s="18"/>
      <c r="D1012" s="18"/>
      <c r="E1012" s="18" t="s">
        <v>1896</v>
      </c>
      <c r="F1012" s="18" t="s">
        <v>474</v>
      </c>
      <c r="G1012" s="18" t="s">
        <v>74</v>
      </c>
      <c r="H1012" s="18" t="n">
        <v>823</v>
      </c>
      <c r="I1012" s="19" t="n">
        <v>0</v>
      </c>
      <c r="J1012" s="19" t="n">
        <v>115</v>
      </c>
      <c r="K1012" s="19" t="n">
        <v>115</v>
      </c>
      <c r="L1012" s="19" t="n">
        <v>0</v>
      </c>
      <c r="M1012" s="19" t="n">
        <f aca="false">ABS(L1012)</f>
        <v>0</v>
      </c>
      <c r="N1012" s="18" t="str">
        <f aca="false">IF(L1012=0,"Nil balance",IF(G1012="AR file",IF(L1012&gt;0,"Accounts Receivable","Customer Advances"),IF(L1012&lt;0,"Accounts Payable","Supplier Advances")))</f>
        <v>Nil balance</v>
      </c>
      <c r="O1012" s="18" t="str">
        <f aca="false">IF(L1012=0,"Excluded",IF(Summary!$C$4="By ledger",IF(G1012="AR file","Population 1","Population 2"),IF(L1012&gt;0,"Population 1","Population 2")))</f>
        <v>Excluded</v>
      </c>
      <c r="P1012" s="18" t="str">
        <f aca="false">IF(O1012="Excluded","Excluded – nil closing balance",IF(M1012&gt;Summary!$C$5,"Above Materiality","Below Materiality"))</f>
        <v>Excluded – nil closing balance</v>
      </c>
      <c r="Q1012" s="20" t="str">
        <f aca="false">IF(P1012="Below Materiality",T1012,"")</f>
        <v/>
      </c>
      <c r="R1012" s="21" t="str">
        <f aca="false">IF(P1012="Above Materiality",COUNTIFS($O$2:$O$1092,O1012,$P$2:$P$1092,"Above Materiality",$M$2:$M$1092,"&gt;"&amp;M1012)+COUNTIFS($O$2:$O$1092,O1012,$P$2:$P$1092,"Above Materiality",$M$2:$M$1092,M1012,$A$2:$A$1092,"&lt;"&amp;A1012)+1,"")</f>
        <v/>
      </c>
      <c r="S1012" s="21" t="str">
        <f aca="false">IF(P1012&lt;&gt;"Below Materiality","",IF(Summary!$C$9="Random",COUNTIFS($O$2:$O$1092,O1012,$Q$2:$Q$1092,"&gt;"&amp;Q1012)+1,COUNTIFS($O$2:$O$1092,O1012,$P$2:$P$1092,"Below Materiality",$M$2:$M$1092,"&gt;"&amp;M1012)+COUNTIFS($O$2:$O$1092,O1012,$P$2:$P$1092,"Below Materiality",$M$2:$M$1092,M1012,$A$2:$A$1092,"&lt;"&amp;A1012)+1))</f>
        <v/>
      </c>
      <c r="T1012" s="22"/>
      <c r="U1012" s="21" t="str">
        <f aca="false">IF(R1012="","",O1012&amp;"|A|"&amp;R1012)</f>
        <v/>
      </c>
      <c r="V1012" s="21" t="str">
        <f aca="false">IF(S1012="","",O1012&amp;"|R|"&amp;S1012)</f>
        <v/>
      </c>
    </row>
    <row r="1013" customFormat="false" ht="15" hidden="false" customHeight="false" outlineLevel="0" collapsed="false">
      <c r="A1013" s="18" t="n">
        <v>1012</v>
      </c>
      <c r="B1013" s="18"/>
      <c r="C1013" s="18"/>
      <c r="D1013" s="18"/>
      <c r="E1013" s="18" t="s">
        <v>1897</v>
      </c>
      <c r="F1013" s="18" t="s">
        <v>1898</v>
      </c>
      <c r="G1013" s="18" t="s">
        <v>74</v>
      </c>
      <c r="H1013" s="18" t="n">
        <v>824</v>
      </c>
      <c r="I1013" s="19" t="n">
        <v>0</v>
      </c>
      <c r="J1013" s="19" t="n">
        <v>5853.5</v>
      </c>
      <c r="K1013" s="19" t="n">
        <v>5853.5</v>
      </c>
      <c r="L1013" s="19" t="n">
        <v>0</v>
      </c>
      <c r="M1013" s="19" t="n">
        <f aca="false">ABS(L1013)</f>
        <v>0</v>
      </c>
      <c r="N1013" s="18" t="str">
        <f aca="false">IF(L1013=0,"Nil balance",IF(G1013="AR file",IF(L1013&gt;0,"Accounts Receivable","Customer Advances"),IF(L1013&lt;0,"Accounts Payable","Supplier Advances")))</f>
        <v>Nil balance</v>
      </c>
      <c r="O1013" s="18" t="str">
        <f aca="false">IF(L1013=0,"Excluded",IF(Summary!$C$4="By ledger",IF(G1013="AR file","Population 1","Population 2"),IF(L1013&gt;0,"Population 1","Population 2")))</f>
        <v>Excluded</v>
      </c>
      <c r="P1013" s="18" t="str">
        <f aca="false">IF(O1013="Excluded","Excluded – nil closing balance",IF(M1013&gt;Summary!$C$5,"Above Materiality","Below Materiality"))</f>
        <v>Excluded – nil closing balance</v>
      </c>
      <c r="Q1013" s="20" t="str">
        <f aca="false">IF(P1013="Below Materiality",T1013,"")</f>
        <v/>
      </c>
      <c r="R1013" s="21" t="str">
        <f aca="false">IF(P1013="Above Materiality",COUNTIFS($O$2:$O$1092,O1013,$P$2:$P$1092,"Above Materiality",$M$2:$M$1092,"&gt;"&amp;M1013)+COUNTIFS($O$2:$O$1092,O1013,$P$2:$P$1092,"Above Materiality",$M$2:$M$1092,M1013,$A$2:$A$1092,"&lt;"&amp;A1013)+1,"")</f>
        <v/>
      </c>
      <c r="S1013" s="21" t="str">
        <f aca="false">IF(P1013&lt;&gt;"Below Materiality","",IF(Summary!$C$9="Random",COUNTIFS($O$2:$O$1092,O1013,$Q$2:$Q$1092,"&gt;"&amp;Q1013)+1,COUNTIFS($O$2:$O$1092,O1013,$P$2:$P$1092,"Below Materiality",$M$2:$M$1092,"&gt;"&amp;M1013)+COUNTIFS($O$2:$O$1092,O1013,$P$2:$P$1092,"Below Materiality",$M$2:$M$1092,M1013,$A$2:$A$1092,"&lt;"&amp;A1013)+1))</f>
        <v/>
      </c>
      <c r="T1013" s="22"/>
      <c r="U1013" s="21" t="str">
        <f aca="false">IF(R1013="","",O1013&amp;"|A|"&amp;R1013)</f>
        <v/>
      </c>
      <c r="V1013" s="21" t="str">
        <f aca="false">IF(S1013="","",O1013&amp;"|R|"&amp;S1013)</f>
        <v/>
      </c>
    </row>
    <row r="1014" customFormat="false" ht="15" hidden="false" customHeight="false" outlineLevel="0" collapsed="false">
      <c r="A1014" s="18" t="n">
        <v>1013</v>
      </c>
      <c r="B1014" s="18"/>
      <c r="C1014" s="18"/>
      <c r="D1014" s="18"/>
      <c r="E1014" s="18" t="s">
        <v>1899</v>
      </c>
      <c r="F1014" s="18" t="s">
        <v>1900</v>
      </c>
      <c r="G1014" s="18" t="s">
        <v>74</v>
      </c>
      <c r="H1014" s="18" t="n">
        <v>825</v>
      </c>
      <c r="I1014" s="19" t="n">
        <v>0</v>
      </c>
      <c r="J1014" s="19" t="n">
        <v>3499.13</v>
      </c>
      <c r="K1014" s="19" t="n">
        <v>3499.13</v>
      </c>
      <c r="L1014" s="19" t="n">
        <v>0</v>
      </c>
      <c r="M1014" s="19" t="n">
        <f aca="false">ABS(L1014)</f>
        <v>0</v>
      </c>
      <c r="N1014" s="18" t="str">
        <f aca="false">IF(L1014=0,"Nil balance",IF(G1014="AR file",IF(L1014&gt;0,"Accounts Receivable","Customer Advances"),IF(L1014&lt;0,"Accounts Payable","Supplier Advances")))</f>
        <v>Nil balance</v>
      </c>
      <c r="O1014" s="18" t="str">
        <f aca="false">IF(L1014=0,"Excluded",IF(Summary!$C$4="By ledger",IF(G1014="AR file","Population 1","Population 2"),IF(L1014&gt;0,"Population 1","Population 2")))</f>
        <v>Excluded</v>
      </c>
      <c r="P1014" s="18" t="str">
        <f aca="false">IF(O1014="Excluded","Excluded – nil closing balance",IF(M1014&gt;Summary!$C$5,"Above Materiality","Below Materiality"))</f>
        <v>Excluded – nil closing balance</v>
      </c>
      <c r="Q1014" s="20" t="str">
        <f aca="false">IF(P1014="Below Materiality",T1014,"")</f>
        <v/>
      </c>
      <c r="R1014" s="21" t="str">
        <f aca="false">IF(P1014="Above Materiality",COUNTIFS($O$2:$O$1092,O1014,$P$2:$P$1092,"Above Materiality",$M$2:$M$1092,"&gt;"&amp;M1014)+COUNTIFS($O$2:$O$1092,O1014,$P$2:$P$1092,"Above Materiality",$M$2:$M$1092,M1014,$A$2:$A$1092,"&lt;"&amp;A1014)+1,"")</f>
        <v/>
      </c>
      <c r="S1014" s="21" t="str">
        <f aca="false">IF(P1014&lt;&gt;"Below Materiality","",IF(Summary!$C$9="Random",COUNTIFS($O$2:$O$1092,O1014,$Q$2:$Q$1092,"&gt;"&amp;Q1014)+1,COUNTIFS($O$2:$O$1092,O1014,$P$2:$P$1092,"Below Materiality",$M$2:$M$1092,"&gt;"&amp;M1014)+COUNTIFS($O$2:$O$1092,O1014,$P$2:$P$1092,"Below Materiality",$M$2:$M$1092,M1014,$A$2:$A$1092,"&lt;"&amp;A1014)+1))</f>
        <v/>
      </c>
      <c r="T1014" s="22"/>
      <c r="U1014" s="21" t="str">
        <f aca="false">IF(R1014="","",O1014&amp;"|A|"&amp;R1014)</f>
        <v/>
      </c>
      <c r="V1014" s="21" t="str">
        <f aca="false">IF(S1014="","",O1014&amp;"|R|"&amp;S1014)</f>
        <v/>
      </c>
    </row>
    <row r="1015" customFormat="false" ht="15" hidden="false" customHeight="false" outlineLevel="0" collapsed="false">
      <c r="A1015" s="18" t="n">
        <v>1014</v>
      </c>
      <c r="B1015" s="18"/>
      <c r="C1015" s="18"/>
      <c r="D1015" s="18"/>
      <c r="E1015" s="18" t="s">
        <v>1901</v>
      </c>
      <c r="F1015" s="18" t="s">
        <v>1902</v>
      </c>
      <c r="G1015" s="18" t="s">
        <v>74</v>
      </c>
      <c r="H1015" s="18" t="n">
        <v>826</v>
      </c>
      <c r="I1015" s="19" t="n">
        <v>0</v>
      </c>
      <c r="J1015" s="19" t="n">
        <v>62065.5</v>
      </c>
      <c r="K1015" s="19" t="n">
        <v>62065.5</v>
      </c>
      <c r="L1015" s="19" t="n">
        <v>0</v>
      </c>
      <c r="M1015" s="19" t="n">
        <f aca="false">ABS(L1015)</f>
        <v>0</v>
      </c>
      <c r="N1015" s="18" t="str">
        <f aca="false">IF(L1015=0,"Nil balance",IF(G1015="AR file",IF(L1015&gt;0,"Accounts Receivable","Customer Advances"),IF(L1015&lt;0,"Accounts Payable","Supplier Advances")))</f>
        <v>Nil balance</v>
      </c>
      <c r="O1015" s="18" t="str">
        <f aca="false">IF(L1015=0,"Excluded",IF(Summary!$C$4="By ledger",IF(G1015="AR file","Population 1","Population 2"),IF(L1015&gt;0,"Population 1","Population 2")))</f>
        <v>Excluded</v>
      </c>
      <c r="P1015" s="18" t="str">
        <f aca="false">IF(O1015="Excluded","Excluded – nil closing balance",IF(M1015&gt;Summary!$C$5,"Above Materiality","Below Materiality"))</f>
        <v>Excluded – nil closing balance</v>
      </c>
      <c r="Q1015" s="20" t="str">
        <f aca="false">IF(P1015="Below Materiality",T1015,"")</f>
        <v/>
      </c>
      <c r="R1015" s="21" t="str">
        <f aca="false">IF(P1015="Above Materiality",COUNTIFS($O$2:$O$1092,O1015,$P$2:$P$1092,"Above Materiality",$M$2:$M$1092,"&gt;"&amp;M1015)+COUNTIFS($O$2:$O$1092,O1015,$P$2:$P$1092,"Above Materiality",$M$2:$M$1092,M1015,$A$2:$A$1092,"&lt;"&amp;A1015)+1,"")</f>
        <v/>
      </c>
      <c r="S1015" s="21" t="str">
        <f aca="false">IF(P1015&lt;&gt;"Below Materiality","",IF(Summary!$C$9="Random",COUNTIFS($O$2:$O$1092,O1015,$Q$2:$Q$1092,"&gt;"&amp;Q1015)+1,COUNTIFS($O$2:$O$1092,O1015,$P$2:$P$1092,"Below Materiality",$M$2:$M$1092,"&gt;"&amp;M1015)+COUNTIFS($O$2:$O$1092,O1015,$P$2:$P$1092,"Below Materiality",$M$2:$M$1092,M1015,$A$2:$A$1092,"&lt;"&amp;A1015)+1))</f>
        <v/>
      </c>
      <c r="T1015" s="22"/>
      <c r="U1015" s="21" t="str">
        <f aca="false">IF(R1015="","",O1015&amp;"|A|"&amp;R1015)</f>
        <v/>
      </c>
      <c r="V1015" s="21" t="str">
        <f aca="false">IF(S1015="","",O1015&amp;"|R|"&amp;S1015)</f>
        <v/>
      </c>
    </row>
    <row r="1016" customFormat="false" ht="15" hidden="false" customHeight="false" outlineLevel="0" collapsed="false">
      <c r="A1016" s="18" t="n">
        <v>1015</v>
      </c>
      <c r="B1016" s="18"/>
      <c r="C1016" s="18"/>
      <c r="D1016" s="18"/>
      <c r="E1016" s="18" t="s">
        <v>1903</v>
      </c>
      <c r="F1016" s="18" t="s">
        <v>1904</v>
      </c>
      <c r="G1016" s="18" t="s">
        <v>74</v>
      </c>
      <c r="H1016" s="18" t="n">
        <v>827</v>
      </c>
      <c r="I1016" s="19" t="n">
        <v>0</v>
      </c>
      <c r="J1016" s="19" t="n">
        <v>529</v>
      </c>
      <c r="K1016" s="19" t="n">
        <v>529</v>
      </c>
      <c r="L1016" s="19" t="n">
        <v>0</v>
      </c>
      <c r="M1016" s="19" t="n">
        <f aca="false">ABS(L1016)</f>
        <v>0</v>
      </c>
      <c r="N1016" s="18" t="str">
        <f aca="false">IF(L1016=0,"Nil balance",IF(G1016="AR file",IF(L1016&gt;0,"Accounts Receivable","Customer Advances"),IF(L1016&lt;0,"Accounts Payable","Supplier Advances")))</f>
        <v>Nil balance</v>
      </c>
      <c r="O1016" s="18" t="str">
        <f aca="false">IF(L1016=0,"Excluded",IF(Summary!$C$4="By ledger",IF(G1016="AR file","Population 1","Population 2"),IF(L1016&gt;0,"Population 1","Population 2")))</f>
        <v>Excluded</v>
      </c>
      <c r="P1016" s="18" t="str">
        <f aca="false">IF(O1016="Excluded","Excluded – nil closing balance",IF(M1016&gt;Summary!$C$5,"Above Materiality","Below Materiality"))</f>
        <v>Excluded – nil closing balance</v>
      </c>
      <c r="Q1016" s="20" t="str">
        <f aca="false">IF(P1016="Below Materiality",T1016,"")</f>
        <v/>
      </c>
      <c r="R1016" s="21" t="str">
        <f aca="false">IF(P1016="Above Materiality",COUNTIFS($O$2:$O$1092,O1016,$P$2:$P$1092,"Above Materiality",$M$2:$M$1092,"&gt;"&amp;M1016)+COUNTIFS($O$2:$O$1092,O1016,$P$2:$P$1092,"Above Materiality",$M$2:$M$1092,M1016,$A$2:$A$1092,"&lt;"&amp;A1016)+1,"")</f>
        <v/>
      </c>
      <c r="S1016" s="21" t="str">
        <f aca="false">IF(P1016&lt;&gt;"Below Materiality","",IF(Summary!$C$9="Random",COUNTIFS($O$2:$O$1092,O1016,$Q$2:$Q$1092,"&gt;"&amp;Q1016)+1,COUNTIFS($O$2:$O$1092,O1016,$P$2:$P$1092,"Below Materiality",$M$2:$M$1092,"&gt;"&amp;M1016)+COUNTIFS($O$2:$O$1092,O1016,$P$2:$P$1092,"Below Materiality",$M$2:$M$1092,M1016,$A$2:$A$1092,"&lt;"&amp;A1016)+1))</f>
        <v/>
      </c>
      <c r="T1016" s="22"/>
      <c r="U1016" s="21" t="str">
        <f aca="false">IF(R1016="","",O1016&amp;"|A|"&amp;R1016)</f>
        <v/>
      </c>
      <c r="V1016" s="21" t="str">
        <f aca="false">IF(S1016="","",O1016&amp;"|R|"&amp;S1016)</f>
        <v/>
      </c>
    </row>
    <row r="1017" customFormat="false" ht="15" hidden="false" customHeight="false" outlineLevel="0" collapsed="false">
      <c r="A1017" s="18" t="n">
        <v>1016</v>
      </c>
      <c r="B1017" s="18"/>
      <c r="C1017" s="18"/>
      <c r="D1017" s="18"/>
      <c r="E1017" s="18" t="s">
        <v>1905</v>
      </c>
      <c r="F1017" s="18" t="s">
        <v>860</v>
      </c>
      <c r="G1017" s="18" t="s">
        <v>74</v>
      </c>
      <c r="H1017" s="18" t="n">
        <v>828</v>
      </c>
      <c r="I1017" s="19" t="n">
        <v>0</v>
      </c>
      <c r="J1017" s="19" t="n">
        <v>402.5</v>
      </c>
      <c r="K1017" s="19" t="n">
        <v>402.5</v>
      </c>
      <c r="L1017" s="19" t="n">
        <v>0</v>
      </c>
      <c r="M1017" s="19" t="n">
        <f aca="false">ABS(L1017)</f>
        <v>0</v>
      </c>
      <c r="N1017" s="18" t="str">
        <f aca="false">IF(L1017=0,"Nil balance",IF(G1017="AR file",IF(L1017&gt;0,"Accounts Receivable","Customer Advances"),IF(L1017&lt;0,"Accounts Payable","Supplier Advances")))</f>
        <v>Nil balance</v>
      </c>
      <c r="O1017" s="18" t="str">
        <f aca="false">IF(L1017=0,"Excluded",IF(Summary!$C$4="By ledger",IF(G1017="AR file","Population 1","Population 2"),IF(L1017&gt;0,"Population 1","Population 2")))</f>
        <v>Excluded</v>
      </c>
      <c r="P1017" s="18" t="str">
        <f aca="false">IF(O1017="Excluded","Excluded – nil closing balance",IF(M1017&gt;Summary!$C$5,"Above Materiality","Below Materiality"))</f>
        <v>Excluded – nil closing balance</v>
      </c>
      <c r="Q1017" s="20" t="str">
        <f aca="false">IF(P1017="Below Materiality",T1017,"")</f>
        <v/>
      </c>
      <c r="R1017" s="21" t="str">
        <f aca="false">IF(P1017="Above Materiality",COUNTIFS($O$2:$O$1092,O1017,$P$2:$P$1092,"Above Materiality",$M$2:$M$1092,"&gt;"&amp;M1017)+COUNTIFS($O$2:$O$1092,O1017,$P$2:$P$1092,"Above Materiality",$M$2:$M$1092,M1017,$A$2:$A$1092,"&lt;"&amp;A1017)+1,"")</f>
        <v/>
      </c>
      <c r="S1017" s="21" t="str">
        <f aca="false">IF(P1017&lt;&gt;"Below Materiality","",IF(Summary!$C$9="Random",COUNTIFS($O$2:$O$1092,O1017,$Q$2:$Q$1092,"&gt;"&amp;Q1017)+1,COUNTIFS($O$2:$O$1092,O1017,$P$2:$P$1092,"Below Materiality",$M$2:$M$1092,"&gt;"&amp;M1017)+COUNTIFS($O$2:$O$1092,O1017,$P$2:$P$1092,"Below Materiality",$M$2:$M$1092,M1017,$A$2:$A$1092,"&lt;"&amp;A1017)+1))</f>
        <v/>
      </c>
      <c r="T1017" s="22"/>
      <c r="U1017" s="21" t="str">
        <f aca="false">IF(R1017="","",O1017&amp;"|A|"&amp;R1017)</f>
        <v/>
      </c>
      <c r="V1017" s="21" t="str">
        <f aca="false">IF(S1017="","",O1017&amp;"|R|"&amp;S1017)</f>
        <v/>
      </c>
    </row>
    <row r="1018" customFormat="false" ht="15" hidden="false" customHeight="false" outlineLevel="0" collapsed="false">
      <c r="A1018" s="18" t="n">
        <v>1017</v>
      </c>
      <c r="B1018" s="18"/>
      <c r="C1018" s="18"/>
      <c r="D1018" s="18"/>
      <c r="E1018" s="18" t="s">
        <v>1906</v>
      </c>
      <c r="F1018" s="18" t="s">
        <v>474</v>
      </c>
      <c r="G1018" s="18" t="s">
        <v>74</v>
      </c>
      <c r="H1018" s="18" t="n">
        <v>829</v>
      </c>
      <c r="I1018" s="19" t="n">
        <v>0</v>
      </c>
      <c r="J1018" s="19" t="n">
        <v>115</v>
      </c>
      <c r="K1018" s="19" t="n">
        <v>115</v>
      </c>
      <c r="L1018" s="19" t="n">
        <v>0</v>
      </c>
      <c r="M1018" s="19" t="n">
        <f aca="false">ABS(L1018)</f>
        <v>0</v>
      </c>
      <c r="N1018" s="18" t="str">
        <f aca="false">IF(L1018=0,"Nil balance",IF(G1018="AR file",IF(L1018&gt;0,"Accounts Receivable","Customer Advances"),IF(L1018&lt;0,"Accounts Payable","Supplier Advances")))</f>
        <v>Nil balance</v>
      </c>
      <c r="O1018" s="18" t="str">
        <f aca="false">IF(L1018=0,"Excluded",IF(Summary!$C$4="By ledger",IF(G1018="AR file","Population 1","Population 2"),IF(L1018&gt;0,"Population 1","Population 2")))</f>
        <v>Excluded</v>
      </c>
      <c r="P1018" s="18" t="str">
        <f aca="false">IF(O1018="Excluded","Excluded – nil closing balance",IF(M1018&gt;Summary!$C$5,"Above Materiality","Below Materiality"))</f>
        <v>Excluded – nil closing balance</v>
      </c>
      <c r="Q1018" s="20" t="str">
        <f aca="false">IF(P1018="Below Materiality",T1018,"")</f>
        <v/>
      </c>
      <c r="R1018" s="21" t="str">
        <f aca="false">IF(P1018="Above Materiality",COUNTIFS($O$2:$O$1092,O1018,$P$2:$P$1092,"Above Materiality",$M$2:$M$1092,"&gt;"&amp;M1018)+COUNTIFS($O$2:$O$1092,O1018,$P$2:$P$1092,"Above Materiality",$M$2:$M$1092,M1018,$A$2:$A$1092,"&lt;"&amp;A1018)+1,"")</f>
        <v/>
      </c>
      <c r="S1018" s="21" t="str">
        <f aca="false">IF(P1018&lt;&gt;"Below Materiality","",IF(Summary!$C$9="Random",COUNTIFS($O$2:$O$1092,O1018,$Q$2:$Q$1092,"&gt;"&amp;Q1018)+1,COUNTIFS($O$2:$O$1092,O1018,$P$2:$P$1092,"Below Materiality",$M$2:$M$1092,"&gt;"&amp;M1018)+COUNTIFS($O$2:$O$1092,O1018,$P$2:$P$1092,"Below Materiality",$M$2:$M$1092,M1018,$A$2:$A$1092,"&lt;"&amp;A1018)+1))</f>
        <v/>
      </c>
      <c r="T1018" s="22"/>
      <c r="U1018" s="21" t="str">
        <f aca="false">IF(R1018="","",O1018&amp;"|A|"&amp;R1018)</f>
        <v/>
      </c>
      <c r="V1018" s="21" t="str">
        <f aca="false">IF(S1018="","",O1018&amp;"|R|"&amp;S1018)</f>
        <v/>
      </c>
    </row>
    <row r="1019" customFormat="false" ht="15" hidden="false" customHeight="false" outlineLevel="0" collapsed="false">
      <c r="A1019" s="18" t="n">
        <v>1018</v>
      </c>
      <c r="B1019" s="18"/>
      <c r="C1019" s="18"/>
      <c r="D1019" s="18"/>
      <c r="E1019" s="18" t="s">
        <v>1907</v>
      </c>
      <c r="F1019" s="18" t="s">
        <v>1908</v>
      </c>
      <c r="G1019" s="18" t="s">
        <v>74</v>
      </c>
      <c r="H1019" s="18" t="n">
        <v>830</v>
      </c>
      <c r="I1019" s="19" t="n">
        <v>0</v>
      </c>
      <c r="J1019" s="19" t="n">
        <v>724.5</v>
      </c>
      <c r="K1019" s="19" t="n">
        <v>724.5</v>
      </c>
      <c r="L1019" s="19" t="n">
        <v>0</v>
      </c>
      <c r="M1019" s="19" t="n">
        <f aca="false">ABS(L1019)</f>
        <v>0</v>
      </c>
      <c r="N1019" s="18" t="str">
        <f aca="false">IF(L1019=0,"Nil balance",IF(G1019="AR file",IF(L1019&gt;0,"Accounts Receivable","Customer Advances"),IF(L1019&lt;0,"Accounts Payable","Supplier Advances")))</f>
        <v>Nil balance</v>
      </c>
      <c r="O1019" s="18" t="str">
        <f aca="false">IF(L1019=0,"Excluded",IF(Summary!$C$4="By ledger",IF(G1019="AR file","Population 1","Population 2"),IF(L1019&gt;0,"Population 1","Population 2")))</f>
        <v>Excluded</v>
      </c>
      <c r="P1019" s="18" t="str">
        <f aca="false">IF(O1019="Excluded","Excluded – nil closing balance",IF(M1019&gt;Summary!$C$5,"Above Materiality","Below Materiality"))</f>
        <v>Excluded – nil closing balance</v>
      </c>
      <c r="Q1019" s="20" t="str">
        <f aca="false">IF(P1019="Below Materiality",T1019,"")</f>
        <v/>
      </c>
      <c r="R1019" s="21" t="str">
        <f aca="false">IF(P1019="Above Materiality",COUNTIFS($O$2:$O$1092,O1019,$P$2:$P$1092,"Above Materiality",$M$2:$M$1092,"&gt;"&amp;M1019)+COUNTIFS($O$2:$O$1092,O1019,$P$2:$P$1092,"Above Materiality",$M$2:$M$1092,M1019,$A$2:$A$1092,"&lt;"&amp;A1019)+1,"")</f>
        <v/>
      </c>
      <c r="S1019" s="21" t="str">
        <f aca="false">IF(P1019&lt;&gt;"Below Materiality","",IF(Summary!$C$9="Random",COUNTIFS($O$2:$O$1092,O1019,$Q$2:$Q$1092,"&gt;"&amp;Q1019)+1,COUNTIFS($O$2:$O$1092,O1019,$P$2:$P$1092,"Below Materiality",$M$2:$M$1092,"&gt;"&amp;M1019)+COUNTIFS($O$2:$O$1092,O1019,$P$2:$P$1092,"Below Materiality",$M$2:$M$1092,M1019,$A$2:$A$1092,"&lt;"&amp;A1019)+1))</f>
        <v/>
      </c>
      <c r="T1019" s="22"/>
      <c r="U1019" s="21" t="str">
        <f aca="false">IF(R1019="","",O1019&amp;"|A|"&amp;R1019)</f>
        <v/>
      </c>
      <c r="V1019" s="21" t="str">
        <f aca="false">IF(S1019="","",O1019&amp;"|R|"&amp;S1019)</f>
        <v/>
      </c>
    </row>
    <row r="1020" customFormat="false" ht="15" hidden="false" customHeight="false" outlineLevel="0" collapsed="false">
      <c r="A1020" s="18" t="n">
        <v>1019</v>
      </c>
      <c r="B1020" s="18"/>
      <c r="C1020" s="18"/>
      <c r="D1020" s="18"/>
      <c r="E1020" s="18" t="s">
        <v>1909</v>
      </c>
      <c r="F1020" s="18" t="s">
        <v>908</v>
      </c>
      <c r="G1020" s="18" t="s">
        <v>74</v>
      </c>
      <c r="H1020" s="18" t="n">
        <v>832</v>
      </c>
      <c r="I1020" s="19" t="n">
        <v>0</v>
      </c>
      <c r="J1020" s="19" t="n">
        <v>50</v>
      </c>
      <c r="K1020" s="19" t="n">
        <v>50</v>
      </c>
      <c r="L1020" s="19" t="n">
        <v>0</v>
      </c>
      <c r="M1020" s="19" t="n">
        <f aca="false">ABS(L1020)</f>
        <v>0</v>
      </c>
      <c r="N1020" s="18" t="str">
        <f aca="false">IF(L1020=0,"Nil balance",IF(G1020="AR file",IF(L1020&gt;0,"Accounts Receivable","Customer Advances"),IF(L1020&lt;0,"Accounts Payable","Supplier Advances")))</f>
        <v>Nil balance</v>
      </c>
      <c r="O1020" s="18" t="str">
        <f aca="false">IF(L1020=0,"Excluded",IF(Summary!$C$4="By ledger",IF(G1020="AR file","Population 1","Population 2"),IF(L1020&gt;0,"Population 1","Population 2")))</f>
        <v>Excluded</v>
      </c>
      <c r="P1020" s="18" t="str">
        <f aca="false">IF(O1020="Excluded","Excluded – nil closing balance",IF(M1020&gt;Summary!$C$5,"Above Materiality","Below Materiality"))</f>
        <v>Excluded – nil closing balance</v>
      </c>
      <c r="Q1020" s="20" t="str">
        <f aca="false">IF(P1020="Below Materiality",T1020,"")</f>
        <v/>
      </c>
      <c r="R1020" s="21" t="str">
        <f aca="false">IF(P1020="Above Materiality",COUNTIFS($O$2:$O$1092,O1020,$P$2:$P$1092,"Above Materiality",$M$2:$M$1092,"&gt;"&amp;M1020)+COUNTIFS($O$2:$O$1092,O1020,$P$2:$P$1092,"Above Materiality",$M$2:$M$1092,M1020,$A$2:$A$1092,"&lt;"&amp;A1020)+1,"")</f>
        <v/>
      </c>
      <c r="S1020" s="21" t="str">
        <f aca="false">IF(P1020&lt;&gt;"Below Materiality","",IF(Summary!$C$9="Random",COUNTIFS($O$2:$O$1092,O1020,$Q$2:$Q$1092,"&gt;"&amp;Q1020)+1,COUNTIFS($O$2:$O$1092,O1020,$P$2:$P$1092,"Below Materiality",$M$2:$M$1092,"&gt;"&amp;M1020)+COUNTIFS($O$2:$O$1092,O1020,$P$2:$P$1092,"Below Materiality",$M$2:$M$1092,M1020,$A$2:$A$1092,"&lt;"&amp;A1020)+1))</f>
        <v/>
      </c>
      <c r="T1020" s="22"/>
      <c r="U1020" s="21" t="str">
        <f aca="false">IF(R1020="","",O1020&amp;"|A|"&amp;R1020)</f>
        <v/>
      </c>
      <c r="V1020" s="21" t="str">
        <f aca="false">IF(S1020="","",O1020&amp;"|R|"&amp;S1020)</f>
        <v/>
      </c>
    </row>
    <row r="1021" customFormat="false" ht="15" hidden="false" customHeight="false" outlineLevel="0" collapsed="false">
      <c r="A1021" s="18" t="n">
        <v>1020</v>
      </c>
      <c r="B1021" s="18"/>
      <c r="C1021" s="18"/>
      <c r="D1021" s="18"/>
      <c r="E1021" s="18" t="s">
        <v>1910</v>
      </c>
      <c r="F1021" s="18" t="s">
        <v>1911</v>
      </c>
      <c r="G1021" s="18" t="s">
        <v>74</v>
      </c>
      <c r="H1021" s="18" t="n">
        <v>833</v>
      </c>
      <c r="I1021" s="19" t="n">
        <v>0</v>
      </c>
      <c r="J1021" s="19" t="n">
        <v>292</v>
      </c>
      <c r="K1021" s="19" t="n">
        <v>292</v>
      </c>
      <c r="L1021" s="19" t="n">
        <v>0</v>
      </c>
      <c r="M1021" s="19" t="n">
        <f aca="false">ABS(L1021)</f>
        <v>0</v>
      </c>
      <c r="N1021" s="18" t="str">
        <f aca="false">IF(L1021=0,"Nil balance",IF(G1021="AR file",IF(L1021&gt;0,"Accounts Receivable","Customer Advances"),IF(L1021&lt;0,"Accounts Payable","Supplier Advances")))</f>
        <v>Nil balance</v>
      </c>
      <c r="O1021" s="18" t="str">
        <f aca="false">IF(L1021=0,"Excluded",IF(Summary!$C$4="By ledger",IF(G1021="AR file","Population 1","Population 2"),IF(L1021&gt;0,"Population 1","Population 2")))</f>
        <v>Excluded</v>
      </c>
      <c r="P1021" s="18" t="str">
        <f aca="false">IF(O1021="Excluded","Excluded – nil closing balance",IF(M1021&gt;Summary!$C$5,"Above Materiality","Below Materiality"))</f>
        <v>Excluded – nil closing balance</v>
      </c>
      <c r="Q1021" s="20" t="str">
        <f aca="false">IF(P1021="Below Materiality",T1021,"")</f>
        <v/>
      </c>
      <c r="R1021" s="21" t="str">
        <f aca="false">IF(P1021="Above Materiality",COUNTIFS($O$2:$O$1092,O1021,$P$2:$P$1092,"Above Materiality",$M$2:$M$1092,"&gt;"&amp;M1021)+COUNTIFS($O$2:$O$1092,O1021,$P$2:$P$1092,"Above Materiality",$M$2:$M$1092,M1021,$A$2:$A$1092,"&lt;"&amp;A1021)+1,"")</f>
        <v/>
      </c>
      <c r="S1021" s="21" t="str">
        <f aca="false">IF(P1021&lt;&gt;"Below Materiality","",IF(Summary!$C$9="Random",COUNTIFS($O$2:$O$1092,O1021,$Q$2:$Q$1092,"&gt;"&amp;Q1021)+1,COUNTIFS($O$2:$O$1092,O1021,$P$2:$P$1092,"Below Materiality",$M$2:$M$1092,"&gt;"&amp;M1021)+COUNTIFS($O$2:$O$1092,O1021,$P$2:$P$1092,"Below Materiality",$M$2:$M$1092,M1021,$A$2:$A$1092,"&lt;"&amp;A1021)+1))</f>
        <v/>
      </c>
      <c r="T1021" s="22"/>
      <c r="U1021" s="21" t="str">
        <f aca="false">IF(R1021="","",O1021&amp;"|A|"&amp;R1021)</f>
        <v/>
      </c>
      <c r="V1021" s="21" t="str">
        <f aca="false">IF(S1021="","",O1021&amp;"|R|"&amp;S1021)</f>
        <v/>
      </c>
    </row>
    <row r="1022" customFormat="false" ht="15" hidden="false" customHeight="false" outlineLevel="0" collapsed="false">
      <c r="A1022" s="18" t="n">
        <v>1021</v>
      </c>
      <c r="B1022" s="18"/>
      <c r="C1022" s="18"/>
      <c r="D1022" s="18"/>
      <c r="E1022" s="18" t="s">
        <v>1912</v>
      </c>
      <c r="F1022" s="18" t="s">
        <v>1913</v>
      </c>
      <c r="G1022" s="18" t="s">
        <v>74</v>
      </c>
      <c r="H1022" s="18" t="n">
        <v>834</v>
      </c>
      <c r="I1022" s="19" t="n">
        <v>0</v>
      </c>
      <c r="J1022" s="19" t="n">
        <v>7360</v>
      </c>
      <c r="K1022" s="19" t="n">
        <v>7360</v>
      </c>
      <c r="L1022" s="19" t="n">
        <v>0</v>
      </c>
      <c r="M1022" s="19" t="n">
        <f aca="false">ABS(L1022)</f>
        <v>0</v>
      </c>
      <c r="N1022" s="18" t="str">
        <f aca="false">IF(L1022=0,"Nil balance",IF(G1022="AR file",IF(L1022&gt;0,"Accounts Receivable","Customer Advances"),IF(L1022&lt;0,"Accounts Payable","Supplier Advances")))</f>
        <v>Nil balance</v>
      </c>
      <c r="O1022" s="18" t="str">
        <f aca="false">IF(L1022=0,"Excluded",IF(Summary!$C$4="By ledger",IF(G1022="AR file","Population 1","Population 2"),IF(L1022&gt;0,"Population 1","Population 2")))</f>
        <v>Excluded</v>
      </c>
      <c r="P1022" s="18" t="str">
        <f aca="false">IF(O1022="Excluded","Excluded – nil closing balance",IF(M1022&gt;Summary!$C$5,"Above Materiality","Below Materiality"))</f>
        <v>Excluded – nil closing balance</v>
      </c>
      <c r="Q1022" s="20" t="str">
        <f aca="false">IF(P1022="Below Materiality",T1022,"")</f>
        <v/>
      </c>
      <c r="R1022" s="21" t="str">
        <f aca="false">IF(P1022="Above Materiality",COUNTIFS($O$2:$O$1092,O1022,$P$2:$P$1092,"Above Materiality",$M$2:$M$1092,"&gt;"&amp;M1022)+COUNTIFS($O$2:$O$1092,O1022,$P$2:$P$1092,"Above Materiality",$M$2:$M$1092,M1022,$A$2:$A$1092,"&lt;"&amp;A1022)+1,"")</f>
        <v/>
      </c>
      <c r="S1022" s="21" t="str">
        <f aca="false">IF(P1022&lt;&gt;"Below Materiality","",IF(Summary!$C$9="Random",COUNTIFS($O$2:$O$1092,O1022,$Q$2:$Q$1092,"&gt;"&amp;Q1022)+1,COUNTIFS($O$2:$O$1092,O1022,$P$2:$P$1092,"Below Materiality",$M$2:$M$1092,"&gt;"&amp;M1022)+COUNTIFS($O$2:$O$1092,O1022,$P$2:$P$1092,"Below Materiality",$M$2:$M$1092,M1022,$A$2:$A$1092,"&lt;"&amp;A1022)+1))</f>
        <v/>
      </c>
      <c r="T1022" s="22"/>
      <c r="U1022" s="21" t="str">
        <f aca="false">IF(R1022="","",O1022&amp;"|A|"&amp;R1022)</f>
        <v/>
      </c>
      <c r="V1022" s="21" t="str">
        <f aca="false">IF(S1022="","",O1022&amp;"|R|"&amp;S1022)</f>
        <v/>
      </c>
    </row>
    <row r="1023" customFormat="false" ht="15" hidden="false" customHeight="false" outlineLevel="0" collapsed="false">
      <c r="A1023" s="18" t="n">
        <v>1022</v>
      </c>
      <c r="B1023" s="18"/>
      <c r="C1023" s="18"/>
      <c r="D1023" s="18"/>
      <c r="E1023" s="18" t="s">
        <v>1914</v>
      </c>
      <c r="F1023" s="18" t="s">
        <v>1915</v>
      </c>
      <c r="G1023" s="18" t="s">
        <v>74</v>
      </c>
      <c r="H1023" s="18" t="n">
        <v>835</v>
      </c>
      <c r="I1023" s="19" t="n">
        <v>0</v>
      </c>
      <c r="J1023" s="19" t="n">
        <v>201.75</v>
      </c>
      <c r="K1023" s="19" t="n">
        <v>201.75</v>
      </c>
      <c r="L1023" s="19" t="n">
        <v>0</v>
      </c>
      <c r="M1023" s="19" t="n">
        <f aca="false">ABS(L1023)</f>
        <v>0</v>
      </c>
      <c r="N1023" s="18" t="str">
        <f aca="false">IF(L1023=0,"Nil balance",IF(G1023="AR file",IF(L1023&gt;0,"Accounts Receivable","Customer Advances"),IF(L1023&lt;0,"Accounts Payable","Supplier Advances")))</f>
        <v>Nil balance</v>
      </c>
      <c r="O1023" s="18" t="str">
        <f aca="false">IF(L1023=0,"Excluded",IF(Summary!$C$4="By ledger",IF(G1023="AR file","Population 1","Population 2"),IF(L1023&gt;0,"Population 1","Population 2")))</f>
        <v>Excluded</v>
      </c>
      <c r="P1023" s="18" t="str">
        <f aca="false">IF(O1023="Excluded","Excluded – nil closing balance",IF(M1023&gt;Summary!$C$5,"Above Materiality","Below Materiality"))</f>
        <v>Excluded – nil closing balance</v>
      </c>
      <c r="Q1023" s="20" t="str">
        <f aca="false">IF(P1023="Below Materiality",T1023,"")</f>
        <v/>
      </c>
      <c r="R1023" s="21" t="str">
        <f aca="false">IF(P1023="Above Materiality",COUNTIFS($O$2:$O$1092,O1023,$P$2:$P$1092,"Above Materiality",$M$2:$M$1092,"&gt;"&amp;M1023)+COUNTIFS($O$2:$O$1092,O1023,$P$2:$P$1092,"Above Materiality",$M$2:$M$1092,M1023,$A$2:$A$1092,"&lt;"&amp;A1023)+1,"")</f>
        <v/>
      </c>
      <c r="S1023" s="21" t="str">
        <f aca="false">IF(P1023&lt;&gt;"Below Materiality","",IF(Summary!$C$9="Random",COUNTIFS($O$2:$O$1092,O1023,$Q$2:$Q$1092,"&gt;"&amp;Q1023)+1,COUNTIFS($O$2:$O$1092,O1023,$P$2:$P$1092,"Below Materiality",$M$2:$M$1092,"&gt;"&amp;M1023)+COUNTIFS($O$2:$O$1092,O1023,$P$2:$P$1092,"Below Materiality",$M$2:$M$1092,M1023,$A$2:$A$1092,"&lt;"&amp;A1023)+1))</f>
        <v/>
      </c>
      <c r="T1023" s="22"/>
      <c r="U1023" s="21" t="str">
        <f aca="false">IF(R1023="","",O1023&amp;"|A|"&amp;R1023)</f>
        <v/>
      </c>
      <c r="V1023" s="21" t="str">
        <f aca="false">IF(S1023="","",O1023&amp;"|R|"&amp;S1023)</f>
        <v/>
      </c>
    </row>
    <row r="1024" customFormat="false" ht="15" hidden="false" customHeight="false" outlineLevel="0" collapsed="false">
      <c r="A1024" s="18" t="n">
        <v>1023</v>
      </c>
      <c r="B1024" s="18"/>
      <c r="C1024" s="18"/>
      <c r="D1024" s="18"/>
      <c r="E1024" s="18" t="s">
        <v>1916</v>
      </c>
      <c r="F1024" s="18" t="s">
        <v>1917</v>
      </c>
      <c r="G1024" s="18" t="s">
        <v>74</v>
      </c>
      <c r="H1024" s="18" t="n">
        <v>836</v>
      </c>
      <c r="I1024" s="19" t="n">
        <v>0</v>
      </c>
      <c r="J1024" s="19" t="n">
        <v>782.5</v>
      </c>
      <c r="K1024" s="19" t="n">
        <v>782.5</v>
      </c>
      <c r="L1024" s="19" t="n">
        <v>0</v>
      </c>
      <c r="M1024" s="19" t="n">
        <f aca="false">ABS(L1024)</f>
        <v>0</v>
      </c>
      <c r="N1024" s="18" t="str">
        <f aca="false">IF(L1024=0,"Nil balance",IF(G1024="AR file",IF(L1024&gt;0,"Accounts Receivable","Customer Advances"),IF(L1024&lt;0,"Accounts Payable","Supplier Advances")))</f>
        <v>Nil balance</v>
      </c>
      <c r="O1024" s="18" t="str">
        <f aca="false">IF(L1024=0,"Excluded",IF(Summary!$C$4="By ledger",IF(G1024="AR file","Population 1","Population 2"),IF(L1024&gt;0,"Population 1","Population 2")))</f>
        <v>Excluded</v>
      </c>
      <c r="P1024" s="18" t="str">
        <f aca="false">IF(O1024="Excluded","Excluded – nil closing balance",IF(M1024&gt;Summary!$C$5,"Above Materiality","Below Materiality"))</f>
        <v>Excluded – nil closing balance</v>
      </c>
      <c r="Q1024" s="20" t="str">
        <f aca="false">IF(P1024="Below Materiality",T1024,"")</f>
        <v/>
      </c>
      <c r="R1024" s="21" t="str">
        <f aca="false">IF(P1024="Above Materiality",COUNTIFS($O$2:$O$1092,O1024,$P$2:$P$1092,"Above Materiality",$M$2:$M$1092,"&gt;"&amp;M1024)+COUNTIFS($O$2:$O$1092,O1024,$P$2:$P$1092,"Above Materiality",$M$2:$M$1092,M1024,$A$2:$A$1092,"&lt;"&amp;A1024)+1,"")</f>
        <v/>
      </c>
      <c r="S1024" s="21" t="str">
        <f aca="false">IF(P1024&lt;&gt;"Below Materiality","",IF(Summary!$C$9="Random",COUNTIFS($O$2:$O$1092,O1024,$Q$2:$Q$1092,"&gt;"&amp;Q1024)+1,COUNTIFS($O$2:$O$1092,O1024,$P$2:$P$1092,"Below Materiality",$M$2:$M$1092,"&gt;"&amp;M1024)+COUNTIFS($O$2:$O$1092,O1024,$P$2:$P$1092,"Below Materiality",$M$2:$M$1092,M1024,$A$2:$A$1092,"&lt;"&amp;A1024)+1))</f>
        <v/>
      </c>
      <c r="T1024" s="22"/>
      <c r="U1024" s="21" t="str">
        <f aca="false">IF(R1024="","",O1024&amp;"|A|"&amp;R1024)</f>
        <v/>
      </c>
      <c r="V1024" s="21" t="str">
        <f aca="false">IF(S1024="","",O1024&amp;"|R|"&amp;S1024)</f>
        <v/>
      </c>
    </row>
    <row r="1025" customFormat="false" ht="15" hidden="false" customHeight="false" outlineLevel="0" collapsed="false">
      <c r="A1025" s="18" t="n">
        <v>1024</v>
      </c>
      <c r="B1025" s="18"/>
      <c r="C1025" s="18"/>
      <c r="D1025" s="18"/>
      <c r="E1025" s="18" t="s">
        <v>1918</v>
      </c>
      <c r="F1025" s="18" t="s">
        <v>1919</v>
      </c>
      <c r="G1025" s="18" t="s">
        <v>74</v>
      </c>
      <c r="H1025" s="18" t="n">
        <v>837</v>
      </c>
      <c r="I1025" s="19" t="n">
        <v>0</v>
      </c>
      <c r="J1025" s="19" t="n">
        <v>27005.45</v>
      </c>
      <c r="K1025" s="19" t="n">
        <v>27005.45</v>
      </c>
      <c r="L1025" s="19" t="n">
        <v>0</v>
      </c>
      <c r="M1025" s="19" t="n">
        <f aca="false">ABS(L1025)</f>
        <v>0</v>
      </c>
      <c r="N1025" s="18" t="str">
        <f aca="false">IF(L1025=0,"Nil balance",IF(G1025="AR file",IF(L1025&gt;0,"Accounts Receivable","Customer Advances"),IF(L1025&lt;0,"Accounts Payable","Supplier Advances")))</f>
        <v>Nil balance</v>
      </c>
      <c r="O1025" s="18" t="str">
        <f aca="false">IF(L1025=0,"Excluded",IF(Summary!$C$4="By ledger",IF(G1025="AR file","Population 1","Population 2"),IF(L1025&gt;0,"Population 1","Population 2")))</f>
        <v>Excluded</v>
      </c>
      <c r="P1025" s="18" t="str">
        <f aca="false">IF(O1025="Excluded","Excluded – nil closing balance",IF(M1025&gt;Summary!$C$5,"Above Materiality","Below Materiality"))</f>
        <v>Excluded – nil closing balance</v>
      </c>
      <c r="Q1025" s="20" t="str">
        <f aca="false">IF(P1025="Below Materiality",T1025,"")</f>
        <v/>
      </c>
      <c r="R1025" s="21" t="str">
        <f aca="false">IF(P1025="Above Materiality",COUNTIFS($O$2:$O$1092,O1025,$P$2:$P$1092,"Above Materiality",$M$2:$M$1092,"&gt;"&amp;M1025)+COUNTIFS($O$2:$O$1092,O1025,$P$2:$P$1092,"Above Materiality",$M$2:$M$1092,M1025,$A$2:$A$1092,"&lt;"&amp;A1025)+1,"")</f>
        <v/>
      </c>
      <c r="S1025" s="21" t="str">
        <f aca="false">IF(P1025&lt;&gt;"Below Materiality","",IF(Summary!$C$9="Random",COUNTIFS($O$2:$O$1092,O1025,$Q$2:$Q$1092,"&gt;"&amp;Q1025)+1,COUNTIFS($O$2:$O$1092,O1025,$P$2:$P$1092,"Below Materiality",$M$2:$M$1092,"&gt;"&amp;M1025)+COUNTIFS($O$2:$O$1092,O1025,$P$2:$P$1092,"Below Materiality",$M$2:$M$1092,M1025,$A$2:$A$1092,"&lt;"&amp;A1025)+1))</f>
        <v/>
      </c>
      <c r="T1025" s="22"/>
      <c r="U1025" s="21" t="str">
        <f aca="false">IF(R1025="","",O1025&amp;"|A|"&amp;R1025)</f>
        <v/>
      </c>
      <c r="V1025" s="21" t="str">
        <f aca="false">IF(S1025="","",O1025&amp;"|R|"&amp;S1025)</f>
        <v/>
      </c>
    </row>
    <row r="1026" customFormat="false" ht="15" hidden="false" customHeight="false" outlineLevel="0" collapsed="false">
      <c r="A1026" s="18" t="n">
        <v>1025</v>
      </c>
      <c r="B1026" s="18"/>
      <c r="C1026" s="18"/>
      <c r="D1026" s="18"/>
      <c r="E1026" s="18" t="s">
        <v>1920</v>
      </c>
      <c r="F1026" s="18" t="s">
        <v>468</v>
      </c>
      <c r="G1026" s="18" t="s">
        <v>74</v>
      </c>
      <c r="H1026" s="18" t="n">
        <v>838</v>
      </c>
      <c r="I1026" s="19" t="n">
        <v>0</v>
      </c>
      <c r="J1026" s="19" t="n">
        <v>1380</v>
      </c>
      <c r="K1026" s="19" t="n">
        <v>1380</v>
      </c>
      <c r="L1026" s="19" t="n">
        <v>0</v>
      </c>
      <c r="M1026" s="19" t="n">
        <f aca="false">ABS(L1026)</f>
        <v>0</v>
      </c>
      <c r="N1026" s="18" t="str">
        <f aca="false">IF(L1026=0,"Nil balance",IF(G1026="AR file",IF(L1026&gt;0,"Accounts Receivable","Customer Advances"),IF(L1026&lt;0,"Accounts Payable","Supplier Advances")))</f>
        <v>Nil balance</v>
      </c>
      <c r="O1026" s="18" t="str">
        <f aca="false">IF(L1026=0,"Excluded",IF(Summary!$C$4="By ledger",IF(G1026="AR file","Population 1","Population 2"),IF(L1026&gt;0,"Population 1","Population 2")))</f>
        <v>Excluded</v>
      </c>
      <c r="P1026" s="18" t="str">
        <f aca="false">IF(O1026="Excluded","Excluded – nil closing balance",IF(M1026&gt;Summary!$C$5,"Above Materiality","Below Materiality"))</f>
        <v>Excluded – nil closing balance</v>
      </c>
      <c r="Q1026" s="20" t="str">
        <f aca="false">IF(P1026="Below Materiality",T1026,"")</f>
        <v/>
      </c>
      <c r="R1026" s="21" t="str">
        <f aca="false">IF(P1026="Above Materiality",COUNTIFS($O$2:$O$1092,O1026,$P$2:$P$1092,"Above Materiality",$M$2:$M$1092,"&gt;"&amp;M1026)+COUNTIFS($O$2:$O$1092,O1026,$P$2:$P$1092,"Above Materiality",$M$2:$M$1092,M1026,$A$2:$A$1092,"&lt;"&amp;A1026)+1,"")</f>
        <v/>
      </c>
      <c r="S1026" s="21" t="str">
        <f aca="false">IF(P1026&lt;&gt;"Below Materiality","",IF(Summary!$C$9="Random",COUNTIFS($O$2:$O$1092,O1026,$Q$2:$Q$1092,"&gt;"&amp;Q1026)+1,COUNTIFS($O$2:$O$1092,O1026,$P$2:$P$1092,"Below Materiality",$M$2:$M$1092,"&gt;"&amp;M1026)+COUNTIFS($O$2:$O$1092,O1026,$P$2:$P$1092,"Below Materiality",$M$2:$M$1092,M1026,$A$2:$A$1092,"&lt;"&amp;A1026)+1))</f>
        <v/>
      </c>
      <c r="T1026" s="22"/>
      <c r="U1026" s="21" t="str">
        <f aca="false">IF(R1026="","",O1026&amp;"|A|"&amp;R1026)</f>
        <v/>
      </c>
      <c r="V1026" s="21" t="str">
        <f aca="false">IF(S1026="","",O1026&amp;"|R|"&amp;S1026)</f>
        <v/>
      </c>
    </row>
    <row r="1027" customFormat="false" ht="15" hidden="false" customHeight="false" outlineLevel="0" collapsed="false">
      <c r="A1027" s="18" t="n">
        <v>1026</v>
      </c>
      <c r="B1027" s="18"/>
      <c r="C1027" s="18"/>
      <c r="D1027" s="18"/>
      <c r="E1027" s="18" t="s">
        <v>1921</v>
      </c>
      <c r="F1027" s="18" t="s">
        <v>474</v>
      </c>
      <c r="G1027" s="18" t="s">
        <v>74</v>
      </c>
      <c r="H1027" s="18" t="n">
        <v>839</v>
      </c>
      <c r="I1027" s="19" t="n">
        <v>0</v>
      </c>
      <c r="J1027" s="19" t="n">
        <v>115</v>
      </c>
      <c r="K1027" s="19" t="n">
        <v>115</v>
      </c>
      <c r="L1027" s="19" t="n">
        <v>0</v>
      </c>
      <c r="M1027" s="19" t="n">
        <f aca="false">ABS(L1027)</f>
        <v>0</v>
      </c>
      <c r="N1027" s="18" t="str">
        <f aca="false">IF(L1027=0,"Nil balance",IF(G1027="AR file",IF(L1027&gt;0,"Accounts Receivable","Customer Advances"),IF(L1027&lt;0,"Accounts Payable","Supplier Advances")))</f>
        <v>Nil balance</v>
      </c>
      <c r="O1027" s="18" t="str">
        <f aca="false">IF(L1027=0,"Excluded",IF(Summary!$C$4="By ledger",IF(G1027="AR file","Population 1","Population 2"),IF(L1027&gt;0,"Population 1","Population 2")))</f>
        <v>Excluded</v>
      </c>
      <c r="P1027" s="18" t="str">
        <f aca="false">IF(O1027="Excluded","Excluded – nil closing balance",IF(M1027&gt;Summary!$C$5,"Above Materiality","Below Materiality"))</f>
        <v>Excluded – nil closing balance</v>
      </c>
      <c r="Q1027" s="20" t="str">
        <f aca="false">IF(P1027="Below Materiality",T1027,"")</f>
        <v/>
      </c>
      <c r="R1027" s="21" t="str">
        <f aca="false">IF(P1027="Above Materiality",COUNTIFS($O$2:$O$1092,O1027,$P$2:$P$1092,"Above Materiality",$M$2:$M$1092,"&gt;"&amp;M1027)+COUNTIFS($O$2:$O$1092,O1027,$P$2:$P$1092,"Above Materiality",$M$2:$M$1092,M1027,$A$2:$A$1092,"&lt;"&amp;A1027)+1,"")</f>
        <v/>
      </c>
      <c r="S1027" s="21" t="str">
        <f aca="false">IF(P1027&lt;&gt;"Below Materiality","",IF(Summary!$C$9="Random",COUNTIFS($O$2:$O$1092,O1027,$Q$2:$Q$1092,"&gt;"&amp;Q1027)+1,COUNTIFS($O$2:$O$1092,O1027,$P$2:$P$1092,"Below Materiality",$M$2:$M$1092,"&gt;"&amp;M1027)+COUNTIFS($O$2:$O$1092,O1027,$P$2:$P$1092,"Below Materiality",$M$2:$M$1092,M1027,$A$2:$A$1092,"&lt;"&amp;A1027)+1))</f>
        <v/>
      </c>
      <c r="T1027" s="22"/>
      <c r="U1027" s="21" t="str">
        <f aca="false">IF(R1027="","",O1027&amp;"|A|"&amp;R1027)</f>
        <v/>
      </c>
      <c r="V1027" s="21" t="str">
        <f aca="false">IF(S1027="","",O1027&amp;"|R|"&amp;S1027)</f>
        <v/>
      </c>
    </row>
    <row r="1028" customFormat="false" ht="15" hidden="false" customHeight="false" outlineLevel="0" collapsed="false">
      <c r="A1028" s="18" t="n">
        <v>1027</v>
      </c>
      <c r="B1028" s="18"/>
      <c r="C1028" s="18"/>
      <c r="D1028" s="18"/>
      <c r="E1028" s="18" t="s">
        <v>1922</v>
      </c>
      <c r="F1028" s="18" t="s">
        <v>1923</v>
      </c>
      <c r="G1028" s="18" t="s">
        <v>74</v>
      </c>
      <c r="H1028" s="18" t="n">
        <v>840</v>
      </c>
      <c r="I1028" s="19" t="n">
        <v>0</v>
      </c>
      <c r="J1028" s="19" t="n">
        <v>5865</v>
      </c>
      <c r="K1028" s="19" t="n">
        <v>5865</v>
      </c>
      <c r="L1028" s="19" t="n">
        <v>0</v>
      </c>
      <c r="M1028" s="19" t="n">
        <f aca="false">ABS(L1028)</f>
        <v>0</v>
      </c>
      <c r="N1028" s="18" t="str">
        <f aca="false">IF(L1028=0,"Nil balance",IF(G1028="AR file",IF(L1028&gt;0,"Accounts Receivable","Customer Advances"),IF(L1028&lt;0,"Accounts Payable","Supplier Advances")))</f>
        <v>Nil balance</v>
      </c>
      <c r="O1028" s="18" t="str">
        <f aca="false">IF(L1028=0,"Excluded",IF(Summary!$C$4="By ledger",IF(G1028="AR file","Population 1","Population 2"),IF(L1028&gt;0,"Population 1","Population 2")))</f>
        <v>Excluded</v>
      </c>
      <c r="P1028" s="18" t="str">
        <f aca="false">IF(O1028="Excluded","Excluded – nil closing balance",IF(M1028&gt;Summary!$C$5,"Above Materiality","Below Materiality"))</f>
        <v>Excluded – nil closing balance</v>
      </c>
      <c r="Q1028" s="20" t="str">
        <f aca="false">IF(P1028="Below Materiality",T1028,"")</f>
        <v/>
      </c>
      <c r="R1028" s="21" t="str">
        <f aca="false">IF(P1028="Above Materiality",COUNTIFS($O$2:$O$1092,O1028,$P$2:$P$1092,"Above Materiality",$M$2:$M$1092,"&gt;"&amp;M1028)+COUNTIFS($O$2:$O$1092,O1028,$P$2:$P$1092,"Above Materiality",$M$2:$M$1092,M1028,$A$2:$A$1092,"&lt;"&amp;A1028)+1,"")</f>
        <v/>
      </c>
      <c r="S1028" s="21" t="str">
        <f aca="false">IF(P1028&lt;&gt;"Below Materiality","",IF(Summary!$C$9="Random",COUNTIFS($O$2:$O$1092,O1028,$Q$2:$Q$1092,"&gt;"&amp;Q1028)+1,COUNTIFS($O$2:$O$1092,O1028,$P$2:$P$1092,"Below Materiality",$M$2:$M$1092,"&gt;"&amp;M1028)+COUNTIFS($O$2:$O$1092,O1028,$P$2:$P$1092,"Below Materiality",$M$2:$M$1092,M1028,$A$2:$A$1092,"&lt;"&amp;A1028)+1))</f>
        <v/>
      </c>
      <c r="T1028" s="22"/>
      <c r="U1028" s="21" t="str">
        <f aca="false">IF(R1028="","",O1028&amp;"|A|"&amp;R1028)</f>
        <v/>
      </c>
      <c r="V1028" s="21" t="str">
        <f aca="false">IF(S1028="","",O1028&amp;"|R|"&amp;S1028)</f>
        <v/>
      </c>
    </row>
    <row r="1029" customFormat="false" ht="15" hidden="false" customHeight="false" outlineLevel="0" collapsed="false">
      <c r="A1029" s="18" t="n">
        <v>1028</v>
      </c>
      <c r="B1029" s="18"/>
      <c r="C1029" s="18"/>
      <c r="D1029" s="18"/>
      <c r="E1029" s="18" t="s">
        <v>1924</v>
      </c>
      <c r="F1029" s="18" t="s">
        <v>1925</v>
      </c>
      <c r="G1029" s="18" t="s">
        <v>74</v>
      </c>
      <c r="H1029" s="18" t="n">
        <v>841</v>
      </c>
      <c r="I1029" s="19" t="n">
        <v>0</v>
      </c>
      <c r="J1029" s="19" t="n">
        <v>279</v>
      </c>
      <c r="K1029" s="19" t="n">
        <v>279</v>
      </c>
      <c r="L1029" s="19" t="n">
        <v>0</v>
      </c>
      <c r="M1029" s="19" t="n">
        <f aca="false">ABS(L1029)</f>
        <v>0</v>
      </c>
      <c r="N1029" s="18" t="str">
        <f aca="false">IF(L1029=0,"Nil balance",IF(G1029="AR file",IF(L1029&gt;0,"Accounts Receivable","Customer Advances"),IF(L1029&lt;0,"Accounts Payable","Supplier Advances")))</f>
        <v>Nil balance</v>
      </c>
      <c r="O1029" s="18" t="str">
        <f aca="false">IF(L1029=0,"Excluded",IF(Summary!$C$4="By ledger",IF(G1029="AR file","Population 1","Population 2"),IF(L1029&gt;0,"Population 1","Population 2")))</f>
        <v>Excluded</v>
      </c>
      <c r="P1029" s="18" t="str">
        <f aca="false">IF(O1029="Excluded","Excluded – nil closing balance",IF(M1029&gt;Summary!$C$5,"Above Materiality","Below Materiality"))</f>
        <v>Excluded – nil closing balance</v>
      </c>
      <c r="Q1029" s="20" t="str">
        <f aca="false">IF(P1029="Below Materiality",T1029,"")</f>
        <v/>
      </c>
      <c r="R1029" s="21" t="str">
        <f aca="false">IF(P1029="Above Materiality",COUNTIFS($O$2:$O$1092,O1029,$P$2:$P$1092,"Above Materiality",$M$2:$M$1092,"&gt;"&amp;M1029)+COUNTIFS($O$2:$O$1092,O1029,$P$2:$P$1092,"Above Materiality",$M$2:$M$1092,M1029,$A$2:$A$1092,"&lt;"&amp;A1029)+1,"")</f>
        <v/>
      </c>
      <c r="S1029" s="21" t="str">
        <f aca="false">IF(P1029&lt;&gt;"Below Materiality","",IF(Summary!$C$9="Random",COUNTIFS($O$2:$O$1092,O1029,$Q$2:$Q$1092,"&gt;"&amp;Q1029)+1,COUNTIFS($O$2:$O$1092,O1029,$P$2:$P$1092,"Below Materiality",$M$2:$M$1092,"&gt;"&amp;M1029)+COUNTIFS($O$2:$O$1092,O1029,$P$2:$P$1092,"Below Materiality",$M$2:$M$1092,M1029,$A$2:$A$1092,"&lt;"&amp;A1029)+1))</f>
        <v/>
      </c>
      <c r="T1029" s="22"/>
      <c r="U1029" s="21" t="str">
        <f aca="false">IF(R1029="","",O1029&amp;"|A|"&amp;R1029)</f>
        <v/>
      </c>
      <c r="V1029" s="21" t="str">
        <f aca="false">IF(S1029="","",O1029&amp;"|R|"&amp;S1029)</f>
        <v/>
      </c>
    </row>
    <row r="1030" customFormat="false" ht="15" hidden="false" customHeight="false" outlineLevel="0" collapsed="false">
      <c r="A1030" s="18" t="n">
        <v>1029</v>
      </c>
      <c r="B1030" s="18"/>
      <c r="C1030" s="18"/>
      <c r="D1030" s="18"/>
      <c r="E1030" s="18" t="s">
        <v>1926</v>
      </c>
      <c r="F1030" s="18" t="s">
        <v>1047</v>
      </c>
      <c r="G1030" s="18" t="s">
        <v>74</v>
      </c>
      <c r="H1030" s="18" t="n">
        <v>842</v>
      </c>
      <c r="I1030" s="19" t="n">
        <v>0</v>
      </c>
      <c r="J1030" s="19" t="n">
        <v>57.5</v>
      </c>
      <c r="K1030" s="19" t="n">
        <v>57.5</v>
      </c>
      <c r="L1030" s="19" t="n">
        <v>0</v>
      </c>
      <c r="M1030" s="19" t="n">
        <f aca="false">ABS(L1030)</f>
        <v>0</v>
      </c>
      <c r="N1030" s="18" t="str">
        <f aca="false">IF(L1030=0,"Nil balance",IF(G1030="AR file",IF(L1030&gt;0,"Accounts Receivable","Customer Advances"),IF(L1030&lt;0,"Accounts Payable","Supplier Advances")))</f>
        <v>Nil balance</v>
      </c>
      <c r="O1030" s="18" t="str">
        <f aca="false">IF(L1030=0,"Excluded",IF(Summary!$C$4="By ledger",IF(G1030="AR file","Population 1","Population 2"),IF(L1030&gt;0,"Population 1","Population 2")))</f>
        <v>Excluded</v>
      </c>
      <c r="P1030" s="18" t="str">
        <f aca="false">IF(O1030="Excluded","Excluded – nil closing balance",IF(M1030&gt;Summary!$C$5,"Above Materiality","Below Materiality"))</f>
        <v>Excluded – nil closing balance</v>
      </c>
      <c r="Q1030" s="20" t="str">
        <f aca="false">IF(P1030="Below Materiality",T1030,"")</f>
        <v/>
      </c>
      <c r="R1030" s="21" t="str">
        <f aca="false">IF(P1030="Above Materiality",COUNTIFS($O$2:$O$1092,O1030,$P$2:$P$1092,"Above Materiality",$M$2:$M$1092,"&gt;"&amp;M1030)+COUNTIFS($O$2:$O$1092,O1030,$P$2:$P$1092,"Above Materiality",$M$2:$M$1092,M1030,$A$2:$A$1092,"&lt;"&amp;A1030)+1,"")</f>
        <v/>
      </c>
      <c r="S1030" s="21" t="str">
        <f aca="false">IF(P1030&lt;&gt;"Below Materiality","",IF(Summary!$C$9="Random",COUNTIFS($O$2:$O$1092,O1030,$Q$2:$Q$1092,"&gt;"&amp;Q1030)+1,COUNTIFS($O$2:$O$1092,O1030,$P$2:$P$1092,"Below Materiality",$M$2:$M$1092,"&gt;"&amp;M1030)+COUNTIFS($O$2:$O$1092,O1030,$P$2:$P$1092,"Below Materiality",$M$2:$M$1092,M1030,$A$2:$A$1092,"&lt;"&amp;A1030)+1))</f>
        <v/>
      </c>
      <c r="T1030" s="22"/>
      <c r="U1030" s="21" t="str">
        <f aca="false">IF(R1030="","",O1030&amp;"|A|"&amp;R1030)</f>
        <v/>
      </c>
      <c r="V1030" s="21" t="str">
        <f aca="false">IF(S1030="","",O1030&amp;"|R|"&amp;S1030)</f>
        <v/>
      </c>
    </row>
    <row r="1031" customFormat="false" ht="15" hidden="false" customHeight="false" outlineLevel="0" collapsed="false">
      <c r="A1031" s="18" t="n">
        <v>1030</v>
      </c>
      <c r="B1031" s="18"/>
      <c r="C1031" s="18"/>
      <c r="D1031" s="18"/>
      <c r="E1031" s="18" t="s">
        <v>1927</v>
      </c>
      <c r="F1031" s="18" t="s">
        <v>1144</v>
      </c>
      <c r="G1031" s="18" t="s">
        <v>74</v>
      </c>
      <c r="H1031" s="18" t="n">
        <v>843</v>
      </c>
      <c r="I1031" s="19" t="n">
        <v>0</v>
      </c>
      <c r="J1031" s="19" t="n">
        <v>184</v>
      </c>
      <c r="K1031" s="19" t="n">
        <v>184</v>
      </c>
      <c r="L1031" s="19" t="n">
        <v>0</v>
      </c>
      <c r="M1031" s="19" t="n">
        <f aca="false">ABS(L1031)</f>
        <v>0</v>
      </c>
      <c r="N1031" s="18" t="str">
        <f aca="false">IF(L1031=0,"Nil balance",IF(G1031="AR file",IF(L1031&gt;0,"Accounts Receivable","Customer Advances"),IF(L1031&lt;0,"Accounts Payable","Supplier Advances")))</f>
        <v>Nil balance</v>
      </c>
      <c r="O1031" s="18" t="str">
        <f aca="false">IF(L1031=0,"Excluded",IF(Summary!$C$4="By ledger",IF(G1031="AR file","Population 1","Population 2"),IF(L1031&gt;0,"Population 1","Population 2")))</f>
        <v>Excluded</v>
      </c>
      <c r="P1031" s="18" t="str">
        <f aca="false">IF(O1031="Excluded","Excluded – nil closing balance",IF(M1031&gt;Summary!$C$5,"Above Materiality","Below Materiality"))</f>
        <v>Excluded – nil closing balance</v>
      </c>
      <c r="Q1031" s="20" t="str">
        <f aca="false">IF(P1031="Below Materiality",T1031,"")</f>
        <v/>
      </c>
      <c r="R1031" s="21" t="str">
        <f aca="false">IF(P1031="Above Materiality",COUNTIFS($O$2:$O$1092,O1031,$P$2:$P$1092,"Above Materiality",$M$2:$M$1092,"&gt;"&amp;M1031)+COUNTIFS($O$2:$O$1092,O1031,$P$2:$P$1092,"Above Materiality",$M$2:$M$1092,M1031,$A$2:$A$1092,"&lt;"&amp;A1031)+1,"")</f>
        <v/>
      </c>
      <c r="S1031" s="21" t="str">
        <f aca="false">IF(P1031&lt;&gt;"Below Materiality","",IF(Summary!$C$9="Random",COUNTIFS($O$2:$O$1092,O1031,$Q$2:$Q$1092,"&gt;"&amp;Q1031)+1,COUNTIFS($O$2:$O$1092,O1031,$P$2:$P$1092,"Below Materiality",$M$2:$M$1092,"&gt;"&amp;M1031)+COUNTIFS($O$2:$O$1092,O1031,$P$2:$P$1092,"Below Materiality",$M$2:$M$1092,M1031,$A$2:$A$1092,"&lt;"&amp;A1031)+1))</f>
        <v/>
      </c>
      <c r="T1031" s="22"/>
      <c r="U1031" s="21" t="str">
        <f aca="false">IF(R1031="","",O1031&amp;"|A|"&amp;R1031)</f>
        <v/>
      </c>
      <c r="V1031" s="21" t="str">
        <f aca="false">IF(S1031="","",O1031&amp;"|R|"&amp;S1031)</f>
        <v/>
      </c>
    </row>
    <row r="1032" customFormat="false" ht="15" hidden="false" customHeight="false" outlineLevel="0" collapsed="false">
      <c r="A1032" s="18" t="n">
        <v>1031</v>
      </c>
      <c r="B1032" s="18"/>
      <c r="C1032" s="18"/>
      <c r="D1032" s="18"/>
      <c r="E1032" s="18" t="s">
        <v>1928</v>
      </c>
      <c r="F1032" s="18" t="s">
        <v>1929</v>
      </c>
      <c r="G1032" s="18" t="s">
        <v>74</v>
      </c>
      <c r="H1032" s="18" t="n">
        <v>844</v>
      </c>
      <c r="I1032" s="19" t="n">
        <v>0</v>
      </c>
      <c r="J1032" s="19" t="n">
        <v>1913.6</v>
      </c>
      <c r="K1032" s="19" t="n">
        <v>1913.6</v>
      </c>
      <c r="L1032" s="19" t="n">
        <v>0</v>
      </c>
      <c r="M1032" s="19" t="n">
        <f aca="false">ABS(L1032)</f>
        <v>0</v>
      </c>
      <c r="N1032" s="18" t="str">
        <f aca="false">IF(L1032=0,"Nil balance",IF(G1032="AR file",IF(L1032&gt;0,"Accounts Receivable","Customer Advances"),IF(L1032&lt;0,"Accounts Payable","Supplier Advances")))</f>
        <v>Nil balance</v>
      </c>
      <c r="O1032" s="18" t="str">
        <f aca="false">IF(L1032=0,"Excluded",IF(Summary!$C$4="By ledger",IF(G1032="AR file","Population 1","Population 2"),IF(L1032&gt;0,"Population 1","Population 2")))</f>
        <v>Excluded</v>
      </c>
      <c r="P1032" s="18" t="str">
        <f aca="false">IF(O1032="Excluded","Excluded – nil closing balance",IF(M1032&gt;Summary!$C$5,"Above Materiality","Below Materiality"))</f>
        <v>Excluded – nil closing balance</v>
      </c>
      <c r="Q1032" s="20" t="str">
        <f aca="false">IF(P1032="Below Materiality",T1032,"")</f>
        <v/>
      </c>
      <c r="R1032" s="21" t="str">
        <f aca="false">IF(P1032="Above Materiality",COUNTIFS($O$2:$O$1092,O1032,$P$2:$P$1092,"Above Materiality",$M$2:$M$1092,"&gt;"&amp;M1032)+COUNTIFS($O$2:$O$1092,O1032,$P$2:$P$1092,"Above Materiality",$M$2:$M$1092,M1032,$A$2:$A$1092,"&lt;"&amp;A1032)+1,"")</f>
        <v/>
      </c>
      <c r="S1032" s="21" t="str">
        <f aca="false">IF(P1032&lt;&gt;"Below Materiality","",IF(Summary!$C$9="Random",COUNTIFS($O$2:$O$1092,O1032,$Q$2:$Q$1092,"&gt;"&amp;Q1032)+1,COUNTIFS($O$2:$O$1092,O1032,$P$2:$P$1092,"Below Materiality",$M$2:$M$1092,"&gt;"&amp;M1032)+COUNTIFS($O$2:$O$1092,O1032,$P$2:$P$1092,"Below Materiality",$M$2:$M$1092,M1032,$A$2:$A$1092,"&lt;"&amp;A1032)+1))</f>
        <v/>
      </c>
      <c r="T1032" s="22"/>
      <c r="U1032" s="21" t="str">
        <f aca="false">IF(R1032="","",O1032&amp;"|A|"&amp;R1032)</f>
        <v/>
      </c>
      <c r="V1032" s="21" t="str">
        <f aca="false">IF(S1032="","",O1032&amp;"|R|"&amp;S1032)</f>
        <v/>
      </c>
    </row>
    <row r="1033" customFormat="false" ht="15" hidden="false" customHeight="false" outlineLevel="0" collapsed="false">
      <c r="A1033" s="18" t="n">
        <v>1032</v>
      </c>
      <c r="B1033" s="18"/>
      <c r="C1033" s="18"/>
      <c r="D1033" s="18"/>
      <c r="E1033" s="18" t="s">
        <v>1930</v>
      </c>
      <c r="F1033" s="18" t="s">
        <v>1493</v>
      </c>
      <c r="G1033" s="18" t="s">
        <v>74</v>
      </c>
      <c r="H1033" s="18" t="n">
        <v>845</v>
      </c>
      <c r="I1033" s="19" t="n">
        <v>0</v>
      </c>
      <c r="J1033" s="19" t="n">
        <v>2070</v>
      </c>
      <c r="K1033" s="19" t="n">
        <v>2070</v>
      </c>
      <c r="L1033" s="19" t="n">
        <v>0</v>
      </c>
      <c r="M1033" s="19" t="n">
        <f aca="false">ABS(L1033)</f>
        <v>0</v>
      </c>
      <c r="N1033" s="18" t="str">
        <f aca="false">IF(L1033=0,"Nil balance",IF(G1033="AR file",IF(L1033&gt;0,"Accounts Receivable","Customer Advances"),IF(L1033&lt;0,"Accounts Payable","Supplier Advances")))</f>
        <v>Nil balance</v>
      </c>
      <c r="O1033" s="18" t="str">
        <f aca="false">IF(L1033=0,"Excluded",IF(Summary!$C$4="By ledger",IF(G1033="AR file","Population 1","Population 2"),IF(L1033&gt;0,"Population 1","Population 2")))</f>
        <v>Excluded</v>
      </c>
      <c r="P1033" s="18" t="str">
        <f aca="false">IF(O1033="Excluded","Excluded – nil closing balance",IF(M1033&gt;Summary!$C$5,"Above Materiality","Below Materiality"))</f>
        <v>Excluded – nil closing balance</v>
      </c>
      <c r="Q1033" s="20" t="str">
        <f aca="false">IF(P1033="Below Materiality",T1033,"")</f>
        <v/>
      </c>
      <c r="R1033" s="21" t="str">
        <f aca="false">IF(P1033="Above Materiality",COUNTIFS($O$2:$O$1092,O1033,$P$2:$P$1092,"Above Materiality",$M$2:$M$1092,"&gt;"&amp;M1033)+COUNTIFS($O$2:$O$1092,O1033,$P$2:$P$1092,"Above Materiality",$M$2:$M$1092,M1033,$A$2:$A$1092,"&lt;"&amp;A1033)+1,"")</f>
        <v/>
      </c>
      <c r="S1033" s="21" t="str">
        <f aca="false">IF(P1033&lt;&gt;"Below Materiality","",IF(Summary!$C$9="Random",COUNTIFS($O$2:$O$1092,O1033,$Q$2:$Q$1092,"&gt;"&amp;Q1033)+1,COUNTIFS($O$2:$O$1092,O1033,$P$2:$P$1092,"Below Materiality",$M$2:$M$1092,"&gt;"&amp;M1033)+COUNTIFS($O$2:$O$1092,O1033,$P$2:$P$1092,"Below Materiality",$M$2:$M$1092,M1033,$A$2:$A$1092,"&lt;"&amp;A1033)+1))</f>
        <v/>
      </c>
      <c r="T1033" s="22"/>
      <c r="U1033" s="21" t="str">
        <f aca="false">IF(R1033="","",O1033&amp;"|A|"&amp;R1033)</f>
        <v/>
      </c>
      <c r="V1033" s="21" t="str">
        <f aca="false">IF(S1033="","",O1033&amp;"|R|"&amp;S1033)</f>
        <v/>
      </c>
    </row>
    <row r="1034" customFormat="false" ht="15" hidden="false" customHeight="false" outlineLevel="0" collapsed="false">
      <c r="A1034" s="18" t="n">
        <v>1033</v>
      </c>
      <c r="B1034" s="18"/>
      <c r="C1034" s="18"/>
      <c r="D1034" s="18"/>
      <c r="E1034" s="18" t="s">
        <v>1931</v>
      </c>
      <c r="F1034" s="18" t="s">
        <v>1157</v>
      </c>
      <c r="G1034" s="18" t="s">
        <v>74</v>
      </c>
      <c r="H1034" s="18" t="n">
        <v>847</v>
      </c>
      <c r="I1034" s="19" t="n">
        <v>0</v>
      </c>
      <c r="J1034" s="19" t="n">
        <v>1104</v>
      </c>
      <c r="K1034" s="19" t="n">
        <v>1104</v>
      </c>
      <c r="L1034" s="19" t="n">
        <v>0</v>
      </c>
      <c r="M1034" s="19" t="n">
        <f aca="false">ABS(L1034)</f>
        <v>0</v>
      </c>
      <c r="N1034" s="18" t="str">
        <f aca="false">IF(L1034=0,"Nil balance",IF(G1034="AR file",IF(L1034&gt;0,"Accounts Receivable","Customer Advances"),IF(L1034&lt;0,"Accounts Payable","Supplier Advances")))</f>
        <v>Nil balance</v>
      </c>
      <c r="O1034" s="18" t="str">
        <f aca="false">IF(L1034=0,"Excluded",IF(Summary!$C$4="By ledger",IF(G1034="AR file","Population 1","Population 2"),IF(L1034&gt;0,"Population 1","Population 2")))</f>
        <v>Excluded</v>
      </c>
      <c r="P1034" s="18" t="str">
        <f aca="false">IF(O1034="Excluded","Excluded – nil closing balance",IF(M1034&gt;Summary!$C$5,"Above Materiality","Below Materiality"))</f>
        <v>Excluded – nil closing balance</v>
      </c>
      <c r="Q1034" s="20" t="str">
        <f aca="false">IF(P1034="Below Materiality",T1034,"")</f>
        <v/>
      </c>
      <c r="R1034" s="21" t="str">
        <f aca="false">IF(P1034="Above Materiality",COUNTIFS($O$2:$O$1092,O1034,$P$2:$P$1092,"Above Materiality",$M$2:$M$1092,"&gt;"&amp;M1034)+COUNTIFS($O$2:$O$1092,O1034,$P$2:$P$1092,"Above Materiality",$M$2:$M$1092,M1034,$A$2:$A$1092,"&lt;"&amp;A1034)+1,"")</f>
        <v/>
      </c>
      <c r="S1034" s="21" t="str">
        <f aca="false">IF(P1034&lt;&gt;"Below Materiality","",IF(Summary!$C$9="Random",COUNTIFS($O$2:$O$1092,O1034,$Q$2:$Q$1092,"&gt;"&amp;Q1034)+1,COUNTIFS($O$2:$O$1092,O1034,$P$2:$P$1092,"Below Materiality",$M$2:$M$1092,"&gt;"&amp;M1034)+COUNTIFS($O$2:$O$1092,O1034,$P$2:$P$1092,"Below Materiality",$M$2:$M$1092,M1034,$A$2:$A$1092,"&lt;"&amp;A1034)+1))</f>
        <v/>
      </c>
      <c r="T1034" s="22"/>
      <c r="U1034" s="21" t="str">
        <f aca="false">IF(R1034="","",O1034&amp;"|A|"&amp;R1034)</f>
        <v/>
      </c>
      <c r="V1034" s="21" t="str">
        <f aca="false">IF(S1034="","",O1034&amp;"|R|"&amp;S1034)</f>
        <v/>
      </c>
    </row>
    <row r="1035" customFormat="false" ht="15" hidden="false" customHeight="false" outlineLevel="0" collapsed="false">
      <c r="A1035" s="18" t="n">
        <v>1034</v>
      </c>
      <c r="B1035" s="18"/>
      <c r="C1035" s="18"/>
      <c r="D1035" s="18"/>
      <c r="E1035" s="18" t="s">
        <v>1932</v>
      </c>
      <c r="F1035" s="18" t="s">
        <v>1933</v>
      </c>
      <c r="G1035" s="18" t="s">
        <v>74</v>
      </c>
      <c r="H1035" s="18" t="n">
        <v>848</v>
      </c>
      <c r="I1035" s="19" t="n">
        <v>0</v>
      </c>
      <c r="J1035" s="19" t="n">
        <v>15904.5</v>
      </c>
      <c r="K1035" s="19" t="n">
        <v>15904.5</v>
      </c>
      <c r="L1035" s="19" t="n">
        <v>0</v>
      </c>
      <c r="M1035" s="19" t="n">
        <f aca="false">ABS(L1035)</f>
        <v>0</v>
      </c>
      <c r="N1035" s="18" t="str">
        <f aca="false">IF(L1035=0,"Nil balance",IF(G1035="AR file",IF(L1035&gt;0,"Accounts Receivable","Customer Advances"),IF(L1035&lt;0,"Accounts Payable","Supplier Advances")))</f>
        <v>Nil balance</v>
      </c>
      <c r="O1035" s="18" t="str">
        <f aca="false">IF(L1035=0,"Excluded",IF(Summary!$C$4="By ledger",IF(G1035="AR file","Population 1","Population 2"),IF(L1035&gt;0,"Population 1","Population 2")))</f>
        <v>Excluded</v>
      </c>
      <c r="P1035" s="18" t="str">
        <f aca="false">IF(O1035="Excluded","Excluded – nil closing balance",IF(M1035&gt;Summary!$C$5,"Above Materiality","Below Materiality"))</f>
        <v>Excluded – nil closing balance</v>
      </c>
      <c r="Q1035" s="20" t="str">
        <f aca="false">IF(P1035="Below Materiality",T1035,"")</f>
        <v/>
      </c>
      <c r="R1035" s="21" t="str">
        <f aca="false">IF(P1035="Above Materiality",COUNTIFS($O$2:$O$1092,O1035,$P$2:$P$1092,"Above Materiality",$M$2:$M$1092,"&gt;"&amp;M1035)+COUNTIFS($O$2:$O$1092,O1035,$P$2:$P$1092,"Above Materiality",$M$2:$M$1092,M1035,$A$2:$A$1092,"&lt;"&amp;A1035)+1,"")</f>
        <v/>
      </c>
      <c r="S1035" s="21" t="str">
        <f aca="false">IF(P1035&lt;&gt;"Below Materiality","",IF(Summary!$C$9="Random",COUNTIFS($O$2:$O$1092,O1035,$Q$2:$Q$1092,"&gt;"&amp;Q1035)+1,COUNTIFS($O$2:$O$1092,O1035,$P$2:$P$1092,"Below Materiality",$M$2:$M$1092,"&gt;"&amp;M1035)+COUNTIFS($O$2:$O$1092,O1035,$P$2:$P$1092,"Below Materiality",$M$2:$M$1092,M1035,$A$2:$A$1092,"&lt;"&amp;A1035)+1))</f>
        <v/>
      </c>
      <c r="T1035" s="22"/>
      <c r="U1035" s="21" t="str">
        <f aca="false">IF(R1035="","",O1035&amp;"|A|"&amp;R1035)</f>
        <v/>
      </c>
      <c r="V1035" s="21" t="str">
        <f aca="false">IF(S1035="","",O1035&amp;"|R|"&amp;S1035)</f>
        <v/>
      </c>
    </row>
    <row r="1036" customFormat="false" ht="15" hidden="false" customHeight="false" outlineLevel="0" collapsed="false">
      <c r="A1036" s="18" t="n">
        <v>1035</v>
      </c>
      <c r="B1036" s="18"/>
      <c r="C1036" s="18"/>
      <c r="D1036" s="18"/>
      <c r="E1036" s="18" t="s">
        <v>1934</v>
      </c>
      <c r="F1036" s="18" t="s">
        <v>1241</v>
      </c>
      <c r="G1036" s="18" t="s">
        <v>74</v>
      </c>
      <c r="H1036" s="18" t="n">
        <v>849</v>
      </c>
      <c r="I1036" s="19" t="n">
        <v>0</v>
      </c>
      <c r="J1036" s="19" t="n">
        <v>3105</v>
      </c>
      <c r="K1036" s="19" t="n">
        <v>3105</v>
      </c>
      <c r="L1036" s="19" t="n">
        <v>0</v>
      </c>
      <c r="M1036" s="19" t="n">
        <f aca="false">ABS(L1036)</f>
        <v>0</v>
      </c>
      <c r="N1036" s="18" t="str">
        <f aca="false">IF(L1036=0,"Nil balance",IF(G1036="AR file",IF(L1036&gt;0,"Accounts Receivable","Customer Advances"),IF(L1036&lt;0,"Accounts Payable","Supplier Advances")))</f>
        <v>Nil balance</v>
      </c>
      <c r="O1036" s="18" t="str">
        <f aca="false">IF(L1036=0,"Excluded",IF(Summary!$C$4="By ledger",IF(G1036="AR file","Population 1","Population 2"),IF(L1036&gt;0,"Population 1","Population 2")))</f>
        <v>Excluded</v>
      </c>
      <c r="P1036" s="18" t="str">
        <f aca="false">IF(O1036="Excluded","Excluded – nil closing balance",IF(M1036&gt;Summary!$C$5,"Above Materiality","Below Materiality"))</f>
        <v>Excluded – nil closing balance</v>
      </c>
      <c r="Q1036" s="20" t="str">
        <f aca="false">IF(P1036="Below Materiality",T1036,"")</f>
        <v/>
      </c>
      <c r="R1036" s="21" t="str">
        <f aca="false">IF(P1036="Above Materiality",COUNTIFS($O$2:$O$1092,O1036,$P$2:$P$1092,"Above Materiality",$M$2:$M$1092,"&gt;"&amp;M1036)+COUNTIFS($O$2:$O$1092,O1036,$P$2:$P$1092,"Above Materiality",$M$2:$M$1092,M1036,$A$2:$A$1092,"&lt;"&amp;A1036)+1,"")</f>
        <v/>
      </c>
      <c r="S1036" s="21" t="str">
        <f aca="false">IF(P1036&lt;&gt;"Below Materiality","",IF(Summary!$C$9="Random",COUNTIFS($O$2:$O$1092,O1036,$Q$2:$Q$1092,"&gt;"&amp;Q1036)+1,COUNTIFS($O$2:$O$1092,O1036,$P$2:$P$1092,"Below Materiality",$M$2:$M$1092,"&gt;"&amp;M1036)+COUNTIFS($O$2:$O$1092,O1036,$P$2:$P$1092,"Below Materiality",$M$2:$M$1092,M1036,$A$2:$A$1092,"&lt;"&amp;A1036)+1))</f>
        <v/>
      </c>
      <c r="T1036" s="22"/>
      <c r="U1036" s="21" t="str">
        <f aca="false">IF(R1036="","",O1036&amp;"|A|"&amp;R1036)</f>
        <v/>
      </c>
      <c r="V1036" s="21" t="str">
        <f aca="false">IF(S1036="","",O1036&amp;"|R|"&amp;S1036)</f>
        <v/>
      </c>
    </row>
    <row r="1037" customFormat="false" ht="15" hidden="false" customHeight="false" outlineLevel="0" collapsed="false">
      <c r="A1037" s="18" t="n">
        <v>1036</v>
      </c>
      <c r="B1037" s="18"/>
      <c r="C1037" s="18"/>
      <c r="D1037" s="18"/>
      <c r="E1037" s="18" t="s">
        <v>1935</v>
      </c>
      <c r="F1037" s="18" t="s">
        <v>1936</v>
      </c>
      <c r="G1037" s="18" t="s">
        <v>74</v>
      </c>
      <c r="H1037" s="18" t="n">
        <v>850</v>
      </c>
      <c r="I1037" s="19" t="n">
        <v>0</v>
      </c>
      <c r="J1037" s="19" t="n">
        <v>27312.5</v>
      </c>
      <c r="K1037" s="19" t="n">
        <v>27312.5</v>
      </c>
      <c r="L1037" s="19" t="n">
        <v>0</v>
      </c>
      <c r="M1037" s="19" t="n">
        <f aca="false">ABS(L1037)</f>
        <v>0</v>
      </c>
      <c r="N1037" s="18" t="str">
        <f aca="false">IF(L1037=0,"Nil balance",IF(G1037="AR file",IF(L1037&gt;0,"Accounts Receivable","Customer Advances"),IF(L1037&lt;0,"Accounts Payable","Supplier Advances")))</f>
        <v>Nil balance</v>
      </c>
      <c r="O1037" s="18" t="str">
        <f aca="false">IF(L1037=0,"Excluded",IF(Summary!$C$4="By ledger",IF(G1037="AR file","Population 1","Population 2"),IF(L1037&gt;0,"Population 1","Population 2")))</f>
        <v>Excluded</v>
      </c>
      <c r="P1037" s="18" t="str">
        <f aca="false">IF(O1037="Excluded","Excluded – nil closing balance",IF(M1037&gt;Summary!$C$5,"Above Materiality","Below Materiality"))</f>
        <v>Excluded – nil closing balance</v>
      </c>
      <c r="Q1037" s="20" t="str">
        <f aca="false">IF(P1037="Below Materiality",T1037,"")</f>
        <v/>
      </c>
      <c r="R1037" s="21" t="str">
        <f aca="false">IF(P1037="Above Materiality",COUNTIFS($O$2:$O$1092,O1037,$P$2:$P$1092,"Above Materiality",$M$2:$M$1092,"&gt;"&amp;M1037)+COUNTIFS($O$2:$O$1092,O1037,$P$2:$P$1092,"Above Materiality",$M$2:$M$1092,M1037,$A$2:$A$1092,"&lt;"&amp;A1037)+1,"")</f>
        <v/>
      </c>
      <c r="S1037" s="21" t="str">
        <f aca="false">IF(P1037&lt;&gt;"Below Materiality","",IF(Summary!$C$9="Random",COUNTIFS($O$2:$O$1092,O1037,$Q$2:$Q$1092,"&gt;"&amp;Q1037)+1,COUNTIFS($O$2:$O$1092,O1037,$P$2:$P$1092,"Below Materiality",$M$2:$M$1092,"&gt;"&amp;M1037)+COUNTIFS($O$2:$O$1092,O1037,$P$2:$P$1092,"Below Materiality",$M$2:$M$1092,M1037,$A$2:$A$1092,"&lt;"&amp;A1037)+1))</f>
        <v/>
      </c>
      <c r="T1037" s="22"/>
      <c r="U1037" s="21" t="str">
        <f aca="false">IF(R1037="","",O1037&amp;"|A|"&amp;R1037)</f>
        <v/>
      </c>
      <c r="V1037" s="21" t="str">
        <f aca="false">IF(S1037="","",O1037&amp;"|R|"&amp;S1037)</f>
        <v/>
      </c>
    </row>
    <row r="1038" customFormat="false" ht="15" hidden="false" customHeight="false" outlineLevel="0" collapsed="false">
      <c r="A1038" s="18" t="n">
        <v>1037</v>
      </c>
      <c r="B1038" s="18"/>
      <c r="C1038" s="18"/>
      <c r="D1038" s="18"/>
      <c r="E1038" s="18" t="s">
        <v>1937</v>
      </c>
      <c r="F1038" s="18" t="s">
        <v>1938</v>
      </c>
      <c r="G1038" s="18" t="s">
        <v>74</v>
      </c>
      <c r="H1038" s="18" t="n">
        <v>851</v>
      </c>
      <c r="I1038" s="19" t="n">
        <v>0</v>
      </c>
      <c r="J1038" s="19" t="n">
        <v>14168</v>
      </c>
      <c r="K1038" s="19" t="n">
        <v>14168</v>
      </c>
      <c r="L1038" s="19" t="n">
        <v>0</v>
      </c>
      <c r="M1038" s="19" t="n">
        <f aca="false">ABS(L1038)</f>
        <v>0</v>
      </c>
      <c r="N1038" s="18" t="str">
        <f aca="false">IF(L1038=0,"Nil balance",IF(G1038="AR file",IF(L1038&gt;0,"Accounts Receivable","Customer Advances"),IF(L1038&lt;0,"Accounts Payable","Supplier Advances")))</f>
        <v>Nil balance</v>
      </c>
      <c r="O1038" s="18" t="str">
        <f aca="false">IF(L1038=0,"Excluded",IF(Summary!$C$4="By ledger",IF(G1038="AR file","Population 1","Population 2"),IF(L1038&gt;0,"Population 1","Population 2")))</f>
        <v>Excluded</v>
      </c>
      <c r="P1038" s="18" t="str">
        <f aca="false">IF(O1038="Excluded","Excluded – nil closing balance",IF(M1038&gt;Summary!$C$5,"Above Materiality","Below Materiality"))</f>
        <v>Excluded – nil closing balance</v>
      </c>
      <c r="Q1038" s="20" t="str">
        <f aca="false">IF(P1038="Below Materiality",T1038,"")</f>
        <v/>
      </c>
      <c r="R1038" s="21" t="str">
        <f aca="false">IF(P1038="Above Materiality",COUNTIFS($O$2:$O$1092,O1038,$P$2:$P$1092,"Above Materiality",$M$2:$M$1092,"&gt;"&amp;M1038)+COUNTIFS($O$2:$O$1092,O1038,$P$2:$P$1092,"Above Materiality",$M$2:$M$1092,M1038,$A$2:$A$1092,"&lt;"&amp;A1038)+1,"")</f>
        <v/>
      </c>
      <c r="S1038" s="21" t="str">
        <f aca="false">IF(P1038&lt;&gt;"Below Materiality","",IF(Summary!$C$9="Random",COUNTIFS($O$2:$O$1092,O1038,$Q$2:$Q$1092,"&gt;"&amp;Q1038)+1,COUNTIFS($O$2:$O$1092,O1038,$P$2:$P$1092,"Below Materiality",$M$2:$M$1092,"&gt;"&amp;M1038)+COUNTIFS($O$2:$O$1092,O1038,$P$2:$P$1092,"Below Materiality",$M$2:$M$1092,M1038,$A$2:$A$1092,"&lt;"&amp;A1038)+1))</f>
        <v/>
      </c>
      <c r="T1038" s="22"/>
      <c r="U1038" s="21" t="str">
        <f aca="false">IF(R1038="","",O1038&amp;"|A|"&amp;R1038)</f>
        <v/>
      </c>
      <c r="V1038" s="21" t="str">
        <f aca="false">IF(S1038="","",O1038&amp;"|R|"&amp;S1038)</f>
        <v/>
      </c>
    </row>
    <row r="1039" customFormat="false" ht="15" hidden="false" customHeight="false" outlineLevel="0" collapsed="false">
      <c r="A1039" s="18" t="n">
        <v>1038</v>
      </c>
      <c r="B1039" s="18"/>
      <c r="C1039" s="18"/>
      <c r="D1039" s="18"/>
      <c r="E1039" s="18" t="s">
        <v>1939</v>
      </c>
      <c r="F1039" s="18" t="s">
        <v>1070</v>
      </c>
      <c r="G1039" s="18" t="s">
        <v>74</v>
      </c>
      <c r="H1039" s="18" t="n">
        <v>852</v>
      </c>
      <c r="I1039" s="19" t="n">
        <v>0</v>
      </c>
      <c r="J1039" s="19" t="n">
        <v>46</v>
      </c>
      <c r="K1039" s="19" t="n">
        <v>46</v>
      </c>
      <c r="L1039" s="19" t="n">
        <v>0</v>
      </c>
      <c r="M1039" s="19" t="n">
        <f aca="false">ABS(L1039)</f>
        <v>0</v>
      </c>
      <c r="N1039" s="18" t="str">
        <f aca="false">IF(L1039=0,"Nil balance",IF(G1039="AR file",IF(L1039&gt;0,"Accounts Receivable","Customer Advances"),IF(L1039&lt;0,"Accounts Payable","Supplier Advances")))</f>
        <v>Nil balance</v>
      </c>
      <c r="O1039" s="18" t="str">
        <f aca="false">IF(L1039=0,"Excluded",IF(Summary!$C$4="By ledger",IF(G1039="AR file","Population 1","Population 2"),IF(L1039&gt;0,"Population 1","Population 2")))</f>
        <v>Excluded</v>
      </c>
      <c r="P1039" s="18" t="str">
        <f aca="false">IF(O1039="Excluded","Excluded – nil closing balance",IF(M1039&gt;Summary!$C$5,"Above Materiality","Below Materiality"))</f>
        <v>Excluded – nil closing balance</v>
      </c>
      <c r="Q1039" s="20" t="str">
        <f aca="false">IF(P1039="Below Materiality",T1039,"")</f>
        <v/>
      </c>
      <c r="R1039" s="21" t="str">
        <f aca="false">IF(P1039="Above Materiality",COUNTIFS($O$2:$O$1092,O1039,$P$2:$P$1092,"Above Materiality",$M$2:$M$1092,"&gt;"&amp;M1039)+COUNTIFS($O$2:$O$1092,O1039,$P$2:$P$1092,"Above Materiality",$M$2:$M$1092,M1039,$A$2:$A$1092,"&lt;"&amp;A1039)+1,"")</f>
        <v/>
      </c>
      <c r="S1039" s="21" t="str">
        <f aca="false">IF(P1039&lt;&gt;"Below Materiality","",IF(Summary!$C$9="Random",COUNTIFS($O$2:$O$1092,O1039,$Q$2:$Q$1092,"&gt;"&amp;Q1039)+1,COUNTIFS($O$2:$O$1092,O1039,$P$2:$P$1092,"Below Materiality",$M$2:$M$1092,"&gt;"&amp;M1039)+COUNTIFS($O$2:$O$1092,O1039,$P$2:$P$1092,"Below Materiality",$M$2:$M$1092,M1039,$A$2:$A$1092,"&lt;"&amp;A1039)+1))</f>
        <v/>
      </c>
      <c r="T1039" s="22"/>
      <c r="U1039" s="21" t="str">
        <f aca="false">IF(R1039="","",O1039&amp;"|A|"&amp;R1039)</f>
        <v/>
      </c>
      <c r="V1039" s="21" t="str">
        <f aca="false">IF(S1039="","",O1039&amp;"|R|"&amp;S1039)</f>
        <v/>
      </c>
    </row>
    <row r="1040" customFormat="false" ht="15" hidden="false" customHeight="false" outlineLevel="0" collapsed="false">
      <c r="A1040" s="18" t="n">
        <v>1039</v>
      </c>
      <c r="B1040" s="18"/>
      <c r="C1040" s="18"/>
      <c r="D1040" s="18"/>
      <c r="E1040" s="18" t="s">
        <v>1940</v>
      </c>
      <c r="F1040" s="18" t="s">
        <v>1774</v>
      </c>
      <c r="G1040" s="18" t="s">
        <v>74</v>
      </c>
      <c r="H1040" s="18" t="n">
        <v>853</v>
      </c>
      <c r="I1040" s="19" t="n">
        <v>0</v>
      </c>
      <c r="J1040" s="19" t="n">
        <v>23</v>
      </c>
      <c r="K1040" s="19" t="n">
        <v>23</v>
      </c>
      <c r="L1040" s="19" t="n">
        <v>0</v>
      </c>
      <c r="M1040" s="19" t="n">
        <f aca="false">ABS(L1040)</f>
        <v>0</v>
      </c>
      <c r="N1040" s="18" t="str">
        <f aca="false">IF(L1040=0,"Nil balance",IF(G1040="AR file",IF(L1040&gt;0,"Accounts Receivable","Customer Advances"),IF(L1040&lt;0,"Accounts Payable","Supplier Advances")))</f>
        <v>Nil balance</v>
      </c>
      <c r="O1040" s="18" t="str">
        <f aca="false">IF(L1040=0,"Excluded",IF(Summary!$C$4="By ledger",IF(G1040="AR file","Population 1","Population 2"),IF(L1040&gt;0,"Population 1","Population 2")))</f>
        <v>Excluded</v>
      </c>
      <c r="P1040" s="18" t="str">
        <f aca="false">IF(O1040="Excluded","Excluded – nil closing balance",IF(M1040&gt;Summary!$C$5,"Above Materiality","Below Materiality"))</f>
        <v>Excluded – nil closing balance</v>
      </c>
      <c r="Q1040" s="20" t="str">
        <f aca="false">IF(P1040="Below Materiality",T1040,"")</f>
        <v/>
      </c>
      <c r="R1040" s="21" t="str">
        <f aca="false">IF(P1040="Above Materiality",COUNTIFS($O$2:$O$1092,O1040,$P$2:$P$1092,"Above Materiality",$M$2:$M$1092,"&gt;"&amp;M1040)+COUNTIFS($O$2:$O$1092,O1040,$P$2:$P$1092,"Above Materiality",$M$2:$M$1092,M1040,$A$2:$A$1092,"&lt;"&amp;A1040)+1,"")</f>
        <v/>
      </c>
      <c r="S1040" s="21" t="str">
        <f aca="false">IF(P1040&lt;&gt;"Below Materiality","",IF(Summary!$C$9="Random",COUNTIFS($O$2:$O$1092,O1040,$Q$2:$Q$1092,"&gt;"&amp;Q1040)+1,COUNTIFS($O$2:$O$1092,O1040,$P$2:$P$1092,"Below Materiality",$M$2:$M$1092,"&gt;"&amp;M1040)+COUNTIFS($O$2:$O$1092,O1040,$P$2:$P$1092,"Below Materiality",$M$2:$M$1092,M1040,$A$2:$A$1092,"&lt;"&amp;A1040)+1))</f>
        <v/>
      </c>
      <c r="T1040" s="22"/>
      <c r="U1040" s="21" t="str">
        <f aca="false">IF(R1040="","",O1040&amp;"|A|"&amp;R1040)</f>
        <v/>
      </c>
      <c r="V1040" s="21" t="str">
        <f aca="false">IF(S1040="","",O1040&amp;"|R|"&amp;S1040)</f>
        <v/>
      </c>
    </row>
    <row r="1041" customFormat="false" ht="15" hidden="false" customHeight="false" outlineLevel="0" collapsed="false">
      <c r="A1041" s="18" t="n">
        <v>1040</v>
      </c>
      <c r="B1041" s="18"/>
      <c r="C1041" s="18"/>
      <c r="D1041" s="18"/>
      <c r="E1041" s="18" t="s">
        <v>1941</v>
      </c>
      <c r="F1041" s="18" t="s">
        <v>474</v>
      </c>
      <c r="G1041" s="18" t="s">
        <v>74</v>
      </c>
      <c r="H1041" s="18" t="n">
        <v>854</v>
      </c>
      <c r="I1041" s="19" t="n">
        <v>0</v>
      </c>
      <c r="J1041" s="19" t="n">
        <v>115</v>
      </c>
      <c r="K1041" s="19" t="n">
        <v>115</v>
      </c>
      <c r="L1041" s="19" t="n">
        <v>0</v>
      </c>
      <c r="M1041" s="19" t="n">
        <f aca="false">ABS(L1041)</f>
        <v>0</v>
      </c>
      <c r="N1041" s="18" t="str">
        <f aca="false">IF(L1041=0,"Nil balance",IF(G1041="AR file",IF(L1041&gt;0,"Accounts Receivable","Customer Advances"),IF(L1041&lt;0,"Accounts Payable","Supplier Advances")))</f>
        <v>Nil balance</v>
      </c>
      <c r="O1041" s="18" t="str">
        <f aca="false">IF(L1041=0,"Excluded",IF(Summary!$C$4="By ledger",IF(G1041="AR file","Population 1","Population 2"),IF(L1041&gt;0,"Population 1","Population 2")))</f>
        <v>Excluded</v>
      </c>
      <c r="P1041" s="18" t="str">
        <f aca="false">IF(O1041="Excluded","Excluded – nil closing balance",IF(M1041&gt;Summary!$C$5,"Above Materiality","Below Materiality"))</f>
        <v>Excluded – nil closing balance</v>
      </c>
      <c r="Q1041" s="20" t="str">
        <f aca="false">IF(P1041="Below Materiality",T1041,"")</f>
        <v/>
      </c>
      <c r="R1041" s="21" t="str">
        <f aca="false">IF(P1041="Above Materiality",COUNTIFS($O$2:$O$1092,O1041,$P$2:$P$1092,"Above Materiality",$M$2:$M$1092,"&gt;"&amp;M1041)+COUNTIFS($O$2:$O$1092,O1041,$P$2:$P$1092,"Above Materiality",$M$2:$M$1092,M1041,$A$2:$A$1092,"&lt;"&amp;A1041)+1,"")</f>
        <v/>
      </c>
      <c r="S1041" s="21" t="str">
        <f aca="false">IF(P1041&lt;&gt;"Below Materiality","",IF(Summary!$C$9="Random",COUNTIFS($O$2:$O$1092,O1041,$Q$2:$Q$1092,"&gt;"&amp;Q1041)+1,COUNTIFS($O$2:$O$1092,O1041,$P$2:$P$1092,"Below Materiality",$M$2:$M$1092,"&gt;"&amp;M1041)+COUNTIFS($O$2:$O$1092,O1041,$P$2:$P$1092,"Below Materiality",$M$2:$M$1092,M1041,$A$2:$A$1092,"&lt;"&amp;A1041)+1))</f>
        <v/>
      </c>
      <c r="T1041" s="22"/>
      <c r="U1041" s="21" t="str">
        <f aca="false">IF(R1041="","",O1041&amp;"|A|"&amp;R1041)</f>
        <v/>
      </c>
      <c r="V1041" s="21" t="str">
        <f aca="false">IF(S1041="","",O1041&amp;"|R|"&amp;S1041)</f>
        <v/>
      </c>
    </row>
    <row r="1042" customFormat="false" ht="15" hidden="false" customHeight="false" outlineLevel="0" collapsed="false">
      <c r="A1042" s="18" t="n">
        <v>1041</v>
      </c>
      <c r="B1042" s="18"/>
      <c r="C1042" s="18"/>
      <c r="D1042" s="18"/>
      <c r="E1042" s="18" t="s">
        <v>1942</v>
      </c>
      <c r="F1042" s="18" t="s">
        <v>1943</v>
      </c>
      <c r="G1042" s="18" t="s">
        <v>74</v>
      </c>
      <c r="H1042" s="18" t="n">
        <v>855</v>
      </c>
      <c r="I1042" s="19" t="n">
        <v>0</v>
      </c>
      <c r="J1042" s="19" t="n">
        <v>3737.5</v>
      </c>
      <c r="K1042" s="19" t="n">
        <v>3737.5</v>
      </c>
      <c r="L1042" s="19" t="n">
        <v>0</v>
      </c>
      <c r="M1042" s="19" t="n">
        <f aca="false">ABS(L1042)</f>
        <v>0</v>
      </c>
      <c r="N1042" s="18" t="str">
        <f aca="false">IF(L1042=0,"Nil balance",IF(G1042="AR file",IF(L1042&gt;0,"Accounts Receivable","Customer Advances"),IF(L1042&lt;0,"Accounts Payable","Supplier Advances")))</f>
        <v>Nil balance</v>
      </c>
      <c r="O1042" s="18" t="str">
        <f aca="false">IF(L1042=0,"Excluded",IF(Summary!$C$4="By ledger",IF(G1042="AR file","Population 1","Population 2"),IF(L1042&gt;0,"Population 1","Population 2")))</f>
        <v>Excluded</v>
      </c>
      <c r="P1042" s="18" t="str">
        <f aca="false">IF(O1042="Excluded","Excluded – nil closing balance",IF(M1042&gt;Summary!$C$5,"Above Materiality","Below Materiality"))</f>
        <v>Excluded – nil closing balance</v>
      </c>
      <c r="Q1042" s="20" t="str">
        <f aca="false">IF(P1042="Below Materiality",T1042,"")</f>
        <v/>
      </c>
      <c r="R1042" s="21" t="str">
        <f aca="false">IF(P1042="Above Materiality",COUNTIFS($O$2:$O$1092,O1042,$P$2:$P$1092,"Above Materiality",$M$2:$M$1092,"&gt;"&amp;M1042)+COUNTIFS($O$2:$O$1092,O1042,$P$2:$P$1092,"Above Materiality",$M$2:$M$1092,M1042,$A$2:$A$1092,"&lt;"&amp;A1042)+1,"")</f>
        <v/>
      </c>
      <c r="S1042" s="21" t="str">
        <f aca="false">IF(P1042&lt;&gt;"Below Materiality","",IF(Summary!$C$9="Random",COUNTIFS($O$2:$O$1092,O1042,$Q$2:$Q$1092,"&gt;"&amp;Q1042)+1,COUNTIFS($O$2:$O$1092,O1042,$P$2:$P$1092,"Below Materiality",$M$2:$M$1092,"&gt;"&amp;M1042)+COUNTIFS($O$2:$O$1092,O1042,$P$2:$P$1092,"Below Materiality",$M$2:$M$1092,M1042,$A$2:$A$1092,"&lt;"&amp;A1042)+1))</f>
        <v/>
      </c>
      <c r="T1042" s="22"/>
      <c r="U1042" s="21" t="str">
        <f aca="false">IF(R1042="","",O1042&amp;"|A|"&amp;R1042)</f>
        <v/>
      </c>
      <c r="V1042" s="21" t="str">
        <f aca="false">IF(S1042="","",O1042&amp;"|R|"&amp;S1042)</f>
        <v/>
      </c>
    </row>
    <row r="1043" customFormat="false" ht="15" hidden="false" customHeight="false" outlineLevel="0" collapsed="false">
      <c r="A1043" s="18" t="n">
        <v>1042</v>
      </c>
      <c r="B1043" s="18"/>
      <c r="C1043" s="18"/>
      <c r="D1043" s="18"/>
      <c r="E1043" s="18" t="s">
        <v>1944</v>
      </c>
      <c r="F1043" s="18" t="s">
        <v>1389</v>
      </c>
      <c r="G1043" s="18" t="s">
        <v>74</v>
      </c>
      <c r="H1043" s="18" t="n">
        <v>856</v>
      </c>
      <c r="I1043" s="19" t="n">
        <v>0</v>
      </c>
      <c r="J1043" s="19" t="n">
        <v>138</v>
      </c>
      <c r="K1043" s="19" t="n">
        <v>138</v>
      </c>
      <c r="L1043" s="19" t="n">
        <v>0</v>
      </c>
      <c r="M1043" s="19" t="n">
        <f aca="false">ABS(L1043)</f>
        <v>0</v>
      </c>
      <c r="N1043" s="18" t="str">
        <f aca="false">IF(L1043=0,"Nil balance",IF(G1043="AR file",IF(L1043&gt;0,"Accounts Receivable","Customer Advances"),IF(L1043&lt;0,"Accounts Payable","Supplier Advances")))</f>
        <v>Nil balance</v>
      </c>
      <c r="O1043" s="18" t="str">
        <f aca="false">IF(L1043=0,"Excluded",IF(Summary!$C$4="By ledger",IF(G1043="AR file","Population 1","Population 2"),IF(L1043&gt;0,"Population 1","Population 2")))</f>
        <v>Excluded</v>
      </c>
      <c r="P1043" s="18" t="str">
        <f aca="false">IF(O1043="Excluded","Excluded – nil closing balance",IF(M1043&gt;Summary!$C$5,"Above Materiality","Below Materiality"))</f>
        <v>Excluded – nil closing balance</v>
      </c>
      <c r="Q1043" s="20" t="str">
        <f aca="false">IF(P1043="Below Materiality",T1043,"")</f>
        <v/>
      </c>
      <c r="R1043" s="21" t="str">
        <f aca="false">IF(P1043="Above Materiality",COUNTIFS($O$2:$O$1092,O1043,$P$2:$P$1092,"Above Materiality",$M$2:$M$1092,"&gt;"&amp;M1043)+COUNTIFS($O$2:$O$1092,O1043,$P$2:$P$1092,"Above Materiality",$M$2:$M$1092,M1043,$A$2:$A$1092,"&lt;"&amp;A1043)+1,"")</f>
        <v/>
      </c>
      <c r="S1043" s="21" t="str">
        <f aca="false">IF(P1043&lt;&gt;"Below Materiality","",IF(Summary!$C$9="Random",COUNTIFS($O$2:$O$1092,O1043,$Q$2:$Q$1092,"&gt;"&amp;Q1043)+1,COUNTIFS($O$2:$O$1092,O1043,$P$2:$P$1092,"Below Materiality",$M$2:$M$1092,"&gt;"&amp;M1043)+COUNTIFS($O$2:$O$1092,O1043,$P$2:$P$1092,"Below Materiality",$M$2:$M$1092,M1043,$A$2:$A$1092,"&lt;"&amp;A1043)+1))</f>
        <v/>
      </c>
      <c r="T1043" s="22"/>
      <c r="U1043" s="21" t="str">
        <f aca="false">IF(R1043="","",O1043&amp;"|A|"&amp;R1043)</f>
        <v/>
      </c>
      <c r="V1043" s="21" t="str">
        <f aca="false">IF(S1043="","",O1043&amp;"|R|"&amp;S1043)</f>
        <v/>
      </c>
    </row>
    <row r="1044" customFormat="false" ht="15" hidden="false" customHeight="false" outlineLevel="0" collapsed="false">
      <c r="A1044" s="18" t="n">
        <v>1043</v>
      </c>
      <c r="B1044" s="18"/>
      <c r="C1044" s="18"/>
      <c r="D1044" s="18"/>
      <c r="E1044" s="18" t="s">
        <v>1945</v>
      </c>
      <c r="F1044" s="18" t="s">
        <v>1608</v>
      </c>
      <c r="G1044" s="18" t="s">
        <v>74</v>
      </c>
      <c r="H1044" s="18" t="n">
        <v>858</v>
      </c>
      <c r="I1044" s="19" t="n">
        <v>0</v>
      </c>
      <c r="J1044" s="19" t="n">
        <v>150</v>
      </c>
      <c r="K1044" s="19" t="n">
        <v>150</v>
      </c>
      <c r="L1044" s="19" t="n">
        <v>0</v>
      </c>
      <c r="M1044" s="19" t="n">
        <f aca="false">ABS(L1044)</f>
        <v>0</v>
      </c>
      <c r="N1044" s="18" t="str">
        <f aca="false">IF(L1044=0,"Nil balance",IF(G1044="AR file",IF(L1044&gt;0,"Accounts Receivable","Customer Advances"),IF(L1044&lt;0,"Accounts Payable","Supplier Advances")))</f>
        <v>Nil balance</v>
      </c>
      <c r="O1044" s="18" t="str">
        <f aca="false">IF(L1044=0,"Excluded",IF(Summary!$C$4="By ledger",IF(G1044="AR file","Population 1","Population 2"),IF(L1044&gt;0,"Population 1","Population 2")))</f>
        <v>Excluded</v>
      </c>
      <c r="P1044" s="18" t="str">
        <f aca="false">IF(O1044="Excluded","Excluded – nil closing balance",IF(M1044&gt;Summary!$C$5,"Above Materiality","Below Materiality"))</f>
        <v>Excluded – nil closing balance</v>
      </c>
      <c r="Q1044" s="20" t="str">
        <f aca="false">IF(P1044="Below Materiality",T1044,"")</f>
        <v/>
      </c>
      <c r="R1044" s="21" t="str">
        <f aca="false">IF(P1044="Above Materiality",COUNTIFS($O$2:$O$1092,O1044,$P$2:$P$1092,"Above Materiality",$M$2:$M$1092,"&gt;"&amp;M1044)+COUNTIFS($O$2:$O$1092,O1044,$P$2:$P$1092,"Above Materiality",$M$2:$M$1092,M1044,$A$2:$A$1092,"&lt;"&amp;A1044)+1,"")</f>
        <v/>
      </c>
      <c r="S1044" s="21" t="str">
        <f aca="false">IF(P1044&lt;&gt;"Below Materiality","",IF(Summary!$C$9="Random",COUNTIFS($O$2:$O$1092,O1044,$Q$2:$Q$1092,"&gt;"&amp;Q1044)+1,COUNTIFS($O$2:$O$1092,O1044,$P$2:$P$1092,"Below Materiality",$M$2:$M$1092,"&gt;"&amp;M1044)+COUNTIFS($O$2:$O$1092,O1044,$P$2:$P$1092,"Below Materiality",$M$2:$M$1092,M1044,$A$2:$A$1092,"&lt;"&amp;A1044)+1))</f>
        <v/>
      </c>
      <c r="T1044" s="22"/>
      <c r="U1044" s="21" t="str">
        <f aca="false">IF(R1044="","",O1044&amp;"|A|"&amp;R1044)</f>
        <v/>
      </c>
      <c r="V1044" s="21" t="str">
        <f aca="false">IF(S1044="","",O1044&amp;"|R|"&amp;S1044)</f>
        <v/>
      </c>
    </row>
    <row r="1045" customFormat="false" ht="15" hidden="false" customHeight="false" outlineLevel="0" collapsed="false">
      <c r="A1045" s="18" t="n">
        <v>1044</v>
      </c>
      <c r="B1045" s="18"/>
      <c r="C1045" s="18"/>
      <c r="D1045" s="18"/>
      <c r="E1045" s="18" t="s">
        <v>1946</v>
      </c>
      <c r="F1045" s="18" t="s">
        <v>1947</v>
      </c>
      <c r="G1045" s="18" t="s">
        <v>74</v>
      </c>
      <c r="H1045" s="18" t="n">
        <v>859</v>
      </c>
      <c r="I1045" s="19" t="n">
        <v>0</v>
      </c>
      <c r="J1045" s="19" t="n">
        <v>6601.65</v>
      </c>
      <c r="K1045" s="19" t="n">
        <v>6601.65</v>
      </c>
      <c r="L1045" s="19" t="n">
        <v>0</v>
      </c>
      <c r="M1045" s="19" t="n">
        <f aca="false">ABS(L1045)</f>
        <v>0</v>
      </c>
      <c r="N1045" s="18" t="str">
        <f aca="false">IF(L1045=0,"Nil balance",IF(G1045="AR file",IF(L1045&gt;0,"Accounts Receivable","Customer Advances"),IF(L1045&lt;0,"Accounts Payable","Supplier Advances")))</f>
        <v>Nil balance</v>
      </c>
      <c r="O1045" s="18" t="str">
        <f aca="false">IF(L1045=0,"Excluded",IF(Summary!$C$4="By ledger",IF(G1045="AR file","Population 1","Population 2"),IF(L1045&gt;0,"Population 1","Population 2")))</f>
        <v>Excluded</v>
      </c>
      <c r="P1045" s="18" t="str">
        <f aca="false">IF(O1045="Excluded","Excluded – nil closing balance",IF(M1045&gt;Summary!$C$5,"Above Materiality","Below Materiality"))</f>
        <v>Excluded – nil closing balance</v>
      </c>
      <c r="Q1045" s="20" t="str">
        <f aca="false">IF(P1045="Below Materiality",T1045,"")</f>
        <v/>
      </c>
      <c r="R1045" s="21" t="str">
        <f aca="false">IF(P1045="Above Materiality",COUNTIFS($O$2:$O$1092,O1045,$P$2:$P$1092,"Above Materiality",$M$2:$M$1092,"&gt;"&amp;M1045)+COUNTIFS($O$2:$O$1092,O1045,$P$2:$P$1092,"Above Materiality",$M$2:$M$1092,M1045,$A$2:$A$1092,"&lt;"&amp;A1045)+1,"")</f>
        <v/>
      </c>
      <c r="S1045" s="21" t="str">
        <f aca="false">IF(P1045&lt;&gt;"Below Materiality","",IF(Summary!$C$9="Random",COUNTIFS($O$2:$O$1092,O1045,$Q$2:$Q$1092,"&gt;"&amp;Q1045)+1,COUNTIFS($O$2:$O$1092,O1045,$P$2:$P$1092,"Below Materiality",$M$2:$M$1092,"&gt;"&amp;M1045)+COUNTIFS($O$2:$O$1092,O1045,$P$2:$P$1092,"Below Materiality",$M$2:$M$1092,M1045,$A$2:$A$1092,"&lt;"&amp;A1045)+1))</f>
        <v/>
      </c>
      <c r="T1045" s="22"/>
      <c r="U1045" s="21" t="str">
        <f aca="false">IF(R1045="","",O1045&amp;"|A|"&amp;R1045)</f>
        <v/>
      </c>
      <c r="V1045" s="21" t="str">
        <f aca="false">IF(S1045="","",O1045&amp;"|R|"&amp;S1045)</f>
        <v/>
      </c>
    </row>
    <row r="1046" customFormat="false" ht="15" hidden="false" customHeight="false" outlineLevel="0" collapsed="false">
      <c r="A1046" s="18" t="n">
        <v>1045</v>
      </c>
      <c r="B1046" s="18"/>
      <c r="C1046" s="18"/>
      <c r="D1046" s="18"/>
      <c r="E1046" s="18" t="s">
        <v>1948</v>
      </c>
      <c r="F1046" s="18" t="s">
        <v>1949</v>
      </c>
      <c r="G1046" s="18" t="s">
        <v>74</v>
      </c>
      <c r="H1046" s="18" t="n">
        <v>860</v>
      </c>
      <c r="I1046" s="19" t="n">
        <v>0</v>
      </c>
      <c r="J1046" s="19" t="n">
        <v>212.75</v>
      </c>
      <c r="K1046" s="19" t="n">
        <v>212.75</v>
      </c>
      <c r="L1046" s="19" t="n">
        <v>0</v>
      </c>
      <c r="M1046" s="19" t="n">
        <f aca="false">ABS(L1046)</f>
        <v>0</v>
      </c>
      <c r="N1046" s="18" t="str">
        <f aca="false">IF(L1046=0,"Nil balance",IF(G1046="AR file",IF(L1046&gt;0,"Accounts Receivable","Customer Advances"),IF(L1046&lt;0,"Accounts Payable","Supplier Advances")))</f>
        <v>Nil balance</v>
      </c>
      <c r="O1046" s="18" t="str">
        <f aca="false">IF(L1046=0,"Excluded",IF(Summary!$C$4="By ledger",IF(G1046="AR file","Population 1","Population 2"),IF(L1046&gt;0,"Population 1","Population 2")))</f>
        <v>Excluded</v>
      </c>
      <c r="P1046" s="18" t="str">
        <f aca="false">IF(O1046="Excluded","Excluded – nil closing balance",IF(M1046&gt;Summary!$C$5,"Above Materiality","Below Materiality"))</f>
        <v>Excluded – nil closing balance</v>
      </c>
      <c r="Q1046" s="20" t="str">
        <f aca="false">IF(P1046="Below Materiality",T1046,"")</f>
        <v/>
      </c>
      <c r="R1046" s="21" t="str">
        <f aca="false">IF(P1046="Above Materiality",COUNTIFS($O$2:$O$1092,O1046,$P$2:$P$1092,"Above Materiality",$M$2:$M$1092,"&gt;"&amp;M1046)+COUNTIFS($O$2:$O$1092,O1046,$P$2:$P$1092,"Above Materiality",$M$2:$M$1092,M1046,$A$2:$A$1092,"&lt;"&amp;A1046)+1,"")</f>
        <v/>
      </c>
      <c r="S1046" s="21" t="str">
        <f aca="false">IF(P1046&lt;&gt;"Below Materiality","",IF(Summary!$C$9="Random",COUNTIFS($O$2:$O$1092,O1046,$Q$2:$Q$1092,"&gt;"&amp;Q1046)+1,COUNTIFS($O$2:$O$1092,O1046,$P$2:$P$1092,"Below Materiality",$M$2:$M$1092,"&gt;"&amp;M1046)+COUNTIFS($O$2:$O$1092,O1046,$P$2:$P$1092,"Below Materiality",$M$2:$M$1092,M1046,$A$2:$A$1092,"&lt;"&amp;A1046)+1))</f>
        <v/>
      </c>
      <c r="T1046" s="22"/>
      <c r="U1046" s="21" t="str">
        <f aca="false">IF(R1046="","",O1046&amp;"|A|"&amp;R1046)</f>
        <v/>
      </c>
      <c r="V1046" s="21" t="str">
        <f aca="false">IF(S1046="","",O1046&amp;"|R|"&amp;S1046)</f>
        <v/>
      </c>
    </row>
    <row r="1047" customFormat="false" ht="15" hidden="false" customHeight="false" outlineLevel="0" collapsed="false">
      <c r="A1047" s="18" t="n">
        <v>1046</v>
      </c>
      <c r="B1047" s="18"/>
      <c r="C1047" s="18"/>
      <c r="D1047" s="18"/>
      <c r="E1047" s="18" t="s">
        <v>1950</v>
      </c>
      <c r="F1047" s="18" t="s">
        <v>1047</v>
      </c>
      <c r="G1047" s="18" t="s">
        <v>74</v>
      </c>
      <c r="H1047" s="18" t="n">
        <v>861</v>
      </c>
      <c r="I1047" s="19" t="n">
        <v>0</v>
      </c>
      <c r="J1047" s="19" t="n">
        <v>57.5</v>
      </c>
      <c r="K1047" s="19" t="n">
        <v>57.5</v>
      </c>
      <c r="L1047" s="19" t="n">
        <v>0</v>
      </c>
      <c r="M1047" s="19" t="n">
        <f aca="false">ABS(L1047)</f>
        <v>0</v>
      </c>
      <c r="N1047" s="18" t="str">
        <f aca="false">IF(L1047=0,"Nil balance",IF(G1047="AR file",IF(L1047&gt;0,"Accounts Receivable","Customer Advances"),IF(L1047&lt;0,"Accounts Payable","Supplier Advances")))</f>
        <v>Nil balance</v>
      </c>
      <c r="O1047" s="18" t="str">
        <f aca="false">IF(L1047=0,"Excluded",IF(Summary!$C$4="By ledger",IF(G1047="AR file","Population 1","Population 2"),IF(L1047&gt;0,"Population 1","Population 2")))</f>
        <v>Excluded</v>
      </c>
      <c r="P1047" s="18" t="str">
        <f aca="false">IF(O1047="Excluded","Excluded – nil closing balance",IF(M1047&gt;Summary!$C$5,"Above Materiality","Below Materiality"))</f>
        <v>Excluded – nil closing balance</v>
      </c>
      <c r="Q1047" s="20" t="str">
        <f aca="false">IF(P1047="Below Materiality",T1047,"")</f>
        <v/>
      </c>
      <c r="R1047" s="21" t="str">
        <f aca="false">IF(P1047="Above Materiality",COUNTIFS($O$2:$O$1092,O1047,$P$2:$P$1092,"Above Materiality",$M$2:$M$1092,"&gt;"&amp;M1047)+COUNTIFS($O$2:$O$1092,O1047,$P$2:$P$1092,"Above Materiality",$M$2:$M$1092,M1047,$A$2:$A$1092,"&lt;"&amp;A1047)+1,"")</f>
        <v/>
      </c>
      <c r="S1047" s="21" t="str">
        <f aca="false">IF(P1047&lt;&gt;"Below Materiality","",IF(Summary!$C$9="Random",COUNTIFS($O$2:$O$1092,O1047,$Q$2:$Q$1092,"&gt;"&amp;Q1047)+1,COUNTIFS($O$2:$O$1092,O1047,$P$2:$P$1092,"Below Materiality",$M$2:$M$1092,"&gt;"&amp;M1047)+COUNTIFS($O$2:$O$1092,O1047,$P$2:$P$1092,"Below Materiality",$M$2:$M$1092,M1047,$A$2:$A$1092,"&lt;"&amp;A1047)+1))</f>
        <v/>
      </c>
      <c r="T1047" s="22"/>
      <c r="U1047" s="21" t="str">
        <f aca="false">IF(R1047="","",O1047&amp;"|A|"&amp;R1047)</f>
        <v/>
      </c>
      <c r="V1047" s="21" t="str">
        <f aca="false">IF(S1047="","",O1047&amp;"|R|"&amp;S1047)</f>
        <v/>
      </c>
    </row>
    <row r="1048" customFormat="false" ht="15" hidden="false" customHeight="false" outlineLevel="0" collapsed="false">
      <c r="A1048" s="18" t="n">
        <v>1047</v>
      </c>
      <c r="B1048" s="18"/>
      <c r="C1048" s="18"/>
      <c r="D1048" s="18"/>
      <c r="E1048" s="18" t="s">
        <v>1951</v>
      </c>
      <c r="F1048" s="18" t="s">
        <v>1952</v>
      </c>
      <c r="G1048" s="18" t="s">
        <v>74</v>
      </c>
      <c r="H1048" s="18" t="n">
        <v>862</v>
      </c>
      <c r="I1048" s="19" t="n">
        <v>0</v>
      </c>
      <c r="J1048" s="19" t="n">
        <v>13800</v>
      </c>
      <c r="K1048" s="19" t="n">
        <v>13800</v>
      </c>
      <c r="L1048" s="19" t="n">
        <v>0</v>
      </c>
      <c r="M1048" s="19" t="n">
        <f aca="false">ABS(L1048)</f>
        <v>0</v>
      </c>
      <c r="N1048" s="18" t="str">
        <f aca="false">IF(L1048=0,"Nil balance",IF(G1048="AR file",IF(L1048&gt;0,"Accounts Receivable","Customer Advances"),IF(L1048&lt;0,"Accounts Payable","Supplier Advances")))</f>
        <v>Nil balance</v>
      </c>
      <c r="O1048" s="18" t="str">
        <f aca="false">IF(L1048=0,"Excluded",IF(Summary!$C$4="By ledger",IF(G1048="AR file","Population 1","Population 2"),IF(L1048&gt;0,"Population 1","Population 2")))</f>
        <v>Excluded</v>
      </c>
      <c r="P1048" s="18" t="str">
        <f aca="false">IF(O1048="Excluded","Excluded – nil closing balance",IF(M1048&gt;Summary!$C$5,"Above Materiality","Below Materiality"))</f>
        <v>Excluded – nil closing balance</v>
      </c>
      <c r="Q1048" s="20" t="str">
        <f aca="false">IF(P1048="Below Materiality",T1048,"")</f>
        <v/>
      </c>
      <c r="R1048" s="21" t="str">
        <f aca="false">IF(P1048="Above Materiality",COUNTIFS($O$2:$O$1092,O1048,$P$2:$P$1092,"Above Materiality",$M$2:$M$1092,"&gt;"&amp;M1048)+COUNTIFS($O$2:$O$1092,O1048,$P$2:$P$1092,"Above Materiality",$M$2:$M$1092,M1048,$A$2:$A$1092,"&lt;"&amp;A1048)+1,"")</f>
        <v/>
      </c>
      <c r="S1048" s="21" t="str">
        <f aca="false">IF(P1048&lt;&gt;"Below Materiality","",IF(Summary!$C$9="Random",COUNTIFS($O$2:$O$1092,O1048,$Q$2:$Q$1092,"&gt;"&amp;Q1048)+1,COUNTIFS($O$2:$O$1092,O1048,$P$2:$P$1092,"Below Materiality",$M$2:$M$1092,"&gt;"&amp;M1048)+COUNTIFS($O$2:$O$1092,O1048,$P$2:$P$1092,"Below Materiality",$M$2:$M$1092,M1048,$A$2:$A$1092,"&lt;"&amp;A1048)+1))</f>
        <v/>
      </c>
      <c r="T1048" s="22"/>
      <c r="U1048" s="21" t="str">
        <f aca="false">IF(R1048="","",O1048&amp;"|A|"&amp;R1048)</f>
        <v/>
      </c>
      <c r="V1048" s="21" t="str">
        <f aca="false">IF(S1048="","",O1048&amp;"|R|"&amp;S1048)</f>
        <v/>
      </c>
    </row>
    <row r="1049" customFormat="false" ht="15" hidden="false" customHeight="false" outlineLevel="0" collapsed="false">
      <c r="A1049" s="18" t="n">
        <v>1048</v>
      </c>
      <c r="B1049" s="18"/>
      <c r="C1049" s="18"/>
      <c r="D1049" s="18"/>
      <c r="E1049" s="18" t="s">
        <v>1953</v>
      </c>
      <c r="F1049" s="18" t="s">
        <v>1379</v>
      </c>
      <c r="G1049" s="18" t="s">
        <v>74</v>
      </c>
      <c r="H1049" s="18" t="n">
        <v>863</v>
      </c>
      <c r="I1049" s="19" t="n">
        <v>0</v>
      </c>
      <c r="J1049" s="19" t="n">
        <v>632.5</v>
      </c>
      <c r="K1049" s="19" t="n">
        <v>632.5</v>
      </c>
      <c r="L1049" s="19" t="n">
        <v>0</v>
      </c>
      <c r="M1049" s="19" t="n">
        <f aca="false">ABS(L1049)</f>
        <v>0</v>
      </c>
      <c r="N1049" s="18" t="str">
        <f aca="false">IF(L1049=0,"Nil balance",IF(G1049="AR file",IF(L1049&gt;0,"Accounts Receivable","Customer Advances"),IF(L1049&lt;0,"Accounts Payable","Supplier Advances")))</f>
        <v>Nil balance</v>
      </c>
      <c r="O1049" s="18" t="str">
        <f aca="false">IF(L1049=0,"Excluded",IF(Summary!$C$4="By ledger",IF(G1049="AR file","Population 1","Population 2"),IF(L1049&gt;0,"Population 1","Population 2")))</f>
        <v>Excluded</v>
      </c>
      <c r="P1049" s="18" t="str">
        <f aca="false">IF(O1049="Excluded","Excluded – nil closing balance",IF(M1049&gt;Summary!$C$5,"Above Materiality","Below Materiality"))</f>
        <v>Excluded – nil closing balance</v>
      </c>
      <c r="Q1049" s="20" t="str">
        <f aca="false">IF(P1049="Below Materiality",T1049,"")</f>
        <v/>
      </c>
      <c r="R1049" s="21" t="str">
        <f aca="false">IF(P1049="Above Materiality",COUNTIFS($O$2:$O$1092,O1049,$P$2:$P$1092,"Above Materiality",$M$2:$M$1092,"&gt;"&amp;M1049)+COUNTIFS($O$2:$O$1092,O1049,$P$2:$P$1092,"Above Materiality",$M$2:$M$1092,M1049,$A$2:$A$1092,"&lt;"&amp;A1049)+1,"")</f>
        <v/>
      </c>
      <c r="S1049" s="21" t="str">
        <f aca="false">IF(P1049&lt;&gt;"Below Materiality","",IF(Summary!$C$9="Random",COUNTIFS($O$2:$O$1092,O1049,$Q$2:$Q$1092,"&gt;"&amp;Q1049)+1,COUNTIFS($O$2:$O$1092,O1049,$P$2:$P$1092,"Below Materiality",$M$2:$M$1092,"&gt;"&amp;M1049)+COUNTIFS($O$2:$O$1092,O1049,$P$2:$P$1092,"Below Materiality",$M$2:$M$1092,M1049,$A$2:$A$1092,"&lt;"&amp;A1049)+1))</f>
        <v/>
      </c>
      <c r="T1049" s="22"/>
      <c r="U1049" s="21" t="str">
        <f aca="false">IF(R1049="","",O1049&amp;"|A|"&amp;R1049)</f>
        <v/>
      </c>
      <c r="V1049" s="21" t="str">
        <f aca="false">IF(S1049="","",O1049&amp;"|R|"&amp;S1049)</f>
        <v/>
      </c>
    </row>
    <row r="1050" customFormat="false" ht="15" hidden="false" customHeight="false" outlineLevel="0" collapsed="false">
      <c r="A1050" s="18" t="n">
        <v>1049</v>
      </c>
      <c r="B1050" s="18"/>
      <c r="C1050" s="18"/>
      <c r="D1050" s="18"/>
      <c r="E1050" s="18" t="s">
        <v>1954</v>
      </c>
      <c r="F1050" s="18" t="s">
        <v>1955</v>
      </c>
      <c r="G1050" s="18" t="s">
        <v>74</v>
      </c>
      <c r="H1050" s="18" t="n">
        <v>864</v>
      </c>
      <c r="I1050" s="19" t="n">
        <v>0</v>
      </c>
      <c r="J1050" s="19" t="n">
        <v>55</v>
      </c>
      <c r="K1050" s="19" t="n">
        <v>55</v>
      </c>
      <c r="L1050" s="19" t="n">
        <v>0</v>
      </c>
      <c r="M1050" s="19" t="n">
        <f aca="false">ABS(L1050)</f>
        <v>0</v>
      </c>
      <c r="N1050" s="18" t="str">
        <f aca="false">IF(L1050=0,"Nil balance",IF(G1050="AR file",IF(L1050&gt;0,"Accounts Receivable","Customer Advances"),IF(L1050&lt;0,"Accounts Payable","Supplier Advances")))</f>
        <v>Nil balance</v>
      </c>
      <c r="O1050" s="18" t="str">
        <f aca="false">IF(L1050=0,"Excluded",IF(Summary!$C$4="By ledger",IF(G1050="AR file","Population 1","Population 2"),IF(L1050&gt;0,"Population 1","Population 2")))</f>
        <v>Excluded</v>
      </c>
      <c r="P1050" s="18" t="str">
        <f aca="false">IF(O1050="Excluded","Excluded – nil closing balance",IF(M1050&gt;Summary!$C$5,"Above Materiality","Below Materiality"))</f>
        <v>Excluded – nil closing balance</v>
      </c>
      <c r="Q1050" s="20" t="str">
        <f aca="false">IF(P1050="Below Materiality",T1050,"")</f>
        <v/>
      </c>
      <c r="R1050" s="21" t="str">
        <f aca="false">IF(P1050="Above Materiality",COUNTIFS($O$2:$O$1092,O1050,$P$2:$P$1092,"Above Materiality",$M$2:$M$1092,"&gt;"&amp;M1050)+COUNTIFS($O$2:$O$1092,O1050,$P$2:$P$1092,"Above Materiality",$M$2:$M$1092,M1050,$A$2:$A$1092,"&lt;"&amp;A1050)+1,"")</f>
        <v/>
      </c>
      <c r="S1050" s="21" t="str">
        <f aca="false">IF(P1050&lt;&gt;"Below Materiality","",IF(Summary!$C$9="Random",COUNTIFS($O$2:$O$1092,O1050,$Q$2:$Q$1092,"&gt;"&amp;Q1050)+1,COUNTIFS($O$2:$O$1092,O1050,$P$2:$P$1092,"Below Materiality",$M$2:$M$1092,"&gt;"&amp;M1050)+COUNTIFS($O$2:$O$1092,O1050,$P$2:$P$1092,"Below Materiality",$M$2:$M$1092,M1050,$A$2:$A$1092,"&lt;"&amp;A1050)+1))</f>
        <v/>
      </c>
      <c r="T1050" s="22"/>
      <c r="U1050" s="21" t="str">
        <f aca="false">IF(R1050="","",O1050&amp;"|A|"&amp;R1050)</f>
        <v/>
      </c>
      <c r="V1050" s="21" t="str">
        <f aca="false">IF(S1050="","",O1050&amp;"|R|"&amp;S1050)</f>
        <v/>
      </c>
    </row>
    <row r="1051" customFormat="false" ht="15" hidden="false" customHeight="false" outlineLevel="0" collapsed="false">
      <c r="A1051" s="18" t="n">
        <v>1050</v>
      </c>
      <c r="B1051" s="18"/>
      <c r="C1051" s="18"/>
      <c r="D1051" s="18"/>
      <c r="E1051" s="18" t="s">
        <v>1956</v>
      </c>
      <c r="F1051" s="18" t="s">
        <v>1222</v>
      </c>
      <c r="G1051" s="18" t="s">
        <v>74</v>
      </c>
      <c r="H1051" s="18" t="n">
        <v>865</v>
      </c>
      <c r="I1051" s="19" t="n">
        <v>0</v>
      </c>
      <c r="J1051" s="19" t="n">
        <v>850</v>
      </c>
      <c r="K1051" s="19" t="n">
        <v>850</v>
      </c>
      <c r="L1051" s="19" t="n">
        <v>0</v>
      </c>
      <c r="M1051" s="19" t="n">
        <f aca="false">ABS(L1051)</f>
        <v>0</v>
      </c>
      <c r="N1051" s="18" t="str">
        <f aca="false">IF(L1051=0,"Nil balance",IF(G1051="AR file",IF(L1051&gt;0,"Accounts Receivable","Customer Advances"),IF(L1051&lt;0,"Accounts Payable","Supplier Advances")))</f>
        <v>Nil balance</v>
      </c>
      <c r="O1051" s="18" t="str">
        <f aca="false">IF(L1051=0,"Excluded",IF(Summary!$C$4="By ledger",IF(G1051="AR file","Population 1","Population 2"),IF(L1051&gt;0,"Population 1","Population 2")))</f>
        <v>Excluded</v>
      </c>
      <c r="P1051" s="18" t="str">
        <f aca="false">IF(O1051="Excluded","Excluded – nil closing balance",IF(M1051&gt;Summary!$C$5,"Above Materiality","Below Materiality"))</f>
        <v>Excluded – nil closing balance</v>
      </c>
      <c r="Q1051" s="20" t="str">
        <f aca="false">IF(P1051="Below Materiality",T1051,"")</f>
        <v/>
      </c>
      <c r="R1051" s="21" t="str">
        <f aca="false">IF(P1051="Above Materiality",COUNTIFS($O$2:$O$1092,O1051,$P$2:$P$1092,"Above Materiality",$M$2:$M$1092,"&gt;"&amp;M1051)+COUNTIFS($O$2:$O$1092,O1051,$P$2:$P$1092,"Above Materiality",$M$2:$M$1092,M1051,$A$2:$A$1092,"&lt;"&amp;A1051)+1,"")</f>
        <v/>
      </c>
      <c r="S1051" s="21" t="str">
        <f aca="false">IF(P1051&lt;&gt;"Below Materiality","",IF(Summary!$C$9="Random",COUNTIFS($O$2:$O$1092,O1051,$Q$2:$Q$1092,"&gt;"&amp;Q1051)+1,COUNTIFS($O$2:$O$1092,O1051,$P$2:$P$1092,"Below Materiality",$M$2:$M$1092,"&gt;"&amp;M1051)+COUNTIFS($O$2:$O$1092,O1051,$P$2:$P$1092,"Below Materiality",$M$2:$M$1092,M1051,$A$2:$A$1092,"&lt;"&amp;A1051)+1))</f>
        <v/>
      </c>
      <c r="T1051" s="22"/>
      <c r="U1051" s="21" t="str">
        <f aca="false">IF(R1051="","",O1051&amp;"|A|"&amp;R1051)</f>
        <v/>
      </c>
      <c r="V1051" s="21" t="str">
        <f aca="false">IF(S1051="","",O1051&amp;"|R|"&amp;S1051)</f>
        <v/>
      </c>
    </row>
    <row r="1052" customFormat="false" ht="15" hidden="false" customHeight="false" outlineLevel="0" collapsed="false">
      <c r="A1052" s="18" t="n">
        <v>1051</v>
      </c>
      <c r="B1052" s="18"/>
      <c r="C1052" s="18"/>
      <c r="D1052" s="18"/>
      <c r="E1052" s="18" t="s">
        <v>1957</v>
      </c>
      <c r="F1052" s="18" t="s">
        <v>366</v>
      </c>
      <c r="G1052" s="18" t="s">
        <v>74</v>
      </c>
      <c r="H1052" s="18" t="n">
        <v>866</v>
      </c>
      <c r="I1052" s="19" t="n">
        <v>0</v>
      </c>
      <c r="J1052" s="19" t="n">
        <v>100</v>
      </c>
      <c r="K1052" s="19" t="n">
        <v>100</v>
      </c>
      <c r="L1052" s="19" t="n">
        <v>0</v>
      </c>
      <c r="M1052" s="19" t="n">
        <f aca="false">ABS(L1052)</f>
        <v>0</v>
      </c>
      <c r="N1052" s="18" t="str">
        <f aca="false">IF(L1052=0,"Nil balance",IF(G1052="AR file",IF(L1052&gt;0,"Accounts Receivable","Customer Advances"),IF(L1052&lt;0,"Accounts Payable","Supplier Advances")))</f>
        <v>Nil balance</v>
      </c>
      <c r="O1052" s="18" t="str">
        <f aca="false">IF(L1052=0,"Excluded",IF(Summary!$C$4="By ledger",IF(G1052="AR file","Population 1","Population 2"),IF(L1052&gt;0,"Population 1","Population 2")))</f>
        <v>Excluded</v>
      </c>
      <c r="P1052" s="18" t="str">
        <f aca="false">IF(O1052="Excluded","Excluded – nil closing balance",IF(M1052&gt;Summary!$C$5,"Above Materiality","Below Materiality"))</f>
        <v>Excluded – nil closing balance</v>
      </c>
      <c r="Q1052" s="20" t="str">
        <f aca="false">IF(P1052="Below Materiality",T1052,"")</f>
        <v/>
      </c>
      <c r="R1052" s="21" t="str">
        <f aca="false">IF(P1052="Above Materiality",COUNTIFS($O$2:$O$1092,O1052,$P$2:$P$1092,"Above Materiality",$M$2:$M$1092,"&gt;"&amp;M1052)+COUNTIFS($O$2:$O$1092,O1052,$P$2:$P$1092,"Above Materiality",$M$2:$M$1092,M1052,$A$2:$A$1092,"&lt;"&amp;A1052)+1,"")</f>
        <v/>
      </c>
      <c r="S1052" s="21" t="str">
        <f aca="false">IF(P1052&lt;&gt;"Below Materiality","",IF(Summary!$C$9="Random",COUNTIFS($O$2:$O$1092,O1052,$Q$2:$Q$1092,"&gt;"&amp;Q1052)+1,COUNTIFS($O$2:$O$1092,O1052,$P$2:$P$1092,"Below Materiality",$M$2:$M$1092,"&gt;"&amp;M1052)+COUNTIFS($O$2:$O$1092,O1052,$P$2:$P$1092,"Below Materiality",$M$2:$M$1092,M1052,$A$2:$A$1092,"&lt;"&amp;A1052)+1))</f>
        <v/>
      </c>
      <c r="T1052" s="22"/>
      <c r="U1052" s="21" t="str">
        <f aca="false">IF(R1052="","",O1052&amp;"|A|"&amp;R1052)</f>
        <v/>
      </c>
      <c r="V1052" s="21" t="str">
        <f aca="false">IF(S1052="","",O1052&amp;"|R|"&amp;S1052)</f>
        <v/>
      </c>
    </row>
    <row r="1053" customFormat="false" ht="15" hidden="false" customHeight="false" outlineLevel="0" collapsed="false">
      <c r="A1053" s="18" t="n">
        <v>1052</v>
      </c>
      <c r="B1053" s="18"/>
      <c r="C1053" s="18"/>
      <c r="D1053" s="18"/>
      <c r="E1053" s="18" t="s">
        <v>1958</v>
      </c>
      <c r="F1053" s="18" t="s">
        <v>1959</v>
      </c>
      <c r="G1053" s="18" t="s">
        <v>74</v>
      </c>
      <c r="H1053" s="18" t="n">
        <v>867</v>
      </c>
      <c r="I1053" s="19" t="n">
        <v>0</v>
      </c>
      <c r="J1053" s="19" t="n">
        <v>883.2</v>
      </c>
      <c r="K1053" s="19" t="n">
        <v>883.2</v>
      </c>
      <c r="L1053" s="19" t="n">
        <v>0</v>
      </c>
      <c r="M1053" s="19" t="n">
        <f aca="false">ABS(L1053)</f>
        <v>0</v>
      </c>
      <c r="N1053" s="18" t="str">
        <f aca="false">IF(L1053=0,"Nil balance",IF(G1053="AR file",IF(L1053&gt;0,"Accounts Receivable","Customer Advances"),IF(L1053&lt;0,"Accounts Payable","Supplier Advances")))</f>
        <v>Nil balance</v>
      </c>
      <c r="O1053" s="18" t="str">
        <f aca="false">IF(L1053=0,"Excluded",IF(Summary!$C$4="By ledger",IF(G1053="AR file","Population 1","Population 2"),IF(L1053&gt;0,"Population 1","Population 2")))</f>
        <v>Excluded</v>
      </c>
      <c r="P1053" s="18" t="str">
        <f aca="false">IF(O1053="Excluded","Excluded – nil closing balance",IF(M1053&gt;Summary!$C$5,"Above Materiality","Below Materiality"))</f>
        <v>Excluded – nil closing balance</v>
      </c>
      <c r="Q1053" s="20" t="str">
        <f aca="false">IF(P1053="Below Materiality",T1053,"")</f>
        <v/>
      </c>
      <c r="R1053" s="21" t="str">
        <f aca="false">IF(P1053="Above Materiality",COUNTIFS($O$2:$O$1092,O1053,$P$2:$P$1092,"Above Materiality",$M$2:$M$1092,"&gt;"&amp;M1053)+COUNTIFS($O$2:$O$1092,O1053,$P$2:$P$1092,"Above Materiality",$M$2:$M$1092,M1053,$A$2:$A$1092,"&lt;"&amp;A1053)+1,"")</f>
        <v/>
      </c>
      <c r="S1053" s="21" t="str">
        <f aca="false">IF(P1053&lt;&gt;"Below Materiality","",IF(Summary!$C$9="Random",COUNTIFS($O$2:$O$1092,O1053,$Q$2:$Q$1092,"&gt;"&amp;Q1053)+1,COUNTIFS($O$2:$O$1092,O1053,$P$2:$P$1092,"Below Materiality",$M$2:$M$1092,"&gt;"&amp;M1053)+COUNTIFS($O$2:$O$1092,O1053,$P$2:$P$1092,"Below Materiality",$M$2:$M$1092,M1053,$A$2:$A$1092,"&lt;"&amp;A1053)+1))</f>
        <v/>
      </c>
      <c r="T1053" s="22"/>
      <c r="U1053" s="21" t="str">
        <f aca="false">IF(R1053="","",O1053&amp;"|A|"&amp;R1053)</f>
        <v/>
      </c>
      <c r="V1053" s="21" t="str">
        <f aca="false">IF(S1053="","",O1053&amp;"|R|"&amp;S1053)</f>
        <v/>
      </c>
    </row>
    <row r="1054" customFormat="false" ht="15" hidden="false" customHeight="false" outlineLevel="0" collapsed="false">
      <c r="A1054" s="18" t="n">
        <v>1053</v>
      </c>
      <c r="B1054" s="18"/>
      <c r="C1054" s="18"/>
      <c r="D1054" s="18"/>
      <c r="E1054" s="18" t="s">
        <v>1960</v>
      </c>
      <c r="F1054" s="18" t="s">
        <v>1880</v>
      </c>
      <c r="G1054" s="18" t="s">
        <v>74</v>
      </c>
      <c r="H1054" s="18" t="n">
        <v>868</v>
      </c>
      <c r="I1054" s="19" t="n">
        <v>0</v>
      </c>
      <c r="J1054" s="19" t="n">
        <v>1300</v>
      </c>
      <c r="K1054" s="19" t="n">
        <v>1300</v>
      </c>
      <c r="L1054" s="19" t="n">
        <v>0</v>
      </c>
      <c r="M1054" s="19" t="n">
        <f aca="false">ABS(L1054)</f>
        <v>0</v>
      </c>
      <c r="N1054" s="18" t="str">
        <f aca="false">IF(L1054=0,"Nil balance",IF(G1054="AR file",IF(L1054&gt;0,"Accounts Receivable","Customer Advances"),IF(L1054&lt;0,"Accounts Payable","Supplier Advances")))</f>
        <v>Nil balance</v>
      </c>
      <c r="O1054" s="18" t="str">
        <f aca="false">IF(L1054=0,"Excluded",IF(Summary!$C$4="By ledger",IF(G1054="AR file","Population 1","Population 2"),IF(L1054&gt;0,"Population 1","Population 2")))</f>
        <v>Excluded</v>
      </c>
      <c r="P1054" s="18" t="str">
        <f aca="false">IF(O1054="Excluded","Excluded – nil closing balance",IF(M1054&gt;Summary!$C$5,"Above Materiality","Below Materiality"))</f>
        <v>Excluded – nil closing balance</v>
      </c>
      <c r="Q1054" s="20" t="str">
        <f aca="false">IF(P1054="Below Materiality",T1054,"")</f>
        <v/>
      </c>
      <c r="R1054" s="21" t="str">
        <f aca="false">IF(P1054="Above Materiality",COUNTIFS($O$2:$O$1092,O1054,$P$2:$P$1092,"Above Materiality",$M$2:$M$1092,"&gt;"&amp;M1054)+COUNTIFS($O$2:$O$1092,O1054,$P$2:$P$1092,"Above Materiality",$M$2:$M$1092,M1054,$A$2:$A$1092,"&lt;"&amp;A1054)+1,"")</f>
        <v/>
      </c>
      <c r="S1054" s="21" t="str">
        <f aca="false">IF(P1054&lt;&gt;"Below Materiality","",IF(Summary!$C$9="Random",COUNTIFS($O$2:$O$1092,O1054,$Q$2:$Q$1092,"&gt;"&amp;Q1054)+1,COUNTIFS($O$2:$O$1092,O1054,$P$2:$P$1092,"Below Materiality",$M$2:$M$1092,"&gt;"&amp;M1054)+COUNTIFS($O$2:$O$1092,O1054,$P$2:$P$1092,"Below Materiality",$M$2:$M$1092,M1054,$A$2:$A$1092,"&lt;"&amp;A1054)+1))</f>
        <v/>
      </c>
      <c r="T1054" s="22"/>
      <c r="U1054" s="21" t="str">
        <f aca="false">IF(R1054="","",O1054&amp;"|A|"&amp;R1054)</f>
        <v/>
      </c>
      <c r="V1054" s="21" t="str">
        <f aca="false">IF(S1054="","",O1054&amp;"|R|"&amp;S1054)</f>
        <v/>
      </c>
    </row>
    <row r="1055" customFormat="false" ht="15" hidden="false" customHeight="false" outlineLevel="0" collapsed="false">
      <c r="A1055" s="18" t="n">
        <v>1054</v>
      </c>
      <c r="B1055" s="18"/>
      <c r="C1055" s="18"/>
      <c r="D1055" s="18"/>
      <c r="E1055" s="18" t="s">
        <v>1961</v>
      </c>
      <c r="F1055" s="18" t="s">
        <v>1327</v>
      </c>
      <c r="G1055" s="18" t="s">
        <v>74</v>
      </c>
      <c r="H1055" s="18" t="n">
        <v>869</v>
      </c>
      <c r="I1055" s="19" t="n">
        <v>0</v>
      </c>
      <c r="J1055" s="19" t="n">
        <v>200</v>
      </c>
      <c r="K1055" s="19" t="n">
        <v>200</v>
      </c>
      <c r="L1055" s="19" t="n">
        <v>0</v>
      </c>
      <c r="M1055" s="19" t="n">
        <f aca="false">ABS(L1055)</f>
        <v>0</v>
      </c>
      <c r="N1055" s="18" t="str">
        <f aca="false">IF(L1055=0,"Nil balance",IF(G1055="AR file",IF(L1055&gt;0,"Accounts Receivable","Customer Advances"),IF(L1055&lt;0,"Accounts Payable","Supplier Advances")))</f>
        <v>Nil balance</v>
      </c>
      <c r="O1055" s="18" t="str">
        <f aca="false">IF(L1055=0,"Excluded",IF(Summary!$C$4="By ledger",IF(G1055="AR file","Population 1","Population 2"),IF(L1055&gt;0,"Population 1","Population 2")))</f>
        <v>Excluded</v>
      </c>
      <c r="P1055" s="18" t="str">
        <f aca="false">IF(O1055="Excluded","Excluded – nil closing balance",IF(M1055&gt;Summary!$C$5,"Above Materiality","Below Materiality"))</f>
        <v>Excluded – nil closing balance</v>
      </c>
      <c r="Q1055" s="20" t="str">
        <f aca="false">IF(P1055="Below Materiality",T1055,"")</f>
        <v/>
      </c>
      <c r="R1055" s="21" t="str">
        <f aca="false">IF(P1055="Above Materiality",COUNTIFS($O$2:$O$1092,O1055,$P$2:$P$1092,"Above Materiality",$M$2:$M$1092,"&gt;"&amp;M1055)+COUNTIFS($O$2:$O$1092,O1055,$P$2:$P$1092,"Above Materiality",$M$2:$M$1092,M1055,$A$2:$A$1092,"&lt;"&amp;A1055)+1,"")</f>
        <v/>
      </c>
      <c r="S1055" s="21" t="str">
        <f aca="false">IF(P1055&lt;&gt;"Below Materiality","",IF(Summary!$C$9="Random",COUNTIFS($O$2:$O$1092,O1055,$Q$2:$Q$1092,"&gt;"&amp;Q1055)+1,COUNTIFS($O$2:$O$1092,O1055,$P$2:$P$1092,"Below Materiality",$M$2:$M$1092,"&gt;"&amp;M1055)+COUNTIFS($O$2:$O$1092,O1055,$P$2:$P$1092,"Below Materiality",$M$2:$M$1092,M1055,$A$2:$A$1092,"&lt;"&amp;A1055)+1))</f>
        <v/>
      </c>
      <c r="T1055" s="22"/>
      <c r="U1055" s="21" t="str">
        <f aca="false">IF(R1055="","",O1055&amp;"|A|"&amp;R1055)</f>
        <v/>
      </c>
      <c r="V1055" s="21" t="str">
        <f aca="false">IF(S1055="","",O1055&amp;"|R|"&amp;S1055)</f>
        <v/>
      </c>
    </row>
    <row r="1056" customFormat="false" ht="15" hidden="false" customHeight="false" outlineLevel="0" collapsed="false">
      <c r="A1056" s="18" t="n">
        <v>1055</v>
      </c>
      <c r="B1056" s="18"/>
      <c r="C1056" s="18"/>
      <c r="D1056" s="18"/>
      <c r="E1056" s="18" t="s">
        <v>1962</v>
      </c>
      <c r="F1056" s="18" t="s">
        <v>1963</v>
      </c>
      <c r="G1056" s="18" t="s">
        <v>74</v>
      </c>
      <c r="H1056" s="18" t="n">
        <v>870</v>
      </c>
      <c r="I1056" s="19" t="n">
        <v>0</v>
      </c>
      <c r="J1056" s="19" t="n">
        <v>6404.35</v>
      </c>
      <c r="K1056" s="19" t="n">
        <v>6404.35</v>
      </c>
      <c r="L1056" s="19" t="n">
        <v>0</v>
      </c>
      <c r="M1056" s="19" t="n">
        <f aca="false">ABS(L1056)</f>
        <v>0</v>
      </c>
      <c r="N1056" s="18" t="str">
        <f aca="false">IF(L1056=0,"Nil balance",IF(G1056="AR file",IF(L1056&gt;0,"Accounts Receivable","Customer Advances"),IF(L1056&lt;0,"Accounts Payable","Supplier Advances")))</f>
        <v>Nil balance</v>
      </c>
      <c r="O1056" s="18" t="str">
        <f aca="false">IF(L1056=0,"Excluded",IF(Summary!$C$4="By ledger",IF(G1056="AR file","Population 1","Population 2"),IF(L1056&gt;0,"Population 1","Population 2")))</f>
        <v>Excluded</v>
      </c>
      <c r="P1056" s="18" t="str">
        <f aca="false">IF(O1056="Excluded","Excluded – nil closing balance",IF(M1056&gt;Summary!$C$5,"Above Materiality","Below Materiality"))</f>
        <v>Excluded – nil closing balance</v>
      </c>
      <c r="Q1056" s="20" t="str">
        <f aca="false">IF(P1056="Below Materiality",T1056,"")</f>
        <v/>
      </c>
      <c r="R1056" s="21" t="str">
        <f aca="false">IF(P1056="Above Materiality",COUNTIFS($O$2:$O$1092,O1056,$P$2:$P$1092,"Above Materiality",$M$2:$M$1092,"&gt;"&amp;M1056)+COUNTIFS($O$2:$O$1092,O1056,$P$2:$P$1092,"Above Materiality",$M$2:$M$1092,M1056,$A$2:$A$1092,"&lt;"&amp;A1056)+1,"")</f>
        <v/>
      </c>
      <c r="S1056" s="21" t="str">
        <f aca="false">IF(P1056&lt;&gt;"Below Materiality","",IF(Summary!$C$9="Random",COUNTIFS($O$2:$O$1092,O1056,$Q$2:$Q$1092,"&gt;"&amp;Q1056)+1,COUNTIFS($O$2:$O$1092,O1056,$P$2:$P$1092,"Below Materiality",$M$2:$M$1092,"&gt;"&amp;M1056)+COUNTIFS($O$2:$O$1092,O1056,$P$2:$P$1092,"Below Materiality",$M$2:$M$1092,M1056,$A$2:$A$1092,"&lt;"&amp;A1056)+1))</f>
        <v/>
      </c>
      <c r="T1056" s="22"/>
      <c r="U1056" s="21" t="str">
        <f aca="false">IF(R1056="","",O1056&amp;"|A|"&amp;R1056)</f>
        <v/>
      </c>
      <c r="V1056" s="21" t="str">
        <f aca="false">IF(S1056="","",O1056&amp;"|R|"&amp;S1056)</f>
        <v/>
      </c>
    </row>
    <row r="1057" customFormat="false" ht="15" hidden="false" customHeight="false" outlineLevel="0" collapsed="false">
      <c r="A1057" s="18" t="n">
        <v>1056</v>
      </c>
      <c r="B1057" s="18"/>
      <c r="C1057" s="18"/>
      <c r="D1057" s="18"/>
      <c r="E1057" s="18" t="s">
        <v>1964</v>
      </c>
      <c r="F1057" s="18" t="s">
        <v>482</v>
      </c>
      <c r="G1057" s="18" t="s">
        <v>74</v>
      </c>
      <c r="H1057" s="18" t="n">
        <v>871</v>
      </c>
      <c r="I1057" s="19" t="n">
        <v>0</v>
      </c>
      <c r="J1057" s="19" t="n">
        <v>575</v>
      </c>
      <c r="K1057" s="19" t="n">
        <v>575</v>
      </c>
      <c r="L1057" s="19" t="n">
        <v>0</v>
      </c>
      <c r="M1057" s="19" t="n">
        <f aca="false">ABS(L1057)</f>
        <v>0</v>
      </c>
      <c r="N1057" s="18" t="str">
        <f aca="false">IF(L1057=0,"Nil balance",IF(G1057="AR file",IF(L1057&gt;0,"Accounts Receivable","Customer Advances"),IF(L1057&lt;0,"Accounts Payable","Supplier Advances")))</f>
        <v>Nil balance</v>
      </c>
      <c r="O1057" s="18" t="str">
        <f aca="false">IF(L1057=0,"Excluded",IF(Summary!$C$4="By ledger",IF(G1057="AR file","Population 1","Population 2"),IF(L1057&gt;0,"Population 1","Population 2")))</f>
        <v>Excluded</v>
      </c>
      <c r="P1057" s="18" t="str">
        <f aca="false">IF(O1057="Excluded","Excluded – nil closing balance",IF(M1057&gt;Summary!$C$5,"Above Materiality","Below Materiality"))</f>
        <v>Excluded – nil closing balance</v>
      </c>
      <c r="Q1057" s="20" t="str">
        <f aca="false">IF(P1057="Below Materiality",T1057,"")</f>
        <v/>
      </c>
      <c r="R1057" s="21" t="str">
        <f aca="false">IF(P1057="Above Materiality",COUNTIFS($O$2:$O$1092,O1057,$P$2:$P$1092,"Above Materiality",$M$2:$M$1092,"&gt;"&amp;M1057)+COUNTIFS($O$2:$O$1092,O1057,$P$2:$P$1092,"Above Materiality",$M$2:$M$1092,M1057,$A$2:$A$1092,"&lt;"&amp;A1057)+1,"")</f>
        <v/>
      </c>
      <c r="S1057" s="21" t="str">
        <f aca="false">IF(P1057&lt;&gt;"Below Materiality","",IF(Summary!$C$9="Random",COUNTIFS($O$2:$O$1092,O1057,$Q$2:$Q$1092,"&gt;"&amp;Q1057)+1,COUNTIFS($O$2:$O$1092,O1057,$P$2:$P$1092,"Below Materiality",$M$2:$M$1092,"&gt;"&amp;M1057)+COUNTIFS($O$2:$O$1092,O1057,$P$2:$P$1092,"Below Materiality",$M$2:$M$1092,M1057,$A$2:$A$1092,"&lt;"&amp;A1057)+1))</f>
        <v/>
      </c>
      <c r="T1057" s="22"/>
      <c r="U1057" s="21" t="str">
        <f aca="false">IF(R1057="","",O1057&amp;"|A|"&amp;R1057)</f>
        <v/>
      </c>
      <c r="V1057" s="21" t="str">
        <f aca="false">IF(S1057="","",O1057&amp;"|R|"&amp;S1057)</f>
        <v/>
      </c>
    </row>
    <row r="1058" customFormat="false" ht="15" hidden="false" customHeight="false" outlineLevel="0" collapsed="false">
      <c r="A1058" s="18" t="n">
        <v>1057</v>
      </c>
      <c r="B1058" s="18"/>
      <c r="C1058" s="18"/>
      <c r="D1058" s="18"/>
      <c r="E1058" s="18" t="s">
        <v>1965</v>
      </c>
      <c r="F1058" s="18" t="s">
        <v>1966</v>
      </c>
      <c r="G1058" s="18" t="s">
        <v>74</v>
      </c>
      <c r="H1058" s="18" t="n">
        <v>872</v>
      </c>
      <c r="I1058" s="19" t="n">
        <v>0</v>
      </c>
      <c r="J1058" s="19" t="n">
        <v>16500.15</v>
      </c>
      <c r="K1058" s="19" t="n">
        <v>16500.15</v>
      </c>
      <c r="L1058" s="19" t="n">
        <v>0</v>
      </c>
      <c r="M1058" s="19" t="n">
        <f aca="false">ABS(L1058)</f>
        <v>0</v>
      </c>
      <c r="N1058" s="18" t="str">
        <f aca="false">IF(L1058=0,"Nil balance",IF(G1058="AR file",IF(L1058&gt;0,"Accounts Receivable","Customer Advances"),IF(L1058&lt;0,"Accounts Payable","Supplier Advances")))</f>
        <v>Nil balance</v>
      </c>
      <c r="O1058" s="18" t="str">
        <f aca="false">IF(L1058=0,"Excluded",IF(Summary!$C$4="By ledger",IF(G1058="AR file","Population 1","Population 2"),IF(L1058&gt;0,"Population 1","Population 2")))</f>
        <v>Excluded</v>
      </c>
      <c r="P1058" s="18" t="str">
        <f aca="false">IF(O1058="Excluded","Excluded – nil closing balance",IF(M1058&gt;Summary!$C$5,"Above Materiality","Below Materiality"))</f>
        <v>Excluded – nil closing balance</v>
      </c>
      <c r="Q1058" s="20" t="str">
        <f aca="false">IF(P1058="Below Materiality",T1058,"")</f>
        <v/>
      </c>
      <c r="R1058" s="21" t="str">
        <f aca="false">IF(P1058="Above Materiality",COUNTIFS($O$2:$O$1092,O1058,$P$2:$P$1092,"Above Materiality",$M$2:$M$1092,"&gt;"&amp;M1058)+COUNTIFS($O$2:$O$1092,O1058,$P$2:$P$1092,"Above Materiality",$M$2:$M$1092,M1058,$A$2:$A$1092,"&lt;"&amp;A1058)+1,"")</f>
        <v/>
      </c>
      <c r="S1058" s="21" t="str">
        <f aca="false">IF(P1058&lt;&gt;"Below Materiality","",IF(Summary!$C$9="Random",COUNTIFS($O$2:$O$1092,O1058,$Q$2:$Q$1092,"&gt;"&amp;Q1058)+1,COUNTIFS($O$2:$O$1092,O1058,$P$2:$P$1092,"Below Materiality",$M$2:$M$1092,"&gt;"&amp;M1058)+COUNTIFS($O$2:$O$1092,O1058,$P$2:$P$1092,"Below Materiality",$M$2:$M$1092,M1058,$A$2:$A$1092,"&lt;"&amp;A1058)+1))</f>
        <v/>
      </c>
      <c r="T1058" s="22"/>
      <c r="U1058" s="21" t="str">
        <f aca="false">IF(R1058="","",O1058&amp;"|A|"&amp;R1058)</f>
        <v/>
      </c>
      <c r="V1058" s="21" t="str">
        <f aca="false">IF(S1058="","",O1058&amp;"|R|"&amp;S1058)</f>
        <v/>
      </c>
    </row>
    <row r="1059" customFormat="false" ht="15" hidden="false" customHeight="false" outlineLevel="0" collapsed="false">
      <c r="A1059" s="18" t="n">
        <v>1058</v>
      </c>
      <c r="B1059" s="18"/>
      <c r="C1059" s="18"/>
      <c r="D1059" s="18"/>
      <c r="E1059" s="18" t="s">
        <v>1967</v>
      </c>
      <c r="F1059" s="18" t="s">
        <v>1190</v>
      </c>
      <c r="G1059" s="18" t="s">
        <v>74</v>
      </c>
      <c r="H1059" s="18" t="n">
        <v>873</v>
      </c>
      <c r="I1059" s="19" t="n">
        <v>0</v>
      </c>
      <c r="J1059" s="19" t="n">
        <v>253</v>
      </c>
      <c r="K1059" s="19" t="n">
        <v>253</v>
      </c>
      <c r="L1059" s="19" t="n">
        <v>0</v>
      </c>
      <c r="M1059" s="19" t="n">
        <f aca="false">ABS(L1059)</f>
        <v>0</v>
      </c>
      <c r="N1059" s="18" t="str">
        <f aca="false">IF(L1059=0,"Nil balance",IF(G1059="AR file",IF(L1059&gt;0,"Accounts Receivable","Customer Advances"),IF(L1059&lt;0,"Accounts Payable","Supplier Advances")))</f>
        <v>Nil balance</v>
      </c>
      <c r="O1059" s="18" t="str">
        <f aca="false">IF(L1059=0,"Excluded",IF(Summary!$C$4="By ledger",IF(G1059="AR file","Population 1","Population 2"),IF(L1059&gt;0,"Population 1","Population 2")))</f>
        <v>Excluded</v>
      </c>
      <c r="P1059" s="18" t="str">
        <f aca="false">IF(O1059="Excluded","Excluded – nil closing balance",IF(M1059&gt;Summary!$C$5,"Above Materiality","Below Materiality"))</f>
        <v>Excluded – nil closing balance</v>
      </c>
      <c r="Q1059" s="20" t="str">
        <f aca="false">IF(P1059="Below Materiality",T1059,"")</f>
        <v/>
      </c>
      <c r="R1059" s="21" t="str">
        <f aca="false">IF(P1059="Above Materiality",COUNTIFS($O$2:$O$1092,O1059,$P$2:$P$1092,"Above Materiality",$M$2:$M$1092,"&gt;"&amp;M1059)+COUNTIFS($O$2:$O$1092,O1059,$P$2:$P$1092,"Above Materiality",$M$2:$M$1092,M1059,$A$2:$A$1092,"&lt;"&amp;A1059)+1,"")</f>
        <v/>
      </c>
      <c r="S1059" s="21" t="str">
        <f aca="false">IF(P1059&lt;&gt;"Below Materiality","",IF(Summary!$C$9="Random",COUNTIFS($O$2:$O$1092,O1059,$Q$2:$Q$1092,"&gt;"&amp;Q1059)+1,COUNTIFS($O$2:$O$1092,O1059,$P$2:$P$1092,"Below Materiality",$M$2:$M$1092,"&gt;"&amp;M1059)+COUNTIFS($O$2:$O$1092,O1059,$P$2:$P$1092,"Below Materiality",$M$2:$M$1092,M1059,$A$2:$A$1092,"&lt;"&amp;A1059)+1))</f>
        <v/>
      </c>
      <c r="T1059" s="22"/>
      <c r="U1059" s="21" t="str">
        <f aca="false">IF(R1059="","",O1059&amp;"|A|"&amp;R1059)</f>
        <v/>
      </c>
      <c r="V1059" s="21" t="str">
        <f aca="false">IF(S1059="","",O1059&amp;"|R|"&amp;S1059)</f>
        <v/>
      </c>
    </row>
    <row r="1060" customFormat="false" ht="15" hidden="false" customHeight="false" outlineLevel="0" collapsed="false">
      <c r="A1060" s="18" t="n">
        <v>1059</v>
      </c>
      <c r="B1060" s="18"/>
      <c r="C1060" s="18"/>
      <c r="D1060" s="18"/>
      <c r="E1060" s="18" t="s">
        <v>1968</v>
      </c>
      <c r="F1060" s="18" t="s">
        <v>1144</v>
      </c>
      <c r="G1060" s="18" t="s">
        <v>74</v>
      </c>
      <c r="H1060" s="18" t="n">
        <v>874</v>
      </c>
      <c r="I1060" s="19" t="n">
        <v>0</v>
      </c>
      <c r="J1060" s="19" t="n">
        <v>184</v>
      </c>
      <c r="K1060" s="19" t="n">
        <v>184</v>
      </c>
      <c r="L1060" s="19" t="n">
        <v>0</v>
      </c>
      <c r="M1060" s="19" t="n">
        <f aca="false">ABS(L1060)</f>
        <v>0</v>
      </c>
      <c r="N1060" s="18" t="str">
        <f aca="false">IF(L1060=0,"Nil balance",IF(G1060="AR file",IF(L1060&gt;0,"Accounts Receivable","Customer Advances"),IF(L1060&lt;0,"Accounts Payable","Supplier Advances")))</f>
        <v>Nil balance</v>
      </c>
      <c r="O1060" s="18" t="str">
        <f aca="false">IF(L1060=0,"Excluded",IF(Summary!$C$4="By ledger",IF(G1060="AR file","Population 1","Population 2"),IF(L1060&gt;0,"Population 1","Population 2")))</f>
        <v>Excluded</v>
      </c>
      <c r="P1060" s="18" t="str">
        <f aca="false">IF(O1060="Excluded","Excluded – nil closing balance",IF(M1060&gt;Summary!$C$5,"Above Materiality","Below Materiality"))</f>
        <v>Excluded – nil closing balance</v>
      </c>
      <c r="Q1060" s="20" t="str">
        <f aca="false">IF(P1060="Below Materiality",T1060,"")</f>
        <v/>
      </c>
      <c r="R1060" s="21" t="str">
        <f aca="false">IF(P1060="Above Materiality",COUNTIFS($O$2:$O$1092,O1060,$P$2:$P$1092,"Above Materiality",$M$2:$M$1092,"&gt;"&amp;M1060)+COUNTIFS($O$2:$O$1092,O1060,$P$2:$P$1092,"Above Materiality",$M$2:$M$1092,M1060,$A$2:$A$1092,"&lt;"&amp;A1060)+1,"")</f>
        <v/>
      </c>
      <c r="S1060" s="21" t="str">
        <f aca="false">IF(P1060&lt;&gt;"Below Materiality","",IF(Summary!$C$9="Random",COUNTIFS($O$2:$O$1092,O1060,$Q$2:$Q$1092,"&gt;"&amp;Q1060)+1,COUNTIFS($O$2:$O$1092,O1060,$P$2:$P$1092,"Below Materiality",$M$2:$M$1092,"&gt;"&amp;M1060)+COUNTIFS($O$2:$O$1092,O1060,$P$2:$P$1092,"Below Materiality",$M$2:$M$1092,M1060,$A$2:$A$1092,"&lt;"&amp;A1060)+1))</f>
        <v/>
      </c>
      <c r="T1060" s="22"/>
      <c r="U1060" s="21" t="str">
        <f aca="false">IF(R1060="","",O1060&amp;"|A|"&amp;R1060)</f>
        <v/>
      </c>
      <c r="V1060" s="21" t="str">
        <f aca="false">IF(S1060="","",O1060&amp;"|R|"&amp;S1060)</f>
        <v/>
      </c>
    </row>
    <row r="1061" customFormat="false" ht="15" hidden="false" customHeight="false" outlineLevel="0" collapsed="false">
      <c r="A1061" s="18" t="n">
        <v>1060</v>
      </c>
      <c r="B1061" s="18"/>
      <c r="C1061" s="18"/>
      <c r="D1061" s="18"/>
      <c r="E1061" s="18" t="s">
        <v>1969</v>
      </c>
      <c r="F1061" s="18" t="s">
        <v>1079</v>
      </c>
      <c r="G1061" s="18" t="s">
        <v>74</v>
      </c>
      <c r="H1061" s="18" t="n">
        <v>875</v>
      </c>
      <c r="I1061" s="19" t="n">
        <v>0</v>
      </c>
      <c r="J1061" s="19" t="n">
        <v>172.5</v>
      </c>
      <c r="K1061" s="19" t="n">
        <v>172.5</v>
      </c>
      <c r="L1061" s="19" t="n">
        <v>0</v>
      </c>
      <c r="M1061" s="19" t="n">
        <f aca="false">ABS(L1061)</f>
        <v>0</v>
      </c>
      <c r="N1061" s="18" t="str">
        <f aca="false">IF(L1061=0,"Nil balance",IF(G1061="AR file",IF(L1061&gt;0,"Accounts Receivable","Customer Advances"),IF(L1061&lt;0,"Accounts Payable","Supplier Advances")))</f>
        <v>Nil balance</v>
      </c>
      <c r="O1061" s="18" t="str">
        <f aca="false">IF(L1061=0,"Excluded",IF(Summary!$C$4="By ledger",IF(G1061="AR file","Population 1","Population 2"),IF(L1061&gt;0,"Population 1","Population 2")))</f>
        <v>Excluded</v>
      </c>
      <c r="P1061" s="18" t="str">
        <f aca="false">IF(O1061="Excluded","Excluded – nil closing balance",IF(M1061&gt;Summary!$C$5,"Above Materiality","Below Materiality"))</f>
        <v>Excluded – nil closing balance</v>
      </c>
      <c r="Q1061" s="20" t="str">
        <f aca="false">IF(P1061="Below Materiality",T1061,"")</f>
        <v/>
      </c>
      <c r="R1061" s="21" t="str">
        <f aca="false">IF(P1061="Above Materiality",COUNTIFS($O$2:$O$1092,O1061,$P$2:$P$1092,"Above Materiality",$M$2:$M$1092,"&gt;"&amp;M1061)+COUNTIFS($O$2:$O$1092,O1061,$P$2:$P$1092,"Above Materiality",$M$2:$M$1092,M1061,$A$2:$A$1092,"&lt;"&amp;A1061)+1,"")</f>
        <v/>
      </c>
      <c r="S1061" s="21" t="str">
        <f aca="false">IF(P1061&lt;&gt;"Below Materiality","",IF(Summary!$C$9="Random",COUNTIFS($O$2:$O$1092,O1061,$Q$2:$Q$1092,"&gt;"&amp;Q1061)+1,COUNTIFS($O$2:$O$1092,O1061,$P$2:$P$1092,"Below Materiality",$M$2:$M$1092,"&gt;"&amp;M1061)+COUNTIFS($O$2:$O$1092,O1061,$P$2:$P$1092,"Below Materiality",$M$2:$M$1092,M1061,$A$2:$A$1092,"&lt;"&amp;A1061)+1))</f>
        <v/>
      </c>
      <c r="T1061" s="22"/>
      <c r="U1061" s="21" t="str">
        <f aca="false">IF(R1061="","",O1061&amp;"|A|"&amp;R1061)</f>
        <v/>
      </c>
      <c r="V1061" s="21" t="str">
        <f aca="false">IF(S1061="","",O1061&amp;"|R|"&amp;S1061)</f>
        <v/>
      </c>
    </row>
    <row r="1062" customFormat="false" ht="15" hidden="false" customHeight="false" outlineLevel="0" collapsed="false">
      <c r="A1062" s="18" t="n">
        <v>1061</v>
      </c>
      <c r="B1062" s="18"/>
      <c r="C1062" s="18"/>
      <c r="D1062" s="18"/>
      <c r="E1062" s="18" t="s">
        <v>1970</v>
      </c>
      <c r="F1062" s="18" t="s">
        <v>964</v>
      </c>
      <c r="G1062" s="18" t="s">
        <v>74</v>
      </c>
      <c r="H1062" s="18" t="n">
        <v>876</v>
      </c>
      <c r="I1062" s="19" t="n">
        <v>0</v>
      </c>
      <c r="J1062" s="19" t="n">
        <v>1035</v>
      </c>
      <c r="K1062" s="19" t="n">
        <v>1035</v>
      </c>
      <c r="L1062" s="19" t="n">
        <v>0</v>
      </c>
      <c r="M1062" s="19" t="n">
        <f aca="false">ABS(L1062)</f>
        <v>0</v>
      </c>
      <c r="N1062" s="18" t="str">
        <f aca="false">IF(L1062=0,"Nil balance",IF(G1062="AR file",IF(L1062&gt;0,"Accounts Receivable","Customer Advances"),IF(L1062&lt;0,"Accounts Payable","Supplier Advances")))</f>
        <v>Nil balance</v>
      </c>
      <c r="O1062" s="18" t="str">
        <f aca="false">IF(L1062=0,"Excluded",IF(Summary!$C$4="By ledger",IF(G1062="AR file","Population 1","Population 2"),IF(L1062&gt;0,"Population 1","Population 2")))</f>
        <v>Excluded</v>
      </c>
      <c r="P1062" s="18" t="str">
        <f aca="false">IF(O1062="Excluded","Excluded – nil closing balance",IF(M1062&gt;Summary!$C$5,"Above Materiality","Below Materiality"))</f>
        <v>Excluded – nil closing balance</v>
      </c>
      <c r="Q1062" s="20" t="str">
        <f aca="false">IF(P1062="Below Materiality",T1062,"")</f>
        <v/>
      </c>
      <c r="R1062" s="21" t="str">
        <f aca="false">IF(P1062="Above Materiality",COUNTIFS($O$2:$O$1092,O1062,$P$2:$P$1092,"Above Materiality",$M$2:$M$1092,"&gt;"&amp;M1062)+COUNTIFS($O$2:$O$1092,O1062,$P$2:$P$1092,"Above Materiality",$M$2:$M$1092,M1062,$A$2:$A$1092,"&lt;"&amp;A1062)+1,"")</f>
        <v/>
      </c>
      <c r="S1062" s="21" t="str">
        <f aca="false">IF(P1062&lt;&gt;"Below Materiality","",IF(Summary!$C$9="Random",COUNTIFS($O$2:$O$1092,O1062,$Q$2:$Q$1092,"&gt;"&amp;Q1062)+1,COUNTIFS($O$2:$O$1092,O1062,$P$2:$P$1092,"Below Materiality",$M$2:$M$1092,"&gt;"&amp;M1062)+COUNTIFS($O$2:$O$1092,O1062,$P$2:$P$1092,"Below Materiality",$M$2:$M$1092,M1062,$A$2:$A$1092,"&lt;"&amp;A1062)+1))</f>
        <v/>
      </c>
      <c r="T1062" s="22"/>
      <c r="U1062" s="21" t="str">
        <f aca="false">IF(R1062="","",O1062&amp;"|A|"&amp;R1062)</f>
        <v/>
      </c>
      <c r="V1062" s="21" t="str">
        <f aca="false">IF(S1062="","",O1062&amp;"|R|"&amp;S1062)</f>
        <v/>
      </c>
    </row>
    <row r="1063" customFormat="false" ht="15" hidden="false" customHeight="false" outlineLevel="0" collapsed="false">
      <c r="A1063" s="18" t="n">
        <v>1062</v>
      </c>
      <c r="B1063" s="18"/>
      <c r="C1063" s="18"/>
      <c r="D1063" s="18"/>
      <c r="E1063" s="18" t="s">
        <v>1971</v>
      </c>
      <c r="F1063" s="18" t="s">
        <v>1972</v>
      </c>
      <c r="G1063" s="18" t="s">
        <v>74</v>
      </c>
      <c r="H1063" s="18" t="n">
        <v>877</v>
      </c>
      <c r="I1063" s="19" t="n">
        <v>0</v>
      </c>
      <c r="J1063" s="19" t="n">
        <v>819.95</v>
      </c>
      <c r="K1063" s="19" t="n">
        <v>819.95</v>
      </c>
      <c r="L1063" s="19" t="n">
        <v>0</v>
      </c>
      <c r="M1063" s="19" t="n">
        <f aca="false">ABS(L1063)</f>
        <v>0</v>
      </c>
      <c r="N1063" s="18" t="str">
        <f aca="false">IF(L1063=0,"Nil balance",IF(G1063="AR file",IF(L1063&gt;0,"Accounts Receivable","Customer Advances"),IF(L1063&lt;0,"Accounts Payable","Supplier Advances")))</f>
        <v>Nil balance</v>
      </c>
      <c r="O1063" s="18" t="str">
        <f aca="false">IF(L1063=0,"Excluded",IF(Summary!$C$4="By ledger",IF(G1063="AR file","Population 1","Population 2"),IF(L1063&gt;0,"Population 1","Population 2")))</f>
        <v>Excluded</v>
      </c>
      <c r="P1063" s="18" t="str">
        <f aca="false">IF(O1063="Excluded","Excluded – nil closing balance",IF(M1063&gt;Summary!$C$5,"Above Materiality","Below Materiality"))</f>
        <v>Excluded – nil closing balance</v>
      </c>
      <c r="Q1063" s="20" t="str">
        <f aca="false">IF(P1063="Below Materiality",T1063,"")</f>
        <v/>
      </c>
      <c r="R1063" s="21" t="str">
        <f aca="false">IF(P1063="Above Materiality",COUNTIFS($O$2:$O$1092,O1063,$P$2:$P$1092,"Above Materiality",$M$2:$M$1092,"&gt;"&amp;M1063)+COUNTIFS($O$2:$O$1092,O1063,$P$2:$P$1092,"Above Materiality",$M$2:$M$1092,M1063,$A$2:$A$1092,"&lt;"&amp;A1063)+1,"")</f>
        <v/>
      </c>
      <c r="S1063" s="21" t="str">
        <f aca="false">IF(P1063&lt;&gt;"Below Materiality","",IF(Summary!$C$9="Random",COUNTIFS($O$2:$O$1092,O1063,$Q$2:$Q$1092,"&gt;"&amp;Q1063)+1,COUNTIFS($O$2:$O$1092,O1063,$P$2:$P$1092,"Below Materiality",$M$2:$M$1092,"&gt;"&amp;M1063)+COUNTIFS($O$2:$O$1092,O1063,$P$2:$P$1092,"Below Materiality",$M$2:$M$1092,M1063,$A$2:$A$1092,"&lt;"&amp;A1063)+1))</f>
        <v/>
      </c>
      <c r="T1063" s="22"/>
      <c r="U1063" s="21" t="str">
        <f aca="false">IF(R1063="","",O1063&amp;"|A|"&amp;R1063)</f>
        <v/>
      </c>
      <c r="V1063" s="21" t="str">
        <f aca="false">IF(S1063="","",O1063&amp;"|R|"&amp;S1063)</f>
        <v/>
      </c>
    </row>
    <row r="1064" customFormat="false" ht="15" hidden="false" customHeight="false" outlineLevel="0" collapsed="false">
      <c r="A1064" s="18" t="n">
        <v>1063</v>
      </c>
      <c r="B1064" s="18"/>
      <c r="C1064" s="18"/>
      <c r="D1064" s="18"/>
      <c r="E1064" s="18" t="s">
        <v>1973</v>
      </c>
      <c r="F1064" s="18" t="s">
        <v>1079</v>
      </c>
      <c r="G1064" s="18" t="s">
        <v>74</v>
      </c>
      <c r="H1064" s="18" t="n">
        <v>878</v>
      </c>
      <c r="I1064" s="19" t="n">
        <v>0</v>
      </c>
      <c r="J1064" s="19" t="n">
        <v>172.5</v>
      </c>
      <c r="K1064" s="19" t="n">
        <v>172.5</v>
      </c>
      <c r="L1064" s="19" t="n">
        <v>0</v>
      </c>
      <c r="M1064" s="19" t="n">
        <f aca="false">ABS(L1064)</f>
        <v>0</v>
      </c>
      <c r="N1064" s="18" t="str">
        <f aca="false">IF(L1064=0,"Nil balance",IF(G1064="AR file",IF(L1064&gt;0,"Accounts Receivable","Customer Advances"),IF(L1064&lt;0,"Accounts Payable","Supplier Advances")))</f>
        <v>Nil balance</v>
      </c>
      <c r="O1064" s="18" t="str">
        <f aca="false">IF(L1064=0,"Excluded",IF(Summary!$C$4="By ledger",IF(G1064="AR file","Population 1","Population 2"),IF(L1064&gt;0,"Population 1","Population 2")))</f>
        <v>Excluded</v>
      </c>
      <c r="P1064" s="18" t="str">
        <f aca="false">IF(O1064="Excluded","Excluded – nil closing balance",IF(M1064&gt;Summary!$C$5,"Above Materiality","Below Materiality"))</f>
        <v>Excluded – nil closing balance</v>
      </c>
      <c r="Q1064" s="20" t="str">
        <f aca="false">IF(P1064="Below Materiality",T1064,"")</f>
        <v/>
      </c>
      <c r="R1064" s="21" t="str">
        <f aca="false">IF(P1064="Above Materiality",COUNTIFS($O$2:$O$1092,O1064,$P$2:$P$1092,"Above Materiality",$M$2:$M$1092,"&gt;"&amp;M1064)+COUNTIFS($O$2:$O$1092,O1064,$P$2:$P$1092,"Above Materiality",$M$2:$M$1092,M1064,$A$2:$A$1092,"&lt;"&amp;A1064)+1,"")</f>
        <v/>
      </c>
      <c r="S1064" s="21" t="str">
        <f aca="false">IF(P1064&lt;&gt;"Below Materiality","",IF(Summary!$C$9="Random",COUNTIFS($O$2:$O$1092,O1064,$Q$2:$Q$1092,"&gt;"&amp;Q1064)+1,COUNTIFS($O$2:$O$1092,O1064,$P$2:$P$1092,"Below Materiality",$M$2:$M$1092,"&gt;"&amp;M1064)+COUNTIFS($O$2:$O$1092,O1064,$P$2:$P$1092,"Below Materiality",$M$2:$M$1092,M1064,$A$2:$A$1092,"&lt;"&amp;A1064)+1))</f>
        <v/>
      </c>
      <c r="T1064" s="22"/>
      <c r="U1064" s="21" t="str">
        <f aca="false">IF(R1064="","",O1064&amp;"|A|"&amp;R1064)</f>
        <v/>
      </c>
      <c r="V1064" s="21" t="str">
        <f aca="false">IF(S1064="","",O1064&amp;"|R|"&amp;S1064)</f>
        <v/>
      </c>
    </row>
    <row r="1065" customFormat="false" ht="15" hidden="false" customHeight="false" outlineLevel="0" collapsed="false">
      <c r="A1065" s="18" t="n">
        <v>1064</v>
      </c>
      <c r="B1065" s="18"/>
      <c r="C1065" s="18"/>
      <c r="D1065" s="18"/>
      <c r="E1065" s="18" t="s">
        <v>1974</v>
      </c>
      <c r="F1065" s="18" t="s">
        <v>1975</v>
      </c>
      <c r="G1065" s="18" t="s">
        <v>74</v>
      </c>
      <c r="H1065" s="18" t="n">
        <v>879</v>
      </c>
      <c r="I1065" s="19" t="n">
        <v>0</v>
      </c>
      <c r="J1065" s="19" t="n">
        <v>4680.5</v>
      </c>
      <c r="K1065" s="19" t="n">
        <v>4680.5</v>
      </c>
      <c r="L1065" s="19" t="n">
        <v>0</v>
      </c>
      <c r="M1065" s="19" t="n">
        <f aca="false">ABS(L1065)</f>
        <v>0</v>
      </c>
      <c r="N1065" s="18" t="str">
        <f aca="false">IF(L1065=0,"Nil balance",IF(G1065="AR file",IF(L1065&gt;0,"Accounts Receivable","Customer Advances"),IF(L1065&lt;0,"Accounts Payable","Supplier Advances")))</f>
        <v>Nil balance</v>
      </c>
      <c r="O1065" s="18" t="str">
        <f aca="false">IF(L1065=0,"Excluded",IF(Summary!$C$4="By ledger",IF(G1065="AR file","Population 1","Population 2"),IF(L1065&gt;0,"Population 1","Population 2")))</f>
        <v>Excluded</v>
      </c>
      <c r="P1065" s="18" t="str">
        <f aca="false">IF(O1065="Excluded","Excluded – nil closing balance",IF(M1065&gt;Summary!$C$5,"Above Materiality","Below Materiality"))</f>
        <v>Excluded – nil closing balance</v>
      </c>
      <c r="Q1065" s="20" t="str">
        <f aca="false">IF(P1065="Below Materiality",T1065,"")</f>
        <v/>
      </c>
      <c r="R1065" s="21" t="str">
        <f aca="false">IF(P1065="Above Materiality",COUNTIFS($O$2:$O$1092,O1065,$P$2:$P$1092,"Above Materiality",$M$2:$M$1092,"&gt;"&amp;M1065)+COUNTIFS($O$2:$O$1092,O1065,$P$2:$P$1092,"Above Materiality",$M$2:$M$1092,M1065,$A$2:$A$1092,"&lt;"&amp;A1065)+1,"")</f>
        <v/>
      </c>
      <c r="S1065" s="21" t="str">
        <f aca="false">IF(P1065&lt;&gt;"Below Materiality","",IF(Summary!$C$9="Random",COUNTIFS($O$2:$O$1092,O1065,$Q$2:$Q$1092,"&gt;"&amp;Q1065)+1,COUNTIFS($O$2:$O$1092,O1065,$P$2:$P$1092,"Below Materiality",$M$2:$M$1092,"&gt;"&amp;M1065)+COUNTIFS($O$2:$O$1092,O1065,$P$2:$P$1092,"Below Materiality",$M$2:$M$1092,M1065,$A$2:$A$1092,"&lt;"&amp;A1065)+1))</f>
        <v/>
      </c>
      <c r="T1065" s="22"/>
      <c r="U1065" s="21" t="str">
        <f aca="false">IF(R1065="","",O1065&amp;"|A|"&amp;R1065)</f>
        <v/>
      </c>
      <c r="V1065" s="21" t="str">
        <f aca="false">IF(S1065="","",O1065&amp;"|R|"&amp;S1065)</f>
        <v/>
      </c>
    </row>
    <row r="1066" customFormat="false" ht="15" hidden="false" customHeight="false" outlineLevel="0" collapsed="false">
      <c r="A1066" s="18" t="n">
        <v>1065</v>
      </c>
      <c r="B1066" s="18"/>
      <c r="C1066" s="18"/>
      <c r="D1066" s="18"/>
      <c r="E1066" s="18" t="s">
        <v>1976</v>
      </c>
      <c r="F1066" s="18" t="s">
        <v>1413</v>
      </c>
      <c r="G1066" s="18" t="s">
        <v>74</v>
      </c>
      <c r="H1066" s="18" t="n">
        <v>880</v>
      </c>
      <c r="I1066" s="19" t="n">
        <v>0</v>
      </c>
      <c r="J1066" s="19" t="n">
        <v>130</v>
      </c>
      <c r="K1066" s="19" t="n">
        <v>130</v>
      </c>
      <c r="L1066" s="19" t="n">
        <v>0</v>
      </c>
      <c r="M1066" s="19" t="n">
        <f aca="false">ABS(L1066)</f>
        <v>0</v>
      </c>
      <c r="N1066" s="18" t="str">
        <f aca="false">IF(L1066=0,"Nil balance",IF(G1066="AR file",IF(L1066&gt;0,"Accounts Receivable","Customer Advances"),IF(L1066&lt;0,"Accounts Payable","Supplier Advances")))</f>
        <v>Nil balance</v>
      </c>
      <c r="O1066" s="18" t="str">
        <f aca="false">IF(L1066=0,"Excluded",IF(Summary!$C$4="By ledger",IF(G1066="AR file","Population 1","Population 2"),IF(L1066&gt;0,"Population 1","Population 2")))</f>
        <v>Excluded</v>
      </c>
      <c r="P1066" s="18" t="str">
        <f aca="false">IF(O1066="Excluded","Excluded – nil closing balance",IF(M1066&gt;Summary!$C$5,"Above Materiality","Below Materiality"))</f>
        <v>Excluded – nil closing balance</v>
      </c>
      <c r="Q1066" s="20" t="str">
        <f aca="false">IF(P1066="Below Materiality",T1066,"")</f>
        <v/>
      </c>
      <c r="R1066" s="21" t="str">
        <f aca="false">IF(P1066="Above Materiality",COUNTIFS($O$2:$O$1092,O1066,$P$2:$P$1092,"Above Materiality",$M$2:$M$1092,"&gt;"&amp;M1066)+COUNTIFS($O$2:$O$1092,O1066,$P$2:$P$1092,"Above Materiality",$M$2:$M$1092,M1066,$A$2:$A$1092,"&lt;"&amp;A1066)+1,"")</f>
        <v/>
      </c>
      <c r="S1066" s="21" t="str">
        <f aca="false">IF(P1066&lt;&gt;"Below Materiality","",IF(Summary!$C$9="Random",COUNTIFS($O$2:$O$1092,O1066,$Q$2:$Q$1092,"&gt;"&amp;Q1066)+1,COUNTIFS($O$2:$O$1092,O1066,$P$2:$P$1092,"Below Materiality",$M$2:$M$1092,"&gt;"&amp;M1066)+COUNTIFS($O$2:$O$1092,O1066,$P$2:$P$1092,"Below Materiality",$M$2:$M$1092,M1066,$A$2:$A$1092,"&lt;"&amp;A1066)+1))</f>
        <v/>
      </c>
      <c r="T1066" s="22"/>
      <c r="U1066" s="21" t="str">
        <f aca="false">IF(R1066="","",O1066&amp;"|A|"&amp;R1066)</f>
        <v/>
      </c>
      <c r="V1066" s="21" t="str">
        <f aca="false">IF(S1066="","",O1066&amp;"|R|"&amp;S1066)</f>
        <v/>
      </c>
    </row>
    <row r="1067" customFormat="false" ht="15" hidden="false" customHeight="false" outlineLevel="0" collapsed="false">
      <c r="A1067" s="18" t="n">
        <v>1066</v>
      </c>
      <c r="B1067" s="18"/>
      <c r="C1067" s="18"/>
      <c r="D1067" s="18"/>
      <c r="E1067" s="18" t="s">
        <v>1977</v>
      </c>
      <c r="F1067" s="18" t="s">
        <v>1978</v>
      </c>
      <c r="G1067" s="18" t="s">
        <v>74</v>
      </c>
      <c r="H1067" s="18" t="n">
        <v>881</v>
      </c>
      <c r="I1067" s="19" t="n">
        <v>0</v>
      </c>
      <c r="J1067" s="19" t="n">
        <v>271.4</v>
      </c>
      <c r="K1067" s="19" t="n">
        <v>271.4</v>
      </c>
      <c r="L1067" s="19" t="n">
        <v>0</v>
      </c>
      <c r="M1067" s="19" t="n">
        <f aca="false">ABS(L1067)</f>
        <v>0</v>
      </c>
      <c r="N1067" s="18" t="str">
        <f aca="false">IF(L1067=0,"Nil balance",IF(G1067="AR file",IF(L1067&gt;0,"Accounts Receivable","Customer Advances"),IF(L1067&lt;0,"Accounts Payable","Supplier Advances")))</f>
        <v>Nil balance</v>
      </c>
      <c r="O1067" s="18" t="str">
        <f aca="false">IF(L1067=0,"Excluded",IF(Summary!$C$4="By ledger",IF(G1067="AR file","Population 1","Population 2"),IF(L1067&gt;0,"Population 1","Population 2")))</f>
        <v>Excluded</v>
      </c>
      <c r="P1067" s="18" t="str">
        <f aca="false">IF(O1067="Excluded","Excluded – nil closing balance",IF(M1067&gt;Summary!$C$5,"Above Materiality","Below Materiality"))</f>
        <v>Excluded – nil closing balance</v>
      </c>
      <c r="Q1067" s="20" t="str">
        <f aca="false">IF(P1067="Below Materiality",T1067,"")</f>
        <v/>
      </c>
      <c r="R1067" s="21" t="str">
        <f aca="false">IF(P1067="Above Materiality",COUNTIFS($O$2:$O$1092,O1067,$P$2:$P$1092,"Above Materiality",$M$2:$M$1092,"&gt;"&amp;M1067)+COUNTIFS($O$2:$O$1092,O1067,$P$2:$P$1092,"Above Materiality",$M$2:$M$1092,M1067,$A$2:$A$1092,"&lt;"&amp;A1067)+1,"")</f>
        <v/>
      </c>
      <c r="S1067" s="21" t="str">
        <f aca="false">IF(P1067&lt;&gt;"Below Materiality","",IF(Summary!$C$9="Random",COUNTIFS($O$2:$O$1092,O1067,$Q$2:$Q$1092,"&gt;"&amp;Q1067)+1,COUNTIFS($O$2:$O$1092,O1067,$P$2:$P$1092,"Below Materiality",$M$2:$M$1092,"&gt;"&amp;M1067)+COUNTIFS($O$2:$O$1092,O1067,$P$2:$P$1092,"Below Materiality",$M$2:$M$1092,M1067,$A$2:$A$1092,"&lt;"&amp;A1067)+1))</f>
        <v/>
      </c>
      <c r="T1067" s="22"/>
      <c r="U1067" s="21" t="str">
        <f aca="false">IF(R1067="","",O1067&amp;"|A|"&amp;R1067)</f>
        <v/>
      </c>
      <c r="V1067" s="21" t="str">
        <f aca="false">IF(S1067="","",O1067&amp;"|R|"&amp;S1067)</f>
        <v/>
      </c>
    </row>
    <row r="1068" customFormat="false" ht="15" hidden="false" customHeight="false" outlineLevel="0" collapsed="false">
      <c r="A1068" s="18" t="n">
        <v>1067</v>
      </c>
      <c r="B1068" s="18"/>
      <c r="C1068" s="18"/>
      <c r="D1068" s="18"/>
      <c r="E1068" s="18" t="s">
        <v>1979</v>
      </c>
      <c r="F1068" s="18" t="s">
        <v>1980</v>
      </c>
      <c r="G1068" s="18" t="s">
        <v>74</v>
      </c>
      <c r="H1068" s="18" t="n">
        <v>883</v>
      </c>
      <c r="I1068" s="19" t="n">
        <v>0</v>
      </c>
      <c r="J1068" s="19" t="n">
        <v>6350</v>
      </c>
      <c r="K1068" s="19" t="n">
        <v>6350</v>
      </c>
      <c r="L1068" s="19" t="n">
        <v>0</v>
      </c>
      <c r="M1068" s="19" t="n">
        <f aca="false">ABS(L1068)</f>
        <v>0</v>
      </c>
      <c r="N1068" s="18" t="str">
        <f aca="false">IF(L1068=0,"Nil balance",IF(G1068="AR file",IF(L1068&gt;0,"Accounts Receivable","Customer Advances"),IF(L1068&lt;0,"Accounts Payable","Supplier Advances")))</f>
        <v>Nil balance</v>
      </c>
      <c r="O1068" s="18" t="str">
        <f aca="false">IF(L1068=0,"Excluded",IF(Summary!$C$4="By ledger",IF(G1068="AR file","Population 1","Population 2"),IF(L1068&gt;0,"Population 1","Population 2")))</f>
        <v>Excluded</v>
      </c>
      <c r="P1068" s="18" t="str">
        <f aca="false">IF(O1068="Excluded","Excluded – nil closing balance",IF(M1068&gt;Summary!$C$5,"Above Materiality","Below Materiality"))</f>
        <v>Excluded – nil closing balance</v>
      </c>
      <c r="Q1068" s="20" t="str">
        <f aca="false">IF(P1068="Below Materiality",T1068,"")</f>
        <v/>
      </c>
      <c r="R1068" s="21" t="str">
        <f aca="false">IF(P1068="Above Materiality",COUNTIFS($O$2:$O$1092,O1068,$P$2:$P$1092,"Above Materiality",$M$2:$M$1092,"&gt;"&amp;M1068)+COUNTIFS($O$2:$O$1092,O1068,$P$2:$P$1092,"Above Materiality",$M$2:$M$1092,M1068,$A$2:$A$1092,"&lt;"&amp;A1068)+1,"")</f>
        <v/>
      </c>
      <c r="S1068" s="21" t="str">
        <f aca="false">IF(P1068&lt;&gt;"Below Materiality","",IF(Summary!$C$9="Random",COUNTIFS($O$2:$O$1092,O1068,$Q$2:$Q$1092,"&gt;"&amp;Q1068)+1,COUNTIFS($O$2:$O$1092,O1068,$P$2:$P$1092,"Below Materiality",$M$2:$M$1092,"&gt;"&amp;M1068)+COUNTIFS($O$2:$O$1092,O1068,$P$2:$P$1092,"Below Materiality",$M$2:$M$1092,M1068,$A$2:$A$1092,"&lt;"&amp;A1068)+1))</f>
        <v/>
      </c>
      <c r="T1068" s="22"/>
      <c r="U1068" s="21" t="str">
        <f aca="false">IF(R1068="","",O1068&amp;"|A|"&amp;R1068)</f>
        <v/>
      </c>
      <c r="V1068" s="21" t="str">
        <f aca="false">IF(S1068="","",O1068&amp;"|R|"&amp;S1068)</f>
        <v/>
      </c>
    </row>
    <row r="1069" customFormat="false" ht="15" hidden="false" customHeight="false" outlineLevel="0" collapsed="false">
      <c r="A1069" s="18" t="n">
        <v>1068</v>
      </c>
      <c r="B1069" s="18"/>
      <c r="C1069" s="18"/>
      <c r="D1069" s="18"/>
      <c r="E1069" s="18" t="s">
        <v>1981</v>
      </c>
      <c r="F1069" s="18" t="s">
        <v>1982</v>
      </c>
      <c r="G1069" s="18" t="s">
        <v>74</v>
      </c>
      <c r="H1069" s="18" t="n">
        <v>884</v>
      </c>
      <c r="I1069" s="19" t="n">
        <v>0</v>
      </c>
      <c r="J1069" s="19" t="n">
        <v>1058</v>
      </c>
      <c r="K1069" s="19" t="n">
        <v>1058</v>
      </c>
      <c r="L1069" s="19" t="n">
        <v>0</v>
      </c>
      <c r="M1069" s="19" t="n">
        <f aca="false">ABS(L1069)</f>
        <v>0</v>
      </c>
      <c r="N1069" s="18" t="str">
        <f aca="false">IF(L1069=0,"Nil balance",IF(G1069="AR file",IF(L1069&gt;0,"Accounts Receivable","Customer Advances"),IF(L1069&lt;0,"Accounts Payable","Supplier Advances")))</f>
        <v>Nil balance</v>
      </c>
      <c r="O1069" s="18" t="str">
        <f aca="false">IF(L1069=0,"Excluded",IF(Summary!$C$4="By ledger",IF(G1069="AR file","Population 1","Population 2"),IF(L1069&gt;0,"Population 1","Population 2")))</f>
        <v>Excluded</v>
      </c>
      <c r="P1069" s="18" t="str">
        <f aca="false">IF(O1069="Excluded","Excluded – nil closing balance",IF(M1069&gt;Summary!$C$5,"Above Materiality","Below Materiality"))</f>
        <v>Excluded – nil closing balance</v>
      </c>
      <c r="Q1069" s="20" t="str">
        <f aca="false">IF(P1069="Below Materiality",T1069,"")</f>
        <v/>
      </c>
      <c r="R1069" s="21" t="str">
        <f aca="false">IF(P1069="Above Materiality",COUNTIFS($O$2:$O$1092,O1069,$P$2:$P$1092,"Above Materiality",$M$2:$M$1092,"&gt;"&amp;M1069)+COUNTIFS($O$2:$O$1092,O1069,$P$2:$P$1092,"Above Materiality",$M$2:$M$1092,M1069,$A$2:$A$1092,"&lt;"&amp;A1069)+1,"")</f>
        <v/>
      </c>
      <c r="S1069" s="21" t="str">
        <f aca="false">IF(P1069&lt;&gt;"Below Materiality","",IF(Summary!$C$9="Random",COUNTIFS($O$2:$O$1092,O1069,$Q$2:$Q$1092,"&gt;"&amp;Q1069)+1,COUNTIFS($O$2:$O$1092,O1069,$P$2:$P$1092,"Below Materiality",$M$2:$M$1092,"&gt;"&amp;M1069)+COUNTIFS($O$2:$O$1092,O1069,$P$2:$P$1092,"Below Materiality",$M$2:$M$1092,M1069,$A$2:$A$1092,"&lt;"&amp;A1069)+1))</f>
        <v/>
      </c>
      <c r="T1069" s="22"/>
      <c r="U1069" s="21" t="str">
        <f aca="false">IF(R1069="","",O1069&amp;"|A|"&amp;R1069)</f>
        <v/>
      </c>
      <c r="V1069" s="21" t="str">
        <f aca="false">IF(S1069="","",O1069&amp;"|R|"&amp;S1069)</f>
        <v/>
      </c>
    </row>
    <row r="1070" customFormat="false" ht="15" hidden="false" customHeight="false" outlineLevel="0" collapsed="false">
      <c r="A1070" s="18" t="n">
        <v>1069</v>
      </c>
      <c r="B1070" s="18"/>
      <c r="C1070" s="18"/>
      <c r="D1070" s="18"/>
      <c r="E1070" s="18" t="s">
        <v>1983</v>
      </c>
      <c r="F1070" s="18" t="s">
        <v>1608</v>
      </c>
      <c r="G1070" s="18" t="s">
        <v>74</v>
      </c>
      <c r="H1070" s="18" t="n">
        <v>885</v>
      </c>
      <c r="I1070" s="19" t="n">
        <v>0</v>
      </c>
      <c r="J1070" s="19" t="n">
        <v>150</v>
      </c>
      <c r="K1070" s="19" t="n">
        <v>150</v>
      </c>
      <c r="L1070" s="19" t="n">
        <v>0</v>
      </c>
      <c r="M1070" s="19" t="n">
        <f aca="false">ABS(L1070)</f>
        <v>0</v>
      </c>
      <c r="N1070" s="18" t="str">
        <f aca="false">IF(L1070=0,"Nil balance",IF(G1070="AR file",IF(L1070&gt;0,"Accounts Receivable","Customer Advances"),IF(L1070&lt;0,"Accounts Payable","Supplier Advances")))</f>
        <v>Nil balance</v>
      </c>
      <c r="O1070" s="18" t="str">
        <f aca="false">IF(L1070=0,"Excluded",IF(Summary!$C$4="By ledger",IF(G1070="AR file","Population 1","Population 2"),IF(L1070&gt;0,"Population 1","Population 2")))</f>
        <v>Excluded</v>
      </c>
      <c r="P1070" s="18" t="str">
        <f aca="false">IF(O1070="Excluded","Excluded – nil closing balance",IF(M1070&gt;Summary!$C$5,"Above Materiality","Below Materiality"))</f>
        <v>Excluded – nil closing balance</v>
      </c>
      <c r="Q1070" s="20" t="str">
        <f aca="false">IF(P1070="Below Materiality",T1070,"")</f>
        <v/>
      </c>
      <c r="R1070" s="21" t="str">
        <f aca="false">IF(P1070="Above Materiality",COUNTIFS($O$2:$O$1092,O1070,$P$2:$P$1092,"Above Materiality",$M$2:$M$1092,"&gt;"&amp;M1070)+COUNTIFS($O$2:$O$1092,O1070,$P$2:$P$1092,"Above Materiality",$M$2:$M$1092,M1070,$A$2:$A$1092,"&lt;"&amp;A1070)+1,"")</f>
        <v/>
      </c>
      <c r="S1070" s="21" t="str">
        <f aca="false">IF(P1070&lt;&gt;"Below Materiality","",IF(Summary!$C$9="Random",COUNTIFS($O$2:$O$1092,O1070,$Q$2:$Q$1092,"&gt;"&amp;Q1070)+1,COUNTIFS($O$2:$O$1092,O1070,$P$2:$P$1092,"Below Materiality",$M$2:$M$1092,"&gt;"&amp;M1070)+COUNTIFS($O$2:$O$1092,O1070,$P$2:$P$1092,"Below Materiality",$M$2:$M$1092,M1070,$A$2:$A$1092,"&lt;"&amp;A1070)+1))</f>
        <v/>
      </c>
      <c r="T1070" s="22"/>
      <c r="U1070" s="21" t="str">
        <f aca="false">IF(R1070="","",O1070&amp;"|A|"&amp;R1070)</f>
        <v/>
      </c>
      <c r="V1070" s="21" t="str">
        <f aca="false">IF(S1070="","",O1070&amp;"|R|"&amp;S1070)</f>
        <v/>
      </c>
    </row>
    <row r="1071" customFormat="false" ht="15" hidden="false" customHeight="false" outlineLevel="0" collapsed="false">
      <c r="A1071" s="18" t="n">
        <v>1070</v>
      </c>
      <c r="B1071" s="18"/>
      <c r="C1071" s="18"/>
      <c r="D1071" s="18"/>
      <c r="E1071" s="18" t="s">
        <v>1984</v>
      </c>
      <c r="F1071" s="18" t="s">
        <v>1985</v>
      </c>
      <c r="G1071" s="18" t="s">
        <v>74</v>
      </c>
      <c r="H1071" s="18" t="n">
        <v>886</v>
      </c>
      <c r="I1071" s="19" t="n">
        <v>0</v>
      </c>
      <c r="J1071" s="19" t="n">
        <v>155</v>
      </c>
      <c r="K1071" s="19" t="n">
        <v>155</v>
      </c>
      <c r="L1071" s="19" t="n">
        <v>0</v>
      </c>
      <c r="M1071" s="19" t="n">
        <f aca="false">ABS(L1071)</f>
        <v>0</v>
      </c>
      <c r="N1071" s="18" t="str">
        <f aca="false">IF(L1071=0,"Nil balance",IF(G1071="AR file",IF(L1071&gt;0,"Accounts Receivable","Customer Advances"),IF(L1071&lt;0,"Accounts Payable","Supplier Advances")))</f>
        <v>Nil balance</v>
      </c>
      <c r="O1071" s="18" t="str">
        <f aca="false">IF(L1071=0,"Excluded",IF(Summary!$C$4="By ledger",IF(G1071="AR file","Population 1","Population 2"),IF(L1071&gt;0,"Population 1","Population 2")))</f>
        <v>Excluded</v>
      </c>
      <c r="P1071" s="18" t="str">
        <f aca="false">IF(O1071="Excluded","Excluded – nil closing balance",IF(M1071&gt;Summary!$C$5,"Above Materiality","Below Materiality"))</f>
        <v>Excluded – nil closing balance</v>
      </c>
      <c r="Q1071" s="20" t="str">
        <f aca="false">IF(P1071="Below Materiality",T1071,"")</f>
        <v/>
      </c>
      <c r="R1071" s="21" t="str">
        <f aca="false">IF(P1071="Above Materiality",COUNTIFS($O$2:$O$1092,O1071,$P$2:$P$1092,"Above Materiality",$M$2:$M$1092,"&gt;"&amp;M1071)+COUNTIFS($O$2:$O$1092,O1071,$P$2:$P$1092,"Above Materiality",$M$2:$M$1092,M1071,$A$2:$A$1092,"&lt;"&amp;A1071)+1,"")</f>
        <v/>
      </c>
      <c r="S1071" s="21" t="str">
        <f aca="false">IF(P1071&lt;&gt;"Below Materiality","",IF(Summary!$C$9="Random",COUNTIFS($O$2:$O$1092,O1071,$Q$2:$Q$1092,"&gt;"&amp;Q1071)+1,COUNTIFS($O$2:$O$1092,O1071,$P$2:$P$1092,"Below Materiality",$M$2:$M$1092,"&gt;"&amp;M1071)+COUNTIFS($O$2:$O$1092,O1071,$P$2:$P$1092,"Below Materiality",$M$2:$M$1092,M1071,$A$2:$A$1092,"&lt;"&amp;A1071)+1))</f>
        <v/>
      </c>
      <c r="T1071" s="22"/>
      <c r="U1071" s="21" t="str">
        <f aca="false">IF(R1071="","",O1071&amp;"|A|"&amp;R1071)</f>
        <v/>
      </c>
      <c r="V1071" s="21" t="str">
        <f aca="false">IF(S1071="","",O1071&amp;"|R|"&amp;S1071)</f>
        <v/>
      </c>
    </row>
    <row r="1072" customFormat="false" ht="15" hidden="false" customHeight="false" outlineLevel="0" collapsed="false">
      <c r="A1072" s="18" t="n">
        <v>1071</v>
      </c>
      <c r="B1072" s="18"/>
      <c r="C1072" s="18"/>
      <c r="D1072" s="18"/>
      <c r="E1072" s="18" t="s">
        <v>1986</v>
      </c>
      <c r="F1072" s="18" t="s">
        <v>1222</v>
      </c>
      <c r="G1072" s="18" t="s">
        <v>74</v>
      </c>
      <c r="H1072" s="18" t="n">
        <v>887</v>
      </c>
      <c r="I1072" s="19" t="n">
        <v>0</v>
      </c>
      <c r="J1072" s="19" t="n">
        <v>850</v>
      </c>
      <c r="K1072" s="19" t="n">
        <v>850</v>
      </c>
      <c r="L1072" s="19" t="n">
        <v>0</v>
      </c>
      <c r="M1072" s="19" t="n">
        <f aca="false">ABS(L1072)</f>
        <v>0</v>
      </c>
      <c r="N1072" s="18" t="str">
        <f aca="false">IF(L1072=0,"Nil balance",IF(G1072="AR file",IF(L1072&gt;0,"Accounts Receivable","Customer Advances"),IF(L1072&lt;0,"Accounts Payable","Supplier Advances")))</f>
        <v>Nil balance</v>
      </c>
      <c r="O1072" s="18" t="str">
        <f aca="false">IF(L1072=0,"Excluded",IF(Summary!$C$4="By ledger",IF(G1072="AR file","Population 1","Population 2"),IF(L1072&gt;0,"Population 1","Population 2")))</f>
        <v>Excluded</v>
      </c>
      <c r="P1072" s="18" t="str">
        <f aca="false">IF(O1072="Excluded","Excluded – nil closing balance",IF(M1072&gt;Summary!$C$5,"Above Materiality","Below Materiality"))</f>
        <v>Excluded – nil closing balance</v>
      </c>
      <c r="Q1072" s="20" t="str">
        <f aca="false">IF(P1072="Below Materiality",T1072,"")</f>
        <v/>
      </c>
      <c r="R1072" s="21" t="str">
        <f aca="false">IF(P1072="Above Materiality",COUNTIFS($O$2:$O$1092,O1072,$P$2:$P$1092,"Above Materiality",$M$2:$M$1092,"&gt;"&amp;M1072)+COUNTIFS($O$2:$O$1092,O1072,$P$2:$P$1092,"Above Materiality",$M$2:$M$1092,M1072,$A$2:$A$1092,"&lt;"&amp;A1072)+1,"")</f>
        <v/>
      </c>
      <c r="S1072" s="21" t="str">
        <f aca="false">IF(P1072&lt;&gt;"Below Materiality","",IF(Summary!$C$9="Random",COUNTIFS($O$2:$O$1092,O1072,$Q$2:$Q$1092,"&gt;"&amp;Q1072)+1,COUNTIFS($O$2:$O$1092,O1072,$P$2:$P$1092,"Below Materiality",$M$2:$M$1092,"&gt;"&amp;M1072)+COUNTIFS($O$2:$O$1092,O1072,$P$2:$P$1092,"Below Materiality",$M$2:$M$1092,M1072,$A$2:$A$1092,"&lt;"&amp;A1072)+1))</f>
        <v/>
      </c>
      <c r="T1072" s="22"/>
      <c r="U1072" s="21" t="str">
        <f aca="false">IF(R1072="","",O1072&amp;"|A|"&amp;R1072)</f>
        <v/>
      </c>
      <c r="V1072" s="21" t="str">
        <f aca="false">IF(S1072="","",O1072&amp;"|R|"&amp;S1072)</f>
        <v/>
      </c>
    </row>
    <row r="1073" customFormat="false" ht="15" hidden="false" customHeight="false" outlineLevel="0" collapsed="false">
      <c r="A1073" s="18" t="n">
        <v>1072</v>
      </c>
      <c r="B1073" s="18"/>
      <c r="C1073" s="18"/>
      <c r="D1073" s="18"/>
      <c r="E1073" s="18" t="s">
        <v>1987</v>
      </c>
      <c r="F1073" s="18" t="s">
        <v>1608</v>
      </c>
      <c r="G1073" s="18" t="s">
        <v>74</v>
      </c>
      <c r="H1073" s="18" t="n">
        <v>888</v>
      </c>
      <c r="I1073" s="19" t="n">
        <v>0</v>
      </c>
      <c r="J1073" s="19" t="n">
        <v>150</v>
      </c>
      <c r="K1073" s="19" t="n">
        <v>150</v>
      </c>
      <c r="L1073" s="19" t="n">
        <v>0</v>
      </c>
      <c r="M1073" s="19" t="n">
        <f aca="false">ABS(L1073)</f>
        <v>0</v>
      </c>
      <c r="N1073" s="18" t="str">
        <f aca="false">IF(L1073=0,"Nil balance",IF(G1073="AR file",IF(L1073&gt;0,"Accounts Receivable","Customer Advances"),IF(L1073&lt;0,"Accounts Payable","Supplier Advances")))</f>
        <v>Nil balance</v>
      </c>
      <c r="O1073" s="18" t="str">
        <f aca="false">IF(L1073=0,"Excluded",IF(Summary!$C$4="By ledger",IF(G1073="AR file","Population 1","Population 2"),IF(L1073&gt;0,"Population 1","Population 2")))</f>
        <v>Excluded</v>
      </c>
      <c r="P1073" s="18" t="str">
        <f aca="false">IF(O1073="Excluded","Excluded – nil closing balance",IF(M1073&gt;Summary!$C$5,"Above Materiality","Below Materiality"))</f>
        <v>Excluded – nil closing balance</v>
      </c>
      <c r="Q1073" s="20" t="str">
        <f aca="false">IF(P1073="Below Materiality",T1073,"")</f>
        <v/>
      </c>
      <c r="R1073" s="21" t="str">
        <f aca="false">IF(P1073="Above Materiality",COUNTIFS($O$2:$O$1092,O1073,$P$2:$P$1092,"Above Materiality",$M$2:$M$1092,"&gt;"&amp;M1073)+COUNTIFS($O$2:$O$1092,O1073,$P$2:$P$1092,"Above Materiality",$M$2:$M$1092,M1073,$A$2:$A$1092,"&lt;"&amp;A1073)+1,"")</f>
        <v/>
      </c>
      <c r="S1073" s="21" t="str">
        <f aca="false">IF(P1073&lt;&gt;"Below Materiality","",IF(Summary!$C$9="Random",COUNTIFS($O$2:$O$1092,O1073,$Q$2:$Q$1092,"&gt;"&amp;Q1073)+1,COUNTIFS($O$2:$O$1092,O1073,$P$2:$P$1092,"Below Materiality",$M$2:$M$1092,"&gt;"&amp;M1073)+COUNTIFS($O$2:$O$1092,O1073,$P$2:$P$1092,"Below Materiality",$M$2:$M$1092,M1073,$A$2:$A$1092,"&lt;"&amp;A1073)+1))</f>
        <v/>
      </c>
      <c r="T1073" s="22"/>
      <c r="U1073" s="21" t="str">
        <f aca="false">IF(R1073="","",O1073&amp;"|A|"&amp;R1073)</f>
        <v/>
      </c>
      <c r="V1073" s="21" t="str">
        <f aca="false">IF(S1073="","",O1073&amp;"|R|"&amp;S1073)</f>
        <v/>
      </c>
    </row>
    <row r="1074" customFormat="false" ht="15" hidden="false" customHeight="false" outlineLevel="0" collapsed="false">
      <c r="A1074" s="18" t="n">
        <v>1073</v>
      </c>
      <c r="B1074" s="18"/>
      <c r="C1074" s="18"/>
      <c r="D1074" s="18"/>
      <c r="E1074" s="18" t="s">
        <v>1988</v>
      </c>
      <c r="F1074" s="18" t="s">
        <v>1302</v>
      </c>
      <c r="G1074" s="18" t="s">
        <v>74</v>
      </c>
      <c r="H1074" s="18" t="n">
        <v>889</v>
      </c>
      <c r="I1074" s="19" t="n">
        <v>0</v>
      </c>
      <c r="J1074" s="19" t="n">
        <v>437</v>
      </c>
      <c r="K1074" s="19" t="n">
        <v>437</v>
      </c>
      <c r="L1074" s="19" t="n">
        <v>0</v>
      </c>
      <c r="M1074" s="19" t="n">
        <f aca="false">ABS(L1074)</f>
        <v>0</v>
      </c>
      <c r="N1074" s="18" t="str">
        <f aca="false">IF(L1074=0,"Nil balance",IF(G1074="AR file",IF(L1074&gt;0,"Accounts Receivable","Customer Advances"),IF(L1074&lt;0,"Accounts Payable","Supplier Advances")))</f>
        <v>Nil balance</v>
      </c>
      <c r="O1074" s="18" t="str">
        <f aca="false">IF(L1074=0,"Excluded",IF(Summary!$C$4="By ledger",IF(G1074="AR file","Population 1","Population 2"),IF(L1074&gt;0,"Population 1","Population 2")))</f>
        <v>Excluded</v>
      </c>
      <c r="P1074" s="18" t="str">
        <f aca="false">IF(O1074="Excluded","Excluded – nil closing balance",IF(M1074&gt;Summary!$C$5,"Above Materiality","Below Materiality"))</f>
        <v>Excluded – nil closing balance</v>
      </c>
      <c r="Q1074" s="20" t="str">
        <f aca="false">IF(P1074="Below Materiality",T1074,"")</f>
        <v/>
      </c>
      <c r="R1074" s="21" t="str">
        <f aca="false">IF(P1074="Above Materiality",COUNTIFS($O$2:$O$1092,O1074,$P$2:$P$1092,"Above Materiality",$M$2:$M$1092,"&gt;"&amp;M1074)+COUNTIFS($O$2:$O$1092,O1074,$P$2:$P$1092,"Above Materiality",$M$2:$M$1092,M1074,$A$2:$A$1092,"&lt;"&amp;A1074)+1,"")</f>
        <v/>
      </c>
      <c r="S1074" s="21" t="str">
        <f aca="false">IF(P1074&lt;&gt;"Below Materiality","",IF(Summary!$C$9="Random",COUNTIFS($O$2:$O$1092,O1074,$Q$2:$Q$1092,"&gt;"&amp;Q1074)+1,COUNTIFS($O$2:$O$1092,O1074,$P$2:$P$1092,"Below Materiality",$M$2:$M$1092,"&gt;"&amp;M1074)+COUNTIFS($O$2:$O$1092,O1074,$P$2:$P$1092,"Below Materiality",$M$2:$M$1092,M1074,$A$2:$A$1092,"&lt;"&amp;A1074)+1))</f>
        <v/>
      </c>
      <c r="T1074" s="22"/>
      <c r="U1074" s="21" t="str">
        <f aca="false">IF(R1074="","",O1074&amp;"|A|"&amp;R1074)</f>
        <v/>
      </c>
      <c r="V1074" s="21" t="str">
        <f aca="false">IF(S1074="","",O1074&amp;"|R|"&amp;S1074)</f>
        <v/>
      </c>
    </row>
    <row r="1075" customFormat="false" ht="15" hidden="false" customHeight="false" outlineLevel="0" collapsed="false">
      <c r="A1075" s="18" t="n">
        <v>1074</v>
      </c>
      <c r="B1075" s="18"/>
      <c r="C1075" s="18"/>
      <c r="D1075" s="18"/>
      <c r="E1075" s="18" t="s">
        <v>1989</v>
      </c>
      <c r="F1075" s="18" t="s">
        <v>1990</v>
      </c>
      <c r="G1075" s="18" t="s">
        <v>74</v>
      </c>
      <c r="H1075" s="18" t="n">
        <v>890</v>
      </c>
      <c r="I1075" s="19" t="n">
        <v>0</v>
      </c>
      <c r="J1075" s="19" t="n">
        <v>1959.6</v>
      </c>
      <c r="K1075" s="19" t="n">
        <v>1959.6</v>
      </c>
      <c r="L1075" s="19" t="n">
        <v>0</v>
      </c>
      <c r="M1075" s="19" t="n">
        <f aca="false">ABS(L1075)</f>
        <v>0</v>
      </c>
      <c r="N1075" s="18" t="str">
        <f aca="false">IF(L1075=0,"Nil balance",IF(G1075="AR file",IF(L1075&gt;0,"Accounts Receivable","Customer Advances"),IF(L1075&lt;0,"Accounts Payable","Supplier Advances")))</f>
        <v>Nil balance</v>
      </c>
      <c r="O1075" s="18" t="str">
        <f aca="false">IF(L1075=0,"Excluded",IF(Summary!$C$4="By ledger",IF(G1075="AR file","Population 1","Population 2"),IF(L1075&gt;0,"Population 1","Population 2")))</f>
        <v>Excluded</v>
      </c>
      <c r="P1075" s="18" t="str">
        <f aca="false">IF(O1075="Excluded","Excluded – nil closing balance",IF(M1075&gt;Summary!$C$5,"Above Materiality","Below Materiality"))</f>
        <v>Excluded – nil closing balance</v>
      </c>
      <c r="Q1075" s="20" t="str">
        <f aca="false">IF(P1075="Below Materiality",T1075,"")</f>
        <v/>
      </c>
      <c r="R1075" s="21" t="str">
        <f aca="false">IF(P1075="Above Materiality",COUNTIFS($O$2:$O$1092,O1075,$P$2:$P$1092,"Above Materiality",$M$2:$M$1092,"&gt;"&amp;M1075)+COUNTIFS($O$2:$O$1092,O1075,$P$2:$P$1092,"Above Materiality",$M$2:$M$1092,M1075,$A$2:$A$1092,"&lt;"&amp;A1075)+1,"")</f>
        <v/>
      </c>
      <c r="S1075" s="21" t="str">
        <f aca="false">IF(P1075&lt;&gt;"Below Materiality","",IF(Summary!$C$9="Random",COUNTIFS($O$2:$O$1092,O1075,$Q$2:$Q$1092,"&gt;"&amp;Q1075)+1,COUNTIFS($O$2:$O$1092,O1075,$P$2:$P$1092,"Below Materiality",$M$2:$M$1092,"&gt;"&amp;M1075)+COUNTIFS($O$2:$O$1092,O1075,$P$2:$P$1092,"Below Materiality",$M$2:$M$1092,M1075,$A$2:$A$1092,"&lt;"&amp;A1075)+1))</f>
        <v/>
      </c>
      <c r="T1075" s="22"/>
      <c r="U1075" s="21" t="str">
        <f aca="false">IF(R1075="","",O1075&amp;"|A|"&amp;R1075)</f>
        <v/>
      </c>
      <c r="V1075" s="21" t="str">
        <f aca="false">IF(S1075="","",O1075&amp;"|R|"&amp;S1075)</f>
        <v/>
      </c>
    </row>
    <row r="1076" customFormat="false" ht="15" hidden="false" customHeight="false" outlineLevel="0" collapsed="false">
      <c r="A1076" s="18" t="n">
        <v>1075</v>
      </c>
      <c r="B1076" s="18"/>
      <c r="C1076" s="18"/>
      <c r="D1076" s="18"/>
      <c r="E1076" s="18" t="s">
        <v>1991</v>
      </c>
      <c r="F1076" s="18" t="s">
        <v>1243</v>
      </c>
      <c r="G1076" s="18" t="s">
        <v>74</v>
      </c>
      <c r="H1076" s="18" t="n">
        <v>891</v>
      </c>
      <c r="I1076" s="19" t="n">
        <v>0</v>
      </c>
      <c r="J1076" s="19" t="n">
        <v>310.5</v>
      </c>
      <c r="K1076" s="19" t="n">
        <v>310.5</v>
      </c>
      <c r="L1076" s="19" t="n">
        <v>0</v>
      </c>
      <c r="M1076" s="19" t="n">
        <f aca="false">ABS(L1076)</f>
        <v>0</v>
      </c>
      <c r="N1076" s="18" t="str">
        <f aca="false">IF(L1076=0,"Nil balance",IF(G1076="AR file",IF(L1076&gt;0,"Accounts Receivable","Customer Advances"),IF(L1076&lt;0,"Accounts Payable","Supplier Advances")))</f>
        <v>Nil balance</v>
      </c>
      <c r="O1076" s="18" t="str">
        <f aca="false">IF(L1076=0,"Excluded",IF(Summary!$C$4="By ledger",IF(G1076="AR file","Population 1","Population 2"),IF(L1076&gt;0,"Population 1","Population 2")))</f>
        <v>Excluded</v>
      </c>
      <c r="P1076" s="18" t="str">
        <f aca="false">IF(O1076="Excluded","Excluded – nil closing balance",IF(M1076&gt;Summary!$C$5,"Above Materiality","Below Materiality"))</f>
        <v>Excluded – nil closing balance</v>
      </c>
      <c r="Q1076" s="20" t="str">
        <f aca="false">IF(P1076="Below Materiality",T1076,"")</f>
        <v/>
      </c>
      <c r="R1076" s="21" t="str">
        <f aca="false">IF(P1076="Above Materiality",COUNTIFS($O$2:$O$1092,O1076,$P$2:$P$1092,"Above Materiality",$M$2:$M$1092,"&gt;"&amp;M1076)+COUNTIFS($O$2:$O$1092,O1076,$P$2:$P$1092,"Above Materiality",$M$2:$M$1092,M1076,$A$2:$A$1092,"&lt;"&amp;A1076)+1,"")</f>
        <v/>
      </c>
      <c r="S1076" s="21" t="str">
        <f aca="false">IF(P1076&lt;&gt;"Below Materiality","",IF(Summary!$C$9="Random",COUNTIFS($O$2:$O$1092,O1076,$Q$2:$Q$1092,"&gt;"&amp;Q1076)+1,COUNTIFS($O$2:$O$1092,O1076,$P$2:$P$1092,"Below Materiality",$M$2:$M$1092,"&gt;"&amp;M1076)+COUNTIFS($O$2:$O$1092,O1076,$P$2:$P$1092,"Below Materiality",$M$2:$M$1092,M1076,$A$2:$A$1092,"&lt;"&amp;A1076)+1))</f>
        <v/>
      </c>
      <c r="T1076" s="22"/>
      <c r="U1076" s="21" t="str">
        <f aca="false">IF(R1076="","",O1076&amp;"|A|"&amp;R1076)</f>
        <v/>
      </c>
      <c r="V1076" s="21" t="str">
        <f aca="false">IF(S1076="","",O1076&amp;"|R|"&amp;S1076)</f>
        <v/>
      </c>
    </row>
    <row r="1077" customFormat="false" ht="15" hidden="false" customHeight="false" outlineLevel="0" collapsed="false">
      <c r="A1077" s="18" t="n">
        <v>1076</v>
      </c>
      <c r="B1077" s="18"/>
      <c r="C1077" s="18"/>
      <c r="D1077" s="18"/>
      <c r="E1077" s="18" t="s">
        <v>1992</v>
      </c>
      <c r="F1077" s="18" t="s">
        <v>1389</v>
      </c>
      <c r="G1077" s="18" t="s">
        <v>74</v>
      </c>
      <c r="H1077" s="18" t="n">
        <v>892</v>
      </c>
      <c r="I1077" s="19" t="n">
        <v>0</v>
      </c>
      <c r="J1077" s="19" t="n">
        <v>138</v>
      </c>
      <c r="K1077" s="19" t="n">
        <v>138</v>
      </c>
      <c r="L1077" s="19" t="n">
        <v>0</v>
      </c>
      <c r="M1077" s="19" t="n">
        <f aca="false">ABS(L1077)</f>
        <v>0</v>
      </c>
      <c r="N1077" s="18" t="str">
        <f aca="false">IF(L1077=0,"Nil balance",IF(G1077="AR file",IF(L1077&gt;0,"Accounts Receivable","Customer Advances"),IF(L1077&lt;0,"Accounts Payable","Supplier Advances")))</f>
        <v>Nil balance</v>
      </c>
      <c r="O1077" s="18" t="str">
        <f aca="false">IF(L1077=0,"Excluded",IF(Summary!$C$4="By ledger",IF(G1077="AR file","Population 1","Population 2"),IF(L1077&gt;0,"Population 1","Population 2")))</f>
        <v>Excluded</v>
      </c>
      <c r="P1077" s="18" t="str">
        <f aca="false">IF(O1077="Excluded","Excluded – nil closing balance",IF(M1077&gt;Summary!$C$5,"Above Materiality","Below Materiality"))</f>
        <v>Excluded – nil closing balance</v>
      </c>
      <c r="Q1077" s="20" t="str">
        <f aca="false">IF(P1077="Below Materiality",T1077,"")</f>
        <v/>
      </c>
      <c r="R1077" s="21" t="str">
        <f aca="false">IF(P1077="Above Materiality",COUNTIFS($O$2:$O$1092,O1077,$P$2:$P$1092,"Above Materiality",$M$2:$M$1092,"&gt;"&amp;M1077)+COUNTIFS($O$2:$O$1092,O1077,$P$2:$P$1092,"Above Materiality",$M$2:$M$1092,M1077,$A$2:$A$1092,"&lt;"&amp;A1077)+1,"")</f>
        <v/>
      </c>
      <c r="S1077" s="21" t="str">
        <f aca="false">IF(P1077&lt;&gt;"Below Materiality","",IF(Summary!$C$9="Random",COUNTIFS($O$2:$O$1092,O1077,$Q$2:$Q$1092,"&gt;"&amp;Q1077)+1,COUNTIFS($O$2:$O$1092,O1077,$P$2:$P$1092,"Below Materiality",$M$2:$M$1092,"&gt;"&amp;M1077)+COUNTIFS($O$2:$O$1092,O1077,$P$2:$P$1092,"Below Materiality",$M$2:$M$1092,M1077,$A$2:$A$1092,"&lt;"&amp;A1077)+1))</f>
        <v/>
      </c>
      <c r="T1077" s="22"/>
      <c r="U1077" s="21" t="str">
        <f aca="false">IF(R1077="","",O1077&amp;"|A|"&amp;R1077)</f>
        <v/>
      </c>
      <c r="V1077" s="21" t="str">
        <f aca="false">IF(S1077="","",O1077&amp;"|R|"&amp;S1077)</f>
        <v/>
      </c>
    </row>
    <row r="1078" customFormat="false" ht="15" hidden="false" customHeight="false" outlineLevel="0" collapsed="false">
      <c r="A1078" s="18" t="n">
        <v>1077</v>
      </c>
      <c r="B1078" s="18"/>
      <c r="C1078" s="18"/>
      <c r="D1078" s="18"/>
      <c r="E1078" s="18" t="s">
        <v>1993</v>
      </c>
      <c r="F1078" s="18" t="s">
        <v>1081</v>
      </c>
      <c r="G1078" s="18" t="s">
        <v>74</v>
      </c>
      <c r="H1078" s="18" t="n">
        <v>893</v>
      </c>
      <c r="I1078" s="19" t="n">
        <v>0</v>
      </c>
      <c r="J1078" s="19" t="n">
        <v>391</v>
      </c>
      <c r="K1078" s="19" t="n">
        <v>391</v>
      </c>
      <c r="L1078" s="19" t="n">
        <v>0</v>
      </c>
      <c r="M1078" s="19" t="n">
        <f aca="false">ABS(L1078)</f>
        <v>0</v>
      </c>
      <c r="N1078" s="18" t="str">
        <f aca="false">IF(L1078=0,"Nil balance",IF(G1078="AR file",IF(L1078&gt;0,"Accounts Receivable","Customer Advances"),IF(L1078&lt;0,"Accounts Payable","Supplier Advances")))</f>
        <v>Nil balance</v>
      </c>
      <c r="O1078" s="18" t="str">
        <f aca="false">IF(L1078=0,"Excluded",IF(Summary!$C$4="By ledger",IF(G1078="AR file","Population 1","Population 2"),IF(L1078&gt;0,"Population 1","Population 2")))</f>
        <v>Excluded</v>
      </c>
      <c r="P1078" s="18" t="str">
        <f aca="false">IF(O1078="Excluded","Excluded – nil closing balance",IF(M1078&gt;Summary!$C$5,"Above Materiality","Below Materiality"))</f>
        <v>Excluded – nil closing balance</v>
      </c>
      <c r="Q1078" s="20" t="str">
        <f aca="false">IF(P1078="Below Materiality",T1078,"")</f>
        <v/>
      </c>
      <c r="R1078" s="21" t="str">
        <f aca="false">IF(P1078="Above Materiality",COUNTIFS($O$2:$O$1092,O1078,$P$2:$P$1092,"Above Materiality",$M$2:$M$1092,"&gt;"&amp;M1078)+COUNTIFS($O$2:$O$1092,O1078,$P$2:$P$1092,"Above Materiality",$M$2:$M$1092,M1078,$A$2:$A$1092,"&lt;"&amp;A1078)+1,"")</f>
        <v/>
      </c>
      <c r="S1078" s="21" t="str">
        <f aca="false">IF(P1078&lt;&gt;"Below Materiality","",IF(Summary!$C$9="Random",COUNTIFS($O$2:$O$1092,O1078,$Q$2:$Q$1092,"&gt;"&amp;Q1078)+1,COUNTIFS($O$2:$O$1092,O1078,$P$2:$P$1092,"Below Materiality",$M$2:$M$1092,"&gt;"&amp;M1078)+COUNTIFS($O$2:$O$1092,O1078,$P$2:$P$1092,"Below Materiality",$M$2:$M$1092,M1078,$A$2:$A$1092,"&lt;"&amp;A1078)+1))</f>
        <v/>
      </c>
      <c r="T1078" s="22"/>
      <c r="U1078" s="21" t="str">
        <f aca="false">IF(R1078="","",O1078&amp;"|A|"&amp;R1078)</f>
        <v/>
      </c>
      <c r="V1078" s="21" t="str">
        <f aca="false">IF(S1078="","",O1078&amp;"|R|"&amp;S1078)</f>
        <v/>
      </c>
    </row>
    <row r="1079" customFormat="false" ht="15" hidden="false" customHeight="false" outlineLevel="0" collapsed="false">
      <c r="A1079" s="18" t="n">
        <v>1078</v>
      </c>
      <c r="B1079" s="18"/>
      <c r="C1079" s="18"/>
      <c r="D1079" s="18"/>
      <c r="E1079" s="18" t="s">
        <v>1994</v>
      </c>
      <c r="F1079" s="18" t="s">
        <v>1995</v>
      </c>
      <c r="G1079" s="18" t="s">
        <v>74</v>
      </c>
      <c r="H1079" s="18" t="n">
        <v>894</v>
      </c>
      <c r="I1079" s="19" t="n">
        <v>0</v>
      </c>
      <c r="J1079" s="19" t="n">
        <v>13328.5</v>
      </c>
      <c r="K1079" s="19" t="n">
        <v>13328.5</v>
      </c>
      <c r="L1079" s="19" t="n">
        <v>0</v>
      </c>
      <c r="M1079" s="19" t="n">
        <f aca="false">ABS(L1079)</f>
        <v>0</v>
      </c>
      <c r="N1079" s="18" t="str">
        <f aca="false">IF(L1079=0,"Nil balance",IF(G1079="AR file",IF(L1079&gt;0,"Accounts Receivable","Customer Advances"),IF(L1079&lt;0,"Accounts Payable","Supplier Advances")))</f>
        <v>Nil balance</v>
      </c>
      <c r="O1079" s="18" t="str">
        <f aca="false">IF(L1079=0,"Excluded",IF(Summary!$C$4="By ledger",IF(G1079="AR file","Population 1","Population 2"),IF(L1079&gt;0,"Population 1","Population 2")))</f>
        <v>Excluded</v>
      </c>
      <c r="P1079" s="18" t="str">
        <f aca="false">IF(O1079="Excluded","Excluded – nil closing balance",IF(M1079&gt;Summary!$C$5,"Above Materiality","Below Materiality"))</f>
        <v>Excluded – nil closing balance</v>
      </c>
      <c r="Q1079" s="20" t="str">
        <f aca="false">IF(P1079="Below Materiality",T1079,"")</f>
        <v/>
      </c>
      <c r="R1079" s="21" t="str">
        <f aca="false">IF(P1079="Above Materiality",COUNTIFS($O$2:$O$1092,O1079,$P$2:$P$1092,"Above Materiality",$M$2:$M$1092,"&gt;"&amp;M1079)+COUNTIFS($O$2:$O$1092,O1079,$P$2:$P$1092,"Above Materiality",$M$2:$M$1092,M1079,$A$2:$A$1092,"&lt;"&amp;A1079)+1,"")</f>
        <v/>
      </c>
      <c r="S1079" s="21" t="str">
        <f aca="false">IF(P1079&lt;&gt;"Below Materiality","",IF(Summary!$C$9="Random",COUNTIFS($O$2:$O$1092,O1079,$Q$2:$Q$1092,"&gt;"&amp;Q1079)+1,COUNTIFS($O$2:$O$1092,O1079,$P$2:$P$1092,"Below Materiality",$M$2:$M$1092,"&gt;"&amp;M1079)+COUNTIFS($O$2:$O$1092,O1079,$P$2:$P$1092,"Below Materiality",$M$2:$M$1092,M1079,$A$2:$A$1092,"&lt;"&amp;A1079)+1))</f>
        <v/>
      </c>
      <c r="T1079" s="22"/>
      <c r="U1079" s="21" t="str">
        <f aca="false">IF(R1079="","",O1079&amp;"|A|"&amp;R1079)</f>
        <v/>
      </c>
      <c r="V1079" s="21" t="str">
        <f aca="false">IF(S1079="","",O1079&amp;"|R|"&amp;S1079)</f>
        <v/>
      </c>
    </row>
    <row r="1080" customFormat="false" ht="15" hidden="false" customHeight="false" outlineLevel="0" collapsed="false">
      <c r="A1080" s="18" t="n">
        <v>1079</v>
      </c>
      <c r="B1080" s="18"/>
      <c r="C1080" s="18"/>
      <c r="D1080" s="18"/>
      <c r="E1080" s="18" t="s">
        <v>1996</v>
      </c>
      <c r="F1080" s="18" t="s">
        <v>1034</v>
      </c>
      <c r="G1080" s="18" t="s">
        <v>74</v>
      </c>
      <c r="H1080" s="18" t="n">
        <v>896</v>
      </c>
      <c r="I1080" s="19" t="n">
        <v>0</v>
      </c>
      <c r="J1080" s="19" t="n">
        <v>552</v>
      </c>
      <c r="K1080" s="19" t="n">
        <v>552</v>
      </c>
      <c r="L1080" s="19" t="n">
        <v>0</v>
      </c>
      <c r="M1080" s="19" t="n">
        <f aca="false">ABS(L1080)</f>
        <v>0</v>
      </c>
      <c r="N1080" s="18" t="str">
        <f aca="false">IF(L1080=0,"Nil balance",IF(G1080="AR file",IF(L1080&gt;0,"Accounts Receivable","Customer Advances"),IF(L1080&lt;0,"Accounts Payable","Supplier Advances")))</f>
        <v>Nil balance</v>
      </c>
      <c r="O1080" s="18" t="str">
        <f aca="false">IF(L1080=0,"Excluded",IF(Summary!$C$4="By ledger",IF(G1080="AR file","Population 1","Population 2"),IF(L1080&gt;0,"Population 1","Population 2")))</f>
        <v>Excluded</v>
      </c>
      <c r="P1080" s="18" t="str">
        <f aca="false">IF(O1080="Excluded","Excluded – nil closing balance",IF(M1080&gt;Summary!$C$5,"Above Materiality","Below Materiality"))</f>
        <v>Excluded – nil closing balance</v>
      </c>
      <c r="Q1080" s="20" t="str">
        <f aca="false">IF(P1080="Below Materiality",T1080,"")</f>
        <v/>
      </c>
      <c r="R1080" s="21" t="str">
        <f aca="false">IF(P1080="Above Materiality",COUNTIFS($O$2:$O$1092,O1080,$P$2:$P$1092,"Above Materiality",$M$2:$M$1092,"&gt;"&amp;M1080)+COUNTIFS($O$2:$O$1092,O1080,$P$2:$P$1092,"Above Materiality",$M$2:$M$1092,M1080,$A$2:$A$1092,"&lt;"&amp;A1080)+1,"")</f>
        <v/>
      </c>
      <c r="S1080" s="21" t="str">
        <f aca="false">IF(P1080&lt;&gt;"Below Materiality","",IF(Summary!$C$9="Random",COUNTIFS($O$2:$O$1092,O1080,$Q$2:$Q$1092,"&gt;"&amp;Q1080)+1,COUNTIFS($O$2:$O$1092,O1080,$P$2:$P$1092,"Below Materiality",$M$2:$M$1092,"&gt;"&amp;M1080)+COUNTIFS($O$2:$O$1092,O1080,$P$2:$P$1092,"Below Materiality",$M$2:$M$1092,M1080,$A$2:$A$1092,"&lt;"&amp;A1080)+1))</f>
        <v/>
      </c>
      <c r="T1080" s="22"/>
      <c r="U1080" s="21" t="str">
        <f aca="false">IF(R1080="","",O1080&amp;"|A|"&amp;R1080)</f>
        <v/>
      </c>
      <c r="V1080" s="21" t="str">
        <f aca="false">IF(S1080="","",O1080&amp;"|R|"&amp;S1080)</f>
        <v/>
      </c>
    </row>
    <row r="1081" customFormat="false" ht="15" hidden="false" customHeight="false" outlineLevel="0" collapsed="false">
      <c r="A1081" s="18" t="n">
        <v>1080</v>
      </c>
      <c r="B1081" s="18"/>
      <c r="C1081" s="18"/>
      <c r="D1081" s="18"/>
      <c r="E1081" s="18" t="s">
        <v>1997</v>
      </c>
      <c r="F1081" s="18" t="s">
        <v>366</v>
      </c>
      <c r="G1081" s="18" t="s">
        <v>74</v>
      </c>
      <c r="H1081" s="18" t="n">
        <v>897</v>
      </c>
      <c r="I1081" s="19" t="n">
        <v>0</v>
      </c>
      <c r="J1081" s="19" t="n">
        <v>100</v>
      </c>
      <c r="K1081" s="19" t="n">
        <v>100</v>
      </c>
      <c r="L1081" s="19" t="n">
        <v>0</v>
      </c>
      <c r="M1081" s="19" t="n">
        <f aca="false">ABS(L1081)</f>
        <v>0</v>
      </c>
      <c r="N1081" s="18" t="str">
        <f aca="false">IF(L1081=0,"Nil balance",IF(G1081="AR file",IF(L1081&gt;0,"Accounts Receivable","Customer Advances"),IF(L1081&lt;0,"Accounts Payable","Supplier Advances")))</f>
        <v>Nil balance</v>
      </c>
      <c r="O1081" s="18" t="str">
        <f aca="false">IF(L1081=0,"Excluded",IF(Summary!$C$4="By ledger",IF(G1081="AR file","Population 1","Population 2"),IF(L1081&gt;0,"Population 1","Population 2")))</f>
        <v>Excluded</v>
      </c>
      <c r="P1081" s="18" t="str">
        <f aca="false">IF(O1081="Excluded","Excluded – nil closing balance",IF(M1081&gt;Summary!$C$5,"Above Materiality","Below Materiality"))</f>
        <v>Excluded – nil closing balance</v>
      </c>
      <c r="Q1081" s="20" t="str">
        <f aca="false">IF(P1081="Below Materiality",T1081,"")</f>
        <v/>
      </c>
      <c r="R1081" s="21" t="str">
        <f aca="false">IF(P1081="Above Materiality",COUNTIFS($O$2:$O$1092,O1081,$P$2:$P$1092,"Above Materiality",$M$2:$M$1092,"&gt;"&amp;M1081)+COUNTIFS($O$2:$O$1092,O1081,$P$2:$P$1092,"Above Materiality",$M$2:$M$1092,M1081,$A$2:$A$1092,"&lt;"&amp;A1081)+1,"")</f>
        <v/>
      </c>
      <c r="S1081" s="21" t="str">
        <f aca="false">IF(P1081&lt;&gt;"Below Materiality","",IF(Summary!$C$9="Random",COUNTIFS($O$2:$O$1092,O1081,$Q$2:$Q$1092,"&gt;"&amp;Q1081)+1,COUNTIFS($O$2:$O$1092,O1081,$P$2:$P$1092,"Below Materiality",$M$2:$M$1092,"&gt;"&amp;M1081)+COUNTIFS($O$2:$O$1092,O1081,$P$2:$P$1092,"Below Materiality",$M$2:$M$1092,M1081,$A$2:$A$1092,"&lt;"&amp;A1081)+1))</f>
        <v/>
      </c>
      <c r="T1081" s="22"/>
      <c r="U1081" s="21" t="str">
        <f aca="false">IF(R1081="","",O1081&amp;"|A|"&amp;R1081)</f>
        <v/>
      </c>
      <c r="V1081" s="21" t="str">
        <f aca="false">IF(S1081="","",O1081&amp;"|R|"&amp;S1081)</f>
        <v/>
      </c>
    </row>
    <row r="1082" customFormat="false" ht="15" hidden="false" customHeight="false" outlineLevel="0" collapsed="false">
      <c r="A1082" s="18" t="n">
        <v>1081</v>
      </c>
      <c r="B1082" s="18"/>
      <c r="C1082" s="18"/>
      <c r="D1082" s="18"/>
      <c r="E1082" s="18" t="s">
        <v>1998</v>
      </c>
      <c r="F1082" s="18" t="s">
        <v>1159</v>
      </c>
      <c r="G1082" s="18" t="s">
        <v>74</v>
      </c>
      <c r="H1082" s="18" t="n">
        <v>898</v>
      </c>
      <c r="I1082" s="19" t="n">
        <v>0</v>
      </c>
      <c r="J1082" s="19" t="n">
        <v>69</v>
      </c>
      <c r="K1082" s="19" t="n">
        <v>69</v>
      </c>
      <c r="L1082" s="19" t="n">
        <v>0</v>
      </c>
      <c r="M1082" s="19" t="n">
        <f aca="false">ABS(L1082)</f>
        <v>0</v>
      </c>
      <c r="N1082" s="18" t="str">
        <f aca="false">IF(L1082=0,"Nil balance",IF(G1082="AR file",IF(L1082&gt;0,"Accounts Receivable","Customer Advances"),IF(L1082&lt;0,"Accounts Payable","Supplier Advances")))</f>
        <v>Nil balance</v>
      </c>
      <c r="O1082" s="18" t="str">
        <f aca="false">IF(L1082=0,"Excluded",IF(Summary!$C$4="By ledger",IF(G1082="AR file","Population 1","Population 2"),IF(L1082&gt;0,"Population 1","Population 2")))</f>
        <v>Excluded</v>
      </c>
      <c r="P1082" s="18" t="str">
        <f aca="false">IF(O1082="Excluded","Excluded – nil closing balance",IF(M1082&gt;Summary!$C$5,"Above Materiality","Below Materiality"))</f>
        <v>Excluded – nil closing balance</v>
      </c>
      <c r="Q1082" s="20" t="str">
        <f aca="false">IF(P1082="Below Materiality",T1082,"")</f>
        <v/>
      </c>
      <c r="R1082" s="21" t="str">
        <f aca="false">IF(P1082="Above Materiality",COUNTIFS($O$2:$O$1092,O1082,$P$2:$P$1092,"Above Materiality",$M$2:$M$1092,"&gt;"&amp;M1082)+COUNTIFS($O$2:$O$1092,O1082,$P$2:$P$1092,"Above Materiality",$M$2:$M$1092,M1082,$A$2:$A$1092,"&lt;"&amp;A1082)+1,"")</f>
        <v/>
      </c>
      <c r="S1082" s="21" t="str">
        <f aca="false">IF(P1082&lt;&gt;"Below Materiality","",IF(Summary!$C$9="Random",COUNTIFS($O$2:$O$1092,O1082,$Q$2:$Q$1092,"&gt;"&amp;Q1082)+1,COUNTIFS($O$2:$O$1092,O1082,$P$2:$P$1092,"Below Materiality",$M$2:$M$1092,"&gt;"&amp;M1082)+COUNTIFS($O$2:$O$1092,O1082,$P$2:$P$1092,"Below Materiality",$M$2:$M$1092,M1082,$A$2:$A$1092,"&lt;"&amp;A1082)+1))</f>
        <v/>
      </c>
      <c r="T1082" s="22"/>
      <c r="U1082" s="21" t="str">
        <f aca="false">IF(R1082="","",O1082&amp;"|A|"&amp;R1082)</f>
        <v/>
      </c>
      <c r="V1082" s="21" t="str">
        <f aca="false">IF(S1082="","",O1082&amp;"|R|"&amp;S1082)</f>
        <v/>
      </c>
    </row>
    <row r="1083" customFormat="false" ht="15" hidden="false" customHeight="false" outlineLevel="0" collapsed="false">
      <c r="A1083" s="18" t="n">
        <v>1082</v>
      </c>
      <c r="B1083" s="18"/>
      <c r="C1083" s="18"/>
      <c r="D1083" s="18"/>
      <c r="E1083" s="18" t="s">
        <v>1999</v>
      </c>
      <c r="F1083" s="18" t="s">
        <v>581</v>
      </c>
      <c r="G1083" s="18" t="s">
        <v>74</v>
      </c>
      <c r="H1083" s="18" t="n">
        <v>899</v>
      </c>
      <c r="I1083" s="19" t="n">
        <v>0</v>
      </c>
      <c r="J1083" s="19" t="n">
        <v>600</v>
      </c>
      <c r="K1083" s="19" t="n">
        <v>600</v>
      </c>
      <c r="L1083" s="19" t="n">
        <v>0</v>
      </c>
      <c r="M1083" s="19" t="n">
        <f aca="false">ABS(L1083)</f>
        <v>0</v>
      </c>
      <c r="N1083" s="18" t="str">
        <f aca="false">IF(L1083=0,"Nil balance",IF(G1083="AR file",IF(L1083&gt;0,"Accounts Receivable","Customer Advances"),IF(L1083&lt;0,"Accounts Payable","Supplier Advances")))</f>
        <v>Nil balance</v>
      </c>
      <c r="O1083" s="18" t="str">
        <f aca="false">IF(L1083=0,"Excluded",IF(Summary!$C$4="By ledger",IF(G1083="AR file","Population 1","Population 2"),IF(L1083&gt;0,"Population 1","Population 2")))</f>
        <v>Excluded</v>
      </c>
      <c r="P1083" s="18" t="str">
        <f aca="false">IF(O1083="Excluded","Excluded – nil closing balance",IF(M1083&gt;Summary!$C$5,"Above Materiality","Below Materiality"))</f>
        <v>Excluded – nil closing balance</v>
      </c>
      <c r="Q1083" s="20" t="str">
        <f aca="false">IF(P1083="Below Materiality",T1083,"")</f>
        <v/>
      </c>
      <c r="R1083" s="21" t="str">
        <f aca="false">IF(P1083="Above Materiality",COUNTIFS($O$2:$O$1092,O1083,$P$2:$P$1092,"Above Materiality",$M$2:$M$1092,"&gt;"&amp;M1083)+COUNTIFS($O$2:$O$1092,O1083,$P$2:$P$1092,"Above Materiality",$M$2:$M$1092,M1083,$A$2:$A$1092,"&lt;"&amp;A1083)+1,"")</f>
        <v/>
      </c>
      <c r="S1083" s="21" t="str">
        <f aca="false">IF(P1083&lt;&gt;"Below Materiality","",IF(Summary!$C$9="Random",COUNTIFS($O$2:$O$1092,O1083,$Q$2:$Q$1092,"&gt;"&amp;Q1083)+1,COUNTIFS($O$2:$O$1092,O1083,$P$2:$P$1092,"Below Materiality",$M$2:$M$1092,"&gt;"&amp;M1083)+COUNTIFS($O$2:$O$1092,O1083,$P$2:$P$1092,"Below Materiality",$M$2:$M$1092,M1083,$A$2:$A$1092,"&lt;"&amp;A1083)+1))</f>
        <v/>
      </c>
      <c r="T1083" s="22"/>
      <c r="U1083" s="21" t="str">
        <f aca="false">IF(R1083="","",O1083&amp;"|A|"&amp;R1083)</f>
        <v/>
      </c>
      <c r="V1083" s="21" t="str">
        <f aca="false">IF(S1083="","",O1083&amp;"|R|"&amp;S1083)</f>
        <v/>
      </c>
    </row>
    <row r="1084" customFormat="false" ht="15" hidden="false" customHeight="false" outlineLevel="0" collapsed="false">
      <c r="A1084" s="18" t="n">
        <v>1083</v>
      </c>
      <c r="B1084" s="18"/>
      <c r="C1084" s="18"/>
      <c r="D1084" s="18"/>
      <c r="E1084" s="18" t="s">
        <v>2000</v>
      </c>
      <c r="F1084" s="18" t="s">
        <v>1302</v>
      </c>
      <c r="G1084" s="18" t="s">
        <v>74</v>
      </c>
      <c r="H1084" s="18" t="n">
        <v>900</v>
      </c>
      <c r="I1084" s="19" t="n">
        <v>0</v>
      </c>
      <c r="J1084" s="19" t="n">
        <v>437</v>
      </c>
      <c r="K1084" s="19" t="n">
        <v>437</v>
      </c>
      <c r="L1084" s="19" t="n">
        <v>0</v>
      </c>
      <c r="M1084" s="19" t="n">
        <f aca="false">ABS(L1084)</f>
        <v>0</v>
      </c>
      <c r="N1084" s="18" t="str">
        <f aca="false">IF(L1084=0,"Nil balance",IF(G1084="AR file",IF(L1084&gt;0,"Accounts Receivable","Customer Advances"),IF(L1084&lt;0,"Accounts Payable","Supplier Advances")))</f>
        <v>Nil balance</v>
      </c>
      <c r="O1084" s="18" t="str">
        <f aca="false">IF(L1084=0,"Excluded",IF(Summary!$C$4="By ledger",IF(G1084="AR file","Population 1","Population 2"),IF(L1084&gt;0,"Population 1","Population 2")))</f>
        <v>Excluded</v>
      </c>
      <c r="P1084" s="18" t="str">
        <f aca="false">IF(O1084="Excluded","Excluded – nil closing balance",IF(M1084&gt;Summary!$C$5,"Above Materiality","Below Materiality"))</f>
        <v>Excluded – nil closing balance</v>
      </c>
      <c r="Q1084" s="20" t="str">
        <f aca="false">IF(P1084="Below Materiality",T1084,"")</f>
        <v/>
      </c>
      <c r="R1084" s="21" t="str">
        <f aca="false">IF(P1084="Above Materiality",COUNTIFS($O$2:$O$1092,O1084,$P$2:$P$1092,"Above Materiality",$M$2:$M$1092,"&gt;"&amp;M1084)+COUNTIFS($O$2:$O$1092,O1084,$P$2:$P$1092,"Above Materiality",$M$2:$M$1092,M1084,$A$2:$A$1092,"&lt;"&amp;A1084)+1,"")</f>
        <v/>
      </c>
      <c r="S1084" s="21" t="str">
        <f aca="false">IF(P1084&lt;&gt;"Below Materiality","",IF(Summary!$C$9="Random",COUNTIFS($O$2:$O$1092,O1084,$Q$2:$Q$1092,"&gt;"&amp;Q1084)+1,COUNTIFS($O$2:$O$1092,O1084,$P$2:$P$1092,"Below Materiality",$M$2:$M$1092,"&gt;"&amp;M1084)+COUNTIFS($O$2:$O$1092,O1084,$P$2:$P$1092,"Below Materiality",$M$2:$M$1092,M1084,$A$2:$A$1092,"&lt;"&amp;A1084)+1))</f>
        <v/>
      </c>
      <c r="T1084" s="22"/>
      <c r="U1084" s="21" t="str">
        <f aca="false">IF(R1084="","",O1084&amp;"|A|"&amp;R1084)</f>
        <v/>
      </c>
      <c r="V1084" s="21" t="str">
        <f aca="false">IF(S1084="","",O1084&amp;"|R|"&amp;S1084)</f>
        <v/>
      </c>
    </row>
    <row r="1085" customFormat="false" ht="15" hidden="false" customHeight="false" outlineLevel="0" collapsed="false">
      <c r="A1085" s="18" t="n">
        <v>1084</v>
      </c>
      <c r="B1085" s="18"/>
      <c r="C1085" s="18"/>
      <c r="D1085" s="18"/>
      <c r="E1085" s="18" t="s">
        <v>2001</v>
      </c>
      <c r="F1085" s="18" t="s">
        <v>366</v>
      </c>
      <c r="G1085" s="18" t="s">
        <v>74</v>
      </c>
      <c r="H1085" s="18" t="n">
        <v>901</v>
      </c>
      <c r="I1085" s="19" t="n">
        <v>0</v>
      </c>
      <c r="J1085" s="19" t="n">
        <v>100</v>
      </c>
      <c r="K1085" s="19" t="n">
        <v>100</v>
      </c>
      <c r="L1085" s="19" t="n">
        <v>0</v>
      </c>
      <c r="M1085" s="19" t="n">
        <f aca="false">ABS(L1085)</f>
        <v>0</v>
      </c>
      <c r="N1085" s="18" t="str">
        <f aca="false">IF(L1085=0,"Nil balance",IF(G1085="AR file",IF(L1085&gt;0,"Accounts Receivable","Customer Advances"),IF(L1085&lt;0,"Accounts Payable","Supplier Advances")))</f>
        <v>Nil balance</v>
      </c>
      <c r="O1085" s="18" t="str">
        <f aca="false">IF(L1085=0,"Excluded",IF(Summary!$C$4="By ledger",IF(G1085="AR file","Population 1","Population 2"),IF(L1085&gt;0,"Population 1","Population 2")))</f>
        <v>Excluded</v>
      </c>
      <c r="P1085" s="18" t="str">
        <f aca="false">IF(O1085="Excluded","Excluded – nil closing balance",IF(M1085&gt;Summary!$C$5,"Above Materiality","Below Materiality"))</f>
        <v>Excluded – nil closing balance</v>
      </c>
      <c r="Q1085" s="20" t="str">
        <f aca="false">IF(P1085="Below Materiality",T1085,"")</f>
        <v/>
      </c>
      <c r="R1085" s="21" t="str">
        <f aca="false">IF(P1085="Above Materiality",COUNTIFS($O$2:$O$1092,O1085,$P$2:$P$1092,"Above Materiality",$M$2:$M$1092,"&gt;"&amp;M1085)+COUNTIFS($O$2:$O$1092,O1085,$P$2:$P$1092,"Above Materiality",$M$2:$M$1092,M1085,$A$2:$A$1092,"&lt;"&amp;A1085)+1,"")</f>
        <v/>
      </c>
      <c r="S1085" s="21" t="str">
        <f aca="false">IF(P1085&lt;&gt;"Below Materiality","",IF(Summary!$C$9="Random",COUNTIFS($O$2:$O$1092,O1085,$Q$2:$Q$1092,"&gt;"&amp;Q1085)+1,COUNTIFS($O$2:$O$1092,O1085,$P$2:$P$1092,"Below Materiality",$M$2:$M$1092,"&gt;"&amp;M1085)+COUNTIFS($O$2:$O$1092,O1085,$P$2:$P$1092,"Below Materiality",$M$2:$M$1092,M1085,$A$2:$A$1092,"&lt;"&amp;A1085)+1))</f>
        <v/>
      </c>
      <c r="T1085" s="22"/>
      <c r="U1085" s="21" t="str">
        <f aca="false">IF(R1085="","",O1085&amp;"|A|"&amp;R1085)</f>
        <v/>
      </c>
      <c r="V1085" s="21" t="str">
        <f aca="false">IF(S1085="","",O1085&amp;"|R|"&amp;S1085)</f>
        <v/>
      </c>
    </row>
    <row r="1086" customFormat="false" ht="15" hidden="false" customHeight="false" outlineLevel="0" collapsed="false">
      <c r="A1086" s="18" t="n">
        <v>1085</v>
      </c>
      <c r="B1086" s="18"/>
      <c r="C1086" s="18"/>
      <c r="D1086" s="18"/>
      <c r="E1086" s="18" t="s">
        <v>2002</v>
      </c>
      <c r="F1086" s="18" t="s">
        <v>1722</v>
      </c>
      <c r="G1086" s="18" t="s">
        <v>74</v>
      </c>
      <c r="H1086" s="18" t="n">
        <v>902</v>
      </c>
      <c r="I1086" s="19" t="n">
        <v>0</v>
      </c>
      <c r="J1086" s="19" t="n">
        <v>287.5</v>
      </c>
      <c r="K1086" s="19" t="n">
        <v>287.5</v>
      </c>
      <c r="L1086" s="19" t="n">
        <v>0</v>
      </c>
      <c r="M1086" s="19" t="n">
        <f aca="false">ABS(L1086)</f>
        <v>0</v>
      </c>
      <c r="N1086" s="18" t="str">
        <f aca="false">IF(L1086=0,"Nil balance",IF(G1086="AR file",IF(L1086&gt;0,"Accounts Receivable","Customer Advances"),IF(L1086&lt;0,"Accounts Payable","Supplier Advances")))</f>
        <v>Nil balance</v>
      </c>
      <c r="O1086" s="18" t="str">
        <f aca="false">IF(L1086=0,"Excluded",IF(Summary!$C$4="By ledger",IF(G1086="AR file","Population 1","Population 2"),IF(L1086&gt;0,"Population 1","Population 2")))</f>
        <v>Excluded</v>
      </c>
      <c r="P1086" s="18" t="str">
        <f aca="false">IF(O1086="Excluded","Excluded – nil closing balance",IF(M1086&gt;Summary!$C$5,"Above Materiality","Below Materiality"))</f>
        <v>Excluded – nil closing balance</v>
      </c>
      <c r="Q1086" s="20" t="str">
        <f aca="false">IF(P1086="Below Materiality",T1086,"")</f>
        <v/>
      </c>
      <c r="R1086" s="21" t="str">
        <f aca="false">IF(P1086="Above Materiality",COUNTIFS($O$2:$O$1092,O1086,$P$2:$P$1092,"Above Materiality",$M$2:$M$1092,"&gt;"&amp;M1086)+COUNTIFS($O$2:$O$1092,O1086,$P$2:$P$1092,"Above Materiality",$M$2:$M$1092,M1086,$A$2:$A$1092,"&lt;"&amp;A1086)+1,"")</f>
        <v/>
      </c>
      <c r="S1086" s="21" t="str">
        <f aca="false">IF(P1086&lt;&gt;"Below Materiality","",IF(Summary!$C$9="Random",COUNTIFS($O$2:$O$1092,O1086,$Q$2:$Q$1092,"&gt;"&amp;Q1086)+1,COUNTIFS($O$2:$O$1092,O1086,$P$2:$P$1092,"Below Materiality",$M$2:$M$1092,"&gt;"&amp;M1086)+COUNTIFS($O$2:$O$1092,O1086,$P$2:$P$1092,"Below Materiality",$M$2:$M$1092,M1086,$A$2:$A$1092,"&lt;"&amp;A1086)+1))</f>
        <v/>
      </c>
      <c r="T1086" s="22"/>
      <c r="U1086" s="21" t="str">
        <f aca="false">IF(R1086="","",O1086&amp;"|A|"&amp;R1086)</f>
        <v/>
      </c>
      <c r="V1086" s="21" t="str">
        <f aca="false">IF(S1086="","",O1086&amp;"|R|"&amp;S1086)</f>
        <v/>
      </c>
    </row>
    <row r="1087" customFormat="false" ht="15" hidden="false" customHeight="false" outlineLevel="0" collapsed="false">
      <c r="A1087" s="18" t="n">
        <v>1086</v>
      </c>
      <c r="B1087" s="18"/>
      <c r="C1087" s="18"/>
      <c r="D1087" s="18"/>
      <c r="E1087" s="18" t="s">
        <v>2003</v>
      </c>
      <c r="F1087" s="18" t="s">
        <v>425</v>
      </c>
      <c r="G1087" s="18" t="s">
        <v>74</v>
      </c>
      <c r="H1087" s="18" t="n">
        <v>903</v>
      </c>
      <c r="I1087" s="19" t="n">
        <v>0</v>
      </c>
      <c r="J1087" s="19" t="n">
        <v>34.5</v>
      </c>
      <c r="K1087" s="19" t="n">
        <v>34.5</v>
      </c>
      <c r="L1087" s="19" t="n">
        <v>0</v>
      </c>
      <c r="M1087" s="19" t="n">
        <f aca="false">ABS(L1087)</f>
        <v>0</v>
      </c>
      <c r="N1087" s="18" t="str">
        <f aca="false">IF(L1087=0,"Nil balance",IF(G1087="AR file",IF(L1087&gt;0,"Accounts Receivable","Customer Advances"),IF(L1087&lt;0,"Accounts Payable","Supplier Advances")))</f>
        <v>Nil balance</v>
      </c>
      <c r="O1087" s="18" t="str">
        <f aca="false">IF(L1087=0,"Excluded",IF(Summary!$C$4="By ledger",IF(G1087="AR file","Population 1","Population 2"),IF(L1087&gt;0,"Population 1","Population 2")))</f>
        <v>Excluded</v>
      </c>
      <c r="P1087" s="18" t="str">
        <f aca="false">IF(O1087="Excluded","Excluded – nil closing balance",IF(M1087&gt;Summary!$C$5,"Above Materiality","Below Materiality"))</f>
        <v>Excluded – nil closing balance</v>
      </c>
      <c r="Q1087" s="20" t="str">
        <f aca="false">IF(P1087="Below Materiality",T1087,"")</f>
        <v/>
      </c>
      <c r="R1087" s="21" t="str">
        <f aca="false">IF(P1087="Above Materiality",COUNTIFS($O$2:$O$1092,O1087,$P$2:$P$1092,"Above Materiality",$M$2:$M$1092,"&gt;"&amp;M1087)+COUNTIFS($O$2:$O$1092,O1087,$P$2:$P$1092,"Above Materiality",$M$2:$M$1092,M1087,$A$2:$A$1092,"&lt;"&amp;A1087)+1,"")</f>
        <v/>
      </c>
      <c r="S1087" s="21" t="str">
        <f aca="false">IF(P1087&lt;&gt;"Below Materiality","",IF(Summary!$C$9="Random",COUNTIFS($O$2:$O$1092,O1087,$Q$2:$Q$1092,"&gt;"&amp;Q1087)+1,COUNTIFS($O$2:$O$1092,O1087,$P$2:$P$1092,"Below Materiality",$M$2:$M$1092,"&gt;"&amp;M1087)+COUNTIFS($O$2:$O$1092,O1087,$P$2:$P$1092,"Below Materiality",$M$2:$M$1092,M1087,$A$2:$A$1092,"&lt;"&amp;A1087)+1))</f>
        <v/>
      </c>
      <c r="T1087" s="22"/>
      <c r="U1087" s="21" t="str">
        <f aca="false">IF(R1087="","",O1087&amp;"|A|"&amp;R1087)</f>
        <v/>
      </c>
      <c r="V1087" s="21" t="str">
        <f aca="false">IF(S1087="","",O1087&amp;"|R|"&amp;S1087)</f>
        <v/>
      </c>
    </row>
    <row r="1088" customFormat="false" ht="15" hidden="false" customHeight="false" outlineLevel="0" collapsed="false">
      <c r="A1088" s="18" t="n">
        <v>1087</v>
      </c>
      <c r="B1088" s="18"/>
      <c r="C1088" s="18"/>
      <c r="D1088" s="18"/>
      <c r="E1088" s="18" t="s">
        <v>2004</v>
      </c>
      <c r="F1088" s="18" t="s">
        <v>728</v>
      </c>
      <c r="G1088" s="18" t="s">
        <v>74</v>
      </c>
      <c r="H1088" s="18" t="n">
        <v>904</v>
      </c>
      <c r="I1088" s="19" t="n">
        <v>0</v>
      </c>
      <c r="J1088" s="19" t="n">
        <v>317.5</v>
      </c>
      <c r="K1088" s="19" t="n">
        <v>317.5</v>
      </c>
      <c r="L1088" s="19" t="n">
        <v>0</v>
      </c>
      <c r="M1088" s="19" t="n">
        <f aca="false">ABS(L1088)</f>
        <v>0</v>
      </c>
      <c r="N1088" s="18" t="str">
        <f aca="false">IF(L1088=0,"Nil balance",IF(G1088="AR file",IF(L1088&gt;0,"Accounts Receivable","Customer Advances"),IF(L1088&lt;0,"Accounts Payable","Supplier Advances")))</f>
        <v>Nil balance</v>
      </c>
      <c r="O1088" s="18" t="str">
        <f aca="false">IF(L1088=0,"Excluded",IF(Summary!$C$4="By ledger",IF(G1088="AR file","Population 1","Population 2"),IF(L1088&gt;0,"Population 1","Population 2")))</f>
        <v>Excluded</v>
      </c>
      <c r="P1088" s="18" t="str">
        <f aca="false">IF(O1088="Excluded","Excluded – nil closing balance",IF(M1088&gt;Summary!$C$5,"Above Materiality","Below Materiality"))</f>
        <v>Excluded – nil closing balance</v>
      </c>
      <c r="Q1088" s="20" t="str">
        <f aca="false">IF(P1088="Below Materiality",T1088,"")</f>
        <v/>
      </c>
      <c r="R1088" s="21" t="str">
        <f aca="false">IF(P1088="Above Materiality",COUNTIFS($O$2:$O$1092,O1088,$P$2:$P$1092,"Above Materiality",$M$2:$M$1092,"&gt;"&amp;M1088)+COUNTIFS($O$2:$O$1092,O1088,$P$2:$P$1092,"Above Materiality",$M$2:$M$1092,M1088,$A$2:$A$1092,"&lt;"&amp;A1088)+1,"")</f>
        <v/>
      </c>
      <c r="S1088" s="21" t="str">
        <f aca="false">IF(P1088&lt;&gt;"Below Materiality","",IF(Summary!$C$9="Random",COUNTIFS($O$2:$O$1092,O1088,$Q$2:$Q$1092,"&gt;"&amp;Q1088)+1,COUNTIFS($O$2:$O$1092,O1088,$P$2:$P$1092,"Below Materiality",$M$2:$M$1092,"&gt;"&amp;M1088)+COUNTIFS($O$2:$O$1092,O1088,$P$2:$P$1092,"Below Materiality",$M$2:$M$1092,M1088,$A$2:$A$1092,"&lt;"&amp;A1088)+1))</f>
        <v/>
      </c>
      <c r="T1088" s="22"/>
      <c r="U1088" s="21" t="str">
        <f aca="false">IF(R1088="","",O1088&amp;"|A|"&amp;R1088)</f>
        <v/>
      </c>
      <c r="V1088" s="21" t="str">
        <f aca="false">IF(S1088="","",O1088&amp;"|R|"&amp;S1088)</f>
        <v/>
      </c>
    </row>
    <row r="1089" customFormat="false" ht="15" hidden="false" customHeight="false" outlineLevel="0" collapsed="false">
      <c r="A1089" s="18" t="n">
        <v>1088</v>
      </c>
      <c r="B1089" s="18"/>
      <c r="C1089" s="18"/>
      <c r="D1089" s="18"/>
      <c r="E1089" s="18" t="s">
        <v>2005</v>
      </c>
      <c r="F1089" s="18" t="s">
        <v>2006</v>
      </c>
      <c r="G1089" s="18" t="s">
        <v>74</v>
      </c>
      <c r="H1089" s="18" t="n">
        <v>907</v>
      </c>
      <c r="I1089" s="19" t="n">
        <v>0</v>
      </c>
      <c r="J1089" s="19" t="n">
        <v>1041.9</v>
      </c>
      <c r="K1089" s="19" t="n">
        <v>1041.9</v>
      </c>
      <c r="L1089" s="19" t="n">
        <v>0</v>
      </c>
      <c r="M1089" s="19" t="n">
        <f aca="false">ABS(L1089)</f>
        <v>0</v>
      </c>
      <c r="N1089" s="18" t="str">
        <f aca="false">IF(L1089=0,"Nil balance",IF(G1089="AR file",IF(L1089&gt;0,"Accounts Receivable","Customer Advances"),IF(L1089&lt;0,"Accounts Payable","Supplier Advances")))</f>
        <v>Nil balance</v>
      </c>
      <c r="O1089" s="18" t="str">
        <f aca="false">IF(L1089=0,"Excluded",IF(Summary!$C$4="By ledger",IF(G1089="AR file","Population 1","Population 2"),IF(L1089&gt;0,"Population 1","Population 2")))</f>
        <v>Excluded</v>
      </c>
      <c r="P1089" s="18" t="str">
        <f aca="false">IF(O1089="Excluded","Excluded – nil closing balance",IF(M1089&gt;Summary!$C$5,"Above Materiality","Below Materiality"))</f>
        <v>Excluded – nil closing balance</v>
      </c>
      <c r="Q1089" s="20" t="str">
        <f aca="false">IF(P1089="Below Materiality",T1089,"")</f>
        <v/>
      </c>
      <c r="R1089" s="21" t="str">
        <f aca="false">IF(P1089="Above Materiality",COUNTIFS($O$2:$O$1092,O1089,$P$2:$P$1092,"Above Materiality",$M$2:$M$1092,"&gt;"&amp;M1089)+COUNTIFS($O$2:$O$1092,O1089,$P$2:$P$1092,"Above Materiality",$M$2:$M$1092,M1089,$A$2:$A$1092,"&lt;"&amp;A1089)+1,"")</f>
        <v/>
      </c>
      <c r="S1089" s="21" t="str">
        <f aca="false">IF(P1089&lt;&gt;"Below Materiality","",IF(Summary!$C$9="Random",COUNTIFS($O$2:$O$1092,O1089,$Q$2:$Q$1092,"&gt;"&amp;Q1089)+1,COUNTIFS($O$2:$O$1092,O1089,$P$2:$P$1092,"Below Materiality",$M$2:$M$1092,"&gt;"&amp;M1089)+COUNTIFS($O$2:$O$1092,O1089,$P$2:$P$1092,"Below Materiality",$M$2:$M$1092,M1089,$A$2:$A$1092,"&lt;"&amp;A1089)+1))</f>
        <v/>
      </c>
      <c r="T1089" s="22"/>
      <c r="U1089" s="21" t="str">
        <f aca="false">IF(R1089="","",O1089&amp;"|A|"&amp;R1089)</f>
        <v/>
      </c>
      <c r="V1089" s="21" t="str">
        <f aca="false">IF(S1089="","",O1089&amp;"|R|"&amp;S1089)</f>
        <v/>
      </c>
    </row>
    <row r="1090" customFormat="false" ht="15" hidden="false" customHeight="false" outlineLevel="0" collapsed="false">
      <c r="A1090" s="18" t="n">
        <v>1089</v>
      </c>
      <c r="B1090" s="18"/>
      <c r="C1090" s="18"/>
      <c r="D1090" s="18"/>
      <c r="E1090" s="18" t="s">
        <v>2007</v>
      </c>
      <c r="F1090" s="18" t="s">
        <v>1493</v>
      </c>
      <c r="G1090" s="18" t="s">
        <v>74</v>
      </c>
      <c r="H1090" s="18" t="n">
        <v>908</v>
      </c>
      <c r="I1090" s="19" t="n">
        <v>0</v>
      </c>
      <c r="J1090" s="19" t="n">
        <v>2070</v>
      </c>
      <c r="K1090" s="19" t="n">
        <v>2070</v>
      </c>
      <c r="L1090" s="19" t="n">
        <v>0</v>
      </c>
      <c r="M1090" s="19" t="n">
        <f aca="false">ABS(L1090)</f>
        <v>0</v>
      </c>
      <c r="N1090" s="18" t="str">
        <f aca="false">IF(L1090=0,"Nil balance",IF(G1090="AR file",IF(L1090&gt;0,"Accounts Receivable","Customer Advances"),IF(L1090&lt;0,"Accounts Payable","Supplier Advances")))</f>
        <v>Nil balance</v>
      </c>
      <c r="O1090" s="18" t="str">
        <f aca="false">IF(L1090=0,"Excluded",IF(Summary!$C$4="By ledger",IF(G1090="AR file","Population 1","Population 2"),IF(L1090&gt;0,"Population 1","Population 2")))</f>
        <v>Excluded</v>
      </c>
      <c r="P1090" s="18" t="str">
        <f aca="false">IF(O1090="Excluded","Excluded – nil closing balance",IF(M1090&gt;Summary!$C$5,"Above Materiality","Below Materiality"))</f>
        <v>Excluded – nil closing balance</v>
      </c>
      <c r="Q1090" s="20" t="str">
        <f aca="false">IF(P1090="Below Materiality",T1090,"")</f>
        <v/>
      </c>
      <c r="R1090" s="21" t="str">
        <f aca="false">IF(P1090="Above Materiality",COUNTIFS($O$2:$O$1092,O1090,$P$2:$P$1092,"Above Materiality",$M$2:$M$1092,"&gt;"&amp;M1090)+COUNTIFS($O$2:$O$1092,O1090,$P$2:$P$1092,"Above Materiality",$M$2:$M$1092,M1090,$A$2:$A$1092,"&lt;"&amp;A1090)+1,"")</f>
        <v/>
      </c>
      <c r="S1090" s="21" t="str">
        <f aca="false">IF(P1090&lt;&gt;"Below Materiality","",IF(Summary!$C$9="Random",COUNTIFS($O$2:$O$1092,O1090,$Q$2:$Q$1092,"&gt;"&amp;Q1090)+1,COUNTIFS($O$2:$O$1092,O1090,$P$2:$P$1092,"Below Materiality",$M$2:$M$1092,"&gt;"&amp;M1090)+COUNTIFS($O$2:$O$1092,O1090,$P$2:$P$1092,"Below Materiality",$M$2:$M$1092,M1090,$A$2:$A$1092,"&lt;"&amp;A1090)+1))</f>
        <v/>
      </c>
      <c r="T1090" s="22"/>
      <c r="U1090" s="21" t="str">
        <f aca="false">IF(R1090="","",O1090&amp;"|A|"&amp;R1090)</f>
        <v/>
      </c>
      <c r="V1090" s="21" t="str">
        <f aca="false">IF(S1090="","",O1090&amp;"|R|"&amp;S1090)</f>
        <v/>
      </c>
    </row>
    <row r="1091" customFormat="false" ht="15" hidden="false" customHeight="false" outlineLevel="0" collapsed="false">
      <c r="A1091" s="18" t="n">
        <v>1090</v>
      </c>
      <c r="B1091" s="18"/>
      <c r="C1091" s="18"/>
      <c r="D1091" s="18"/>
      <c r="E1091" s="18" t="s">
        <v>2008</v>
      </c>
      <c r="F1091" s="18" t="s">
        <v>1079</v>
      </c>
      <c r="G1091" s="18" t="s">
        <v>74</v>
      </c>
      <c r="H1091" s="18" t="n">
        <v>909</v>
      </c>
      <c r="I1091" s="19" t="n">
        <v>0</v>
      </c>
      <c r="J1091" s="19" t="n">
        <v>172.5</v>
      </c>
      <c r="K1091" s="19" t="n">
        <v>172.5</v>
      </c>
      <c r="L1091" s="19" t="n">
        <v>0</v>
      </c>
      <c r="M1091" s="19" t="n">
        <f aca="false">ABS(L1091)</f>
        <v>0</v>
      </c>
      <c r="N1091" s="18" t="str">
        <f aca="false">IF(L1091=0,"Nil balance",IF(G1091="AR file",IF(L1091&gt;0,"Accounts Receivable","Customer Advances"),IF(L1091&lt;0,"Accounts Payable","Supplier Advances")))</f>
        <v>Nil balance</v>
      </c>
      <c r="O1091" s="18" t="str">
        <f aca="false">IF(L1091=0,"Excluded",IF(Summary!$C$4="By ledger",IF(G1091="AR file","Population 1","Population 2"),IF(L1091&gt;0,"Population 1","Population 2")))</f>
        <v>Excluded</v>
      </c>
      <c r="P1091" s="18" t="str">
        <f aca="false">IF(O1091="Excluded","Excluded – nil closing balance",IF(M1091&gt;Summary!$C$5,"Above Materiality","Below Materiality"))</f>
        <v>Excluded – nil closing balance</v>
      </c>
      <c r="Q1091" s="20" t="str">
        <f aca="false">IF(P1091="Below Materiality",T1091,"")</f>
        <v/>
      </c>
      <c r="R1091" s="21" t="str">
        <f aca="false">IF(P1091="Above Materiality",COUNTIFS($O$2:$O$1092,O1091,$P$2:$P$1092,"Above Materiality",$M$2:$M$1092,"&gt;"&amp;M1091)+COUNTIFS($O$2:$O$1092,O1091,$P$2:$P$1092,"Above Materiality",$M$2:$M$1092,M1091,$A$2:$A$1092,"&lt;"&amp;A1091)+1,"")</f>
        <v/>
      </c>
      <c r="S1091" s="21" t="str">
        <f aca="false">IF(P1091&lt;&gt;"Below Materiality","",IF(Summary!$C$9="Random",COUNTIFS($O$2:$O$1092,O1091,$Q$2:$Q$1092,"&gt;"&amp;Q1091)+1,COUNTIFS($O$2:$O$1092,O1091,$P$2:$P$1092,"Below Materiality",$M$2:$M$1092,"&gt;"&amp;M1091)+COUNTIFS($O$2:$O$1092,O1091,$P$2:$P$1092,"Below Materiality",$M$2:$M$1092,M1091,$A$2:$A$1092,"&lt;"&amp;A1091)+1))</f>
        <v/>
      </c>
      <c r="T1091" s="22"/>
      <c r="U1091" s="21" t="str">
        <f aca="false">IF(R1091="","",O1091&amp;"|A|"&amp;R1091)</f>
        <v/>
      </c>
      <c r="V1091" s="21" t="str">
        <f aca="false">IF(S1091="","",O1091&amp;"|R|"&amp;S1091)</f>
        <v/>
      </c>
    </row>
    <row r="1092" customFormat="false" ht="15" hidden="false" customHeight="false" outlineLevel="0" collapsed="false">
      <c r="A1092" s="18" t="n">
        <v>1091</v>
      </c>
      <c r="B1092" s="18"/>
      <c r="C1092" s="18"/>
      <c r="D1092" s="18"/>
      <c r="E1092" s="18" t="s">
        <v>2009</v>
      </c>
      <c r="F1092" s="18" t="s">
        <v>508</v>
      </c>
      <c r="G1092" s="18" t="s">
        <v>74</v>
      </c>
      <c r="H1092" s="18" t="n">
        <v>910</v>
      </c>
      <c r="I1092" s="19" t="n">
        <v>0</v>
      </c>
      <c r="J1092" s="19" t="n">
        <v>60</v>
      </c>
      <c r="K1092" s="19" t="n">
        <v>60</v>
      </c>
      <c r="L1092" s="19" t="n">
        <v>0</v>
      </c>
      <c r="M1092" s="19" t="n">
        <f aca="false">ABS(L1092)</f>
        <v>0</v>
      </c>
      <c r="N1092" s="18" t="str">
        <f aca="false">IF(L1092=0,"Nil balance",IF(G1092="AR file",IF(L1092&gt;0,"Accounts Receivable","Customer Advances"),IF(L1092&lt;0,"Accounts Payable","Supplier Advances")))</f>
        <v>Nil balance</v>
      </c>
      <c r="O1092" s="18" t="str">
        <f aca="false">IF(L1092=0,"Excluded",IF(Summary!$C$4="By ledger",IF(G1092="AR file","Population 1","Population 2"),IF(L1092&gt;0,"Population 1","Population 2")))</f>
        <v>Excluded</v>
      </c>
      <c r="P1092" s="18" t="str">
        <f aca="false">IF(O1092="Excluded","Excluded – nil closing balance",IF(M1092&gt;Summary!$C$5,"Above Materiality","Below Materiality"))</f>
        <v>Excluded – nil closing balance</v>
      </c>
      <c r="Q1092" s="20" t="str">
        <f aca="false">IF(P1092="Below Materiality",T1092,"")</f>
        <v/>
      </c>
      <c r="R1092" s="21" t="str">
        <f aca="false">IF(P1092="Above Materiality",COUNTIFS($O$2:$O$1092,O1092,$P$2:$P$1092,"Above Materiality",$M$2:$M$1092,"&gt;"&amp;M1092)+COUNTIFS($O$2:$O$1092,O1092,$P$2:$P$1092,"Above Materiality",$M$2:$M$1092,M1092,$A$2:$A$1092,"&lt;"&amp;A1092)+1,"")</f>
        <v/>
      </c>
      <c r="S1092" s="21" t="str">
        <f aca="false">IF(P1092&lt;&gt;"Below Materiality","",IF(Summary!$C$9="Random",COUNTIFS($O$2:$O$1092,O1092,$Q$2:$Q$1092,"&gt;"&amp;Q1092)+1,COUNTIFS($O$2:$O$1092,O1092,$P$2:$P$1092,"Below Materiality",$M$2:$M$1092,"&gt;"&amp;M1092)+COUNTIFS($O$2:$O$1092,O1092,$P$2:$P$1092,"Below Materiality",$M$2:$M$1092,M1092,$A$2:$A$1092,"&lt;"&amp;A1092)+1))</f>
        <v/>
      </c>
      <c r="T1092" s="22"/>
      <c r="U1092" s="21" t="str">
        <f aca="false">IF(R1092="","",O1092&amp;"|A|"&amp;R1092)</f>
        <v/>
      </c>
      <c r="V1092" s="21" t="str">
        <f aca="false">IF(S1092="","",O1092&amp;"|R|"&amp;S1092)</f>
        <v/>
      </c>
    </row>
  </sheetData>
  <autoFilter ref="A1:V10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8"/>
    <col collapsed="false" customWidth="true" hidden="false" outlineLevel="0" max="3" min="3" style="0" width="18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23" t="s">
        <v>2010</v>
      </c>
    </row>
    <row r="3" customFormat="false" ht="30" hidden="false" customHeight="true" outlineLevel="0" collapsed="false">
      <c r="A3" s="11" t="s">
        <v>2011</v>
      </c>
      <c r="B3" s="11" t="s">
        <v>2012</v>
      </c>
      <c r="C3" s="11" t="s">
        <v>2013</v>
      </c>
      <c r="D3" s="11" t="s">
        <v>2014</v>
      </c>
    </row>
    <row r="4" customFormat="false" ht="15" hidden="false" customHeight="false" outlineLevel="0" collapsed="false">
      <c r="A4" s="12" t="n">
        <v>1</v>
      </c>
      <c r="B4" s="12" t="s">
        <v>2015</v>
      </c>
      <c r="C4" s="24" t="str">
        <f aca="false">IF(Summary!$C$4="By ledger",IF(SUMPRODUCT((Population!$O$2:$O$1092="Population 1")*(Population!$G$2:$G$1092="AP file"))=0,"PASS","FAIL"),IF(AND(COUNTIFS(Population!$N$2:$N$1092,"Accounts Receivable")&gt;0,COUNTIFS(Population!$N$2:$N$1092,"Supplier Advances")&gt;0,SUMPRODUCT((Population!$O$2:$O$1092="Population 1")*((Population!$N$2:$N$1092="Accounts Payable")+(Population!$N$2:$N$1092="Customer Advances")))=0),"PASS","FAIL"))</f>
        <v>PASS</v>
      </c>
      <c r="D4" s="12" t="str">
        <f aca="false">IF(Summary!$C$4="By ledger","AR file items only: "&amp;COUNTIFS(Population!$O$2:$O$1092,"Population 1"),COUNTIFS(Population!$N$2:$N$1092,"Accounts Receivable")&amp;" AR + "&amp;COUNTIFS(Population!$N$2:$N$1092,"Supplier Advances")&amp;" supplier-advance items")</f>
        <v>AR file items only: 115</v>
      </c>
    </row>
    <row r="5" customFormat="false" ht="15" hidden="false" customHeight="false" outlineLevel="0" collapsed="false">
      <c r="A5" s="12" t="n">
        <v>2</v>
      </c>
      <c r="B5" s="12" t="s">
        <v>2016</v>
      </c>
      <c r="C5" s="24" t="str">
        <f aca="false">IF(Summary!$C$4="By ledger",IF(SUMPRODUCT((Population!$O$2:$O$1092="Population 2")*(Population!$G$2:$G$1092="AR file"))=0,"PASS","FAIL"),IF(AND(COUNTIFS(Population!$N$2:$N$1092,"Accounts Payable")&gt;0,COUNTIFS(Population!$N$2:$N$1092,"Customer Advances")&gt;0,SUMPRODUCT((Population!$O$2:$O$1092="Population 2")*((Population!$N$2:$N$1092="Accounts Receivable")+(Population!$N$2:$N$1092="Supplier Advances")))=0),"PASS","FAIL"))</f>
        <v>PASS</v>
      </c>
      <c r="D5" s="12" t="str">
        <f aca="false">IF(Summary!$C$4="By ledger","AP file items only: "&amp;COUNTIFS(Population!$O$2:$O$1092,"Population 2"),COUNTIFS(Population!$N$2:$N$1092,"Accounts Payable")&amp;" AP + "&amp;COUNTIFS(Population!$N$2:$N$1092,"Customer Advances")&amp;" customer-advance items")</f>
        <v>AP file items only: 13</v>
      </c>
    </row>
    <row r="6" customFormat="false" ht="15" hidden="false" customHeight="false" outlineLevel="0" collapsed="false">
      <c r="A6" s="12" t="n">
        <v>3</v>
      </c>
      <c r="B6" s="12" t="s">
        <v>2017</v>
      </c>
      <c r="C6" s="24" t="str">
        <f aca="false">IF(Summary!C16=Summary!C17,"PASS","FAIL")</f>
        <v>PASS</v>
      </c>
      <c r="D6" s="12" t="str">
        <f aca="false">"Above: "&amp;Summary!C16&amp;" | selected: "&amp;Summary!C17</f>
        <v>Above: 37 | selected: 37</v>
      </c>
    </row>
    <row r="7" customFormat="false" ht="15" hidden="false" customHeight="false" outlineLevel="0" collapsed="false">
      <c r="A7" s="12" t="n">
        <v>4</v>
      </c>
      <c r="B7" s="12" t="s">
        <v>2018</v>
      </c>
      <c r="C7" s="24" t="str">
        <f aca="false">IF(Summary!D16=Summary!D17,"PASS","FAIL")</f>
        <v>PASS</v>
      </c>
      <c r="D7" s="12" t="str">
        <f aca="false">"Above: "&amp;Summary!D16&amp;" | selected: "&amp;Summary!D17</f>
        <v>Above: 4 | selected: 4</v>
      </c>
    </row>
    <row r="8" customFormat="false" ht="15" hidden="false" customHeight="false" outlineLevel="0" collapsed="false">
      <c r="A8" s="12" t="n">
        <v>5</v>
      </c>
      <c r="B8" s="12" t="s">
        <v>2019</v>
      </c>
      <c r="C8" s="24" t="str">
        <f aca="false">IF(SUMPRODUCT((Population!$P$2:$P$1092="Above Materiality")*ISNUMBER(Population!$Q$2:$Q$1092))=0,"PASS","FAIL")</f>
        <v>PASS</v>
      </c>
      <c r="D8" s="12" t="s">
        <v>2020</v>
      </c>
    </row>
    <row r="9" customFormat="false" ht="15" hidden="false" customHeight="false" outlineLevel="0" collapsed="false">
      <c r="A9" s="12" t="n">
        <v>6</v>
      </c>
      <c r="B9" s="12" t="s">
        <v>2021</v>
      </c>
      <c r="C9" s="24" t="str">
        <f aca="false">IF(SUMPRODUCT((Population!$P$2:$P$1092="Above Materiality")*ISNUMBER(Population!$Q$2:$Q$1092))=0,"PASS","FAIL")</f>
        <v>PASS</v>
      </c>
      <c r="D9" s="12" t="s">
        <v>2022</v>
      </c>
    </row>
    <row r="10" customFormat="false" ht="15" hidden="false" customHeight="false" outlineLevel="0" collapsed="false">
      <c r="A10" s="12" t="n">
        <v>7</v>
      </c>
      <c r="B10" s="12" t="s">
        <v>2023</v>
      </c>
      <c r="C10" s="24" t="str">
        <f aca="false">IF(Summary!C21=Summary!C7,"PASS","FAIL")</f>
        <v>PASS</v>
      </c>
      <c r="D10" s="12" t="str">
        <f aca="false">"n = "&amp;Summary!C7&amp;" | selected "&amp;Summary!C21</f>
        <v>n = 9 | selected 9</v>
      </c>
    </row>
    <row r="11" customFormat="false" ht="15" hidden="false" customHeight="false" outlineLevel="0" collapsed="false">
      <c r="A11" s="12" t="n">
        <v>8</v>
      </c>
      <c r="B11" s="12" t="s">
        <v>2024</v>
      </c>
      <c r="C11" s="24" t="str">
        <f aca="false">IF(Summary!D21=Summary!C8,"PASS","FAIL")</f>
        <v>PASS</v>
      </c>
      <c r="D11" s="12" t="str">
        <f aca="false">"n = "&amp;Summary!C8&amp;" | selected "&amp;Summary!D21</f>
        <v>n = 1 | selected 1</v>
      </c>
    </row>
    <row r="12" customFormat="false" ht="15" hidden="false" customHeight="false" outlineLevel="0" collapsed="false">
      <c r="A12" s="12" t="n">
        <v>9</v>
      </c>
      <c r="B12" s="12" t="s">
        <v>2025</v>
      </c>
      <c r="C12" s="24" t="str">
        <f aca="false">IF(SUMPRODUCT(ISNUMBER('1_P1 Above'!$L$5:$L$154)*(COUNTIF('1_P1 Above'!$L$5:$L$154,'1_P1 Above'!$L$5:$L$154)&gt;1))+SUMPRODUCT(ISNUMBER('3_P2 Above'!$L$5:$L$154)*(COUNTIF('3_P2 Above'!$L$5:$L$154,'3_P2 Above'!$L$5:$L$154)&gt;1))+SUMPRODUCT(ISNUMBER('2_P1 Below Sample'!$L$5:$L$104)*(COUNTIF('2_P1 Below Sample'!$L$5:$L$104,'2_P1 Below Sample'!$L$5:$L$104)&gt;1))+SUMPRODUCT(ISNUMBER('4_P2 Below Sample'!$L$5:$L$104)*(COUNTIF('4_P2 Below Sample'!$L$5:$L$104,'4_P2 Below Sample'!$L$5:$L$104)&gt;1))+SUMPRODUCT(ISNUMBER('2_P1 Below Sample'!$L$5:$L$104)*(COUNTIF('1_P1 Above'!$L$5:$L$154,'2_P1 Below Sample'!$L$5:$L$104)&gt;0))+SUMPRODUCT(ISNUMBER('4_P2 Below Sample'!$L$5:$L$104)*(COUNTIF('3_P2 Above'!$L$5:$L$154,'4_P2 Below Sample'!$L$5:$L$104)&gt;0))=0,"PASS","FAIL")</f>
        <v>PASS</v>
      </c>
      <c r="D12" s="12" t="s">
        <v>2026</v>
      </c>
    </row>
    <row r="13" customFormat="false" ht="15" hidden="false" customHeight="false" outlineLevel="0" collapsed="false">
      <c r="A13" s="12" t="n">
        <v>10</v>
      </c>
      <c r="B13" s="12" t="s">
        <v>2027</v>
      </c>
      <c r="C13" s="24" t="str">
        <f aca="false">IF(SUMPRODUCT(--(ABS(Population!$L$2:$L$1092)&lt;&gt;Population!$M$2:$M$1092))=0,"PASS","FAIL")</f>
        <v>PASS</v>
      </c>
      <c r="D13" s="12" t="s">
        <v>2028</v>
      </c>
    </row>
    <row r="14" customFormat="false" ht="15" hidden="false" customHeight="false" outlineLevel="0" collapsed="false">
      <c r="A14" s="12" t="n">
        <v>11</v>
      </c>
      <c r="B14" s="12" t="s">
        <v>2029</v>
      </c>
      <c r="C14" s="24" t="str">
        <f aca="false">IF(AND(ABS(SUMIFS(Population!$L$2:$L$1092,Population!$G$2:$G$1092,"AR file")-1063968.99)&lt;0.01,ABS(SUMIFS(Population!$L$2:$L$1092,Population!$G$2:$G$1092,"AP file")-30390.5)&lt;0.01),"PASS","FAIL")</f>
        <v>PASS</v>
      </c>
      <c r="D14" s="12" t="str">
        <f aca="false">TEXT(SUMIFS(Population!$L$2:$L$1092,Population!$G$2:$G$1092,"AR file"),"#,##0.00")&amp;" | "&amp;TEXT(SUMIFS(Population!$L$2:$L$1092,Population!$G$2:$G$1092,"AP file"),"#,##0.00")</f>
        <v>1,063,968.99 | 30,390.50</v>
      </c>
    </row>
    <row r="15" customFormat="false" ht="15" hidden="false" customHeight="false" outlineLevel="0" collapsed="false">
      <c r="A15" s="12" t="n">
        <v>12</v>
      </c>
      <c r="B15" s="12" t="s">
        <v>2030</v>
      </c>
      <c r="C15" s="24" t="str">
        <f aca="false">IF(Summary!C5=10000,"PASS","CHANGED")</f>
        <v>PASS</v>
      </c>
      <c r="D15" s="12" t="str">
        <f aca="false">"Materiality used: "&amp;TEXT(Summary!C5,"#,##0")</f>
        <v>Materiality used: 10,000</v>
      </c>
    </row>
    <row r="16" customFormat="false" ht="15" hidden="false" customHeight="false" outlineLevel="0" collapsed="false">
      <c r="A16" s="12" t="n">
        <v>13</v>
      </c>
      <c r="B16" s="12" t="s">
        <v>2031</v>
      </c>
      <c r="C16" s="24" t="str">
        <f aca="false">IF(AND(SUMPRODUCT(ISNUMBER('1_P1 Above'!$G$6:$G$154)*ISNUMBER('1_P1 Above'!$G$5:$G$153)*('1_P1 Above'!$G$6:$G$154&gt;'1_P1 Above'!$G$5:$G$153))=0,SUMPRODUCT(ISNUMBER('3_P2 Above'!$G$6:$G$154)*ISNUMBER('3_P2 Above'!$G$5:$G$153)*('3_P2 Above'!$G$6:$G$154&gt;'3_P2 Above'!$G$5:$G$153))=0),"PASS","FAIL")</f>
        <v>PASS</v>
      </c>
      <c r="D16" s="12" t="s">
        <v>2032</v>
      </c>
    </row>
    <row r="17" customFormat="false" ht="15" hidden="false" customHeight="false" outlineLevel="0" collapsed="false">
      <c r="A17" s="12" t="n">
        <v>14</v>
      </c>
      <c r="B17" s="12" t="s">
        <v>2033</v>
      </c>
      <c r="C17" s="24" t="str">
        <f aca="false">IF(AND(IF(Summary!$C$9="Random",SUMPRODUCT(ISNUMBER('2_P1 Below Sample'!$H$6:$H$104)*ISNUMBER('2_P1 Below Sample'!$H$5:$H$103)*('2_P1 Below Sample'!$H$6:$H$104&gt;'2_P1 Below Sample'!$H$5:$H$103))=0,SUMPRODUCT(ISNUMBER('2_P1 Below Sample'!$G$6:$G$104)*ISNUMBER('2_P1 Below Sample'!$G$5:$G$103)*('2_P1 Below Sample'!$G$6:$G$104&gt;'2_P1 Below Sample'!$G$5:$G$103))=0),IF(Summary!$C$9="Random",SUMPRODUCT(ISNUMBER('4_P2 Below Sample'!$H$6:$H$104)*ISNUMBER('4_P2 Below Sample'!$H$5:$H$103)*('4_P2 Below Sample'!$H$6:$H$104&gt;'4_P2 Below Sample'!$H$5:$H$103))=0,SUMPRODUCT(ISNUMBER('4_P2 Below Sample'!$G$6:$G$104)*ISNUMBER('4_P2 Below Sample'!$G$5:$G$103)*('4_P2 Below Sample'!$G$6:$G$104&gt;'4_P2 Below Sample'!$G$5:$G$103))=0)),"PASS","FAIL")</f>
        <v>PASS</v>
      </c>
      <c r="D17" s="12" t="s">
        <v>2034</v>
      </c>
    </row>
    <row r="18" customFormat="false" ht="15" hidden="false" customHeight="false" outlineLevel="0" collapsed="false">
      <c r="A18" s="12" t="n">
        <v>15</v>
      </c>
      <c r="B18" s="12" t="s">
        <v>2035</v>
      </c>
      <c r="C18" s="24" t="str">
        <f aca="false">IF(AND(Summary!C16&lt;=150,Summary!D16&lt;=150,N(Summary!C7)&lt;=100,N(Summary!C8)&lt;=100),"PASS","FAIL – extend lists")</f>
        <v>PASS</v>
      </c>
      <c r="D18" s="12" t="s">
        <v>2036</v>
      </c>
    </row>
    <row r="19" customFormat="false" ht="15" hidden="false" customHeight="false" outlineLevel="0" collapsed="false">
      <c r="A19" s="12" t="n">
        <v>16</v>
      </c>
      <c r="B19" s="12" t="s">
        <v>2037</v>
      </c>
      <c r="C19" s="24" t="s">
        <v>2038</v>
      </c>
      <c r="D19" s="12" t="s">
        <v>2039</v>
      </c>
    </row>
    <row r="20" customFormat="false" ht="15" hidden="false" customHeight="false" outlineLevel="0" collapsed="false">
      <c r="A20" s="12" t="n">
        <v>17</v>
      </c>
      <c r="B20" s="12" t="s">
        <v>2040</v>
      </c>
      <c r="C20" s="24" t="str">
        <f aca="false">IF(COUNTIFS(Population!$N$2:$N$1092,"Nil balance")=COUNTA('Excluded Nil Balance'!$A$5:$A$2000),"PASS","FAIL")</f>
        <v>PASS</v>
      </c>
      <c r="D20" s="12" t="str">
        <f aca="false">COUNTIFS(Population!$N$2:$N$1092,"Nil balance")&amp;" parties on Excluded sheet"</f>
        <v>963 parties on Excluded sheet</v>
      </c>
    </row>
  </sheetData>
  <conditionalFormatting sqref="C4:C20">
    <cfRule type="expression" priority="2" aboveAverage="0" equalAverage="0" bottom="0" percent="0" rank="0" text="" dxfId="4">
      <formula>LEFT(C4,4)="PASS"</formula>
    </cfRule>
    <cfRule type="expression" priority="3" aboveAverage="0" equalAverage="0" bottom="0" percent="0" rank="0" text="" dxfId="5">
      <formula>LEFT(C4,4)="FAIL"</formula>
    </cfRule>
    <cfRule type="expression" priority="4" aboveAverage="0" equalAverage="0" bottom="0" percent="0" rank="0" text="" dxfId="6">
      <formula>OR(C4="PENDING",C4="REVIEW",C4="CHANGED")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60"/>
    <col collapsed="false" customWidth="true" hidden="false" outlineLevel="0" max="7" min="6" style="0" width="17"/>
    <col collapsed="false" customWidth="true" hidden="false" outlineLevel="0" max="8" min="8" style="0" width="15"/>
    <col collapsed="false" customWidth="true" hidden="false" outlineLevel="0" max="9" min="9" style="0" width="26"/>
    <col collapsed="false" customWidth="true" hidden="false" outlineLevel="0" max="10" min="10" style="0" width="20"/>
    <col collapsed="false" customWidth="true" hidden="false" outlineLevel="0" max="11" min="11" style="0" width="40"/>
    <col collapsed="false" customWidth="true" hidden="false" outlineLevel="0" max="12" min="12" style="0" width="12"/>
  </cols>
  <sheetData>
    <row r="1" customFormat="false" ht="16.15" hidden="false" customHeight="false" outlineLevel="0" collapsed="false">
      <c r="A1" s="23" t="str">
        <f aca="false">"Excel 1 – "&amp;Summary!$C$12&amp;": Above Materiality"</f>
        <v>Excel 1 – AR Population (AR file: receivables + customer advances): Above Materiality</v>
      </c>
    </row>
    <row r="2" customFormat="false" ht="15" hidden="false" customHeight="false" outlineLevel="0" collapsed="false">
      <c r="A2" s="25" t="str">
        <f aca="false">"Items listed: "&amp;COUNT(L5:L154)&amp;"   |   Materiality: "&amp;TEXT(Summary!$C$5,"#,##0")</f>
        <v>Items listed: 37   |   Materiality: 10,000</v>
      </c>
    </row>
    <row r="4" customFormat="false" ht="31.5" hidden="false" customHeight="true" outlineLevel="0" collapsed="false">
      <c r="A4" s="11" t="s">
        <v>49</v>
      </c>
      <c r="B4" s="11" t="s">
        <v>50</v>
      </c>
      <c r="C4" s="11" t="s">
        <v>51</v>
      </c>
      <c r="D4" s="11" t="s">
        <v>52</v>
      </c>
      <c r="E4" s="11" t="s">
        <v>53</v>
      </c>
      <c r="F4" s="11" t="s">
        <v>2041</v>
      </c>
      <c r="G4" s="11" t="s">
        <v>60</v>
      </c>
      <c r="H4" s="11" t="s">
        <v>18</v>
      </c>
      <c r="I4" s="11" t="s">
        <v>62</v>
      </c>
      <c r="J4" s="11" t="s">
        <v>61</v>
      </c>
      <c r="K4" s="11" t="s">
        <v>2042</v>
      </c>
      <c r="L4" s="11" t="s">
        <v>2043</v>
      </c>
    </row>
    <row r="5" customFormat="false" ht="15" hidden="false" customHeight="false" outlineLevel="0" collapsed="false">
      <c r="A5" s="12" t="str">
        <f aca="false">IF($L5="","",INDEX(Population!$B$2:$B$1092,$L5)&amp;"")</f>
        <v/>
      </c>
      <c r="B5" s="12" t="str">
        <f aca="false">IF($L5="","",INDEX(Population!$C$2:$C$1092,$L5)&amp;"")</f>
        <v/>
      </c>
      <c r="C5" s="12" t="str">
        <f aca="false">IF($L5="","",INDEX(Population!$D$2:$D$1092,$L5)&amp;"")</f>
        <v/>
      </c>
      <c r="D5" s="12" t="str">
        <f aca="false">IF($L5="","",INDEX(Population!$E$2:$E$1092,$L5))</f>
        <v>ERAM POWER ELECTRONICS COMPANY</v>
      </c>
      <c r="E5" s="12" t="str">
        <f aca="false">IF($L5="","",INDEX(Population!$F$2:$F$1092,$L5))</f>
        <v>Party-wise closing balance (Opening 275,982.75; Debit 955,512.58; Credit 1,129,685.18)</v>
      </c>
      <c r="F5" s="16" t="n">
        <f aca="false">IF($L5="","",INDEX(Population!$L$2:$L$1092,$L5))</f>
        <v>101810.15</v>
      </c>
      <c r="G5" s="16" t="n">
        <f aca="false">IF($L5="","",INDEX(Population!$M$2:$M$1092,$L5))</f>
        <v>101810.15</v>
      </c>
      <c r="H5" s="15" t="n">
        <f aca="false">IF($L5="","",Summary!$C$5)</f>
        <v>10000</v>
      </c>
      <c r="I5" s="12" t="str">
        <f aca="false">IF($L5="","","Above Materiality")</f>
        <v>Above Materiality</v>
      </c>
      <c r="J5" s="12" t="str">
        <f aca="false">IF($L5="","",INDEX(Population!$N$2:$N$1092,$L5))</f>
        <v>Accounts Receivable</v>
      </c>
      <c r="K5" s="12" t="str">
        <f aca="false">IF($L5="","",INDEX(Population!$G$2:$G$1092,$L5)&amp;" / row "&amp;INDEX(Population!$H$2:$H$1092,$L5))</f>
        <v>AR file / row 409</v>
      </c>
      <c r="L5" s="26" t="n">
        <f aca="false">IFERROR(MATCH("Population 1|A|"&amp;ROWS($L$5:L5),Population!$U$2:$U$1092,0),"")</f>
        <v>2</v>
      </c>
    </row>
    <row r="6" customFormat="false" ht="15" hidden="false" customHeight="false" outlineLevel="0" collapsed="false">
      <c r="A6" s="12" t="str">
        <f aca="false">IF($L6="","",INDEX(Population!$B$2:$B$1092,$L6)&amp;"")</f>
        <v/>
      </c>
      <c r="B6" s="12" t="str">
        <f aca="false">IF($L6="","",INDEX(Population!$C$2:$C$1092,$L6)&amp;"")</f>
        <v/>
      </c>
      <c r="C6" s="12" t="str">
        <f aca="false">IF($L6="","",INDEX(Population!$D$2:$D$1092,$L6)&amp;"")</f>
        <v/>
      </c>
      <c r="D6" s="12" t="str">
        <f aca="false">IF($L6="","",INDEX(Population!$E$2:$E$1092,$L6))</f>
        <v>KHALID GENERAL CONTRACTING CO.</v>
      </c>
      <c r="E6" s="12" t="str">
        <f aca="false">IF($L6="","",INDEX(Population!$F$2:$F$1092,$L6))</f>
        <v>Party-wise closing balance (Opening 90,920.30; Debit 2,081.50; Credit 2,081.50)</v>
      </c>
      <c r="F6" s="16" t="n">
        <f aca="false">IF($L6="","",INDEX(Population!$L$2:$L$1092,$L6))</f>
        <v>90920.3</v>
      </c>
      <c r="G6" s="16" t="n">
        <f aca="false">IF($L6="","",INDEX(Population!$M$2:$M$1092,$L6))</f>
        <v>90920.3</v>
      </c>
      <c r="H6" s="15" t="n">
        <f aca="false">IF($L6="","",Summary!$C$5)</f>
        <v>10000</v>
      </c>
      <c r="I6" s="12" t="str">
        <f aca="false">IF($L6="","","Above Materiality")</f>
        <v>Above Materiality</v>
      </c>
      <c r="J6" s="12" t="str">
        <f aca="false">IF($L6="","",INDEX(Population!$N$2:$N$1092,$L6))</f>
        <v>Accounts Receivable</v>
      </c>
      <c r="K6" s="12" t="str">
        <f aca="false">IF($L6="","",INDEX(Population!$G$2:$G$1092,$L6)&amp;" / row "&amp;INDEX(Population!$H$2:$H$1092,$L6))</f>
        <v>AR file / row 276</v>
      </c>
      <c r="L6" s="26" t="n">
        <f aca="false">IFERROR(MATCH("Population 1|A|"&amp;ROWS($L$5:L6),Population!$U$2:$U$1092,0),"")</f>
        <v>3</v>
      </c>
    </row>
    <row r="7" customFormat="false" ht="15" hidden="false" customHeight="false" outlineLevel="0" collapsed="false">
      <c r="A7" s="12" t="str">
        <f aca="false">IF($L7="","",INDEX(Population!$B$2:$B$1092,$L7)&amp;"")</f>
        <v/>
      </c>
      <c r="B7" s="12" t="str">
        <f aca="false">IF($L7="","",INDEX(Population!$C$2:$C$1092,$L7)&amp;"")</f>
        <v/>
      </c>
      <c r="C7" s="12" t="str">
        <f aca="false">IF($L7="","",INDEX(Population!$D$2:$D$1092,$L7)&amp;"")</f>
        <v/>
      </c>
      <c r="D7" s="12" t="str">
        <f aca="false">IF($L7="","",INDEX(Population!$E$2:$E$1092,$L7))</f>
        <v>KHALID INDUSTRIAL MARBLE FACTORY</v>
      </c>
      <c r="E7" s="12" t="str">
        <f aca="false">IF($L7="","",INDEX(Population!$F$2:$F$1092,$L7))</f>
        <v>Party-wise closing balance (Opening 58,002.75; Debit 0.00; Credit 0.00)</v>
      </c>
      <c r="F7" s="16" t="n">
        <f aca="false">IF($L7="","",INDEX(Population!$L$2:$L$1092,$L7))</f>
        <v>58002.75</v>
      </c>
      <c r="G7" s="16" t="n">
        <f aca="false">IF($L7="","",INDEX(Population!$M$2:$M$1092,$L7))</f>
        <v>58002.75</v>
      </c>
      <c r="H7" s="15" t="n">
        <f aca="false">IF($L7="","",Summary!$C$5)</f>
        <v>10000</v>
      </c>
      <c r="I7" s="12" t="str">
        <f aca="false">IF($L7="","","Above Materiality")</f>
        <v>Above Materiality</v>
      </c>
      <c r="J7" s="12" t="str">
        <f aca="false">IF($L7="","",INDEX(Population!$N$2:$N$1092,$L7))</f>
        <v>Accounts Receivable</v>
      </c>
      <c r="K7" s="12" t="str">
        <f aca="false">IF($L7="","",INDEX(Population!$G$2:$G$1092,$L7)&amp;" / row "&amp;INDEX(Population!$H$2:$H$1092,$L7))</f>
        <v>AR file / row 16</v>
      </c>
      <c r="L7" s="26" t="n">
        <f aca="false">IFERROR(MATCH("Population 1|A|"&amp;ROWS($L$5:L7),Population!$U$2:$U$1092,0),"")</f>
        <v>5</v>
      </c>
    </row>
    <row r="8" customFormat="false" ht="15" hidden="false" customHeight="false" outlineLevel="0" collapsed="false">
      <c r="A8" s="12" t="str">
        <f aca="false">IF($L8="","",INDEX(Population!$B$2:$B$1092,$L8)&amp;"")</f>
        <v/>
      </c>
      <c r="B8" s="12" t="str">
        <f aca="false">IF($L8="","",INDEX(Population!$C$2:$C$1092,$L8)&amp;"")</f>
        <v/>
      </c>
      <c r="C8" s="12" t="str">
        <f aca="false">IF($L8="","",INDEX(Population!$D$2:$D$1092,$L8)&amp;"")</f>
        <v/>
      </c>
      <c r="D8" s="12" t="str">
        <f aca="false">IF($L8="","",INDEX(Population!$E$2:$E$1092,$L8))</f>
        <v>EASTERN SOURCES COMPANY FOR ENERGY AND INDUSTRIAL COMMERCIAL SERVICES</v>
      </c>
      <c r="E8" s="12" t="str">
        <f aca="false">IF($L8="","",INDEX(Population!$F$2:$F$1092,$L8))</f>
        <v>Party-wise closing balance (Opening 0.00; Debit 59,641.88; Credit 2,199.38)</v>
      </c>
      <c r="F8" s="16" t="n">
        <f aca="false">IF($L8="","",INDEX(Population!$L$2:$L$1092,$L8))</f>
        <v>57442.5</v>
      </c>
      <c r="G8" s="16" t="n">
        <f aca="false">IF($L8="","",INDEX(Population!$M$2:$M$1092,$L8))</f>
        <v>57442.5</v>
      </c>
      <c r="H8" s="15" t="n">
        <f aca="false">IF($L8="","",Summary!$C$5)</f>
        <v>10000</v>
      </c>
      <c r="I8" s="12" t="str">
        <f aca="false">IF($L8="","","Above Materiality")</f>
        <v>Above Materiality</v>
      </c>
      <c r="J8" s="12" t="str">
        <f aca="false">IF($L8="","",INDEX(Population!$N$2:$N$1092,$L8))</f>
        <v>Accounts Receivable</v>
      </c>
      <c r="K8" s="12" t="str">
        <f aca="false">IF($L8="","",INDEX(Population!$G$2:$G$1092,$L8)&amp;" / row "&amp;INDEX(Population!$H$2:$H$1092,$L8))</f>
        <v>AR file / row 857</v>
      </c>
      <c r="L8" s="26" t="n">
        <f aca="false">IFERROR(MATCH("Population 1|A|"&amp;ROWS($L$5:L8),Population!$U$2:$U$1092,0),"")</f>
        <v>6</v>
      </c>
    </row>
    <row r="9" customFormat="false" ht="15" hidden="false" customHeight="false" outlineLevel="0" collapsed="false">
      <c r="A9" s="12" t="str">
        <f aca="false">IF($L9="","",INDEX(Population!$B$2:$B$1092,$L9)&amp;"")</f>
        <v/>
      </c>
      <c r="B9" s="12" t="str">
        <f aca="false">IF($L9="","",INDEX(Population!$C$2:$C$1092,$L9)&amp;"")</f>
        <v/>
      </c>
      <c r="C9" s="12" t="str">
        <f aca="false">IF($L9="","",INDEX(Population!$D$2:$D$1092,$L9)&amp;"")</f>
        <v/>
      </c>
      <c r="D9" s="12" t="str">
        <f aca="false">IF($L9="","",INDEX(Population!$E$2:$E$1092,$L9))</f>
        <v> JUMEIRAH TRADING COMPANY LIMITED</v>
      </c>
      <c r="E9" s="12" t="str">
        <f aca="false">IF($L9="","",INDEX(Population!$F$2:$F$1092,$L9))</f>
        <v>Party-wise closing balance (Opening 0.00; Debit 56,892.80; Credit 772.80)</v>
      </c>
      <c r="F9" s="16" t="n">
        <f aca="false">IF($L9="","",INDEX(Population!$L$2:$L$1092,$L9))</f>
        <v>56120</v>
      </c>
      <c r="G9" s="16" t="n">
        <f aca="false">IF($L9="","",INDEX(Population!$M$2:$M$1092,$L9))</f>
        <v>56120</v>
      </c>
      <c r="H9" s="15" t="n">
        <f aca="false">IF($L9="","",Summary!$C$5)</f>
        <v>10000</v>
      </c>
      <c r="I9" s="12" t="str">
        <f aca="false">IF($L9="","","Above Materiality")</f>
        <v>Above Materiality</v>
      </c>
      <c r="J9" s="12" t="str">
        <f aca="false">IF($L9="","",INDEX(Population!$N$2:$N$1092,$L9))</f>
        <v>Accounts Receivable</v>
      </c>
      <c r="K9" s="12" t="str">
        <f aca="false">IF($L9="","",INDEX(Population!$G$2:$G$1092,$L9)&amp;" / row "&amp;INDEX(Population!$H$2:$H$1092,$L9))</f>
        <v>AR file / row 478</v>
      </c>
      <c r="L9" s="26" t="n">
        <f aca="false">IFERROR(MATCH("Population 1|A|"&amp;ROWS($L$5:L9),Population!$U$2:$U$1092,0),"")</f>
        <v>7</v>
      </c>
    </row>
    <row r="10" customFormat="false" ht="15" hidden="false" customHeight="false" outlineLevel="0" collapsed="false">
      <c r="A10" s="12" t="str">
        <f aca="false">IF($L10="","",INDEX(Population!$B$2:$B$1092,$L10)&amp;"")</f>
        <v/>
      </c>
      <c r="B10" s="12" t="str">
        <f aca="false">IF($L10="","",INDEX(Population!$C$2:$C$1092,$L10)&amp;"")</f>
        <v/>
      </c>
      <c r="C10" s="12" t="str">
        <f aca="false">IF($L10="","",INDEX(Population!$D$2:$D$1092,$L10)&amp;"")</f>
        <v/>
      </c>
      <c r="D10" s="12" t="str">
        <f aca="false">IF($L10="","",INDEX(Population!$E$2:$E$1092,$L10))</f>
        <v>FAB MODERN INDUSTRY CO.</v>
      </c>
      <c r="E10" s="12" t="str">
        <f aca="false">IF($L10="","",INDEX(Population!$F$2:$F$1092,$L10))</f>
        <v>Party-wise closing balance (Opening 28,188.06; Debit 27,128.50; Credit 4,150.00)</v>
      </c>
      <c r="F10" s="16" t="n">
        <f aca="false">IF($L10="","",INDEX(Population!$L$2:$L$1092,$L10))</f>
        <v>51166.56</v>
      </c>
      <c r="G10" s="16" t="n">
        <f aca="false">IF($L10="","",INDEX(Population!$M$2:$M$1092,$L10))</f>
        <v>51166.56</v>
      </c>
      <c r="H10" s="15" t="n">
        <f aca="false">IF($L10="","",Summary!$C$5)</f>
        <v>10000</v>
      </c>
      <c r="I10" s="12" t="str">
        <f aca="false">IF($L10="","","Above Materiality")</f>
        <v>Above Materiality</v>
      </c>
      <c r="J10" s="12" t="str">
        <f aca="false">IF($L10="","",INDEX(Population!$N$2:$N$1092,$L10))</f>
        <v>Accounts Receivable</v>
      </c>
      <c r="K10" s="12" t="str">
        <f aca="false">IF($L10="","",INDEX(Population!$G$2:$G$1092,$L10)&amp;" / row "&amp;INDEX(Population!$H$2:$H$1092,$L10))</f>
        <v>AR file / row 216</v>
      </c>
      <c r="L10" s="26" t="n">
        <f aca="false">IFERROR(MATCH("Population 1|A|"&amp;ROWS($L$5:L10),Population!$U$2:$U$1092,0),"")</f>
        <v>8</v>
      </c>
    </row>
    <row r="11" customFormat="false" ht="15" hidden="false" customHeight="false" outlineLevel="0" collapsed="false">
      <c r="A11" s="12" t="str">
        <f aca="false">IF($L11="","",INDEX(Population!$B$2:$B$1092,$L11)&amp;"")</f>
        <v/>
      </c>
      <c r="B11" s="12" t="str">
        <f aca="false">IF($L11="","",INDEX(Population!$C$2:$C$1092,$L11)&amp;"")</f>
        <v/>
      </c>
      <c r="C11" s="12" t="str">
        <f aca="false">IF($L11="","",INDEX(Population!$D$2:$D$1092,$L11)&amp;"")</f>
        <v/>
      </c>
      <c r="D11" s="12" t="str">
        <f aca="false">IF($L11="","",INDEX(Population!$E$2:$E$1092,$L11))</f>
        <v>THE GLOBAL COMPANY FOR MODERN PRINTING &amp; COPYING</v>
      </c>
      <c r="E11" s="12" t="str">
        <f aca="false">IF($L11="","",INDEX(Population!$F$2:$F$1092,$L11))</f>
        <v>Party-wise closing balance (Opening 0.00; Debit 22,333.00; Credit 69,036.00)</v>
      </c>
      <c r="F11" s="16" t="n">
        <f aca="false">IF($L11="","",INDEX(Population!$L$2:$L$1092,$L11))</f>
        <v>-46703</v>
      </c>
      <c r="G11" s="16" t="n">
        <f aca="false">IF($L11="","",INDEX(Population!$M$2:$M$1092,$L11))</f>
        <v>46703</v>
      </c>
      <c r="H11" s="15" t="n">
        <f aca="false">IF($L11="","",Summary!$C$5)</f>
        <v>10000</v>
      </c>
      <c r="I11" s="12" t="str">
        <f aca="false">IF($L11="","","Above Materiality")</f>
        <v>Above Materiality</v>
      </c>
      <c r="J11" s="12" t="str">
        <f aca="false">IF($L11="","",INDEX(Population!$N$2:$N$1092,$L11))</f>
        <v>Customer Advances</v>
      </c>
      <c r="K11" s="12" t="str">
        <f aca="false">IF($L11="","",INDEX(Population!$G$2:$G$1092,$L11)&amp;" / row "&amp;INDEX(Population!$H$2:$H$1092,$L11))</f>
        <v>AR file / row 51</v>
      </c>
      <c r="L11" s="26" t="n">
        <f aca="false">IFERROR(MATCH("Population 1|A|"&amp;ROWS($L$5:L11),Population!$U$2:$U$1092,0),"")</f>
        <v>9</v>
      </c>
    </row>
    <row r="12" customFormat="false" ht="15" hidden="false" customHeight="false" outlineLevel="0" collapsed="false">
      <c r="A12" s="12" t="str">
        <f aca="false">IF($L12="","",INDEX(Population!$B$2:$B$1092,$L12)&amp;"")</f>
        <v/>
      </c>
      <c r="B12" s="12" t="str">
        <f aca="false">IF($L12="","",INDEX(Population!$C$2:$C$1092,$L12)&amp;"")</f>
        <v/>
      </c>
      <c r="C12" s="12" t="str">
        <f aca="false">IF($L12="","",INDEX(Population!$D$2:$D$1092,$L12)&amp;"")</f>
        <v/>
      </c>
      <c r="D12" s="12" t="str">
        <f aca="false">IF($L12="","",INDEX(Population!$E$2:$E$1092,$L12))</f>
        <v>ERAM FLOORING COMPANY</v>
      </c>
      <c r="E12" s="12" t="str">
        <f aca="false">IF($L12="","",INDEX(Population!$F$2:$F$1092,$L12))</f>
        <v>Party-wise closing balance (Opening 0.00; Debit 80,425.25; Credit 39,600.25)</v>
      </c>
      <c r="F12" s="16" t="n">
        <f aca="false">IF($L12="","",INDEX(Population!$L$2:$L$1092,$L12))</f>
        <v>40825</v>
      </c>
      <c r="G12" s="16" t="n">
        <f aca="false">IF($L12="","",INDEX(Population!$M$2:$M$1092,$L12))</f>
        <v>40825</v>
      </c>
      <c r="H12" s="15" t="n">
        <f aca="false">IF($L12="","",Summary!$C$5)</f>
        <v>10000</v>
      </c>
      <c r="I12" s="12" t="str">
        <f aca="false">IF($L12="","","Above Materiality")</f>
        <v>Above Materiality</v>
      </c>
      <c r="J12" s="12" t="str">
        <f aca="false">IF($L12="","",INDEX(Population!$N$2:$N$1092,$L12))</f>
        <v>Accounts Receivable</v>
      </c>
      <c r="K12" s="12" t="str">
        <f aca="false">IF($L12="","",INDEX(Population!$G$2:$G$1092,$L12)&amp;" / row "&amp;INDEX(Population!$H$2:$H$1092,$L12))</f>
        <v>AR file / row 199</v>
      </c>
      <c r="L12" s="26" t="n">
        <f aca="false">IFERROR(MATCH("Population 1|A|"&amp;ROWS($L$5:L12),Population!$U$2:$U$1092,0),"")</f>
        <v>10</v>
      </c>
    </row>
    <row r="13" customFormat="false" ht="15" hidden="false" customHeight="false" outlineLevel="0" collapsed="false">
      <c r="A13" s="12" t="str">
        <f aca="false">IF($L13="","",INDEX(Population!$B$2:$B$1092,$L13)&amp;"")</f>
        <v/>
      </c>
      <c r="B13" s="12" t="str">
        <f aca="false">IF($L13="","",INDEX(Population!$C$2:$C$1092,$L13)&amp;"")</f>
        <v/>
      </c>
      <c r="C13" s="12" t="str">
        <f aca="false">IF($L13="","",INDEX(Population!$D$2:$D$1092,$L13)&amp;"")</f>
        <v/>
      </c>
      <c r="D13" s="12" t="str">
        <f aca="false">IF($L13="","",INDEX(Population!$E$2:$E$1092,$L13))</f>
        <v>FAHAD DILSHAD JAN FACTORY CO.</v>
      </c>
      <c r="E13" s="12" t="str">
        <f aca="false">IF($L13="","",INDEX(Population!$F$2:$F$1092,$L13))</f>
        <v>Party-wise closing balance (Opening 95,070.83; Debit 2,541.50; Credit 56,794.00)</v>
      </c>
      <c r="F13" s="16" t="n">
        <f aca="false">IF($L13="","",INDEX(Population!$L$2:$L$1092,$L13))</f>
        <v>40818.33</v>
      </c>
      <c r="G13" s="16" t="n">
        <f aca="false">IF($L13="","",INDEX(Population!$M$2:$M$1092,$L13))</f>
        <v>40818.33</v>
      </c>
      <c r="H13" s="15" t="n">
        <f aca="false">IF($L13="","",Summary!$C$5)</f>
        <v>10000</v>
      </c>
      <c r="I13" s="12" t="str">
        <f aca="false">IF($L13="","","Above Materiality")</f>
        <v>Above Materiality</v>
      </c>
      <c r="J13" s="12" t="str">
        <f aca="false">IF($L13="","",INDEX(Population!$N$2:$N$1092,$L13))</f>
        <v>Accounts Receivable</v>
      </c>
      <c r="K13" s="12" t="str">
        <f aca="false">IF($L13="","",INDEX(Population!$G$2:$G$1092,$L13)&amp;" / row "&amp;INDEX(Population!$H$2:$H$1092,$L13))</f>
        <v>AR file / row 156</v>
      </c>
      <c r="L13" s="26" t="n">
        <f aca="false">IFERROR(MATCH("Population 1|A|"&amp;ROWS($L$5:L13),Population!$U$2:$U$1092,0),"")</f>
        <v>11</v>
      </c>
    </row>
    <row r="14" customFormat="false" ht="15" hidden="false" customHeight="false" outlineLevel="0" collapsed="false">
      <c r="A14" s="12" t="str">
        <f aca="false">IF($L14="","",INDEX(Population!$B$2:$B$1092,$L14)&amp;"")</f>
        <v/>
      </c>
      <c r="B14" s="12" t="str">
        <f aca="false">IF($L14="","",INDEX(Population!$C$2:$C$1092,$L14)&amp;"")</f>
        <v/>
      </c>
      <c r="C14" s="12" t="str">
        <f aca="false">IF($L14="","",INDEX(Population!$D$2:$D$1092,$L14)&amp;"")</f>
        <v/>
      </c>
      <c r="D14" s="12" t="str">
        <f aca="false">IF($L14="","",INDEX(Population!$E$2:$E$1092,$L14))</f>
        <v>AFAN MIDDLE EAST CO.</v>
      </c>
      <c r="E14" s="12" t="str">
        <f aca="false">IF($L14="","",INDEX(Population!$F$2:$F$1092,$L14))</f>
        <v>Party-wise closing balance (Opening 0.00; Debit 1,060.00; Credit 41,425.00)</v>
      </c>
      <c r="F14" s="16" t="n">
        <f aca="false">IF($L14="","",INDEX(Population!$L$2:$L$1092,$L14))</f>
        <v>-40365</v>
      </c>
      <c r="G14" s="16" t="n">
        <f aca="false">IF($L14="","",INDEX(Population!$M$2:$M$1092,$L14))</f>
        <v>40365</v>
      </c>
      <c r="H14" s="15" t="n">
        <f aca="false">IF($L14="","",Summary!$C$5)</f>
        <v>10000</v>
      </c>
      <c r="I14" s="12" t="str">
        <f aca="false">IF($L14="","","Above Materiality")</f>
        <v>Above Materiality</v>
      </c>
      <c r="J14" s="12" t="str">
        <f aca="false">IF($L14="","",INDEX(Population!$N$2:$N$1092,$L14))</f>
        <v>Customer Advances</v>
      </c>
      <c r="K14" s="12" t="str">
        <f aca="false">IF($L14="","",INDEX(Population!$G$2:$G$1092,$L14)&amp;" / row "&amp;INDEX(Population!$H$2:$H$1092,$L14))</f>
        <v>AR file / row 301</v>
      </c>
      <c r="L14" s="26" t="n">
        <f aca="false">IFERROR(MATCH("Population 1|A|"&amp;ROWS($L$5:L14),Population!$U$2:$U$1092,0),"")</f>
        <v>12</v>
      </c>
    </row>
    <row r="15" customFormat="false" ht="15" hidden="false" customHeight="false" outlineLevel="0" collapsed="false">
      <c r="A15" s="12" t="str">
        <f aca="false">IF($L15="","",INDEX(Population!$B$2:$B$1092,$L15)&amp;"")</f>
        <v/>
      </c>
      <c r="B15" s="12" t="str">
        <f aca="false">IF($L15="","",INDEX(Population!$C$2:$C$1092,$L15)&amp;"")</f>
        <v/>
      </c>
      <c r="C15" s="12" t="str">
        <f aca="false">IF($L15="","",INDEX(Population!$D$2:$D$1092,$L15)&amp;"")</f>
        <v/>
      </c>
      <c r="D15" s="12" t="str">
        <f aca="false">IF($L15="","",INDEX(Population!$E$2:$E$1092,$L15))</f>
        <v>KHALID AL BAHAR CONTRACTING EST</v>
      </c>
      <c r="E15" s="12" t="str">
        <f aca="false">IF($L15="","",INDEX(Population!$F$2:$F$1092,$L15))</f>
        <v>Party-wise closing balance (Opening 37,988.75; Debit 0.00; Credit 0.00)</v>
      </c>
      <c r="F15" s="16" t="n">
        <f aca="false">IF($L15="","",INDEX(Population!$L$2:$L$1092,$L15))</f>
        <v>37988.75</v>
      </c>
      <c r="G15" s="16" t="n">
        <f aca="false">IF($L15="","",INDEX(Population!$M$2:$M$1092,$L15))</f>
        <v>37988.75</v>
      </c>
      <c r="H15" s="15" t="n">
        <f aca="false">IF($L15="","",Summary!$C$5)</f>
        <v>10000</v>
      </c>
      <c r="I15" s="12" t="str">
        <f aca="false">IF($L15="","","Above Materiality")</f>
        <v>Above Materiality</v>
      </c>
      <c r="J15" s="12" t="str">
        <f aca="false">IF($L15="","",INDEX(Population!$N$2:$N$1092,$L15))</f>
        <v>Accounts Receivable</v>
      </c>
      <c r="K15" s="12" t="str">
        <f aca="false">IF($L15="","",INDEX(Population!$G$2:$G$1092,$L15)&amp;" / row "&amp;INDEX(Population!$H$2:$H$1092,$L15))</f>
        <v>AR file / row 94</v>
      </c>
      <c r="L15" s="26" t="n">
        <f aca="false">IFERROR(MATCH("Population 1|A|"&amp;ROWS($L$5:L15),Population!$U$2:$U$1092,0),"")</f>
        <v>13</v>
      </c>
    </row>
    <row r="16" customFormat="false" ht="15" hidden="false" customHeight="false" outlineLevel="0" collapsed="false">
      <c r="A16" s="12" t="str">
        <f aca="false">IF($L16="","",INDEX(Population!$B$2:$B$1092,$L16)&amp;"")</f>
        <v/>
      </c>
      <c r="B16" s="12" t="str">
        <f aca="false">IF($L16="","",INDEX(Population!$C$2:$C$1092,$L16)&amp;"")</f>
        <v/>
      </c>
      <c r="C16" s="12" t="str">
        <f aca="false">IF($L16="","",INDEX(Population!$D$2:$D$1092,$L16)&amp;"")</f>
        <v/>
      </c>
      <c r="D16" s="12" t="str">
        <f aca="false">IF($L16="","",INDEX(Population!$E$2:$E$1092,$L16))</f>
        <v>EAST BREEZE ADVERTISING</v>
      </c>
      <c r="E16" s="12" t="str">
        <f aca="false">IF($L16="","",INDEX(Population!$F$2:$F$1092,$L16))</f>
        <v>Party-wise closing balance (Opening 28,606.34; Debit 148,120.64; Credit 140,000.00)</v>
      </c>
      <c r="F16" s="16" t="n">
        <f aca="false">IF($L16="","",INDEX(Population!$L$2:$L$1092,$L16))</f>
        <v>36726.98</v>
      </c>
      <c r="G16" s="16" t="n">
        <f aca="false">IF($L16="","",INDEX(Population!$M$2:$M$1092,$L16))</f>
        <v>36726.98</v>
      </c>
      <c r="H16" s="15" t="n">
        <f aca="false">IF($L16="","",Summary!$C$5)</f>
        <v>10000</v>
      </c>
      <c r="I16" s="12" t="str">
        <f aca="false">IF($L16="","","Above Materiality")</f>
        <v>Above Materiality</v>
      </c>
      <c r="J16" s="12" t="str">
        <f aca="false">IF($L16="","",INDEX(Population!$N$2:$N$1092,$L16))</f>
        <v>Accounts Receivable</v>
      </c>
      <c r="K16" s="12" t="str">
        <f aca="false">IF($L16="","",INDEX(Population!$G$2:$G$1092,$L16)&amp;" / row "&amp;INDEX(Population!$H$2:$H$1092,$L16))</f>
        <v>AR file / row 80</v>
      </c>
      <c r="L16" s="26" t="n">
        <f aca="false">IFERROR(MATCH("Population 1|A|"&amp;ROWS($L$5:L16),Population!$U$2:$U$1092,0),"")</f>
        <v>14</v>
      </c>
    </row>
    <row r="17" customFormat="false" ht="15" hidden="false" customHeight="false" outlineLevel="0" collapsed="false">
      <c r="A17" s="12" t="str">
        <f aca="false">IF($L17="","",INDEX(Population!$B$2:$B$1092,$L17)&amp;"")</f>
        <v/>
      </c>
      <c r="B17" s="12" t="str">
        <f aca="false">IF($L17="","",INDEX(Population!$C$2:$C$1092,$L17)&amp;"")</f>
        <v/>
      </c>
      <c r="C17" s="12" t="str">
        <f aca="false">IF($L17="","",INDEX(Population!$D$2:$D$1092,$L17)&amp;"")</f>
        <v/>
      </c>
      <c r="D17" s="12" t="str">
        <f aca="false">IF($L17="","",INDEX(Population!$E$2:$E$1092,$L17))</f>
        <v>GLOBAL TECHNICAL SYSTEMS TRADING EST (LIBU)</v>
      </c>
      <c r="E17" s="12" t="str">
        <f aca="false">IF($L17="","",INDEX(Population!$F$2:$F$1092,$L17))</f>
        <v>Party-wise closing balance (Opening 0.00; Debit 98,350.88; Credit 63,155.00)</v>
      </c>
      <c r="F17" s="16" t="n">
        <f aca="false">IF($L17="","",INDEX(Population!$L$2:$L$1092,$L17))</f>
        <v>35195.88</v>
      </c>
      <c r="G17" s="16" t="n">
        <f aca="false">IF($L17="","",INDEX(Population!$M$2:$M$1092,$L17))</f>
        <v>35195.88</v>
      </c>
      <c r="H17" s="15" t="n">
        <f aca="false">IF($L17="","",Summary!$C$5)</f>
        <v>10000</v>
      </c>
      <c r="I17" s="12" t="str">
        <f aca="false">IF($L17="","","Above Materiality")</f>
        <v>Above Materiality</v>
      </c>
      <c r="J17" s="12" t="str">
        <f aca="false">IF($L17="","",INDEX(Population!$N$2:$N$1092,$L17))</f>
        <v>Accounts Receivable</v>
      </c>
      <c r="K17" s="12" t="str">
        <f aca="false">IF($L17="","",INDEX(Population!$G$2:$G$1092,$L17)&amp;" / row "&amp;INDEX(Population!$H$2:$H$1092,$L17))</f>
        <v>AR file / row 551</v>
      </c>
      <c r="L17" s="26" t="n">
        <f aca="false">IFERROR(MATCH("Population 1|A|"&amp;ROWS($L$5:L17),Population!$U$2:$U$1092,0),"")</f>
        <v>15</v>
      </c>
    </row>
    <row r="18" customFormat="false" ht="15" hidden="false" customHeight="false" outlineLevel="0" collapsed="false">
      <c r="A18" s="12" t="str">
        <f aca="false">IF($L18="","",INDEX(Population!$B$2:$B$1092,$L18)&amp;"")</f>
        <v/>
      </c>
      <c r="B18" s="12" t="str">
        <f aca="false">IF($L18="","",INDEX(Population!$C$2:$C$1092,$L18)&amp;"")</f>
        <v/>
      </c>
      <c r="C18" s="12" t="str">
        <f aca="false">IF($L18="","",INDEX(Population!$D$2:$D$1092,$L18)&amp;"")</f>
        <v/>
      </c>
      <c r="D18" s="12" t="str">
        <f aca="false">IF($L18="","",INDEX(Population!$E$2:$E$1092,$L18))</f>
        <v>PEPPERL FUCHS\ GULF LLC</v>
      </c>
      <c r="E18" s="12" t="str">
        <f aca="false">IF($L18="","",INDEX(Population!$F$2:$F$1092,$L18))</f>
        <v>Party-wise closing balance (Opening 0.00; Debit 48,788.75; Credit 17,526.00)</v>
      </c>
      <c r="F18" s="16" t="n">
        <f aca="false">IF($L18="","",INDEX(Population!$L$2:$L$1092,$L18))</f>
        <v>31262.75</v>
      </c>
      <c r="G18" s="16" t="n">
        <f aca="false">IF($L18="","",INDEX(Population!$M$2:$M$1092,$L18))</f>
        <v>31262.75</v>
      </c>
      <c r="H18" s="15" t="n">
        <f aca="false">IF($L18="","",Summary!$C$5)</f>
        <v>10000</v>
      </c>
      <c r="I18" s="12" t="str">
        <f aca="false">IF($L18="","","Above Materiality")</f>
        <v>Above Materiality</v>
      </c>
      <c r="J18" s="12" t="str">
        <f aca="false">IF($L18="","",INDEX(Population!$N$2:$N$1092,$L18))</f>
        <v>Accounts Receivable</v>
      </c>
      <c r="K18" s="12" t="str">
        <f aca="false">IF($L18="","",INDEX(Population!$G$2:$G$1092,$L18)&amp;" / row "&amp;INDEX(Population!$H$2:$H$1092,$L18))</f>
        <v>AR file / row 126</v>
      </c>
      <c r="L18" s="26" t="n">
        <f aca="false">IFERROR(MATCH("Population 1|A|"&amp;ROWS($L$5:L18),Population!$U$2:$U$1092,0),"")</f>
        <v>17</v>
      </c>
    </row>
    <row r="19" customFormat="false" ht="15" hidden="false" customHeight="false" outlineLevel="0" collapsed="false">
      <c r="A19" s="12" t="str">
        <f aca="false">IF($L19="","",INDEX(Population!$B$2:$B$1092,$L19)&amp;"")</f>
        <v/>
      </c>
      <c r="B19" s="12" t="str">
        <f aca="false">IF($L19="","",INDEX(Population!$C$2:$C$1092,$L19)&amp;"")</f>
        <v/>
      </c>
      <c r="C19" s="12" t="str">
        <f aca="false">IF($L19="","",INDEX(Population!$D$2:$D$1092,$L19)&amp;"")</f>
        <v/>
      </c>
      <c r="D19" s="12" t="str">
        <f aca="false">IF($L19="","",INDEX(Population!$E$2:$E$1092,$L19))</f>
        <v>MAI STRUCTURE COMPANY</v>
      </c>
      <c r="E19" s="12" t="str">
        <f aca="false">IF($L19="","",INDEX(Population!$F$2:$F$1092,$L19))</f>
        <v>Party-wise closing balance (Opening 31,130.62; Debit 7,683.15; Credit 7,684.00)</v>
      </c>
      <c r="F19" s="16" t="n">
        <f aca="false">IF($L19="","",INDEX(Population!$L$2:$L$1092,$L19))</f>
        <v>31129.77</v>
      </c>
      <c r="G19" s="16" t="n">
        <f aca="false">IF($L19="","",INDEX(Population!$M$2:$M$1092,$L19))</f>
        <v>31129.77</v>
      </c>
      <c r="H19" s="15" t="n">
        <f aca="false">IF($L19="","",Summary!$C$5)</f>
        <v>10000</v>
      </c>
      <c r="I19" s="12" t="str">
        <f aca="false">IF($L19="","","Above Materiality")</f>
        <v>Above Materiality</v>
      </c>
      <c r="J19" s="12" t="str">
        <f aca="false">IF($L19="","",INDEX(Population!$N$2:$N$1092,$L19))</f>
        <v>Accounts Receivable</v>
      </c>
      <c r="K19" s="12" t="str">
        <f aca="false">IF($L19="","",INDEX(Population!$G$2:$G$1092,$L19)&amp;" / row "&amp;INDEX(Population!$H$2:$H$1092,$L19))</f>
        <v>AR file / row 117</v>
      </c>
      <c r="L19" s="26" t="n">
        <f aca="false">IFERROR(MATCH("Population 1|A|"&amp;ROWS($L$5:L19),Population!$U$2:$U$1092,0),"")</f>
        <v>18</v>
      </c>
    </row>
    <row r="20" customFormat="false" ht="15" hidden="false" customHeight="false" outlineLevel="0" collapsed="false">
      <c r="A20" s="12" t="str">
        <f aca="false">IF($L20="","",INDEX(Population!$B$2:$B$1092,$L20)&amp;"")</f>
        <v/>
      </c>
      <c r="B20" s="12" t="str">
        <f aca="false">IF($L20="","",INDEX(Population!$C$2:$C$1092,$L20)&amp;"")</f>
        <v/>
      </c>
      <c r="C20" s="12" t="str">
        <f aca="false">IF($L20="","",INDEX(Population!$D$2:$D$1092,$L20)&amp;"")</f>
        <v/>
      </c>
      <c r="D20" s="12" t="str">
        <f aca="false">IF($L20="","",INDEX(Population!$E$2:$E$1092,$L20))</f>
        <v>METALLIC EAGLE CONTRACTING COMPANY</v>
      </c>
      <c r="E20" s="12" t="str">
        <f aca="false">IF($L20="","",INDEX(Population!$F$2:$F$1092,$L20))</f>
        <v>Party-wise closing balance (Opening 23,741.18; Debit 8,364.53; Credit 3,015.00)</v>
      </c>
      <c r="F20" s="16" t="n">
        <f aca="false">IF($L20="","",INDEX(Population!$L$2:$L$1092,$L20))</f>
        <v>29090.71</v>
      </c>
      <c r="G20" s="16" t="n">
        <f aca="false">IF($L20="","",INDEX(Population!$M$2:$M$1092,$L20))</f>
        <v>29090.71</v>
      </c>
      <c r="H20" s="15" t="n">
        <f aca="false">IF($L20="","",Summary!$C$5)</f>
        <v>10000</v>
      </c>
      <c r="I20" s="12" t="str">
        <f aca="false">IF($L20="","","Above Materiality")</f>
        <v>Above Materiality</v>
      </c>
      <c r="J20" s="12" t="str">
        <f aca="false">IF($L20="","",INDEX(Population!$N$2:$N$1092,$L20))</f>
        <v>Accounts Receivable</v>
      </c>
      <c r="K20" s="12" t="str">
        <f aca="false">IF($L20="","",INDEX(Population!$G$2:$G$1092,$L20)&amp;" / row "&amp;INDEX(Population!$H$2:$H$1092,$L20))</f>
        <v>AR file / row 43</v>
      </c>
      <c r="L20" s="26" t="n">
        <f aca="false">IFERROR(MATCH("Population 1|A|"&amp;ROWS($L$5:L20),Population!$U$2:$U$1092,0),"")</f>
        <v>20</v>
      </c>
    </row>
    <row r="21" customFormat="false" ht="15" hidden="false" customHeight="false" outlineLevel="0" collapsed="false">
      <c r="A21" s="12" t="str">
        <f aca="false">IF($L21="","",INDEX(Population!$B$2:$B$1092,$L21)&amp;"")</f>
        <v/>
      </c>
      <c r="B21" s="12" t="str">
        <f aca="false">IF($L21="","",INDEX(Population!$C$2:$C$1092,$L21)&amp;"")</f>
        <v/>
      </c>
      <c r="C21" s="12" t="str">
        <f aca="false">IF($L21="","",INDEX(Population!$D$2:$D$1092,$L21)&amp;"")</f>
        <v/>
      </c>
      <c r="D21" s="12" t="str">
        <f aca="false">IF($L21="","",INDEX(Population!$E$2:$E$1092,$L21))</f>
        <v>BUSTAN AL ARABIYA INDUSTRIAL CO.</v>
      </c>
      <c r="E21" s="12" t="str">
        <f aca="false">IF($L21="","",INDEX(Population!$F$2:$F$1092,$L21))</f>
        <v>Party-wise closing balance (Opening 26,534.45; Debit 1,688.20; Credit 106.90)</v>
      </c>
      <c r="F21" s="16" t="n">
        <f aca="false">IF($L21="","",INDEX(Population!$L$2:$L$1092,$L21))</f>
        <v>28115.75</v>
      </c>
      <c r="G21" s="16" t="n">
        <f aca="false">IF($L21="","",INDEX(Population!$M$2:$M$1092,$L21))</f>
        <v>28115.75</v>
      </c>
      <c r="H21" s="15" t="n">
        <f aca="false">IF($L21="","",Summary!$C$5)</f>
        <v>10000</v>
      </c>
      <c r="I21" s="12" t="str">
        <f aca="false">IF($L21="","","Above Materiality")</f>
        <v>Above Materiality</v>
      </c>
      <c r="J21" s="12" t="str">
        <f aca="false">IF($L21="","",INDEX(Population!$N$2:$N$1092,$L21))</f>
        <v>Accounts Receivable</v>
      </c>
      <c r="K21" s="12" t="str">
        <f aca="false">IF($L21="","",INDEX(Population!$G$2:$G$1092,$L21)&amp;" / row "&amp;INDEX(Population!$H$2:$H$1092,$L21))</f>
        <v>AR file / row 229</v>
      </c>
      <c r="L21" s="26" t="n">
        <f aca="false">IFERROR(MATCH("Population 1|A|"&amp;ROWS($L$5:L21),Population!$U$2:$U$1092,0),"")</f>
        <v>21</v>
      </c>
    </row>
    <row r="22" customFormat="false" ht="15" hidden="false" customHeight="false" outlineLevel="0" collapsed="false">
      <c r="A22" s="12" t="str">
        <f aca="false">IF($L22="","",INDEX(Population!$B$2:$B$1092,$L22)&amp;"")</f>
        <v/>
      </c>
      <c r="B22" s="12" t="str">
        <f aca="false">IF($L22="","",INDEX(Population!$C$2:$C$1092,$L22)&amp;"")</f>
        <v/>
      </c>
      <c r="C22" s="12" t="str">
        <f aca="false">IF($L22="","",INDEX(Population!$D$2:$D$1092,$L22)&amp;"")</f>
        <v/>
      </c>
      <c r="D22" s="12" t="str">
        <f aca="false">IF($L22="","",INDEX(Population!$E$2:$E$1092,$L22))</f>
        <v>EAST &amp;WEST FACTORY</v>
      </c>
      <c r="E22" s="12" t="str">
        <f aca="false">IF($L22="","",INDEX(Population!$F$2:$F$1092,$L22))</f>
        <v>Party-wise closing balance (Opening 26,680.00; Debit 0.00; Credit 0.00)</v>
      </c>
      <c r="F22" s="16" t="n">
        <f aca="false">IF($L22="","",INDEX(Population!$L$2:$L$1092,$L22))</f>
        <v>26680</v>
      </c>
      <c r="G22" s="16" t="n">
        <f aca="false">IF($L22="","",INDEX(Population!$M$2:$M$1092,$L22))</f>
        <v>26680</v>
      </c>
      <c r="H22" s="15" t="n">
        <f aca="false">IF($L22="","",Summary!$C$5)</f>
        <v>10000</v>
      </c>
      <c r="I22" s="12" t="str">
        <f aca="false">IF($L22="","","Above Materiality")</f>
        <v>Above Materiality</v>
      </c>
      <c r="J22" s="12" t="str">
        <f aca="false">IF($L22="","",INDEX(Population!$N$2:$N$1092,$L22))</f>
        <v>Accounts Receivable</v>
      </c>
      <c r="K22" s="12" t="str">
        <f aca="false">IF($L22="","",INDEX(Population!$G$2:$G$1092,$L22)&amp;" / row "&amp;INDEX(Population!$H$2:$H$1092,$L22))</f>
        <v>AR file / row 161</v>
      </c>
      <c r="L22" s="26" t="n">
        <f aca="false">IFERROR(MATCH("Population 1|A|"&amp;ROWS($L$5:L22),Population!$U$2:$U$1092,0),"")</f>
        <v>22</v>
      </c>
    </row>
    <row r="23" customFormat="false" ht="15" hidden="false" customHeight="false" outlineLevel="0" collapsed="false">
      <c r="A23" s="12" t="str">
        <f aca="false">IF($L23="","",INDEX(Population!$B$2:$B$1092,$L23)&amp;"")</f>
        <v/>
      </c>
      <c r="B23" s="12" t="str">
        <f aca="false">IF($L23="","",INDEX(Population!$C$2:$C$1092,$L23)&amp;"")</f>
        <v/>
      </c>
      <c r="C23" s="12" t="str">
        <f aca="false">IF($L23="","",INDEX(Population!$D$2:$D$1092,$L23)&amp;"")</f>
        <v/>
      </c>
      <c r="D23" s="12" t="str">
        <f aca="false">IF($L23="","",INDEX(Population!$E$2:$E$1092,$L23))</f>
        <v>ERAM HYDRAULICS COMPANY</v>
      </c>
      <c r="E23" s="12" t="str">
        <f aca="false">IF($L23="","",INDEX(Population!$F$2:$F$1092,$L23))</f>
        <v>Party-wise closing balance (Opening 11,500.00; Debit 151,673.50; Credit 137,936.75)</v>
      </c>
      <c r="F23" s="16" t="n">
        <f aca="false">IF($L23="","",INDEX(Population!$L$2:$L$1092,$L23))</f>
        <v>25236.75</v>
      </c>
      <c r="G23" s="16" t="n">
        <f aca="false">IF($L23="","",INDEX(Population!$M$2:$M$1092,$L23))</f>
        <v>25236.75</v>
      </c>
      <c r="H23" s="15" t="n">
        <f aca="false">IF($L23="","",Summary!$C$5)</f>
        <v>10000</v>
      </c>
      <c r="I23" s="12" t="str">
        <f aca="false">IF($L23="","","Above Materiality")</f>
        <v>Above Materiality</v>
      </c>
      <c r="J23" s="12" t="str">
        <f aca="false">IF($L23="","",INDEX(Population!$N$2:$N$1092,$L23))</f>
        <v>Accounts Receivable</v>
      </c>
      <c r="K23" s="12" t="str">
        <f aca="false">IF($L23="","",INDEX(Population!$G$2:$G$1092,$L23)&amp;" / row "&amp;INDEX(Population!$H$2:$H$1092,$L23))</f>
        <v>AR file / row 81</v>
      </c>
      <c r="L23" s="26" t="n">
        <f aca="false">IFERROR(MATCH("Population 1|A|"&amp;ROWS($L$5:L23),Population!$U$2:$U$1092,0),"")</f>
        <v>23</v>
      </c>
    </row>
    <row r="24" customFormat="false" ht="15" hidden="false" customHeight="false" outlineLevel="0" collapsed="false">
      <c r="A24" s="12" t="str">
        <f aca="false">IF($L24="","",INDEX(Population!$B$2:$B$1092,$L24)&amp;"")</f>
        <v/>
      </c>
      <c r="B24" s="12" t="str">
        <f aca="false">IF($L24="","",INDEX(Population!$C$2:$C$1092,$L24)&amp;"")</f>
        <v/>
      </c>
      <c r="C24" s="12" t="str">
        <f aca="false">IF($L24="","",INDEX(Population!$D$2:$D$1092,$L24)&amp;"")</f>
        <v/>
      </c>
      <c r="D24" s="12" t="str">
        <f aca="false">IF($L24="","",INDEX(Population!$E$2:$E$1092,$L24))</f>
        <v>PRIMETECH INTERNATIONAL</v>
      </c>
      <c r="E24" s="12" t="str">
        <f aca="false">IF($L24="","",INDEX(Population!$F$2:$F$1092,$L24))</f>
        <v>Party-wise closing balance (Opening -13,315.25; Debit 148,160.25; Credit 111,262.00)</v>
      </c>
      <c r="F24" s="16" t="n">
        <f aca="false">IF($L24="","",INDEX(Population!$L$2:$L$1092,$L24))</f>
        <v>23583</v>
      </c>
      <c r="G24" s="16" t="n">
        <f aca="false">IF($L24="","",INDEX(Population!$M$2:$M$1092,$L24))</f>
        <v>23583</v>
      </c>
      <c r="H24" s="15" t="n">
        <f aca="false">IF($L24="","",Summary!$C$5)</f>
        <v>10000</v>
      </c>
      <c r="I24" s="12" t="str">
        <f aca="false">IF($L24="","","Above Materiality")</f>
        <v>Above Materiality</v>
      </c>
      <c r="J24" s="12" t="str">
        <f aca="false">IF($L24="","",INDEX(Population!$N$2:$N$1092,$L24))</f>
        <v>Accounts Receivable</v>
      </c>
      <c r="K24" s="12" t="str">
        <f aca="false">IF($L24="","",INDEX(Population!$G$2:$G$1092,$L24)&amp;" / row "&amp;INDEX(Population!$H$2:$H$1092,$L24))</f>
        <v>AR file / row 22</v>
      </c>
      <c r="L24" s="26" t="n">
        <f aca="false">IFERROR(MATCH("Population 1|A|"&amp;ROWS($L$5:L24),Population!$U$2:$U$1092,0),"")</f>
        <v>24</v>
      </c>
    </row>
    <row r="25" customFormat="false" ht="15" hidden="false" customHeight="false" outlineLevel="0" collapsed="false">
      <c r="A25" s="12" t="str">
        <f aca="false">IF($L25="","",INDEX(Population!$B$2:$B$1092,$L25)&amp;"")</f>
        <v/>
      </c>
      <c r="B25" s="12" t="str">
        <f aca="false">IF($L25="","",INDEX(Population!$C$2:$C$1092,$L25)&amp;"")</f>
        <v/>
      </c>
      <c r="C25" s="12" t="str">
        <f aca="false">IF($L25="","",INDEX(Population!$D$2:$D$1092,$L25)&amp;"")</f>
        <v/>
      </c>
      <c r="D25" s="12" t="str">
        <f aca="false">IF($L25="","",INDEX(Population!$E$2:$E$1092,$L25))</f>
        <v>SAHARY AL-ALAMEEN COMPANY</v>
      </c>
      <c r="E25" s="12" t="str">
        <f aca="false">IF($L25="","",INDEX(Population!$F$2:$F$1092,$L25))</f>
        <v>Party-wise closing balance (Opening 58,739.96; Debit 60,770.60; Credit 96,343.20)</v>
      </c>
      <c r="F25" s="16" t="n">
        <f aca="false">IF($L25="","",INDEX(Population!$L$2:$L$1092,$L25))</f>
        <v>23167.36</v>
      </c>
      <c r="G25" s="16" t="n">
        <f aca="false">IF($L25="","",INDEX(Population!$M$2:$M$1092,$L25))</f>
        <v>23167.36</v>
      </c>
      <c r="H25" s="15" t="n">
        <f aca="false">IF($L25="","",Summary!$C$5)</f>
        <v>10000</v>
      </c>
      <c r="I25" s="12" t="str">
        <f aca="false">IF($L25="","","Above Materiality")</f>
        <v>Above Materiality</v>
      </c>
      <c r="J25" s="12" t="str">
        <f aca="false">IF($L25="","",INDEX(Population!$N$2:$N$1092,$L25))</f>
        <v>Accounts Receivable</v>
      </c>
      <c r="K25" s="12" t="str">
        <f aca="false">IF($L25="","",INDEX(Population!$G$2:$G$1092,$L25)&amp;" / row "&amp;INDEX(Population!$H$2:$H$1092,$L25))</f>
        <v>AR file / row 26</v>
      </c>
      <c r="L25" s="26" t="n">
        <f aca="false">IFERROR(MATCH("Population 1|A|"&amp;ROWS($L$5:L25),Population!$U$2:$U$1092,0),"")</f>
        <v>25</v>
      </c>
    </row>
    <row r="26" customFormat="false" ht="15" hidden="false" customHeight="false" outlineLevel="0" collapsed="false">
      <c r="A26" s="12" t="str">
        <f aca="false">IF($L26="","",INDEX(Population!$B$2:$B$1092,$L26)&amp;"")</f>
        <v/>
      </c>
      <c r="B26" s="12" t="str">
        <f aca="false">IF($L26="","",INDEX(Population!$C$2:$C$1092,$L26)&amp;"")</f>
        <v/>
      </c>
      <c r="C26" s="12" t="str">
        <f aca="false">IF($L26="","",INDEX(Population!$D$2:$D$1092,$L26)&amp;"")</f>
        <v/>
      </c>
      <c r="D26" s="12" t="str">
        <f aca="false">IF($L26="","",INDEX(Population!$E$2:$E$1092,$L26))</f>
        <v>MAROUJ RAWAN ADVERTISING AND PUBLICITY AGENCY (NOUSHAD)</v>
      </c>
      <c r="E26" s="12" t="str">
        <f aca="false">IF($L26="","",INDEX(Population!$F$2:$F$1092,$L26))</f>
        <v>Party-wise closing balance (Opening 0.40; Debit 25,042.23; Credit 2,917.00)</v>
      </c>
      <c r="F26" s="16" t="n">
        <f aca="false">IF($L26="","",INDEX(Population!$L$2:$L$1092,$L26))</f>
        <v>22125.63</v>
      </c>
      <c r="G26" s="16" t="n">
        <f aca="false">IF($L26="","",INDEX(Population!$M$2:$M$1092,$L26))</f>
        <v>22125.63</v>
      </c>
      <c r="H26" s="15" t="n">
        <f aca="false">IF($L26="","",Summary!$C$5)</f>
        <v>10000</v>
      </c>
      <c r="I26" s="12" t="str">
        <f aca="false">IF($L26="","","Above Materiality")</f>
        <v>Above Materiality</v>
      </c>
      <c r="J26" s="12" t="str">
        <f aca="false">IF($L26="","",INDEX(Population!$N$2:$N$1092,$L26))</f>
        <v>Accounts Receivable</v>
      </c>
      <c r="K26" s="12" t="str">
        <f aca="false">IF($L26="","",INDEX(Population!$G$2:$G$1092,$L26)&amp;" / row "&amp;INDEX(Population!$H$2:$H$1092,$L26))</f>
        <v>AR file / row 42</v>
      </c>
      <c r="L26" s="26" t="n">
        <f aca="false">IFERROR(MATCH("Population 1|A|"&amp;ROWS($L$5:L26),Population!$U$2:$U$1092,0),"")</f>
        <v>26</v>
      </c>
    </row>
    <row r="27" customFormat="false" ht="15" hidden="false" customHeight="false" outlineLevel="0" collapsed="false">
      <c r="A27" s="12" t="str">
        <f aca="false">IF($L27="","",INDEX(Population!$B$2:$B$1092,$L27)&amp;"")</f>
        <v/>
      </c>
      <c r="B27" s="12" t="str">
        <f aca="false">IF($L27="","",INDEX(Population!$C$2:$C$1092,$L27)&amp;"")</f>
        <v/>
      </c>
      <c r="C27" s="12" t="str">
        <f aca="false">IF($L27="","",INDEX(Population!$D$2:$D$1092,$L27)&amp;"")</f>
        <v/>
      </c>
      <c r="D27" s="12" t="str">
        <f aca="false">IF($L27="","",INDEX(Population!$E$2:$E$1092,$L27))</f>
        <v>JANA LINES ADVERTISING</v>
      </c>
      <c r="E27" s="12" t="str">
        <f aca="false">IF($L27="","",INDEX(Population!$F$2:$F$1092,$L27))</f>
        <v>Party-wise closing balance (Opening 0.00; Debit 34,626.50; Credit 12,937.50)</v>
      </c>
      <c r="F27" s="16" t="n">
        <f aca="false">IF($L27="","",INDEX(Population!$L$2:$L$1092,$L27))</f>
        <v>21689</v>
      </c>
      <c r="G27" s="16" t="n">
        <f aca="false">IF($L27="","",INDEX(Population!$M$2:$M$1092,$L27))</f>
        <v>21689</v>
      </c>
      <c r="H27" s="15" t="n">
        <f aca="false">IF($L27="","",Summary!$C$5)</f>
        <v>10000</v>
      </c>
      <c r="I27" s="12" t="str">
        <f aca="false">IF($L27="","","Above Materiality")</f>
        <v>Above Materiality</v>
      </c>
      <c r="J27" s="12" t="str">
        <f aca="false">IF($L27="","",INDEX(Population!$N$2:$N$1092,$L27))</f>
        <v>Accounts Receivable</v>
      </c>
      <c r="K27" s="12" t="str">
        <f aca="false">IF($L27="","",INDEX(Population!$G$2:$G$1092,$L27)&amp;" / row "&amp;INDEX(Population!$H$2:$H$1092,$L27))</f>
        <v>AR file / row 277</v>
      </c>
      <c r="L27" s="26" t="n">
        <f aca="false">IFERROR(MATCH("Population 1|A|"&amp;ROWS($L$5:L27),Population!$U$2:$U$1092,0),"")</f>
        <v>27</v>
      </c>
    </row>
    <row r="28" customFormat="false" ht="15" hidden="false" customHeight="false" outlineLevel="0" collapsed="false">
      <c r="A28" s="12" t="str">
        <f aca="false">IF($L28="","",INDEX(Population!$B$2:$B$1092,$L28)&amp;"")</f>
        <v/>
      </c>
      <c r="B28" s="12" t="str">
        <f aca="false">IF($L28="","",INDEX(Population!$C$2:$C$1092,$L28)&amp;"")</f>
        <v/>
      </c>
      <c r="C28" s="12" t="str">
        <f aca="false">IF($L28="","",INDEX(Population!$D$2:$D$1092,$L28)&amp;"")</f>
        <v/>
      </c>
      <c r="D28" s="12" t="str">
        <f aca="false">IF($L28="","",INDEX(Population!$E$2:$E$1092,$L28))</f>
        <v>ERAM PRINTING AND PACKAGING FACTORY CO.</v>
      </c>
      <c r="E28" s="12" t="str">
        <f aca="false">IF($L28="","",INDEX(Population!$F$2:$F$1092,$L28))</f>
        <v>Party-wise closing balance (Opening 14,766.90; Debit 38,192.50; Credit 31,385.40)</v>
      </c>
      <c r="F28" s="16" t="n">
        <f aca="false">IF($L28="","",INDEX(Population!$L$2:$L$1092,$L28))</f>
        <v>21574</v>
      </c>
      <c r="G28" s="16" t="n">
        <f aca="false">IF($L28="","",INDEX(Population!$M$2:$M$1092,$L28))</f>
        <v>21574</v>
      </c>
      <c r="H28" s="15" t="n">
        <f aca="false">IF($L28="","",Summary!$C$5)</f>
        <v>10000</v>
      </c>
      <c r="I28" s="12" t="str">
        <f aca="false">IF($L28="","","Above Materiality")</f>
        <v>Above Materiality</v>
      </c>
      <c r="J28" s="12" t="str">
        <f aca="false">IF($L28="","",INDEX(Population!$N$2:$N$1092,$L28))</f>
        <v>Accounts Receivable</v>
      </c>
      <c r="K28" s="12" t="str">
        <f aca="false">IF($L28="","",INDEX(Population!$G$2:$G$1092,$L28)&amp;" / row "&amp;INDEX(Population!$H$2:$H$1092,$L28))</f>
        <v>AR file / row 112</v>
      </c>
      <c r="L28" s="26" t="n">
        <f aca="false">IFERROR(MATCH("Population 1|A|"&amp;ROWS($L$5:L28),Population!$U$2:$U$1092,0),"")</f>
        <v>28</v>
      </c>
    </row>
    <row r="29" customFormat="false" ht="15" hidden="false" customHeight="false" outlineLevel="0" collapsed="false">
      <c r="A29" s="12" t="str">
        <f aca="false">IF($L29="","",INDEX(Population!$B$2:$B$1092,$L29)&amp;"")</f>
        <v/>
      </c>
      <c r="B29" s="12" t="str">
        <f aca="false">IF($L29="","",INDEX(Population!$C$2:$C$1092,$L29)&amp;"")</f>
        <v/>
      </c>
      <c r="C29" s="12" t="str">
        <f aca="false">IF($L29="","",INDEX(Population!$D$2:$D$1092,$L29)&amp;"")</f>
        <v/>
      </c>
      <c r="D29" s="12" t="str">
        <f aca="false">IF($L29="","",INDEX(Population!$E$2:$E$1092,$L29))</f>
        <v>GULF YOUTH ADVERTISING AGENCY</v>
      </c>
      <c r="E29" s="12" t="str">
        <f aca="false">IF($L29="","",INDEX(Population!$F$2:$F$1092,$L29))</f>
        <v>Party-wise closing balance (Opening 3,407.00; Debit 138,001.15; Credit 119,997.70)</v>
      </c>
      <c r="F29" s="16" t="n">
        <f aca="false">IF($L29="","",INDEX(Population!$L$2:$L$1092,$L29))</f>
        <v>21410.45</v>
      </c>
      <c r="G29" s="16" t="n">
        <f aca="false">IF($L29="","",INDEX(Population!$M$2:$M$1092,$L29))</f>
        <v>21410.45</v>
      </c>
      <c r="H29" s="15" t="n">
        <f aca="false">IF($L29="","",Summary!$C$5)</f>
        <v>10000</v>
      </c>
      <c r="I29" s="12" t="str">
        <f aca="false">IF($L29="","","Above Materiality")</f>
        <v>Above Materiality</v>
      </c>
      <c r="J29" s="12" t="str">
        <f aca="false">IF($L29="","",INDEX(Population!$N$2:$N$1092,$L29))</f>
        <v>Accounts Receivable</v>
      </c>
      <c r="K29" s="12" t="str">
        <f aca="false">IF($L29="","",INDEX(Population!$G$2:$G$1092,$L29)&amp;" / row "&amp;INDEX(Population!$H$2:$H$1092,$L29))</f>
        <v>AR file / row 111</v>
      </c>
      <c r="L29" s="26" t="n">
        <f aca="false">IFERROR(MATCH("Population 1|A|"&amp;ROWS($L$5:L29),Population!$U$2:$U$1092,0),"")</f>
        <v>29</v>
      </c>
    </row>
    <row r="30" customFormat="false" ht="15" hidden="false" customHeight="false" outlineLevel="0" collapsed="false">
      <c r="A30" s="12" t="str">
        <f aca="false">IF($L30="","",INDEX(Population!$B$2:$B$1092,$L30)&amp;"")</f>
        <v/>
      </c>
      <c r="B30" s="12" t="str">
        <f aca="false">IF($L30="","",INDEX(Population!$C$2:$C$1092,$L30)&amp;"")</f>
        <v/>
      </c>
      <c r="C30" s="12" t="str">
        <f aca="false">IF($L30="","",INDEX(Population!$D$2:$D$1092,$L30)&amp;"")</f>
        <v/>
      </c>
      <c r="D30" s="12" t="str">
        <f aca="false">IF($L30="","",INDEX(Population!$E$2:$E$1092,$L30))</f>
        <v>OUR INDUSTRIAL COMPANY</v>
      </c>
      <c r="E30" s="12" t="str">
        <f aca="false">IF($L30="","",INDEX(Population!$F$2:$F$1092,$L30))</f>
        <v>Party-wise closing balance (Opening 0.00; Debit 26,055.76; Credit 6,655.26)</v>
      </c>
      <c r="F30" s="16" t="n">
        <f aca="false">IF($L30="","",INDEX(Population!$L$2:$L$1092,$L30))</f>
        <v>19400.5</v>
      </c>
      <c r="G30" s="16" t="n">
        <f aca="false">IF($L30="","",INDEX(Population!$M$2:$M$1092,$L30))</f>
        <v>19400.5</v>
      </c>
      <c r="H30" s="15" t="n">
        <f aca="false">IF($L30="","",Summary!$C$5)</f>
        <v>10000</v>
      </c>
      <c r="I30" s="12" t="str">
        <f aca="false">IF($L30="","","Above Materiality")</f>
        <v>Above Materiality</v>
      </c>
      <c r="J30" s="12" t="str">
        <f aca="false">IF($L30="","",INDEX(Population!$N$2:$N$1092,$L30))</f>
        <v>Accounts Receivable</v>
      </c>
      <c r="K30" s="12" t="str">
        <f aca="false">IF($L30="","",INDEX(Population!$G$2:$G$1092,$L30)&amp;" / row "&amp;INDEX(Population!$H$2:$H$1092,$L30))</f>
        <v>AR file / row 324</v>
      </c>
      <c r="L30" s="26" t="n">
        <f aca="false">IFERROR(MATCH("Population 1|A|"&amp;ROWS($L$5:L30),Population!$U$2:$U$1092,0),"")</f>
        <v>30</v>
      </c>
    </row>
    <row r="31" customFormat="false" ht="15" hidden="false" customHeight="false" outlineLevel="0" collapsed="false">
      <c r="A31" s="12" t="str">
        <f aca="false">IF($L31="","",INDEX(Population!$B$2:$B$1092,$L31)&amp;"")</f>
        <v/>
      </c>
      <c r="B31" s="12" t="str">
        <f aca="false">IF($L31="","",INDEX(Population!$C$2:$C$1092,$L31)&amp;"")</f>
        <v/>
      </c>
      <c r="C31" s="12" t="str">
        <f aca="false">IF($L31="","",INDEX(Population!$D$2:$D$1092,$L31)&amp;"")</f>
        <v/>
      </c>
      <c r="D31" s="12" t="str">
        <f aca="false">IF($L31="","",INDEX(Population!$E$2:$E$1092,$L31))</f>
        <v>HIGHNESS DEVELOPMENT WORKSHOP</v>
      </c>
      <c r="E31" s="12" t="str">
        <f aca="false">IF($L31="","",INDEX(Population!$F$2:$F$1092,$L31))</f>
        <v>Party-wise closing balance (Opening 12,962.73; Debit 78,010.25; Credit 72,118.00)</v>
      </c>
      <c r="F31" s="16" t="n">
        <f aca="false">IF($L31="","",INDEX(Population!$L$2:$L$1092,$L31))</f>
        <v>18854.98</v>
      </c>
      <c r="G31" s="16" t="n">
        <f aca="false">IF($L31="","",INDEX(Population!$M$2:$M$1092,$L31))</f>
        <v>18854.98</v>
      </c>
      <c r="H31" s="15" t="n">
        <f aca="false">IF($L31="","",Summary!$C$5)</f>
        <v>10000</v>
      </c>
      <c r="I31" s="12" t="str">
        <f aca="false">IF($L31="","","Above Materiality")</f>
        <v>Above Materiality</v>
      </c>
      <c r="J31" s="12" t="str">
        <f aca="false">IF($L31="","",INDEX(Population!$N$2:$N$1092,$L31))</f>
        <v>Accounts Receivable</v>
      </c>
      <c r="K31" s="12" t="str">
        <f aca="false">IF($L31="","",INDEX(Population!$G$2:$G$1092,$L31)&amp;" / row "&amp;INDEX(Population!$H$2:$H$1092,$L31))</f>
        <v>AR file / row 35</v>
      </c>
      <c r="L31" s="26" t="n">
        <f aca="false">IFERROR(MATCH("Population 1|A|"&amp;ROWS($L$5:L31),Population!$U$2:$U$1092,0),"")</f>
        <v>31</v>
      </c>
    </row>
    <row r="32" customFormat="false" ht="15" hidden="false" customHeight="false" outlineLevel="0" collapsed="false">
      <c r="A32" s="12" t="str">
        <f aca="false">IF($L32="","",INDEX(Population!$B$2:$B$1092,$L32)&amp;"")</f>
        <v/>
      </c>
      <c r="B32" s="12" t="str">
        <f aca="false">IF($L32="","",INDEX(Population!$C$2:$C$1092,$L32)&amp;"")</f>
        <v/>
      </c>
      <c r="C32" s="12" t="str">
        <f aca="false">IF($L32="","",INDEX(Population!$D$2:$D$1092,$L32)&amp;"")</f>
        <v/>
      </c>
      <c r="D32" s="12" t="str">
        <f aca="false">IF($L32="","",INDEX(Population!$E$2:$E$1092,$L32))</f>
        <v>WORLD FAFA TRADING CO.</v>
      </c>
      <c r="E32" s="12" t="str">
        <f aca="false">IF($L32="","",INDEX(Population!$F$2:$F$1092,$L32))</f>
        <v>Party-wise closing balance (Opening 18,594.03; Debit 39,290.64; Credit 39,774.00)</v>
      </c>
      <c r="F32" s="16" t="n">
        <f aca="false">IF($L32="","",INDEX(Population!$L$2:$L$1092,$L32))</f>
        <v>18110.67</v>
      </c>
      <c r="G32" s="16" t="n">
        <f aca="false">IF($L32="","",INDEX(Population!$M$2:$M$1092,$L32))</f>
        <v>18110.67</v>
      </c>
      <c r="H32" s="15" t="n">
        <f aca="false">IF($L32="","",Summary!$C$5)</f>
        <v>10000</v>
      </c>
      <c r="I32" s="12" t="str">
        <f aca="false">IF($L32="","","Above Materiality")</f>
        <v>Above Materiality</v>
      </c>
      <c r="J32" s="12" t="str">
        <f aca="false">IF($L32="","",INDEX(Population!$N$2:$N$1092,$L32))</f>
        <v>Accounts Receivable</v>
      </c>
      <c r="K32" s="12" t="str">
        <f aca="false">IF($L32="","",INDEX(Population!$G$2:$G$1092,$L32)&amp;" / row "&amp;INDEX(Population!$H$2:$H$1092,$L32))</f>
        <v>AR file / row 31</v>
      </c>
      <c r="L32" s="26" t="n">
        <f aca="false">IFERROR(MATCH("Population 1|A|"&amp;ROWS($L$5:L32),Population!$U$2:$U$1092,0),"")</f>
        <v>32</v>
      </c>
    </row>
    <row r="33" customFormat="false" ht="15" hidden="false" customHeight="false" outlineLevel="0" collapsed="false">
      <c r="A33" s="12" t="str">
        <f aca="false">IF($L33="","",INDEX(Population!$B$2:$B$1092,$L33)&amp;"")</f>
        <v/>
      </c>
      <c r="B33" s="12" t="str">
        <f aca="false">IF($L33="","",INDEX(Population!$C$2:$C$1092,$L33)&amp;"")</f>
        <v/>
      </c>
      <c r="C33" s="12" t="str">
        <f aca="false">IF($L33="","",INDEX(Population!$D$2:$D$1092,$L33)&amp;"")</f>
        <v/>
      </c>
      <c r="D33" s="12" t="str">
        <f aca="false">IF($L33="","",INDEX(Population!$E$2:$E$1092,$L33))</f>
        <v>ZRAR SIGN</v>
      </c>
      <c r="E33" s="12" t="str">
        <f aca="false">IF($L33="","",INDEX(Population!$F$2:$F$1092,$L33))</f>
        <v>Party-wise closing balance (Opening 5,650.45; Debit 144,481.41; Credit 132,246.85)</v>
      </c>
      <c r="F33" s="16" t="n">
        <f aca="false">IF($L33="","",INDEX(Population!$L$2:$L$1092,$L33))</f>
        <v>17885.01</v>
      </c>
      <c r="G33" s="16" t="n">
        <f aca="false">IF($L33="","",INDEX(Population!$M$2:$M$1092,$L33))</f>
        <v>17885.01</v>
      </c>
      <c r="H33" s="15" t="n">
        <f aca="false">IF($L33="","",Summary!$C$5)</f>
        <v>10000</v>
      </c>
      <c r="I33" s="12" t="str">
        <f aca="false">IF($L33="","","Above Materiality")</f>
        <v>Above Materiality</v>
      </c>
      <c r="J33" s="12" t="str">
        <f aca="false">IF($L33="","",INDEX(Population!$N$2:$N$1092,$L33))</f>
        <v>Accounts Receivable</v>
      </c>
      <c r="K33" s="12" t="str">
        <f aca="false">IF($L33="","",INDEX(Population!$G$2:$G$1092,$L33)&amp;" / row "&amp;INDEX(Population!$H$2:$H$1092,$L33))</f>
        <v>AR file / row 34</v>
      </c>
      <c r="L33" s="26" t="n">
        <f aca="false">IFERROR(MATCH("Population 1|A|"&amp;ROWS($L$5:L33),Population!$U$2:$U$1092,0),"")</f>
        <v>33</v>
      </c>
    </row>
    <row r="34" customFormat="false" ht="15" hidden="false" customHeight="false" outlineLevel="0" collapsed="false">
      <c r="A34" s="12" t="str">
        <f aca="false">IF($L34="","",INDEX(Population!$B$2:$B$1092,$L34)&amp;"")</f>
        <v/>
      </c>
      <c r="B34" s="12" t="str">
        <f aca="false">IF($L34="","",INDEX(Population!$C$2:$C$1092,$L34)&amp;"")</f>
        <v/>
      </c>
      <c r="C34" s="12" t="str">
        <f aca="false">IF($L34="","",INDEX(Population!$D$2:$D$1092,$L34)&amp;"")</f>
        <v/>
      </c>
      <c r="D34" s="12" t="str">
        <f aca="false">IF($L34="","",INDEX(Population!$E$2:$E$1092,$L34))</f>
        <v>KOMBAN-WILD ELEPHANT COMPANY LIMITED ONE PERSON</v>
      </c>
      <c r="E34" s="12" t="str">
        <f aca="false">IF($L34="","",INDEX(Population!$F$2:$F$1092,$L34))</f>
        <v>Party-wise closing balance (Opening 4,611.50; Debit 42,364.85; Credit 30,713.05)</v>
      </c>
      <c r="F34" s="16" t="n">
        <f aca="false">IF($L34="","",INDEX(Population!$L$2:$L$1092,$L34))</f>
        <v>16263.3</v>
      </c>
      <c r="G34" s="16" t="n">
        <f aca="false">IF($L34="","",INDEX(Population!$M$2:$M$1092,$L34))</f>
        <v>16263.3</v>
      </c>
      <c r="H34" s="15" t="n">
        <f aca="false">IF($L34="","",Summary!$C$5)</f>
        <v>10000</v>
      </c>
      <c r="I34" s="12" t="str">
        <f aca="false">IF($L34="","","Above Materiality")</f>
        <v>Above Materiality</v>
      </c>
      <c r="J34" s="12" t="str">
        <f aca="false">IF($L34="","",INDEX(Population!$N$2:$N$1092,$L34))</f>
        <v>Accounts Receivable</v>
      </c>
      <c r="K34" s="12" t="str">
        <f aca="false">IF($L34="","",INDEX(Population!$G$2:$G$1092,$L34)&amp;" / row "&amp;INDEX(Population!$H$2:$H$1092,$L34))</f>
        <v>AR file / row 210</v>
      </c>
      <c r="L34" s="26" t="n">
        <f aca="false">IFERROR(MATCH("Population 1|A|"&amp;ROWS($L$5:L34),Population!$U$2:$U$1092,0),"")</f>
        <v>34</v>
      </c>
    </row>
    <row r="35" customFormat="false" ht="15" hidden="false" customHeight="false" outlineLevel="0" collapsed="false">
      <c r="A35" s="12" t="str">
        <f aca="false">IF($L35="","",INDEX(Population!$B$2:$B$1092,$L35)&amp;"")</f>
        <v/>
      </c>
      <c r="B35" s="12" t="str">
        <f aca="false">IF($L35="","",INDEX(Population!$C$2:$C$1092,$L35)&amp;"")</f>
        <v/>
      </c>
      <c r="C35" s="12" t="str">
        <f aca="false">IF($L35="","",INDEX(Population!$D$2:$D$1092,$L35)&amp;"")</f>
        <v/>
      </c>
      <c r="D35" s="12" t="str">
        <f aca="false">IF($L35="","",INDEX(Population!$E$2:$E$1092,$L35))</f>
        <v>INDUSTRIAL FABRICATION FACTORY</v>
      </c>
      <c r="E35" s="12" t="str">
        <f aca="false">IF($L35="","",INDEX(Population!$F$2:$F$1092,$L35))</f>
        <v>Party-wise closing balance (Opening 0.00; Debit 0.00; Credit 14,817.00)</v>
      </c>
      <c r="F35" s="16" t="n">
        <f aca="false">IF($L35="","",INDEX(Population!$L$2:$L$1092,$L35))</f>
        <v>-14817</v>
      </c>
      <c r="G35" s="16" t="n">
        <f aca="false">IF($L35="","",INDEX(Population!$M$2:$M$1092,$L35))</f>
        <v>14817</v>
      </c>
      <c r="H35" s="15" t="n">
        <f aca="false">IF($L35="","",Summary!$C$5)</f>
        <v>10000</v>
      </c>
      <c r="I35" s="12" t="str">
        <f aca="false">IF($L35="","","Above Materiality")</f>
        <v>Above Materiality</v>
      </c>
      <c r="J35" s="12" t="str">
        <f aca="false">IF($L35="","",INDEX(Population!$N$2:$N$1092,$L35))</f>
        <v>Customer Advances</v>
      </c>
      <c r="K35" s="12" t="str">
        <f aca="false">IF($L35="","",INDEX(Population!$G$2:$G$1092,$L35)&amp;" / row "&amp;INDEX(Population!$H$2:$H$1092,$L35))</f>
        <v>AR file / row 188</v>
      </c>
      <c r="L35" s="26" t="n">
        <f aca="false">IFERROR(MATCH("Population 1|A|"&amp;ROWS($L$5:L35),Population!$U$2:$U$1092,0),"")</f>
        <v>35</v>
      </c>
    </row>
    <row r="36" customFormat="false" ht="15" hidden="false" customHeight="false" outlineLevel="0" collapsed="false">
      <c r="A36" s="12" t="str">
        <f aca="false">IF($L36="","",INDEX(Population!$B$2:$B$1092,$L36)&amp;"")</f>
        <v/>
      </c>
      <c r="B36" s="12" t="str">
        <f aca="false">IF($L36="","",INDEX(Population!$C$2:$C$1092,$L36)&amp;"")</f>
        <v/>
      </c>
      <c r="C36" s="12" t="str">
        <f aca="false">IF($L36="","",INDEX(Population!$D$2:$D$1092,$L36)&amp;"")</f>
        <v/>
      </c>
      <c r="D36" s="12" t="str">
        <f aca="false">IF($L36="","",INDEX(Population!$E$2:$E$1092,$L36))</f>
        <v>GULF GRACE ENGINEERING</v>
      </c>
      <c r="E36" s="12" t="str">
        <f aca="false">IF($L36="","",INDEX(Population!$F$2:$F$1092,$L36))</f>
        <v>Party-wise closing balance (Opening 35,898.48; Debit 52,724.05; Credit 73,845.50)</v>
      </c>
      <c r="F36" s="16" t="n">
        <f aca="false">IF($L36="","",INDEX(Population!$L$2:$L$1092,$L36))</f>
        <v>14777.03</v>
      </c>
      <c r="G36" s="16" t="n">
        <f aca="false">IF($L36="","",INDEX(Population!$M$2:$M$1092,$L36))</f>
        <v>14777.03</v>
      </c>
      <c r="H36" s="15" t="n">
        <f aca="false">IF($L36="","",Summary!$C$5)</f>
        <v>10000</v>
      </c>
      <c r="I36" s="12" t="str">
        <f aca="false">IF($L36="","","Above Materiality")</f>
        <v>Above Materiality</v>
      </c>
      <c r="J36" s="12" t="str">
        <f aca="false">IF($L36="","",INDEX(Population!$N$2:$N$1092,$L36))</f>
        <v>Accounts Receivable</v>
      </c>
      <c r="K36" s="12" t="str">
        <f aca="false">IF($L36="","",INDEX(Population!$G$2:$G$1092,$L36)&amp;" / row "&amp;INDEX(Population!$H$2:$H$1092,$L36))</f>
        <v>AR file / row 67</v>
      </c>
      <c r="L36" s="26" t="n">
        <f aca="false">IFERROR(MATCH("Population 1|A|"&amp;ROWS($L$5:L36),Population!$U$2:$U$1092,0),"")</f>
        <v>36</v>
      </c>
    </row>
    <row r="37" customFormat="false" ht="15" hidden="false" customHeight="false" outlineLevel="0" collapsed="false">
      <c r="A37" s="12" t="str">
        <f aca="false">IF($L37="","",INDEX(Population!$B$2:$B$1092,$L37)&amp;"")</f>
        <v/>
      </c>
      <c r="B37" s="12" t="str">
        <f aca="false">IF($L37="","",INDEX(Population!$C$2:$C$1092,$L37)&amp;"")</f>
        <v/>
      </c>
      <c r="C37" s="12" t="str">
        <f aca="false">IF($L37="","",INDEX(Population!$D$2:$D$1092,$L37)&amp;"")</f>
        <v/>
      </c>
      <c r="D37" s="12" t="str">
        <f aca="false">IF($L37="","",INDEX(Population!$E$2:$E$1092,$L37))</f>
        <v>COMPLITION EXCELLENT WORK EST:</v>
      </c>
      <c r="E37" s="12" t="str">
        <f aca="false">IF($L37="","",INDEX(Population!$F$2:$F$1092,$L37))</f>
        <v>Party-wise closing balance (Opening -7,000.00; Debit 31,274.83; Credit 10,000.00)</v>
      </c>
      <c r="F37" s="16" t="n">
        <f aca="false">IF($L37="","",INDEX(Population!$L$2:$L$1092,$L37))</f>
        <v>14274.83</v>
      </c>
      <c r="G37" s="16" t="n">
        <f aca="false">IF($L37="","",INDEX(Population!$M$2:$M$1092,$L37))</f>
        <v>14274.83</v>
      </c>
      <c r="H37" s="15" t="n">
        <f aca="false">IF($L37="","",Summary!$C$5)</f>
        <v>10000</v>
      </c>
      <c r="I37" s="12" t="str">
        <f aca="false">IF($L37="","","Above Materiality")</f>
        <v>Above Materiality</v>
      </c>
      <c r="J37" s="12" t="str">
        <f aca="false">IF($L37="","",INDEX(Population!$N$2:$N$1092,$L37))</f>
        <v>Accounts Receivable</v>
      </c>
      <c r="K37" s="12" t="str">
        <f aca="false">IF($L37="","",INDEX(Population!$G$2:$G$1092,$L37)&amp;" / row "&amp;INDEX(Population!$H$2:$H$1092,$L37))</f>
        <v>AR file / row 87</v>
      </c>
      <c r="L37" s="26" t="n">
        <f aca="false">IFERROR(MATCH("Population 1|A|"&amp;ROWS($L$5:L37),Population!$U$2:$U$1092,0),"")</f>
        <v>37</v>
      </c>
    </row>
    <row r="38" customFormat="false" ht="15" hidden="false" customHeight="false" outlineLevel="0" collapsed="false">
      <c r="A38" s="12" t="str">
        <f aca="false">IF($L38="","",INDEX(Population!$B$2:$B$1092,$L38)&amp;"")</f>
        <v/>
      </c>
      <c r="B38" s="12" t="str">
        <f aca="false">IF($L38="","",INDEX(Population!$C$2:$C$1092,$L38)&amp;"")</f>
        <v/>
      </c>
      <c r="C38" s="12" t="str">
        <f aca="false">IF($L38="","",INDEX(Population!$D$2:$D$1092,$L38)&amp;"")</f>
        <v/>
      </c>
      <c r="D38" s="12" t="str">
        <f aca="false">IF($L38="","",INDEX(Population!$E$2:$E$1092,$L38))</f>
        <v>RSH MATERIAL COMPANY</v>
      </c>
      <c r="E38" s="12" t="str">
        <f aca="false">IF($L38="","",INDEX(Population!$F$2:$F$1092,$L38))</f>
        <v>Party-wise closing balance (Opening -29,890.00; Debit 56,239.30; Credit 13,989.25)</v>
      </c>
      <c r="F38" s="16" t="n">
        <f aca="false">IF($L38="","",INDEX(Population!$L$2:$L$1092,$L38))</f>
        <v>12360.05</v>
      </c>
      <c r="G38" s="16" t="n">
        <f aca="false">IF($L38="","",INDEX(Population!$M$2:$M$1092,$L38))</f>
        <v>12360.05</v>
      </c>
      <c r="H38" s="15" t="n">
        <f aca="false">IF($L38="","",Summary!$C$5)</f>
        <v>10000</v>
      </c>
      <c r="I38" s="12" t="str">
        <f aca="false">IF($L38="","","Above Materiality")</f>
        <v>Above Materiality</v>
      </c>
      <c r="J38" s="12" t="str">
        <f aca="false">IF($L38="","",INDEX(Population!$N$2:$N$1092,$L38))</f>
        <v>Accounts Receivable</v>
      </c>
      <c r="K38" s="12" t="str">
        <f aca="false">IF($L38="","",INDEX(Population!$G$2:$G$1092,$L38)&amp;" / row "&amp;INDEX(Population!$H$2:$H$1092,$L38))</f>
        <v>AR file / row 256</v>
      </c>
      <c r="L38" s="26" t="n">
        <f aca="false">IFERROR(MATCH("Population 1|A|"&amp;ROWS($L$5:L38),Population!$U$2:$U$1092,0),"")</f>
        <v>38</v>
      </c>
    </row>
    <row r="39" customFormat="false" ht="15" hidden="false" customHeight="false" outlineLevel="0" collapsed="false">
      <c r="A39" s="12" t="str">
        <f aca="false">IF($L39="","",INDEX(Population!$B$2:$B$1092,$L39)&amp;"")</f>
        <v/>
      </c>
      <c r="B39" s="12" t="str">
        <f aca="false">IF($L39="","",INDEX(Population!$C$2:$C$1092,$L39)&amp;"")</f>
        <v/>
      </c>
      <c r="C39" s="12" t="str">
        <f aca="false">IF($L39="","",INDEX(Population!$D$2:$D$1092,$L39)&amp;"")</f>
        <v/>
      </c>
      <c r="D39" s="12" t="str">
        <f aca="false">IF($L39="","",INDEX(Population!$E$2:$E$1092,$L39))</f>
        <v>BROOQ AL KHALEEJ GENERAL CONTRACTING COMPANY IS A ONE-PERSON LIMITED LIABILITY C</v>
      </c>
      <c r="E39" s="12" t="str">
        <f aca="false">IF($L39="","",INDEX(Population!$F$2:$F$1092,$L39))</f>
        <v>Party-wise closing balance (Opening 0.00; Debit 26,239.55; Credit 14,103.60)</v>
      </c>
      <c r="F39" s="16" t="n">
        <f aca="false">IF($L39="","",INDEX(Population!$L$2:$L$1092,$L39))</f>
        <v>12135.95</v>
      </c>
      <c r="G39" s="16" t="n">
        <f aca="false">IF($L39="","",INDEX(Population!$M$2:$M$1092,$L39))</f>
        <v>12135.95</v>
      </c>
      <c r="H39" s="15" t="n">
        <f aca="false">IF($L39="","",Summary!$C$5)</f>
        <v>10000</v>
      </c>
      <c r="I39" s="12" t="str">
        <f aca="false">IF($L39="","","Above Materiality")</f>
        <v>Above Materiality</v>
      </c>
      <c r="J39" s="12" t="str">
        <f aca="false">IF($L39="","",INDEX(Population!$N$2:$N$1092,$L39))</f>
        <v>Accounts Receivable</v>
      </c>
      <c r="K39" s="12" t="str">
        <f aca="false">IF($L39="","",INDEX(Population!$G$2:$G$1092,$L39)&amp;" / row "&amp;INDEX(Population!$H$2:$H$1092,$L39))</f>
        <v>AR file / row 456</v>
      </c>
      <c r="L39" s="26" t="n">
        <f aca="false">IFERROR(MATCH("Population 1|A|"&amp;ROWS($L$5:L39),Population!$U$2:$U$1092,0),"")</f>
        <v>39</v>
      </c>
    </row>
    <row r="40" customFormat="false" ht="15" hidden="false" customHeight="false" outlineLevel="0" collapsed="false">
      <c r="A40" s="12" t="str">
        <f aca="false">IF($L40="","",INDEX(Population!$B$2:$B$1092,$L40)&amp;"")</f>
        <v/>
      </c>
      <c r="B40" s="12" t="str">
        <f aca="false">IF($L40="","",INDEX(Population!$C$2:$C$1092,$L40)&amp;"")</f>
        <v/>
      </c>
      <c r="C40" s="12" t="str">
        <f aca="false">IF($L40="","",INDEX(Population!$D$2:$D$1092,$L40)&amp;"")</f>
        <v/>
      </c>
      <c r="D40" s="12" t="str">
        <f aca="false">IF($L40="","",INDEX(Population!$E$2:$E$1092,$L40))</f>
        <v>TRI-ATOMIC ELECTRICAL TRAD EST:</v>
      </c>
      <c r="E40" s="12" t="str">
        <f aca="false">IF($L40="","",INDEX(Population!$F$2:$F$1092,$L40))</f>
        <v>Party-wise closing balance (Opening 0.00; Debit 25,650.18; Credit 15,000.00)</v>
      </c>
      <c r="F40" s="16" t="n">
        <f aca="false">IF($L40="","",INDEX(Population!$L$2:$L$1092,$L40))</f>
        <v>10650.18</v>
      </c>
      <c r="G40" s="16" t="n">
        <f aca="false">IF($L40="","",INDEX(Population!$M$2:$M$1092,$L40))</f>
        <v>10650.18</v>
      </c>
      <c r="H40" s="15" t="n">
        <f aca="false">IF($L40="","",Summary!$C$5)</f>
        <v>10000</v>
      </c>
      <c r="I40" s="12" t="str">
        <f aca="false">IF($L40="","","Above Materiality")</f>
        <v>Above Materiality</v>
      </c>
      <c r="J40" s="12" t="str">
        <f aca="false">IF($L40="","",INDEX(Population!$N$2:$N$1092,$L40))</f>
        <v>Accounts Receivable</v>
      </c>
      <c r="K40" s="12" t="str">
        <f aca="false">IF($L40="","",INDEX(Population!$G$2:$G$1092,$L40)&amp;" / row "&amp;INDEX(Population!$H$2:$H$1092,$L40))</f>
        <v>AR file / row 239</v>
      </c>
      <c r="L40" s="26" t="n">
        <f aca="false">IFERROR(MATCH("Population 1|A|"&amp;ROWS($L$5:L40),Population!$U$2:$U$1092,0),"")</f>
        <v>40</v>
      </c>
    </row>
    <row r="41" customFormat="false" ht="15" hidden="false" customHeight="false" outlineLevel="0" collapsed="false">
      <c r="A41" s="12" t="str">
        <f aca="false">IF($L41="","",INDEX(Population!$B$2:$B$1092,$L41)&amp;"")</f>
        <v/>
      </c>
      <c r="B41" s="12" t="str">
        <f aca="false">IF($L41="","",INDEX(Population!$C$2:$C$1092,$L41)&amp;"")</f>
        <v/>
      </c>
      <c r="C41" s="12" t="str">
        <f aca="false">IF($L41="","",INDEX(Population!$D$2:$D$1092,$L41)&amp;"")</f>
        <v/>
      </c>
      <c r="D41" s="12" t="str">
        <f aca="false">IF($L41="","",INDEX(Population!$E$2:$E$1092,$L41))</f>
        <v>SALMAN BIN SALE STEEL PRODUCT COMPANY</v>
      </c>
      <c r="E41" s="12" t="str">
        <f aca="false">IF($L41="","",INDEX(Population!$F$2:$F$1092,$L41))</f>
        <v>Party-wise closing balance (Opening 12,764.10; Debit 40,727.25; Credit 42,965.15)</v>
      </c>
      <c r="F41" s="16" t="n">
        <f aca="false">IF($L41="","",INDEX(Population!$L$2:$L$1092,$L41))</f>
        <v>10526.2</v>
      </c>
      <c r="G41" s="16" t="n">
        <f aca="false">IF($L41="","",INDEX(Population!$M$2:$M$1092,$L41))</f>
        <v>10526.2</v>
      </c>
      <c r="H41" s="15" t="n">
        <f aca="false">IF($L41="","",Summary!$C$5)</f>
        <v>10000</v>
      </c>
      <c r="I41" s="12" t="str">
        <f aca="false">IF($L41="","","Above Materiality")</f>
        <v>Above Materiality</v>
      </c>
      <c r="J41" s="12" t="str">
        <f aca="false">IF($L41="","",INDEX(Population!$N$2:$N$1092,$L41))</f>
        <v>Accounts Receivable</v>
      </c>
      <c r="K41" s="12" t="str">
        <f aca="false">IF($L41="","",INDEX(Population!$G$2:$G$1092,$L41)&amp;" / row "&amp;INDEX(Population!$H$2:$H$1092,$L41))</f>
        <v>AR file / row 158</v>
      </c>
      <c r="L41" s="26" t="n">
        <f aca="false">IFERROR(MATCH("Population 1|A|"&amp;ROWS($L$5:L41),Population!$U$2:$U$1092,0),"")</f>
        <v>41</v>
      </c>
    </row>
    <row r="42" customFormat="false" ht="15" hidden="false" customHeight="false" outlineLevel="0" collapsed="false">
      <c r="A42" s="12" t="str">
        <f aca="false">IF($L42="","",INDEX(Population!$B$2:$B$1092,$L42)&amp;"")</f>
        <v/>
      </c>
      <c r="B42" s="12" t="str">
        <f aca="false">IF($L42="","",INDEX(Population!$C$2:$C$1092,$L42)&amp;"")</f>
        <v/>
      </c>
      <c r="C42" s="12" t="str">
        <f aca="false">IF($L42="","",INDEX(Population!$D$2:$D$1092,$L42)&amp;"")</f>
        <v/>
      </c>
      <c r="D42" s="12" t="str">
        <f aca="false">IF($L42="","",INDEX(Population!$E$2:$E$1092,$L42))</f>
        <v/>
      </c>
      <c r="E42" s="12" t="str">
        <f aca="false">IF($L42="","",INDEX(Population!$F$2:$F$1092,$L42))</f>
        <v/>
      </c>
      <c r="F42" s="16" t="str">
        <f aca="false">IF($L42="","",INDEX(Population!$L$2:$L$1092,$L42))</f>
        <v/>
      </c>
      <c r="G42" s="16" t="str">
        <f aca="false">IF($L42="","",INDEX(Population!$M$2:$M$1092,$L42))</f>
        <v/>
      </c>
      <c r="H42" s="15" t="str">
        <f aca="false">IF($L42="","",Summary!$C$5)</f>
        <v/>
      </c>
      <c r="I42" s="12" t="str">
        <f aca="false">IF($L42="","","Above Materiality")</f>
        <v/>
      </c>
      <c r="J42" s="12" t="str">
        <f aca="false">IF($L42="","",INDEX(Population!$N$2:$N$1092,$L42))</f>
        <v/>
      </c>
      <c r="K42" s="12" t="str">
        <f aca="false">IF($L42="","",INDEX(Population!$G$2:$G$1092,$L42)&amp;" / row "&amp;INDEX(Population!$H$2:$H$1092,$L42))</f>
        <v/>
      </c>
      <c r="L42" s="26" t="str">
        <f aca="false">IFERROR(MATCH("Population 1|A|"&amp;ROWS($L$5:L42),Population!$U$2:$U$1092,0),"")</f>
        <v/>
      </c>
    </row>
    <row r="43" customFormat="false" ht="15" hidden="false" customHeight="false" outlineLevel="0" collapsed="false">
      <c r="A43" s="12" t="str">
        <f aca="false">IF($L43="","",INDEX(Population!$B$2:$B$1092,$L43)&amp;"")</f>
        <v/>
      </c>
      <c r="B43" s="12" t="str">
        <f aca="false">IF($L43="","",INDEX(Population!$C$2:$C$1092,$L43)&amp;"")</f>
        <v/>
      </c>
      <c r="C43" s="12" t="str">
        <f aca="false">IF($L43="","",INDEX(Population!$D$2:$D$1092,$L43)&amp;"")</f>
        <v/>
      </c>
      <c r="D43" s="12" t="str">
        <f aca="false">IF($L43="","",INDEX(Population!$E$2:$E$1092,$L43))</f>
        <v/>
      </c>
      <c r="E43" s="12" t="str">
        <f aca="false">IF($L43="","",INDEX(Population!$F$2:$F$1092,$L43))</f>
        <v/>
      </c>
      <c r="F43" s="16" t="str">
        <f aca="false">IF($L43="","",INDEX(Population!$L$2:$L$1092,$L43))</f>
        <v/>
      </c>
      <c r="G43" s="16" t="str">
        <f aca="false">IF($L43="","",INDEX(Population!$M$2:$M$1092,$L43))</f>
        <v/>
      </c>
      <c r="H43" s="15" t="str">
        <f aca="false">IF($L43="","",Summary!$C$5)</f>
        <v/>
      </c>
      <c r="I43" s="12" t="str">
        <f aca="false">IF($L43="","","Above Materiality")</f>
        <v/>
      </c>
      <c r="J43" s="12" t="str">
        <f aca="false">IF($L43="","",INDEX(Population!$N$2:$N$1092,$L43))</f>
        <v/>
      </c>
      <c r="K43" s="12" t="str">
        <f aca="false">IF($L43="","",INDEX(Population!$G$2:$G$1092,$L43)&amp;" / row "&amp;INDEX(Population!$H$2:$H$1092,$L43))</f>
        <v/>
      </c>
      <c r="L43" s="26" t="str">
        <f aca="false">IFERROR(MATCH("Population 1|A|"&amp;ROWS($L$5:L43),Population!$U$2:$U$1092,0),"")</f>
        <v/>
      </c>
    </row>
    <row r="44" customFormat="false" ht="15" hidden="false" customHeight="false" outlineLevel="0" collapsed="false">
      <c r="A44" s="12" t="str">
        <f aca="false">IF($L44="","",INDEX(Population!$B$2:$B$1092,$L44)&amp;"")</f>
        <v/>
      </c>
      <c r="B44" s="12" t="str">
        <f aca="false">IF($L44="","",INDEX(Population!$C$2:$C$1092,$L44)&amp;"")</f>
        <v/>
      </c>
      <c r="C44" s="12" t="str">
        <f aca="false">IF($L44="","",INDEX(Population!$D$2:$D$1092,$L44)&amp;"")</f>
        <v/>
      </c>
      <c r="D44" s="12" t="str">
        <f aca="false">IF($L44="","",INDEX(Population!$E$2:$E$1092,$L44))</f>
        <v/>
      </c>
      <c r="E44" s="12" t="str">
        <f aca="false">IF($L44="","",INDEX(Population!$F$2:$F$1092,$L44))</f>
        <v/>
      </c>
      <c r="F44" s="16" t="str">
        <f aca="false">IF($L44="","",INDEX(Population!$L$2:$L$1092,$L44))</f>
        <v/>
      </c>
      <c r="G44" s="16" t="str">
        <f aca="false">IF($L44="","",INDEX(Population!$M$2:$M$1092,$L44))</f>
        <v/>
      </c>
      <c r="H44" s="15" t="str">
        <f aca="false">IF($L44="","",Summary!$C$5)</f>
        <v/>
      </c>
      <c r="I44" s="12" t="str">
        <f aca="false">IF($L44="","","Above Materiality")</f>
        <v/>
      </c>
      <c r="J44" s="12" t="str">
        <f aca="false">IF($L44="","",INDEX(Population!$N$2:$N$1092,$L44))</f>
        <v/>
      </c>
      <c r="K44" s="12" t="str">
        <f aca="false">IF($L44="","",INDEX(Population!$G$2:$G$1092,$L44)&amp;" / row "&amp;INDEX(Population!$H$2:$H$1092,$L44))</f>
        <v/>
      </c>
      <c r="L44" s="26" t="str">
        <f aca="false">IFERROR(MATCH("Population 1|A|"&amp;ROWS($L$5:L44),Population!$U$2:$U$1092,0),"")</f>
        <v/>
      </c>
    </row>
    <row r="45" customFormat="false" ht="15" hidden="false" customHeight="false" outlineLevel="0" collapsed="false">
      <c r="A45" s="12" t="str">
        <f aca="false">IF($L45="","",INDEX(Population!$B$2:$B$1092,$L45)&amp;"")</f>
        <v/>
      </c>
      <c r="B45" s="12" t="str">
        <f aca="false">IF($L45="","",INDEX(Population!$C$2:$C$1092,$L45)&amp;"")</f>
        <v/>
      </c>
      <c r="C45" s="12" t="str">
        <f aca="false">IF($L45="","",INDEX(Population!$D$2:$D$1092,$L45)&amp;"")</f>
        <v/>
      </c>
      <c r="D45" s="12" t="str">
        <f aca="false">IF($L45="","",INDEX(Population!$E$2:$E$1092,$L45))</f>
        <v/>
      </c>
      <c r="E45" s="12" t="str">
        <f aca="false">IF($L45="","",INDEX(Population!$F$2:$F$1092,$L45))</f>
        <v/>
      </c>
      <c r="F45" s="16" t="str">
        <f aca="false">IF($L45="","",INDEX(Population!$L$2:$L$1092,$L45))</f>
        <v/>
      </c>
      <c r="G45" s="16" t="str">
        <f aca="false">IF($L45="","",INDEX(Population!$M$2:$M$1092,$L45))</f>
        <v/>
      </c>
      <c r="H45" s="15" t="str">
        <f aca="false">IF($L45="","",Summary!$C$5)</f>
        <v/>
      </c>
      <c r="I45" s="12" t="str">
        <f aca="false">IF($L45="","","Above Materiality")</f>
        <v/>
      </c>
      <c r="J45" s="12" t="str">
        <f aca="false">IF($L45="","",INDEX(Population!$N$2:$N$1092,$L45))</f>
        <v/>
      </c>
      <c r="K45" s="12" t="str">
        <f aca="false">IF($L45="","",INDEX(Population!$G$2:$G$1092,$L45)&amp;" / row "&amp;INDEX(Population!$H$2:$H$1092,$L45))</f>
        <v/>
      </c>
      <c r="L45" s="26" t="str">
        <f aca="false">IFERROR(MATCH("Population 1|A|"&amp;ROWS($L$5:L45),Population!$U$2:$U$1092,0),"")</f>
        <v/>
      </c>
    </row>
    <row r="46" customFormat="false" ht="15" hidden="false" customHeight="false" outlineLevel="0" collapsed="false">
      <c r="A46" s="12" t="str">
        <f aca="false">IF($L46="","",INDEX(Population!$B$2:$B$1092,$L46)&amp;"")</f>
        <v/>
      </c>
      <c r="B46" s="12" t="str">
        <f aca="false">IF($L46="","",INDEX(Population!$C$2:$C$1092,$L46)&amp;"")</f>
        <v/>
      </c>
      <c r="C46" s="12" t="str">
        <f aca="false">IF($L46="","",INDEX(Population!$D$2:$D$1092,$L46)&amp;"")</f>
        <v/>
      </c>
      <c r="D46" s="12" t="str">
        <f aca="false">IF($L46="","",INDEX(Population!$E$2:$E$1092,$L46))</f>
        <v/>
      </c>
      <c r="E46" s="12" t="str">
        <f aca="false">IF($L46="","",INDEX(Population!$F$2:$F$1092,$L46))</f>
        <v/>
      </c>
      <c r="F46" s="16" t="str">
        <f aca="false">IF($L46="","",INDEX(Population!$L$2:$L$1092,$L46))</f>
        <v/>
      </c>
      <c r="G46" s="16" t="str">
        <f aca="false">IF($L46="","",INDEX(Population!$M$2:$M$1092,$L46))</f>
        <v/>
      </c>
      <c r="H46" s="15" t="str">
        <f aca="false">IF($L46="","",Summary!$C$5)</f>
        <v/>
      </c>
      <c r="I46" s="12" t="str">
        <f aca="false">IF($L46="","","Above Materiality")</f>
        <v/>
      </c>
      <c r="J46" s="12" t="str">
        <f aca="false">IF($L46="","",INDEX(Population!$N$2:$N$1092,$L46))</f>
        <v/>
      </c>
      <c r="K46" s="12" t="str">
        <f aca="false">IF($L46="","",INDEX(Population!$G$2:$G$1092,$L46)&amp;" / row "&amp;INDEX(Population!$H$2:$H$1092,$L46))</f>
        <v/>
      </c>
      <c r="L46" s="26" t="str">
        <f aca="false">IFERROR(MATCH("Population 1|A|"&amp;ROWS($L$5:L46),Population!$U$2:$U$1092,0),"")</f>
        <v/>
      </c>
    </row>
    <row r="47" customFormat="false" ht="15" hidden="false" customHeight="false" outlineLevel="0" collapsed="false">
      <c r="A47" s="12" t="str">
        <f aca="false">IF($L47="","",INDEX(Population!$B$2:$B$1092,$L47)&amp;"")</f>
        <v/>
      </c>
      <c r="B47" s="12" t="str">
        <f aca="false">IF($L47="","",INDEX(Population!$C$2:$C$1092,$L47)&amp;"")</f>
        <v/>
      </c>
      <c r="C47" s="12" t="str">
        <f aca="false">IF($L47="","",INDEX(Population!$D$2:$D$1092,$L47)&amp;"")</f>
        <v/>
      </c>
      <c r="D47" s="12" t="str">
        <f aca="false">IF($L47="","",INDEX(Population!$E$2:$E$1092,$L47))</f>
        <v/>
      </c>
      <c r="E47" s="12" t="str">
        <f aca="false">IF($L47="","",INDEX(Population!$F$2:$F$1092,$L47))</f>
        <v/>
      </c>
      <c r="F47" s="16" t="str">
        <f aca="false">IF($L47="","",INDEX(Population!$L$2:$L$1092,$L47))</f>
        <v/>
      </c>
      <c r="G47" s="16" t="str">
        <f aca="false">IF($L47="","",INDEX(Population!$M$2:$M$1092,$L47))</f>
        <v/>
      </c>
      <c r="H47" s="15" t="str">
        <f aca="false">IF($L47="","",Summary!$C$5)</f>
        <v/>
      </c>
      <c r="I47" s="12" t="str">
        <f aca="false">IF($L47="","","Above Materiality")</f>
        <v/>
      </c>
      <c r="J47" s="12" t="str">
        <f aca="false">IF($L47="","",INDEX(Population!$N$2:$N$1092,$L47))</f>
        <v/>
      </c>
      <c r="K47" s="12" t="str">
        <f aca="false">IF($L47="","",INDEX(Population!$G$2:$G$1092,$L47)&amp;" / row "&amp;INDEX(Population!$H$2:$H$1092,$L47))</f>
        <v/>
      </c>
      <c r="L47" s="26" t="str">
        <f aca="false">IFERROR(MATCH("Population 1|A|"&amp;ROWS($L$5:L47),Population!$U$2:$U$1092,0),"")</f>
        <v/>
      </c>
    </row>
    <row r="48" customFormat="false" ht="15" hidden="false" customHeight="false" outlineLevel="0" collapsed="false">
      <c r="A48" s="12" t="str">
        <f aca="false">IF($L48="","",INDEX(Population!$B$2:$B$1092,$L48)&amp;"")</f>
        <v/>
      </c>
      <c r="B48" s="12" t="str">
        <f aca="false">IF($L48="","",INDEX(Population!$C$2:$C$1092,$L48)&amp;"")</f>
        <v/>
      </c>
      <c r="C48" s="12" t="str">
        <f aca="false">IF($L48="","",INDEX(Population!$D$2:$D$1092,$L48)&amp;"")</f>
        <v/>
      </c>
      <c r="D48" s="12" t="str">
        <f aca="false">IF($L48="","",INDEX(Population!$E$2:$E$1092,$L48))</f>
        <v/>
      </c>
      <c r="E48" s="12" t="str">
        <f aca="false">IF($L48="","",INDEX(Population!$F$2:$F$1092,$L48))</f>
        <v/>
      </c>
      <c r="F48" s="16" t="str">
        <f aca="false">IF($L48="","",INDEX(Population!$L$2:$L$1092,$L48))</f>
        <v/>
      </c>
      <c r="G48" s="16" t="str">
        <f aca="false">IF($L48="","",INDEX(Population!$M$2:$M$1092,$L48))</f>
        <v/>
      </c>
      <c r="H48" s="15" t="str">
        <f aca="false">IF($L48="","",Summary!$C$5)</f>
        <v/>
      </c>
      <c r="I48" s="12" t="str">
        <f aca="false">IF($L48="","","Above Materiality")</f>
        <v/>
      </c>
      <c r="J48" s="12" t="str">
        <f aca="false">IF($L48="","",INDEX(Population!$N$2:$N$1092,$L48))</f>
        <v/>
      </c>
      <c r="K48" s="12" t="str">
        <f aca="false">IF($L48="","",INDEX(Population!$G$2:$G$1092,$L48)&amp;" / row "&amp;INDEX(Population!$H$2:$H$1092,$L48))</f>
        <v/>
      </c>
      <c r="L48" s="26" t="str">
        <f aca="false">IFERROR(MATCH("Population 1|A|"&amp;ROWS($L$5:L48),Population!$U$2:$U$1092,0),"")</f>
        <v/>
      </c>
    </row>
    <row r="49" customFormat="false" ht="15" hidden="false" customHeight="false" outlineLevel="0" collapsed="false">
      <c r="A49" s="12" t="str">
        <f aca="false">IF($L49="","",INDEX(Population!$B$2:$B$1092,$L49)&amp;"")</f>
        <v/>
      </c>
      <c r="B49" s="12" t="str">
        <f aca="false">IF($L49="","",INDEX(Population!$C$2:$C$1092,$L49)&amp;"")</f>
        <v/>
      </c>
      <c r="C49" s="12" t="str">
        <f aca="false">IF($L49="","",INDEX(Population!$D$2:$D$1092,$L49)&amp;"")</f>
        <v/>
      </c>
      <c r="D49" s="12" t="str">
        <f aca="false">IF($L49="","",INDEX(Population!$E$2:$E$1092,$L49))</f>
        <v/>
      </c>
      <c r="E49" s="12" t="str">
        <f aca="false">IF($L49="","",INDEX(Population!$F$2:$F$1092,$L49))</f>
        <v/>
      </c>
      <c r="F49" s="16" t="str">
        <f aca="false">IF($L49="","",INDEX(Population!$L$2:$L$1092,$L49))</f>
        <v/>
      </c>
      <c r="G49" s="16" t="str">
        <f aca="false">IF($L49="","",INDEX(Population!$M$2:$M$1092,$L49))</f>
        <v/>
      </c>
      <c r="H49" s="15" t="str">
        <f aca="false">IF($L49="","",Summary!$C$5)</f>
        <v/>
      </c>
      <c r="I49" s="12" t="str">
        <f aca="false">IF($L49="","","Above Materiality")</f>
        <v/>
      </c>
      <c r="J49" s="12" t="str">
        <f aca="false">IF($L49="","",INDEX(Population!$N$2:$N$1092,$L49))</f>
        <v/>
      </c>
      <c r="K49" s="12" t="str">
        <f aca="false">IF($L49="","",INDEX(Population!$G$2:$G$1092,$L49)&amp;" / row "&amp;INDEX(Population!$H$2:$H$1092,$L49))</f>
        <v/>
      </c>
      <c r="L49" s="26" t="str">
        <f aca="false">IFERROR(MATCH("Population 1|A|"&amp;ROWS($L$5:L49),Population!$U$2:$U$1092,0),"")</f>
        <v/>
      </c>
    </row>
    <row r="50" customFormat="false" ht="15" hidden="false" customHeight="false" outlineLevel="0" collapsed="false">
      <c r="A50" s="12" t="str">
        <f aca="false">IF($L50="","",INDEX(Population!$B$2:$B$1092,$L50)&amp;"")</f>
        <v/>
      </c>
      <c r="B50" s="12" t="str">
        <f aca="false">IF($L50="","",INDEX(Population!$C$2:$C$1092,$L50)&amp;"")</f>
        <v/>
      </c>
      <c r="C50" s="12" t="str">
        <f aca="false">IF($L50="","",INDEX(Population!$D$2:$D$1092,$L50)&amp;"")</f>
        <v/>
      </c>
      <c r="D50" s="12" t="str">
        <f aca="false">IF($L50="","",INDEX(Population!$E$2:$E$1092,$L50))</f>
        <v/>
      </c>
      <c r="E50" s="12" t="str">
        <f aca="false">IF($L50="","",INDEX(Population!$F$2:$F$1092,$L50))</f>
        <v/>
      </c>
      <c r="F50" s="16" t="str">
        <f aca="false">IF($L50="","",INDEX(Population!$L$2:$L$1092,$L50))</f>
        <v/>
      </c>
      <c r="G50" s="16" t="str">
        <f aca="false">IF($L50="","",INDEX(Population!$M$2:$M$1092,$L50))</f>
        <v/>
      </c>
      <c r="H50" s="15" t="str">
        <f aca="false">IF($L50="","",Summary!$C$5)</f>
        <v/>
      </c>
      <c r="I50" s="12" t="str">
        <f aca="false">IF($L50="","","Above Materiality")</f>
        <v/>
      </c>
      <c r="J50" s="12" t="str">
        <f aca="false">IF($L50="","",INDEX(Population!$N$2:$N$1092,$L50))</f>
        <v/>
      </c>
      <c r="K50" s="12" t="str">
        <f aca="false">IF($L50="","",INDEX(Population!$G$2:$G$1092,$L50)&amp;" / row "&amp;INDEX(Population!$H$2:$H$1092,$L50))</f>
        <v/>
      </c>
      <c r="L50" s="26" t="str">
        <f aca="false">IFERROR(MATCH("Population 1|A|"&amp;ROWS($L$5:L50),Population!$U$2:$U$1092,0),"")</f>
        <v/>
      </c>
    </row>
    <row r="51" customFormat="false" ht="15" hidden="false" customHeight="false" outlineLevel="0" collapsed="false">
      <c r="A51" s="12" t="str">
        <f aca="false">IF($L51="","",INDEX(Population!$B$2:$B$1092,$L51)&amp;"")</f>
        <v/>
      </c>
      <c r="B51" s="12" t="str">
        <f aca="false">IF($L51="","",INDEX(Population!$C$2:$C$1092,$L51)&amp;"")</f>
        <v/>
      </c>
      <c r="C51" s="12" t="str">
        <f aca="false">IF($L51="","",INDEX(Population!$D$2:$D$1092,$L51)&amp;"")</f>
        <v/>
      </c>
      <c r="D51" s="12" t="str">
        <f aca="false">IF($L51="","",INDEX(Population!$E$2:$E$1092,$L51))</f>
        <v/>
      </c>
      <c r="E51" s="12" t="str">
        <f aca="false">IF($L51="","",INDEX(Population!$F$2:$F$1092,$L51))</f>
        <v/>
      </c>
      <c r="F51" s="16" t="str">
        <f aca="false">IF($L51="","",INDEX(Population!$L$2:$L$1092,$L51))</f>
        <v/>
      </c>
      <c r="G51" s="16" t="str">
        <f aca="false">IF($L51="","",INDEX(Population!$M$2:$M$1092,$L51))</f>
        <v/>
      </c>
      <c r="H51" s="15" t="str">
        <f aca="false">IF($L51="","",Summary!$C$5)</f>
        <v/>
      </c>
      <c r="I51" s="12" t="str">
        <f aca="false">IF($L51="","","Above Materiality")</f>
        <v/>
      </c>
      <c r="J51" s="12" t="str">
        <f aca="false">IF($L51="","",INDEX(Population!$N$2:$N$1092,$L51))</f>
        <v/>
      </c>
      <c r="K51" s="12" t="str">
        <f aca="false">IF($L51="","",INDEX(Population!$G$2:$G$1092,$L51)&amp;" / row "&amp;INDEX(Population!$H$2:$H$1092,$L51))</f>
        <v/>
      </c>
      <c r="L51" s="26" t="str">
        <f aca="false">IFERROR(MATCH("Population 1|A|"&amp;ROWS($L$5:L51),Population!$U$2:$U$1092,0),"")</f>
        <v/>
      </c>
    </row>
    <row r="52" customFormat="false" ht="15" hidden="false" customHeight="false" outlineLevel="0" collapsed="false">
      <c r="A52" s="12" t="str">
        <f aca="false">IF($L52="","",INDEX(Population!$B$2:$B$1092,$L52)&amp;"")</f>
        <v/>
      </c>
      <c r="B52" s="12" t="str">
        <f aca="false">IF($L52="","",INDEX(Population!$C$2:$C$1092,$L52)&amp;"")</f>
        <v/>
      </c>
      <c r="C52" s="12" t="str">
        <f aca="false">IF($L52="","",INDEX(Population!$D$2:$D$1092,$L52)&amp;"")</f>
        <v/>
      </c>
      <c r="D52" s="12" t="str">
        <f aca="false">IF($L52="","",INDEX(Population!$E$2:$E$1092,$L52))</f>
        <v/>
      </c>
      <c r="E52" s="12" t="str">
        <f aca="false">IF($L52="","",INDEX(Population!$F$2:$F$1092,$L52))</f>
        <v/>
      </c>
      <c r="F52" s="16" t="str">
        <f aca="false">IF($L52="","",INDEX(Population!$L$2:$L$1092,$L52))</f>
        <v/>
      </c>
      <c r="G52" s="16" t="str">
        <f aca="false">IF($L52="","",INDEX(Population!$M$2:$M$1092,$L52))</f>
        <v/>
      </c>
      <c r="H52" s="15" t="str">
        <f aca="false">IF($L52="","",Summary!$C$5)</f>
        <v/>
      </c>
      <c r="I52" s="12" t="str">
        <f aca="false">IF($L52="","","Above Materiality")</f>
        <v/>
      </c>
      <c r="J52" s="12" t="str">
        <f aca="false">IF($L52="","",INDEX(Population!$N$2:$N$1092,$L52))</f>
        <v/>
      </c>
      <c r="K52" s="12" t="str">
        <f aca="false">IF($L52="","",INDEX(Population!$G$2:$G$1092,$L52)&amp;" / row "&amp;INDEX(Population!$H$2:$H$1092,$L52))</f>
        <v/>
      </c>
      <c r="L52" s="26" t="str">
        <f aca="false">IFERROR(MATCH("Population 1|A|"&amp;ROWS($L$5:L52),Population!$U$2:$U$1092,0),"")</f>
        <v/>
      </c>
    </row>
    <row r="53" customFormat="false" ht="15" hidden="false" customHeight="false" outlineLevel="0" collapsed="false">
      <c r="A53" s="12" t="str">
        <f aca="false">IF($L53="","",INDEX(Population!$B$2:$B$1092,$L53)&amp;"")</f>
        <v/>
      </c>
      <c r="B53" s="12" t="str">
        <f aca="false">IF($L53="","",INDEX(Population!$C$2:$C$1092,$L53)&amp;"")</f>
        <v/>
      </c>
      <c r="C53" s="12" t="str">
        <f aca="false">IF($L53="","",INDEX(Population!$D$2:$D$1092,$L53)&amp;"")</f>
        <v/>
      </c>
      <c r="D53" s="12" t="str">
        <f aca="false">IF($L53="","",INDEX(Population!$E$2:$E$1092,$L53))</f>
        <v/>
      </c>
      <c r="E53" s="12" t="str">
        <f aca="false">IF($L53="","",INDEX(Population!$F$2:$F$1092,$L53))</f>
        <v/>
      </c>
      <c r="F53" s="16" t="str">
        <f aca="false">IF($L53="","",INDEX(Population!$L$2:$L$1092,$L53))</f>
        <v/>
      </c>
      <c r="G53" s="16" t="str">
        <f aca="false">IF($L53="","",INDEX(Population!$M$2:$M$1092,$L53))</f>
        <v/>
      </c>
      <c r="H53" s="15" t="str">
        <f aca="false">IF($L53="","",Summary!$C$5)</f>
        <v/>
      </c>
      <c r="I53" s="12" t="str">
        <f aca="false">IF($L53="","","Above Materiality")</f>
        <v/>
      </c>
      <c r="J53" s="12" t="str">
        <f aca="false">IF($L53="","",INDEX(Population!$N$2:$N$1092,$L53))</f>
        <v/>
      </c>
      <c r="K53" s="12" t="str">
        <f aca="false">IF($L53="","",INDEX(Population!$G$2:$G$1092,$L53)&amp;" / row "&amp;INDEX(Population!$H$2:$H$1092,$L53))</f>
        <v/>
      </c>
      <c r="L53" s="26" t="str">
        <f aca="false">IFERROR(MATCH("Population 1|A|"&amp;ROWS($L$5:L53),Population!$U$2:$U$1092,0),"")</f>
        <v/>
      </c>
    </row>
    <row r="54" customFormat="false" ht="15" hidden="false" customHeight="false" outlineLevel="0" collapsed="false">
      <c r="A54" s="12" t="str">
        <f aca="false">IF($L54="","",INDEX(Population!$B$2:$B$1092,$L54)&amp;"")</f>
        <v/>
      </c>
      <c r="B54" s="12" t="str">
        <f aca="false">IF($L54="","",INDEX(Population!$C$2:$C$1092,$L54)&amp;"")</f>
        <v/>
      </c>
      <c r="C54" s="12" t="str">
        <f aca="false">IF($L54="","",INDEX(Population!$D$2:$D$1092,$L54)&amp;"")</f>
        <v/>
      </c>
      <c r="D54" s="12" t="str">
        <f aca="false">IF($L54="","",INDEX(Population!$E$2:$E$1092,$L54))</f>
        <v/>
      </c>
      <c r="E54" s="12" t="str">
        <f aca="false">IF($L54="","",INDEX(Population!$F$2:$F$1092,$L54))</f>
        <v/>
      </c>
      <c r="F54" s="16" t="str">
        <f aca="false">IF($L54="","",INDEX(Population!$L$2:$L$1092,$L54))</f>
        <v/>
      </c>
      <c r="G54" s="16" t="str">
        <f aca="false">IF($L54="","",INDEX(Population!$M$2:$M$1092,$L54))</f>
        <v/>
      </c>
      <c r="H54" s="15" t="str">
        <f aca="false">IF($L54="","",Summary!$C$5)</f>
        <v/>
      </c>
      <c r="I54" s="12" t="str">
        <f aca="false">IF($L54="","","Above Materiality")</f>
        <v/>
      </c>
      <c r="J54" s="12" t="str">
        <f aca="false">IF($L54="","",INDEX(Population!$N$2:$N$1092,$L54))</f>
        <v/>
      </c>
      <c r="K54" s="12" t="str">
        <f aca="false">IF($L54="","",INDEX(Population!$G$2:$G$1092,$L54)&amp;" / row "&amp;INDEX(Population!$H$2:$H$1092,$L54))</f>
        <v/>
      </c>
      <c r="L54" s="26" t="str">
        <f aca="false">IFERROR(MATCH("Population 1|A|"&amp;ROWS($L$5:L54),Population!$U$2:$U$1092,0),"")</f>
        <v/>
      </c>
    </row>
    <row r="55" customFormat="false" ht="15" hidden="false" customHeight="false" outlineLevel="0" collapsed="false">
      <c r="A55" s="12" t="str">
        <f aca="false">IF($L55="","",INDEX(Population!$B$2:$B$1092,$L55)&amp;"")</f>
        <v/>
      </c>
      <c r="B55" s="12" t="str">
        <f aca="false">IF($L55="","",INDEX(Population!$C$2:$C$1092,$L55)&amp;"")</f>
        <v/>
      </c>
      <c r="C55" s="12" t="str">
        <f aca="false">IF($L55="","",INDEX(Population!$D$2:$D$1092,$L55)&amp;"")</f>
        <v/>
      </c>
      <c r="D55" s="12" t="str">
        <f aca="false">IF($L55="","",INDEX(Population!$E$2:$E$1092,$L55))</f>
        <v/>
      </c>
      <c r="E55" s="12" t="str">
        <f aca="false">IF($L55="","",INDEX(Population!$F$2:$F$1092,$L55))</f>
        <v/>
      </c>
      <c r="F55" s="16" t="str">
        <f aca="false">IF($L55="","",INDEX(Population!$L$2:$L$1092,$L55))</f>
        <v/>
      </c>
      <c r="G55" s="16" t="str">
        <f aca="false">IF($L55="","",INDEX(Population!$M$2:$M$1092,$L55))</f>
        <v/>
      </c>
      <c r="H55" s="15" t="str">
        <f aca="false">IF($L55="","",Summary!$C$5)</f>
        <v/>
      </c>
      <c r="I55" s="12" t="str">
        <f aca="false">IF($L55="","","Above Materiality")</f>
        <v/>
      </c>
      <c r="J55" s="12" t="str">
        <f aca="false">IF($L55="","",INDEX(Population!$N$2:$N$1092,$L55))</f>
        <v/>
      </c>
      <c r="K55" s="12" t="str">
        <f aca="false">IF($L55="","",INDEX(Population!$G$2:$G$1092,$L55)&amp;" / row "&amp;INDEX(Population!$H$2:$H$1092,$L55))</f>
        <v/>
      </c>
      <c r="L55" s="26" t="str">
        <f aca="false">IFERROR(MATCH("Population 1|A|"&amp;ROWS($L$5:L55),Population!$U$2:$U$1092,0),"")</f>
        <v/>
      </c>
    </row>
    <row r="56" customFormat="false" ht="15" hidden="false" customHeight="false" outlineLevel="0" collapsed="false">
      <c r="A56" s="12" t="str">
        <f aca="false">IF($L56="","",INDEX(Population!$B$2:$B$1092,$L56)&amp;"")</f>
        <v/>
      </c>
      <c r="B56" s="12" t="str">
        <f aca="false">IF($L56="","",INDEX(Population!$C$2:$C$1092,$L56)&amp;"")</f>
        <v/>
      </c>
      <c r="C56" s="12" t="str">
        <f aca="false">IF($L56="","",INDEX(Population!$D$2:$D$1092,$L56)&amp;"")</f>
        <v/>
      </c>
      <c r="D56" s="12" t="str">
        <f aca="false">IF($L56="","",INDEX(Population!$E$2:$E$1092,$L56))</f>
        <v/>
      </c>
      <c r="E56" s="12" t="str">
        <f aca="false">IF($L56="","",INDEX(Population!$F$2:$F$1092,$L56))</f>
        <v/>
      </c>
      <c r="F56" s="16" t="str">
        <f aca="false">IF($L56="","",INDEX(Population!$L$2:$L$1092,$L56))</f>
        <v/>
      </c>
      <c r="G56" s="16" t="str">
        <f aca="false">IF($L56="","",INDEX(Population!$M$2:$M$1092,$L56))</f>
        <v/>
      </c>
      <c r="H56" s="15" t="str">
        <f aca="false">IF($L56="","",Summary!$C$5)</f>
        <v/>
      </c>
      <c r="I56" s="12" t="str">
        <f aca="false">IF($L56="","","Above Materiality")</f>
        <v/>
      </c>
      <c r="J56" s="12" t="str">
        <f aca="false">IF($L56="","",INDEX(Population!$N$2:$N$1092,$L56))</f>
        <v/>
      </c>
      <c r="K56" s="12" t="str">
        <f aca="false">IF($L56="","",INDEX(Population!$G$2:$G$1092,$L56)&amp;" / row "&amp;INDEX(Population!$H$2:$H$1092,$L56))</f>
        <v/>
      </c>
      <c r="L56" s="26" t="str">
        <f aca="false">IFERROR(MATCH("Population 1|A|"&amp;ROWS($L$5:L56),Population!$U$2:$U$1092,0),"")</f>
        <v/>
      </c>
    </row>
    <row r="57" customFormat="false" ht="15" hidden="false" customHeight="false" outlineLevel="0" collapsed="false">
      <c r="A57" s="12" t="str">
        <f aca="false">IF($L57="","",INDEX(Population!$B$2:$B$1092,$L57)&amp;"")</f>
        <v/>
      </c>
      <c r="B57" s="12" t="str">
        <f aca="false">IF($L57="","",INDEX(Population!$C$2:$C$1092,$L57)&amp;"")</f>
        <v/>
      </c>
      <c r="C57" s="12" t="str">
        <f aca="false">IF($L57="","",INDEX(Population!$D$2:$D$1092,$L57)&amp;"")</f>
        <v/>
      </c>
      <c r="D57" s="12" t="str">
        <f aca="false">IF($L57="","",INDEX(Population!$E$2:$E$1092,$L57))</f>
        <v/>
      </c>
      <c r="E57" s="12" t="str">
        <f aca="false">IF($L57="","",INDEX(Population!$F$2:$F$1092,$L57))</f>
        <v/>
      </c>
      <c r="F57" s="16" t="str">
        <f aca="false">IF($L57="","",INDEX(Population!$L$2:$L$1092,$L57))</f>
        <v/>
      </c>
      <c r="G57" s="16" t="str">
        <f aca="false">IF($L57="","",INDEX(Population!$M$2:$M$1092,$L57))</f>
        <v/>
      </c>
      <c r="H57" s="15" t="str">
        <f aca="false">IF($L57="","",Summary!$C$5)</f>
        <v/>
      </c>
      <c r="I57" s="12" t="str">
        <f aca="false">IF($L57="","","Above Materiality")</f>
        <v/>
      </c>
      <c r="J57" s="12" t="str">
        <f aca="false">IF($L57="","",INDEX(Population!$N$2:$N$1092,$L57))</f>
        <v/>
      </c>
      <c r="K57" s="12" t="str">
        <f aca="false">IF($L57="","",INDEX(Population!$G$2:$G$1092,$L57)&amp;" / row "&amp;INDEX(Population!$H$2:$H$1092,$L57))</f>
        <v/>
      </c>
      <c r="L57" s="26" t="str">
        <f aca="false">IFERROR(MATCH("Population 1|A|"&amp;ROWS($L$5:L57),Population!$U$2:$U$1092,0),"")</f>
        <v/>
      </c>
    </row>
    <row r="58" customFormat="false" ht="15" hidden="false" customHeight="false" outlineLevel="0" collapsed="false">
      <c r="A58" s="12" t="str">
        <f aca="false">IF($L58="","",INDEX(Population!$B$2:$B$1092,$L58)&amp;"")</f>
        <v/>
      </c>
      <c r="B58" s="12" t="str">
        <f aca="false">IF($L58="","",INDEX(Population!$C$2:$C$1092,$L58)&amp;"")</f>
        <v/>
      </c>
      <c r="C58" s="12" t="str">
        <f aca="false">IF($L58="","",INDEX(Population!$D$2:$D$1092,$L58)&amp;"")</f>
        <v/>
      </c>
      <c r="D58" s="12" t="str">
        <f aca="false">IF($L58="","",INDEX(Population!$E$2:$E$1092,$L58))</f>
        <v/>
      </c>
      <c r="E58" s="12" t="str">
        <f aca="false">IF($L58="","",INDEX(Population!$F$2:$F$1092,$L58))</f>
        <v/>
      </c>
      <c r="F58" s="16" t="str">
        <f aca="false">IF($L58="","",INDEX(Population!$L$2:$L$1092,$L58))</f>
        <v/>
      </c>
      <c r="G58" s="16" t="str">
        <f aca="false">IF($L58="","",INDEX(Population!$M$2:$M$1092,$L58))</f>
        <v/>
      </c>
      <c r="H58" s="15" t="str">
        <f aca="false">IF($L58="","",Summary!$C$5)</f>
        <v/>
      </c>
      <c r="I58" s="12" t="str">
        <f aca="false">IF($L58="","","Above Materiality")</f>
        <v/>
      </c>
      <c r="J58" s="12" t="str">
        <f aca="false">IF($L58="","",INDEX(Population!$N$2:$N$1092,$L58))</f>
        <v/>
      </c>
      <c r="K58" s="12" t="str">
        <f aca="false">IF($L58="","",INDEX(Population!$G$2:$G$1092,$L58)&amp;" / row "&amp;INDEX(Population!$H$2:$H$1092,$L58))</f>
        <v/>
      </c>
      <c r="L58" s="26" t="str">
        <f aca="false">IFERROR(MATCH("Population 1|A|"&amp;ROWS($L$5:L58),Population!$U$2:$U$1092,0),"")</f>
        <v/>
      </c>
    </row>
    <row r="59" customFormat="false" ht="15" hidden="false" customHeight="false" outlineLevel="0" collapsed="false">
      <c r="A59" s="12" t="str">
        <f aca="false">IF($L59="","",INDEX(Population!$B$2:$B$1092,$L59)&amp;"")</f>
        <v/>
      </c>
      <c r="B59" s="12" t="str">
        <f aca="false">IF($L59="","",INDEX(Population!$C$2:$C$1092,$L59)&amp;"")</f>
        <v/>
      </c>
      <c r="C59" s="12" t="str">
        <f aca="false">IF($L59="","",INDEX(Population!$D$2:$D$1092,$L59)&amp;"")</f>
        <v/>
      </c>
      <c r="D59" s="12" t="str">
        <f aca="false">IF($L59="","",INDEX(Population!$E$2:$E$1092,$L59))</f>
        <v/>
      </c>
      <c r="E59" s="12" t="str">
        <f aca="false">IF($L59="","",INDEX(Population!$F$2:$F$1092,$L59))</f>
        <v/>
      </c>
      <c r="F59" s="16" t="str">
        <f aca="false">IF($L59="","",INDEX(Population!$L$2:$L$1092,$L59))</f>
        <v/>
      </c>
      <c r="G59" s="16" t="str">
        <f aca="false">IF($L59="","",INDEX(Population!$M$2:$M$1092,$L59))</f>
        <v/>
      </c>
      <c r="H59" s="15" t="str">
        <f aca="false">IF($L59="","",Summary!$C$5)</f>
        <v/>
      </c>
      <c r="I59" s="12" t="str">
        <f aca="false">IF($L59="","","Above Materiality")</f>
        <v/>
      </c>
      <c r="J59" s="12" t="str">
        <f aca="false">IF($L59="","",INDEX(Population!$N$2:$N$1092,$L59))</f>
        <v/>
      </c>
      <c r="K59" s="12" t="str">
        <f aca="false">IF($L59="","",INDEX(Population!$G$2:$G$1092,$L59)&amp;" / row "&amp;INDEX(Population!$H$2:$H$1092,$L59))</f>
        <v/>
      </c>
      <c r="L59" s="26" t="str">
        <f aca="false">IFERROR(MATCH("Population 1|A|"&amp;ROWS($L$5:L59),Population!$U$2:$U$1092,0),"")</f>
        <v/>
      </c>
    </row>
    <row r="60" customFormat="false" ht="15" hidden="false" customHeight="false" outlineLevel="0" collapsed="false">
      <c r="A60" s="12" t="str">
        <f aca="false">IF($L60="","",INDEX(Population!$B$2:$B$1092,$L60)&amp;"")</f>
        <v/>
      </c>
      <c r="B60" s="12" t="str">
        <f aca="false">IF($L60="","",INDEX(Population!$C$2:$C$1092,$L60)&amp;"")</f>
        <v/>
      </c>
      <c r="C60" s="12" t="str">
        <f aca="false">IF($L60="","",INDEX(Population!$D$2:$D$1092,$L60)&amp;"")</f>
        <v/>
      </c>
      <c r="D60" s="12" t="str">
        <f aca="false">IF($L60="","",INDEX(Population!$E$2:$E$1092,$L60))</f>
        <v/>
      </c>
      <c r="E60" s="12" t="str">
        <f aca="false">IF($L60="","",INDEX(Population!$F$2:$F$1092,$L60))</f>
        <v/>
      </c>
      <c r="F60" s="16" t="str">
        <f aca="false">IF($L60="","",INDEX(Population!$L$2:$L$1092,$L60))</f>
        <v/>
      </c>
      <c r="G60" s="16" t="str">
        <f aca="false">IF($L60="","",INDEX(Population!$M$2:$M$1092,$L60))</f>
        <v/>
      </c>
      <c r="H60" s="15" t="str">
        <f aca="false">IF($L60="","",Summary!$C$5)</f>
        <v/>
      </c>
      <c r="I60" s="12" t="str">
        <f aca="false">IF($L60="","","Above Materiality")</f>
        <v/>
      </c>
      <c r="J60" s="12" t="str">
        <f aca="false">IF($L60="","",INDEX(Population!$N$2:$N$1092,$L60))</f>
        <v/>
      </c>
      <c r="K60" s="12" t="str">
        <f aca="false">IF($L60="","",INDEX(Population!$G$2:$G$1092,$L60)&amp;" / row "&amp;INDEX(Population!$H$2:$H$1092,$L60))</f>
        <v/>
      </c>
      <c r="L60" s="26" t="str">
        <f aca="false">IFERROR(MATCH("Population 1|A|"&amp;ROWS($L$5:L60),Population!$U$2:$U$1092,0),"")</f>
        <v/>
      </c>
    </row>
    <row r="61" customFormat="false" ht="15" hidden="false" customHeight="false" outlineLevel="0" collapsed="false">
      <c r="A61" s="12" t="str">
        <f aca="false">IF($L61="","",INDEX(Population!$B$2:$B$1092,$L61)&amp;"")</f>
        <v/>
      </c>
      <c r="B61" s="12" t="str">
        <f aca="false">IF($L61="","",INDEX(Population!$C$2:$C$1092,$L61)&amp;"")</f>
        <v/>
      </c>
      <c r="C61" s="12" t="str">
        <f aca="false">IF($L61="","",INDEX(Population!$D$2:$D$1092,$L61)&amp;"")</f>
        <v/>
      </c>
      <c r="D61" s="12" t="str">
        <f aca="false">IF($L61="","",INDEX(Population!$E$2:$E$1092,$L61))</f>
        <v/>
      </c>
      <c r="E61" s="12" t="str">
        <f aca="false">IF($L61="","",INDEX(Population!$F$2:$F$1092,$L61))</f>
        <v/>
      </c>
      <c r="F61" s="16" t="str">
        <f aca="false">IF($L61="","",INDEX(Population!$L$2:$L$1092,$L61))</f>
        <v/>
      </c>
      <c r="G61" s="16" t="str">
        <f aca="false">IF($L61="","",INDEX(Population!$M$2:$M$1092,$L61))</f>
        <v/>
      </c>
      <c r="H61" s="15" t="str">
        <f aca="false">IF($L61="","",Summary!$C$5)</f>
        <v/>
      </c>
      <c r="I61" s="12" t="str">
        <f aca="false">IF($L61="","","Above Materiality")</f>
        <v/>
      </c>
      <c r="J61" s="12" t="str">
        <f aca="false">IF($L61="","",INDEX(Population!$N$2:$N$1092,$L61))</f>
        <v/>
      </c>
      <c r="K61" s="12" t="str">
        <f aca="false">IF($L61="","",INDEX(Population!$G$2:$G$1092,$L61)&amp;" / row "&amp;INDEX(Population!$H$2:$H$1092,$L61))</f>
        <v/>
      </c>
      <c r="L61" s="26" t="str">
        <f aca="false">IFERROR(MATCH("Population 1|A|"&amp;ROWS($L$5:L61),Population!$U$2:$U$1092,0),"")</f>
        <v/>
      </c>
    </row>
    <row r="62" customFormat="false" ht="15" hidden="false" customHeight="false" outlineLevel="0" collapsed="false">
      <c r="A62" s="12" t="str">
        <f aca="false">IF($L62="","",INDEX(Population!$B$2:$B$1092,$L62)&amp;"")</f>
        <v/>
      </c>
      <c r="B62" s="12" t="str">
        <f aca="false">IF($L62="","",INDEX(Population!$C$2:$C$1092,$L62)&amp;"")</f>
        <v/>
      </c>
      <c r="C62" s="12" t="str">
        <f aca="false">IF($L62="","",INDEX(Population!$D$2:$D$1092,$L62)&amp;"")</f>
        <v/>
      </c>
      <c r="D62" s="12" t="str">
        <f aca="false">IF($L62="","",INDEX(Population!$E$2:$E$1092,$L62))</f>
        <v/>
      </c>
      <c r="E62" s="12" t="str">
        <f aca="false">IF($L62="","",INDEX(Population!$F$2:$F$1092,$L62))</f>
        <v/>
      </c>
      <c r="F62" s="16" t="str">
        <f aca="false">IF($L62="","",INDEX(Population!$L$2:$L$1092,$L62))</f>
        <v/>
      </c>
      <c r="G62" s="16" t="str">
        <f aca="false">IF($L62="","",INDEX(Population!$M$2:$M$1092,$L62))</f>
        <v/>
      </c>
      <c r="H62" s="15" t="str">
        <f aca="false">IF($L62="","",Summary!$C$5)</f>
        <v/>
      </c>
      <c r="I62" s="12" t="str">
        <f aca="false">IF($L62="","","Above Materiality")</f>
        <v/>
      </c>
      <c r="J62" s="12" t="str">
        <f aca="false">IF($L62="","",INDEX(Population!$N$2:$N$1092,$L62))</f>
        <v/>
      </c>
      <c r="K62" s="12" t="str">
        <f aca="false">IF($L62="","",INDEX(Population!$G$2:$G$1092,$L62)&amp;" / row "&amp;INDEX(Population!$H$2:$H$1092,$L62))</f>
        <v/>
      </c>
      <c r="L62" s="26" t="str">
        <f aca="false">IFERROR(MATCH("Population 1|A|"&amp;ROWS($L$5:L62),Population!$U$2:$U$1092,0),"")</f>
        <v/>
      </c>
    </row>
    <row r="63" customFormat="false" ht="15" hidden="false" customHeight="false" outlineLevel="0" collapsed="false">
      <c r="A63" s="12" t="str">
        <f aca="false">IF($L63="","",INDEX(Population!$B$2:$B$1092,$L63)&amp;"")</f>
        <v/>
      </c>
      <c r="B63" s="12" t="str">
        <f aca="false">IF($L63="","",INDEX(Population!$C$2:$C$1092,$L63)&amp;"")</f>
        <v/>
      </c>
      <c r="C63" s="12" t="str">
        <f aca="false">IF($L63="","",INDEX(Population!$D$2:$D$1092,$L63)&amp;"")</f>
        <v/>
      </c>
      <c r="D63" s="12" t="str">
        <f aca="false">IF($L63="","",INDEX(Population!$E$2:$E$1092,$L63))</f>
        <v/>
      </c>
      <c r="E63" s="12" t="str">
        <f aca="false">IF($L63="","",INDEX(Population!$F$2:$F$1092,$L63))</f>
        <v/>
      </c>
      <c r="F63" s="16" t="str">
        <f aca="false">IF($L63="","",INDEX(Population!$L$2:$L$1092,$L63))</f>
        <v/>
      </c>
      <c r="G63" s="16" t="str">
        <f aca="false">IF($L63="","",INDEX(Population!$M$2:$M$1092,$L63))</f>
        <v/>
      </c>
      <c r="H63" s="15" t="str">
        <f aca="false">IF($L63="","",Summary!$C$5)</f>
        <v/>
      </c>
      <c r="I63" s="12" t="str">
        <f aca="false">IF($L63="","","Above Materiality")</f>
        <v/>
      </c>
      <c r="J63" s="12" t="str">
        <f aca="false">IF($L63="","",INDEX(Population!$N$2:$N$1092,$L63))</f>
        <v/>
      </c>
      <c r="K63" s="12" t="str">
        <f aca="false">IF($L63="","",INDEX(Population!$G$2:$G$1092,$L63)&amp;" / row "&amp;INDEX(Population!$H$2:$H$1092,$L63))</f>
        <v/>
      </c>
      <c r="L63" s="26" t="str">
        <f aca="false">IFERROR(MATCH("Population 1|A|"&amp;ROWS($L$5:L63),Population!$U$2:$U$1092,0),"")</f>
        <v/>
      </c>
    </row>
    <row r="64" customFormat="false" ht="15" hidden="false" customHeight="false" outlineLevel="0" collapsed="false">
      <c r="A64" s="12" t="str">
        <f aca="false">IF($L64="","",INDEX(Population!$B$2:$B$1092,$L64)&amp;"")</f>
        <v/>
      </c>
      <c r="B64" s="12" t="str">
        <f aca="false">IF($L64="","",INDEX(Population!$C$2:$C$1092,$L64)&amp;"")</f>
        <v/>
      </c>
      <c r="C64" s="12" t="str">
        <f aca="false">IF($L64="","",INDEX(Population!$D$2:$D$1092,$L64)&amp;"")</f>
        <v/>
      </c>
      <c r="D64" s="12" t="str">
        <f aca="false">IF($L64="","",INDEX(Population!$E$2:$E$1092,$L64))</f>
        <v/>
      </c>
      <c r="E64" s="12" t="str">
        <f aca="false">IF($L64="","",INDEX(Population!$F$2:$F$1092,$L64))</f>
        <v/>
      </c>
      <c r="F64" s="16" t="str">
        <f aca="false">IF($L64="","",INDEX(Population!$L$2:$L$1092,$L64))</f>
        <v/>
      </c>
      <c r="G64" s="16" t="str">
        <f aca="false">IF($L64="","",INDEX(Population!$M$2:$M$1092,$L64))</f>
        <v/>
      </c>
      <c r="H64" s="15" t="str">
        <f aca="false">IF($L64="","",Summary!$C$5)</f>
        <v/>
      </c>
      <c r="I64" s="12" t="str">
        <f aca="false">IF($L64="","","Above Materiality")</f>
        <v/>
      </c>
      <c r="J64" s="12" t="str">
        <f aca="false">IF($L64="","",INDEX(Population!$N$2:$N$1092,$L64))</f>
        <v/>
      </c>
      <c r="K64" s="12" t="str">
        <f aca="false">IF($L64="","",INDEX(Population!$G$2:$G$1092,$L64)&amp;" / row "&amp;INDEX(Population!$H$2:$H$1092,$L64))</f>
        <v/>
      </c>
      <c r="L64" s="26" t="str">
        <f aca="false">IFERROR(MATCH("Population 1|A|"&amp;ROWS($L$5:L64),Population!$U$2:$U$1092,0),"")</f>
        <v/>
      </c>
    </row>
    <row r="65" customFormat="false" ht="15" hidden="false" customHeight="false" outlineLevel="0" collapsed="false">
      <c r="A65" s="12" t="str">
        <f aca="false">IF($L65="","",INDEX(Population!$B$2:$B$1092,$L65)&amp;"")</f>
        <v/>
      </c>
      <c r="B65" s="12" t="str">
        <f aca="false">IF($L65="","",INDEX(Population!$C$2:$C$1092,$L65)&amp;"")</f>
        <v/>
      </c>
      <c r="C65" s="12" t="str">
        <f aca="false">IF($L65="","",INDEX(Population!$D$2:$D$1092,$L65)&amp;"")</f>
        <v/>
      </c>
      <c r="D65" s="12" t="str">
        <f aca="false">IF($L65="","",INDEX(Population!$E$2:$E$1092,$L65))</f>
        <v/>
      </c>
      <c r="E65" s="12" t="str">
        <f aca="false">IF($L65="","",INDEX(Population!$F$2:$F$1092,$L65))</f>
        <v/>
      </c>
      <c r="F65" s="16" t="str">
        <f aca="false">IF($L65="","",INDEX(Population!$L$2:$L$1092,$L65))</f>
        <v/>
      </c>
      <c r="G65" s="16" t="str">
        <f aca="false">IF($L65="","",INDEX(Population!$M$2:$M$1092,$L65))</f>
        <v/>
      </c>
      <c r="H65" s="15" t="str">
        <f aca="false">IF($L65="","",Summary!$C$5)</f>
        <v/>
      </c>
      <c r="I65" s="12" t="str">
        <f aca="false">IF($L65="","","Above Materiality")</f>
        <v/>
      </c>
      <c r="J65" s="12" t="str">
        <f aca="false">IF($L65="","",INDEX(Population!$N$2:$N$1092,$L65))</f>
        <v/>
      </c>
      <c r="K65" s="12" t="str">
        <f aca="false">IF($L65="","",INDEX(Population!$G$2:$G$1092,$L65)&amp;" / row "&amp;INDEX(Population!$H$2:$H$1092,$L65))</f>
        <v/>
      </c>
      <c r="L65" s="26" t="str">
        <f aca="false">IFERROR(MATCH("Population 1|A|"&amp;ROWS($L$5:L65),Population!$U$2:$U$1092,0),"")</f>
        <v/>
      </c>
    </row>
    <row r="66" customFormat="false" ht="15" hidden="false" customHeight="false" outlineLevel="0" collapsed="false">
      <c r="A66" s="12" t="str">
        <f aca="false">IF($L66="","",INDEX(Population!$B$2:$B$1092,$L66)&amp;"")</f>
        <v/>
      </c>
      <c r="B66" s="12" t="str">
        <f aca="false">IF($L66="","",INDEX(Population!$C$2:$C$1092,$L66)&amp;"")</f>
        <v/>
      </c>
      <c r="C66" s="12" t="str">
        <f aca="false">IF($L66="","",INDEX(Population!$D$2:$D$1092,$L66)&amp;"")</f>
        <v/>
      </c>
      <c r="D66" s="12" t="str">
        <f aca="false">IF($L66="","",INDEX(Population!$E$2:$E$1092,$L66))</f>
        <v/>
      </c>
      <c r="E66" s="12" t="str">
        <f aca="false">IF($L66="","",INDEX(Population!$F$2:$F$1092,$L66))</f>
        <v/>
      </c>
      <c r="F66" s="16" t="str">
        <f aca="false">IF($L66="","",INDEX(Population!$L$2:$L$1092,$L66))</f>
        <v/>
      </c>
      <c r="G66" s="16" t="str">
        <f aca="false">IF($L66="","",INDEX(Population!$M$2:$M$1092,$L66))</f>
        <v/>
      </c>
      <c r="H66" s="15" t="str">
        <f aca="false">IF($L66="","",Summary!$C$5)</f>
        <v/>
      </c>
      <c r="I66" s="12" t="str">
        <f aca="false">IF($L66="","","Above Materiality")</f>
        <v/>
      </c>
      <c r="J66" s="12" t="str">
        <f aca="false">IF($L66="","",INDEX(Population!$N$2:$N$1092,$L66))</f>
        <v/>
      </c>
      <c r="K66" s="12" t="str">
        <f aca="false">IF($L66="","",INDEX(Population!$G$2:$G$1092,$L66)&amp;" / row "&amp;INDEX(Population!$H$2:$H$1092,$L66))</f>
        <v/>
      </c>
      <c r="L66" s="26" t="str">
        <f aca="false">IFERROR(MATCH("Population 1|A|"&amp;ROWS($L$5:L66),Population!$U$2:$U$1092,0),"")</f>
        <v/>
      </c>
    </row>
    <row r="67" customFormat="false" ht="15" hidden="false" customHeight="false" outlineLevel="0" collapsed="false">
      <c r="A67" s="12" t="str">
        <f aca="false">IF($L67="","",INDEX(Population!$B$2:$B$1092,$L67)&amp;"")</f>
        <v/>
      </c>
      <c r="B67" s="12" t="str">
        <f aca="false">IF($L67="","",INDEX(Population!$C$2:$C$1092,$L67)&amp;"")</f>
        <v/>
      </c>
      <c r="C67" s="12" t="str">
        <f aca="false">IF($L67="","",INDEX(Population!$D$2:$D$1092,$L67)&amp;"")</f>
        <v/>
      </c>
      <c r="D67" s="12" t="str">
        <f aca="false">IF($L67="","",INDEX(Population!$E$2:$E$1092,$L67))</f>
        <v/>
      </c>
      <c r="E67" s="12" t="str">
        <f aca="false">IF($L67="","",INDEX(Population!$F$2:$F$1092,$L67))</f>
        <v/>
      </c>
      <c r="F67" s="16" t="str">
        <f aca="false">IF($L67="","",INDEX(Population!$L$2:$L$1092,$L67))</f>
        <v/>
      </c>
      <c r="G67" s="16" t="str">
        <f aca="false">IF($L67="","",INDEX(Population!$M$2:$M$1092,$L67))</f>
        <v/>
      </c>
      <c r="H67" s="15" t="str">
        <f aca="false">IF($L67="","",Summary!$C$5)</f>
        <v/>
      </c>
      <c r="I67" s="12" t="str">
        <f aca="false">IF($L67="","","Above Materiality")</f>
        <v/>
      </c>
      <c r="J67" s="12" t="str">
        <f aca="false">IF($L67="","",INDEX(Population!$N$2:$N$1092,$L67))</f>
        <v/>
      </c>
      <c r="K67" s="12" t="str">
        <f aca="false">IF($L67="","",INDEX(Population!$G$2:$G$1092,$L67)&amp;" / row "&amp;INDEX(Population!$H$2:$H$1092,$L67))</f>
        <v/>
      </c>
      <c r="L67" s="26" t="str">
        <f aca="false">IFERROR(MATCH("Population 1|A|"&amp;ROWS($L$5:L67),Population!$U$2:$U$1092,0),"")</f>
        <v/>
      </c>
    </row>
    <row r="68" customFormat="false" ht="15" hidden="false" customHeight="false" outlineLevel="0" collapsed="false">
      <c r="A68" s="12" t="str">
        <f aca="false">IF($L68="","",INDEX(Population!$B$2:$B$1092,$L68)&amp;"")</f>
        <v/>
      </c>
      <c r="B68" s="12" t="str">
        <f aca="false">IF($L68="","",INDEX(Population!$C$2:$C$1092,$L68)&amp;"")</f>
        <v/>
      </c>
      <c r="C68" s="12" t="str">
        <f aca="false">IF($L68="","",INDEX(Population!$D$2:$D$1092,$L68)&amp;"")</f>
        <v/>
      </c>
      <c r="D68" s="12" t="str">
        <f aca="false">IF($L68="","",INDEX(Population!$E$2:$E$1092,$L68))</f>
        <v/>
      </c>
      <c r="E68" s="12" t="str">
        <f aca="false">IF($L68="","",INDEX(Population!$F$2:$F$1092,$L68))</f>
        <v/>
      </c>
      <c r="F68" s="16" t="str">
        <f aca="false">IF($L68="","",INDEX(Population!$L$2:$L$1092,$L68))</f>
        <v/>
      </c>
      <c r="G68" s="16" t="str">
        <f aca="false">IF($L68="","",INDEX(Population!$M$2:$M$1092,$L68))</f>
        <v/>
      </c>
      <c r="H68" s="15" t="str">
        <f aca="false">IF($L68="","",Summary!$C$5)</f>
        <v/>
      </c>
      <c r="I68" s="12" t="str">
        <f aca="false">IF($L68="","","Above Materiality")</f>
        <v/>
      </c>
      <c r="J68" s="12" t="str">
        <f aca="false">IF($L68="","",INDEX(Population!$N$2:$N$1092,$L68))</f>
        <v/>
      </c>
      <c r="K68" s="12" t="str">
        <f aca="false">IF($L68="","",INDEX(Population!$G$2:$G$1092,$L68)&amp;" / row "&amp;INDEX(Population!$H$2:$H$1092,$L68))</f>
        <v/>
      </c>
      <c r="L68" s="26" t="str">
        <f aca="false">IFERROR(MATCH("Population 1|A|"&amp;ROWS($L$5:L68),Population!$U$2:$U$1092,0),"")</f>
        <v/>
      </c>
    </row>
    <row r="69" customFormat="false" ht="15" hidden="false" customHeight="false" outlineLevel="0" collapsed="false">
      <c r="A69" s="12" t="str">
        <f aca="false">IF($L69="","",INDEX(Population!$B$2:$B$1092,$L69)&amp;"")</f>
        <v/>
      </c>
      <c r="B69" s="12" t="str">
        <f aca="false">IF($L69="","",INDEX(Population!$C$2:$C$1092,$L69)&amp;"")</f>
        <v/>
      </c>
      <c r="C69" s="12" t="str">
        <f aca="false">IF($L69="","",INDEX(Population!$D$2:$D$1092,$L69)&amp;"")</f>
        <v/>
      </c>
      <c r="D69" s="12" t="str">
        <f aca="false">IF($L69="","",INDEX(Population!$E$2:$E$1092,$L69))</f>
        <v/>
      </c>
      <c r="E69" s="12" t="str">
        <f aca="false">IF($L69="","",INDEX(Population!$F$2:$F$1092,$L69))</f>
        <v/>
      </c>
      <c r="F69" s="16" t="str">
        <f aca="false">IF($L69="","",INDEX(Population!$L$2:$L$1092,$L69))</f>
        <v/>
      </c>
      <c r="G69" s="16" t="str">
        <f aca="false">IF($L69="","",INDEX(Population!$M$2:$M$1092,$L69))</f>
        <v/>
      </c>
      <c r="H69" s="15" t="str">
        <f aca="false">IF($L69="","",Summary!$C$5)</f>
        <v/>
      </c>
      <c r="I69" s="12" t="str">
        <f aca="false">IF($L69="","","Above Materiality")</f>
        <v/>
      </c>
      <c r="J69" s="12" t="str">
        <f aca="false">IF($L69="","",INDEX(Population!$N$2:$N$1092,$L69))</f>
        <v/>
      </c>
      <c r="K69" s="12" t="str">
        <f aca="false">IF($L69="","",INDEX(Population!$G$2:$G$1092,$L69)&amp;" / row "&amp;INDEX(Population!$H$2:$H$1092,$L69))</f>
        <v/>
      </c>
      <c r="L69" s="26" t="str">
        <f aca="false">IFERROR(MATCH("Population 1|A|"&amp;ROWS($L$5:L69),Population!$U$2:$U$1092,0),"")</f>
        <v/>
      </c>
    </row>
    <row r="70" customFormat="false" ht="15" hidden="false" customHeight="false" outlineLevel="0" collapsed="false">
      <c r="A70" s="12" t="str">
        <f aca="false">IF($L70="","",INDEX(Population!$B$2:$B$1092,$L70)&amp;"")</f>
        <v/>
      </c>
      <c r="B70" s="12" t="str">
        <f aca="false">IF($L70="","",INDEX(Population!$C$2:$C$1092,$L70)&amp;"")</f>
        <v/>
      </c>
      <c r="C70" s="12" t="str">
        <f aca="false">IF($L70="","",INDEX(Population!$D$2:$D$1092,$L70)&amp;"")</f>
        <v/>
      </c>
      <c r="D70" s="12" t="str">
        <f aca="false">IF($L70="","",INDEX(Population!$E$2:$E$1092,$L70))</f>
        <v/>
      </c>
      <c r="E70" s="12" t="str">
        <f aca="false">IF($L70="","",INDEX(Population!$F$2:$F$1092,$L70))</f>
        <v/>
      </c>
      <c r="F70" s="16" t="str">
        <f aca="false">IF($L70="","",INDEX(Population!$L$2:$L$1092,$L70))</f>
        <v/>
      </c>
      <c r="G70" s="16" t="str">
        <f aca="false">IF($L70="","",INDEX(Population!$M$2:$M$1092,$L70))</f>
        <v/>
      </c>
      <c r="H70" s="15" t="str">
        <f aca="false">IF($L70="","",Summary!$C$5)</f>
        <v/>
      </c>
      <c r="I70" s="12" t="str">
        <f aca="false">IF($L70="","","Above Materiality")</f>
        <v/>
      </c>
      <c r="J70" s="12" t="str">
        <f aca="false">IF($L70="","",INDEX(Population!$N$2:$N$1092,$L70))</f>
        <v/>
      </c>
      <c r="K70" s="12" t="str">
        <f aca="false">IF($L70="","",INDEX(Population!$G$2:$G$1092,$L70)&amp;" / row "&amp;INDEX(Population!$H$2:$H$1092,$L70))</f>
        <v/>
      </c>
      <c r="L70" s="26" t="str">
        <f aca="false">IFERROR(MATCH("Population 1|A|"&amp;ROWS($L$5:L70),Population!$U$2:$U$1092,0),"")</f>
        <v/>
      </c>
    </row>
    <row r="71" customFormat="false" ht="15" hidden="false" customHeight="false" outlineLevel="0" collapsed="false">
      <c r="A71" s="12" t="str">
        <f aca="false">IF($L71="","",INDEX(Population!$B$2:$B$1092,$L71)&amp;"")</f>
        <v/>
      </c>
      <c r="B71" s="12" t="str">
        <f aca="false">IF($L71="","",INDEX(Population!$C$2:$C$1092,$L71)&amp;"")</f>
        <v/>
      </c>
      <c r="C71" s="12" t="str">
        <f aca="false">IF($L71="","",INDEX(Population!$D$2:$D$1092,$L71)&amp;"")</f>
        <v/>
      </c>
      <c r="D71" s="12" t="str">
        <f aca="false">IF($L71="","",INDEX(Population!$E$2:$E$1092,$L71))</f>
        <v/>
      </c>
      <c r="E71" s="12" t="str">
        <f aca="false">IF($L71="","",INDEX(Population!$F$2:$F$1092,$L71))</f>
        <v/>
      </c>
      <c r="F71" s="16" t="str">
        <f aca="false">IF($L71="","",INDEX(Population!$L$2:$L$1092,$L71))</f>
        <v/>
      </c>
      <c r="G71" s="16" t="str">
        <f aca="false">IF($L71="","",INDEX(Population!$M$2:$M$1092,$L71))</f>
        <v/>
      </c>
      <c r="H71" s="15" t="str">
        <f aca="false">IF($L71="","",Summary!$C$5)</f>
        <v/>
      </c>
      <c r="I71" s="12" t="str">
        <f aca="false">IF($L71="","","Above Materiality")</f>
        <v/>
      </c>
      <c r="J71" s="12" t="str">
        <f aca="false">IF($L71="","",INDEX(Population!$N$2:$N$1092,$L71))</f>
        <v/>
      </c>
      <c r="K71" s="12" t="str">
        <f aca="false">IF($L71="","",INDEX(Population!$G$2:$G$1092,$L71)&amp;" / row "&amp;INDEX(Population!$H$2:$H$1092,$L71))</f>
        <v/>
      </c>
      <c r="L71" s="26" t="str">
        <f aca="false">IFERROR(MATCH("Population 1|A|"&amp;ROWS($L$5:L71),Population!$U$2:$U$1092,0),"")</f>
        <v/>
      </c>
    </row>
    <row r="72" customFormat="false" ht="15" hidden="false" customHeight="false" outlineLevel="0" collapsed="false">
      <c r="A72" s="12" t="str">
        <f aca="false">IF($L72="","",INDEX(Population!$B$2:$B$1092,$L72)&amp;"")</f>
        <v/>
      </c>
      <c r="B72" s="12" t="str">
        <f aca="false">IF($L72="","",INDEX(Population!$C$2:$C$1092,$L72)&amp;"")</f>
        <v/>
      </c>
      <c r="C72" s="12" t="str">
        <f aca="false">IF($L72="","",INDEX(Population!$D$2:$D$1092,$L72)&amp;"")</f>
        <v/>
      </c>
      <c r="D72" s="12" t="str">
        <f aca="false">IF($L72="","",INDEX(Population!$E$2:$E$1092,$L72))</f>
        <v/>
      </c>
      <c r="E72" s="12" t="str">
        <f aca="false">IF($L72="","",INDEX(Population!$F$2:$F$1092,$L72))</f>
        <v/>
      </c>
      <c r="F72" s="16" t="str">
        <f aca="false">IF($L72="","",INDEX(Population!$L$2:$L$1092,$L72))</f>
        <v/>
      </c>
      <c r="G72" s="16" t="str">
        <f aca="false">IF($L72="","",INDEX(Population!$M$2:$M$1092,$L72))</f>
        <v/>
      </c>
      <c r="H72" s="15" t="str">
        <f aca="false">IF($L72="","",Summary!$C$5)</f>
        <v/>
      </c>
      <c r="I72" s="12" t="str">
        <f aca="false">IF($L72="","","Above Materiality")</f>
        <v/>
      </c>
      <c r="J72" s="12" t="str">
        <f aca="false">IF($L72="","",INDEX(Population!$N$2:$N$1092,$L72))</f>
        <v/>
      </c>
      <c r="K72" s="12" t="str">
        <f aca="false">IF($L72="","",INDEX(Population!$G$2:$G$1092,$L72)&amp;" / row "&amp;INDEX(Population!$H$2:$H$1092,$L72))</f>
        <v/>
      </c>
      <c r="L72" s="26" t="str">
        <f aca="false">IFERROR(MATCH("Population 1|A|"&amp;ROWS($L$5:L72),Population!$U$2:$U$1092,0),"")</f>
        <v/>
      </c>
    </row>
    <row r="73" customFormat="false" ht="15" hidden="false" customHeight="false" outlineLevel="0" collapsed="false">
      <c r="A73" s="12" t="str">
        <f aca="false">IF($L73="","",INDEX(Population!$B$2:$B$1092,$L73)&amp;"")</f>
        <v/>
      </c>
      <c r="B73" s="12" t="str">
        <f aca="false">IF($L73="","",INDEX(Population!$C$2:$C$1092,$L73)&amp;"")</f>
        <v/>
      </c>
      <c r="C73" s="12" t="str">
        <f aca="false">IF($L73="","",INDEX(Population!$D$2:$D$1092,$L73)&amp;"")</f>
        <v/>
      </c>
      <c r="D73" s="12" t="str">
        <f aca="false">IF($L73="","",INDEX(Population!$E$2:$E$1092,$L73))</f>
        <v/>
      </c>
      <c r="E73" s="12" t="str">
        <f aca="false">IF($L73="","",INDEX(Population!$F$2:$F$1092,$L73))</f>
        <v/>
      </c>
      <c r="F73" s="16" t="str">
        <f aca="false">IF($L73="","",INDEX(Population!$L$2:$L$1092,$L73))</f>
        <v/>
      </c>
      <c r="G73" s="16" t="str">
        <f aca="false">IF($L73="","",INDEX(Population!$M$2:$M$1092,$L73))</f>
        <v/>
      </c>
      <c r="H73" s="15" t="str">
        <f aca="false">IF($L73="","",Summary!$C$5)</f>
        <v/>
      </c>
      <c r="I73" s="12" t="str">
        <f aca="false">IF($L73="","","Above Materiality")</f>
        <v/>
      </c>
      <c r="J73" s="12" t="str">
        <f aca="false">IF($L73="","",INDEX(Population!$N$2:$N$1092,$L73))</f>
        <v/>
      </c>
      <c r="K73" s="12" t="str">
        <f aca="false">IF($L73="","",INDEX(Population!$G$2:$G$1092,$L73)&amp;" / row "&amp;INDEX(Population!$H$2:$H$1092,$L73))</f>
        <v/>
      </c>
      <c r="L73" s="26" t="str">
        <f aca="false">IFERROR(MATCH("Population 1|A|"&amp;ROWS($L$5:L73),Population!$U$2:$U$1092,0),"")</f>
        <v/>
      </c>
    </row>
    <row r="74" customFormat="false" ht="15" hidden="false" customHeight="false" outlineLevel="0" collapsed="false">
      <c r="A74" s="12" t="str">
        <f aca="false">IF($L74="","",INDEX(Population!$B$2:$B$1092,$L74)&amp;"")</f>
        <v/>
      </c>
      <c r="B74" s="12" t="str">
        <f aca="false">IF($L74="","",INDEX(Population!$C$2:$C$1092,$L74)&amp;"")</f>
        <v/>
      </c>
      <c r="C74" s="12" t="str">
        <f aca="false">IF($L74="","",INDEX(Population!$D$2:$D$1092,$L74)&amp;"")</f>
        <v/>
      </c>
      <c r="D74" s="12" t="str">
        <f aca="false">IF($L74="","",INDEX(Population!$E$2:$E$1092,$L74))</f>
        <v/>
      </c>
      <c r="E74" s="12" t="str">
        <f aca="false">IF($L74="","",INDEX(Population!$F$2:$F$1092,$L74))</f>
        <v/>
      </c>
      <c r="F74" s="16" t="str">
        <f aca="false">IF($L74="","",INDEX(Population!$L$2:$L$1092,$L74))</f>
        <v/>
      </c>
      <c r="G74" s="16" t="str">
        <f aca="false">IF($L74="","",INDEX(Population!$M$2:$M$1092,$L74))</f>
        <v/>
      </c>
      <c r="H74" s="15" t="str">
        <f aca="false">IF($L74="","",Summary!$C$5)</f>
        <v/>
      </c>
      <c r="I74" s="12" t="str">
        <f aca="false">IF($L74="","","Above Materiality")</f>
        <v/>
      </c>
      <c r="J74" s="12" t="str">
        <f aca="false">IF($L74="","",INDEX(Population!$N$2:$N$1092,$L74))</f>
        <v/>
      </c>
      <c r="K74" s="12" t="str">
        <f aca="false">IF($L74="","",INDEX(Population!$G$2:$G$1092,$L74)&amp;" / row "&amp;INDEX(Population!$H$2:$H$1092,$L74))</f>
        <v/>
      </c>
      <c r="L74" s="26" t="str">
        <f aca="false">IFERROR(MATCH("Population 1|A|"&amp;ROWS($L$5:L74),Population!$U$2:$U$1092,0),"")</f>
        <v/>
      </c>
    </row>
    <row r="75" customFormat="false" ht="15" hidden="false" customHeight="false" outlineLevel="0" collapsed="false">
      <c r="A75" s="12" t="str">
        <f aca="false">IF($L75="","",INDEX(Population!$B$2:$B$1092,$L75)&amp;"")</f>
        <v/>
      </c>
      <c r="B75" s="12" t="str">
        <f aca="false">IF($L75="","",INDEX(Population!$C$2:$C$1092,$L75)&amp;"")</f>
        <v/>
      </c>
      <c r="C75" s="12" t="str">
        <f aca="false">IF($L75="","",INDEX(Population!$D$2:$D$1092,$L75)&amp;"")</f>
        <v/>
      </c>
      <c r="D75" s="12" t="str">
        <f aca="false">IF($L75="","",INDEX(Population!$E$2:$E$1092,$L75))</f>
        <v/>
      </c>
      <c r="E75" s="12" t="str">
        <f aca="false">IF($L75="","",INDEX(Population!$F$2:$F$1092,$L75))</f>
        <v/>
      </c>
      <c r="F75" s="16" t="str">
        <f aca="false">IF($L75="","",INDEX(Population!$L$2:$L$1092,$L75))</f>
        <v/>
      </c>
      <c r="G75" s="16" t="str">
        <f aca="false">IF($L75="","",INDEX(Population!$M$2:$M$1092,$L75))</f>
        <v/>
      </c>
      <c r="H75" s="15" t="str">
        <f aca="false">IF($L75="","",Summary!$C$5)</f>
        <v/>
      </c>
      <c r="I75" s="12" t="str">
        <f aca="false">IF($L75="","","Above Materiality")</f>
        <v/>
      </c>
      <c r="J75" s="12" t="str">
        <f aca="false">IF($L75="","",INDEX(Population!$N$2:$N$1092,$L75))</f>
        <v/>
      </c>
      <c r="K75" s="12" t="str">
        <f aca="false">IF($L75="","",INDEX(Population!$G$2:$G$1092,$L75)&amp;" / row "&amp;INDEX(Population!$H$2:$H$1092,$L75))</f>
        <v/>
      </c>
      <c r="L75" s="26" t="str">
        <f aca="false">IFERROR(MATCH("Population 1|A|"&amp;ROWS($L$5:L75),Population!$U$2:$U$1092,0),"")</f>
        <v/>
      </c>
    </row>
    <row r="76" customFormat="false" ht="15" hidden="false" customHeight="false" outlineLevel="0" collapsed="false">
      <c r="A76" s="12" t="str">
        <f aca="false">IF($L76="","",INDEX(Population!$B$2:$B$1092,$L76)&amp;"")</f>
        <v/>
      </c>
      <c r="B76" s="12" t="str">
        <f aca="false">IF($L76="","",INDEX(Population!$C$2:$C$1092,$L76)&amp;"")</f>
        <v/>
      </c>
      <c r="C76" s="12" t="str">
        <f aca="false">IF($L76="","",INDEX(Population!$D$2:$D$1092,$L76)&amp;"")</f>
        <v/>
      </c>
      <c r="D76" s="12" t="str">
        <f aca="false">IF($L76="","",INDEX(Population!$E$2:$E$1092,$L76))</f>
        <v/>
      </c>
      <c r="E76" s="12" t="str">
        <f aca="false">IF($L76="","",INDEX(Population!$F$2:$F$1092,$L76))</f>
        <v/>
      </c>
      <c r="F76" s="16" t="str">
        <f aca="false">IF($L76="","",INDEX(Population!$L$2:$L$1092,$L76))</f>
        <v/>
      </c>
      <c r="G76" s="16" t="str">
        <f aca="false">IF($L76="","",INDEX(Population!$M$2:$M$1092,$L76))</f>
        <v/>
      </c>
      <c r="H76" s="15" t="str">
        <f aca="false">IF($L76="","",Summary!$C$5)</f>
        <v/>
      </c>
      <c r="I76" s="12" t="str">
        <f aca="false">IF($L76="","","Above Materiality")</f>
        <v/>
      </c>
      <c r="J76" s="12" t="str">
        <f aca="false">IF($L76="","",INDEX(Population!$N$2:$N$1092,$L76))</f>
        <v/>
      </c>
      <c r="K76" s="12" t="str">
        <f aca="false">IF($L76="","",INDEX(Population!$G$2:$G$1092,$L76)&amp;" / row "&amp;INDEX(Population!$H$2:$H$1092,$L76))</f>
        <v/>
      </c>
      <c r="L76" s="26" t="str">
        <f aca="false">IFERROR(MATCH("Population 1|A|"&amp;ROWS($L$5:L76),Population!$U$2:$U$1092,0),"")</f>
        <v/>
      </c>
    </row>
    <row r="77" customFormat="false" ht="15" hidden="false" customHeight="false" outlineLevel="0" collapsed="false">
      <c r="A77" s="12" t="str">
        <f aca="false">IF($L77="","",INDEX(Population!$B$2:$B$1092,$L77)&amp;"")</f>
        <v/>
      </c>
      <c r="B77" s="12" t="str">
        <f aca="false">IF($L77="","",INDEX(Population!$C$2:$C$1092,$L77)&amp;"")</f>
        <v/>
      </c>
      <c r="C77" s="12" t="str">
        <f aca="false">IF($L77="","",INDEX(Population!$D$2:$D$1092,$L77)&amp;"")</f>
        <v/>
      </c>
      <c r="D77" s="12" t="str">
        <f aca="false">IF($L77="","",INDEX(Population!$E$2:$E$1092,$L77))</f>
        <v/>
      </c>
      <c r="E77" s="12" t="str">
        <f aca="false">IF($L77="","",INDEX(Population!$F$2:$F$1092,$L77))</f>
        <v/>
      </c>
      <c r="F77" s="16" t="str">
        <f aca="false">IF($L77="","",INDEX(Population!$L$2:$L$1092,$L77))</f>
        <v/>
      </c>
      <c r="G77" s="16" t="str">
        <f aca="false">IF($L77="","",INDEX(Population!$M$2:$M$1092,$L77))</f>
        <v/>
      </c>
      <c r="H77" s="15" t="str">
        <f aca="false">IF($L77="","",Summary!$C$5)</f>
        <v/>
      </c>
      <c r="I77" s="12" t="str">
        <f aca="false">IF($L77="","","Above Materiality")</f>
        <v/>
      </c>
      <c r="J77" s="12" t="str">
        <f aca="false">IF($L77="","",INDEX(Population!$N$2:$N$1092,$L77))</f>
        <v/>
      </c>
      <c r="K77" s="12" t="str">
        <f aca="false">IF($L77="","",INDEX(Population!$G$2:$G$1092,$L77)&amp;" / row "&amp;INDEX(Population!$H$2:$H$1092,$L77))</f>
        <v/>
      </c>
      <c r="L77" s="26" t="str">
        <f aca="false">IFERROR(MATCH("Population 1|A|"&amp;ROWS($L$5:L77),Population!$U$2:$U$1092,0),"")</f>
        <v/>
      </c>
    </row>
    <row r="78" customFormat="false" ht="15" hidden="false" customHeight="false" outlineLevel="0" collapsed="false">
      <c r="A78" s="12" t="str">
        <f aca="false">IF($L78="","",INDEX(Population!$B$2:$B$1092,$L78)&amp;"")</f>
        <v/>
      </c>
      <c r="B78" s="12" t="str">
        <f aca="false">IF($L78="","",INDEX(Population!$C$2:$C$1092,$L78)&amp;"")</f>
        <v/>
      </c>
      <c r="C78" s="12" t="str">
        <f aca="false">IF($L78="","",INDEX(Population!$D$2:$D$1092,$L78)&amp;"")</f>
        <v/>
      </c>
      <c r="D78" s="12" t="str">
        <f aca="false">IF($L78="","",INDEX(Population!$E$2:$E$1092,$L78))</f>
        <v/>
      </c>
      <c r="E78" s="12" t="str">
        <f aca="false">IF($L78="","",INDEX(Population!$F$2:$F$1092,$L78))</f>
        <v/>
      </c>
      <c r="F78" s="16" t="str">
        <f aca="false">IF($L78="","",INDEX(Population!$L$2:$L$1092,$L78))</f>
        <v/>
      </c>
      <c r="G78" s="16" t="str">
        <f aca="false">IF($L78="","",INDEX(Population!$M$2:$M$1092,$L78))</f>
        <v/>
      </c>
      <c r="H78" s="15" t="str">
        <f aca="false">IF($L78="","",Summary!$C$5)</f>
        <v/>
      </c>
      <c r="I78" s="12" t="str">
        <f aca="false">IF($L78="","","Above Materiality")</f>
        <v/>
      </c>
      <c r="J78" s="12" t="str">
        <f aca="false">IF($L78="","",INDEX(Population!$N$2:$N$1092,$L78))</f>
        <v/>
      </c>
      <c r="K78" s="12" t="str">
        <f aca="false">IF($L78="","",INDEX(Population!$G$2:$G$1092,$L78)&amp;" / row "&amp;INDEX(Population!$H$2:$H$1092,$L78))</f>
        <v/>
      </c>
      <c r="L78" s="26" t="str">
        <f aca="false">IFERROR(MATCH("Population 1|A|"&amp;ROWS($L$5:L78),Population!$U$2:$U$1092,0),"")</f>
        <v/>
      </c>
    </row>
    <row r="79" customFormat="false" ht="15" hidden="false" customHeight="false" outlineLevel="0" collapsed="false">
      <c r="A79" s="12" t="str">
        <f aca="false">IF($L79="","",INDEX(Population!$B$2:$B$1092,$L79)&amp;"")</f>
        <v/>
      </c>
      <c r="B79" s="12" t="str">
        <f aca="false">IF($L79="","",INDEX(Population!$C$2:$C$1092,$L79)&amp;"")</f>
        <v/>
      </c>
      <c r="C79" s="12" t="str">
        <f aca="false">IF($L79="","",INDEX(Population!$D$2:$D$1092,$L79)&amp;"")</f>
        <v/>
      </c>
      <c r="D79" s="12" t="str">
        <f aca="false">IF($L79="","",INDEX(Population!$E$2:$E$1092,$L79))</f>
        <v/>
      </c>
      <c r="E79" s="12" t="str">
        <f aca="false">IF($L79="","",INDEX(Population!$F$2:$F$1092,$L79))</f>
        <v/>
      </c>
      <c r="F79" s="16" t="str">
        <f aca="false">IF($L79="","",INDEX(Population!$L$2:$L$1092,$L79))</f>
        <v/>
      </c>
      <c r="G79" s="16" t="str">
        <f aca="false">IF($L79="","",INDEX(Population!$M$2:$M$1092,$L79))</f>
        <v/>
      </c>
      <c r="H79" s="15" t="str">
        <f aca="false">IF($L79="","",Summary!$C$5)</f>
        <v/>
      </c>
      <c r="I79" s="12" t="str">
        <f aca="false">IF($L79="","","Above Materiality")</f>
        <v/>
      </c>
      <c r="J79" s="12" t="str">
        <f aca="false">IF($L79="","",INDEX(Population!$N$2:$N$1092,$L79))</f>
        <v/>
      </c>
      <c r="K79" s="12" t="str">
        <f aca="false">IF($L79="","",INDEX(Population!$G$2:$G$1092,$L79)&amp;" / row "&amp;INDEX(Population!$H$2:$H$1092,$L79))</f>
        <v/>
      </c>
      <c r="L79" s="26" t="str">
        <f aca="false">IFERROR(MATCH("Population 1|A|"&amp;ROWS($L$5:L79),Population!$U$2:$U$1092,0),"")</f>
        <v/>
      </c>
    </row>
    <row r="80" customFormat="false" ht="15" hidden="false" customHeight="false" outlineLevel="0" collapsed="false">
      <c r="A80" s="12" t="str">
        <f aca="false">IF($L80="","",INDEX(Population!$B$2:$B$1092,$L80)&amp;"")</f>
        <v/>
      </c>
      <c r="B80" s="12" t="str">
        <f aca="false">IF($L80="","",INDEX(Population!$C$2:$C$1092,$L80)&amp;"")</f>
        <v/>
      </c>
      <c r="C80" s="12" t="str">
        <f aca="false">IF($L80="","",INDEX(Population!$D$2:$D$1092,$L80)&amp;"")</f>
        <v/>
      </c>
      <c r="D80" s="12" t="str">
        <f aca="false">IF($L80="","",INDEX(Population!$E$2:$E$1092,$L80))</f>
        <v/>
      </c>
      <c r="E80" s="12" t="str">
        <f aca="false">IF($L80="","",INDEX(Population!$F$2:$F$1092,$L80))</f>
        <v/>
      </c>
      <c r="F80" s="16" t="str">
        <f aca="false">IF($L80="","",INDEX(Population!$L$2:$L$1092,$L80))</f>
        <v/>
      </c>
      <c r="G80" s="16" t="str">
        <f aca="false">IF($L80="","",INDEX(Population!$M$2:$M$1092,$L80))</f>
        <v/>
      </c>
      <c r="H80" s="15" t="str">
        <f aca="false">IF($L80="","",Summary!$C$5)</f>
        <v/>
      </c>
      <c r="I80" s="12" t="str">
        <f aca="false">IF($L80="","","Above Materiality")</f>
        <v/>
      </c>
      <c r="J80" s="12" t="str">
        <f aca="false">IF($L80="","",INDEX(Population!$N$2:$N$1092,$L80))</f>
        <v/>
      </c>
      <c r="K80" s="12" t="str">
        <f aca="false">IF($L80="","",INDEX(Population!$G$2:$G$1092,$L80)&amp;" / row "&amp;INDEX(Population!$H$2:$H$1092,$L80))</f>
        <v/>
      </c>
      <c r="L80" s="26" t="str">
        <f aca="false">IFERROR(MATCH("Population 1|A|"&amp;ROWS($L$5:L80),Population!$U$2:$U$1092,0),"")</f>
        <v/>
      </c>
    </row>
    <row r="81" customFormat="false" ht="15" hidden="false" customHeight="false" outlineLevel="0" collapsed="false">
      <c r="A81" s="12" t="str">
        <f aca="false">IF($L81="","",INDEX(Population!$B$2:$B$1092,$L81)&amp;"")</f>
        <v/>
      </c>
      <c r="B81" s="12" t="str">
        <f aca="false">IF($L81="","",INDEX(Population!$C$2:$C$1092,$L81)&amp;"")</f>
        <v/>
      </c>
      <c r="C81" s="12" t="str">
        <f aca="false">IF($L81="","",INDEX(Population!$D$2:$D$1092,$L81)&amp;"")</f>
        <v/>
      </c>
      <c r="D81" s="12" t="str">
        <f aca="false">IF($L81="","",INDEX(Population!$E$2:$E$1092,$L81))</f>
        <v/>
      </c>
      <c r="E81" s="12" t="str">
        <f aca="false">IF($L81="","",INDEX(Population!$F$2:$F$1092,$L81))</f>
        <v/>
      </c>
      <c r="F81" s="16" t="str">
        <f aca="false">IF($L81="","",INDEX(Population!$L$2:$L$1092,$L81))</f>
        <v/>
      </c>
      <c r="G81" s="16" t="str">
        <f aca="false">IF($L81="","",INDEX(Population!$M$2:$M$1092,$L81))</f>
        <v/>
      </c>
      <c r="H81" s="15" t="str">
        <f aca="false">IF($L81="","",Summary!$C$5)</f>
        <v/>
      </c>
      <c r="I81" s="12" t="str">
        <f aca="false">IF($L81="","","Above Materiality")</f>
        <v/>
      </c>
      <c r="J81" s="12" t="str">
        <f aca="false">IF($L81="","",INDEX(Population!$N$2:$N$1092,$L81))</f>
        <v/>
      </c>
      <c r="K81" s="12" t="str">
        <f aca="false">IF($L81="","",INDEX(Population!$G$2:$G$1092,$L81)&amp;" / row "&amp;INDEX(Population!$H$2:$H$1092,$L81))</f>
        <v/>
      </c>
      <c r="L81" s="26" t="str">
        <f aca="false">IFERROR(MATCH("Population 1|A|"&amp;ROWS($L$5:L81),Population!$U$2:$U$1092,0),"")</f>
        <v/>
      </c>
    </row>
    <row r="82" customFormat="false" ht="15" hidden="false" customHeight="false" outlineLevel="0" collapsed="false">
      <c r="A82" s="12" t="str">
        <f aca="false">IF($L82="","",INDEX(Population!$B$2:$B$1092,$L82)&amp;"")</f>
        <v/>
      </c>
      <c r="B82" s="12" t="str">
        <f aca="false">IF($L82="","",INDEX(Population!$C$2:$C$1092,$L82)&amp;"")</f>
        <v/>
      </c>
      <c r="C82" s="12" t="str">
        <f aca="false">IF($L82="","",INDEX(Population!$D$2:$D$1092,$L82)&amp;"")</f>
        <v/>
      </c>
      <c r="D82" s="12" t="str">
        <f aca="false">IF($L82="","",INDEX(Population!$E$2:$E$1092,$L82))</f>
        <v/>
      </c>
      <c r="E82" s="12" t="str">
        <f aca="false">IF($L82="","",INDEX(Population!$F$2:$F$1092,$L82))</f>
        <v/>
      </c>
      <c r="F82" s="16" t="str">
        <f aca="false">IF($L82="","",INDEX(Population!$L$2:$L$1092,$L82))</f>
        <v/>
      </c>
      <c r="G82" s="16" t="str">
        <f aca="false">IF($L82="","",INDEX(Population!$M$2:$M$1092,$L82))</f>
        <v/>
      </c>
      <c r="H82" s="15" t="str">
        <f aca="false">IF($L82="","",Summary!$C$5)</f>
        <v/>
      </c>
      <c r="I82" s="12" t="str">
        <f aca="false">IF($L82="","","Above Materiality")</f>
        <v/>
      </c>
      <c r="J82" s="12" t="str">
        <f aca="false">IF($L82="","",INDEX(Population!$N$2:$N$1092,$L82))</f>
        <v/>
      </c>
      <c r="K82" s="12" t="str">
        <f aca="false">IF($L82="","",INDEX(Population!$G$2:$G$1092,$L82)&amp;" / row "&amp;INDEX(Population!$H$2:$H$1092,$L82))</f>
        <v/>
      </c>
      <c r="L82" s="26" t="str">
        <f aca="false">IFERROR(MATCH("Population 1|A|"&amp;ROWS($L$5:L82),Population!$U$2:$U$1092,0),"")</f>
        <v/>
      </c>
    </row>
    <row r="83" customFormat="false" ht="15" hidden="false" customHeight="false" outlineLevel="0" collapsed="false">
      <c r="A83" s="12" t="str">
        <f aca="false">IF($L83="","",INDEX(Population!$B$2:$B$1092,$L83)&amp;"")</f>
        <v/>
      </c>
      <c r="B83" s="12" t="str">
        <f aca="false">IF($L83="","",INDEX(Population!$C$2:$C$1092,$L83)&amp;"")</f>
        <v/>
      </c>
      <c r="C83" s="12" t="str">
        <f aca="false">IF($L83="","",INDEX(Population!$D$2:$D$1092,$L83)&amp;"")</f>
        <v/>
      </c>
      <c r="D83" s="12" t="str">
        <f aca="false">IF($L83="","",INDEX(Population!$E$2:$E$1092,$L83))</f>
        <v/>
      </c>
      <c r="E83" s="12" t="str">
        <f aca="false">IF($L83="","",INDEX(Population!$F$2:$F$1092,$L83))</f>
        <v/>
      </c>
      <c r="F83" s="16" t="str">
        <f aca="false">IF($L83="","",INDEX(Population!$L$2:$L$1092,$L83))</f>
        <v/>
      </c>
      <c r="G83" s="16" t="str">
        <f aca="false">IF($L83="","",INDEX(Population!$M$2:$M$1092,$L83))</f>
        <v/>
      </c>
      <c r="H83" s="15" t="str">
        <f aca="false">IF($L83="","",Summary!$C$5)</f>
        <v/>
      </c>
      <c r="I83" s="12" t="str">
        <f aca="false">IF($L83="","","Above Materiality")</f>
        <v/>
      </c>
      <c r="J83" s="12" t="str">
        <f aca="false">IF($L83="","",INDEX(Population!$N$2:$N$1092,$L83))</f>
        <v/>
      </c>
      <c r="K83" s="12" t="str">
        <f aca="false">IF($L83="","",INDEX(Population!$G$2:$G$1092,$L83)&amp;" / row "&amp;INDEX(Population!$H$2:$H$1092,$L83))</f>
        <v/>
      </c>
      <c r="L83" s="26" t="str">
        <f aca="false">IFERROR(MATCH("Population 1|A|"&amp;ROWS($L$5:L83),Population!$U$2:$U$1092,0),"")</f>
        <v/>
      </c>
    </row>
    <row r="84" customFormat="false" ht="15" hidden="false" customHeight="false" outlineLevel="0" collapsed="false">
      <c r="A84" s="12" t="str">
        <f aca="false">IF($L84="","",INDEX(Population!$B$2:$B$1092,$L84)&amp;"")</f>
        <v/>
      </c>
      <c r="B84" s="12" t="str">
        <f aca="false">IF($L84="","",INDEX(Population!$C$2:$C$1092,$L84)&amp;"")</f>
        <v/>
      </c>
      <c r="C84" s="12" t="str">
        <f aca="false">IF($L84="","",INDEX(Population!$D$2:$D$1092,$L84)&amp;"")</f>
        <v/>
      </c>
      <c r="D84" s="12" t="str">
        <f aca="false">IF($L84="","",INDEX(Population!$E$2:$E$1092,$L84))</f>
        <v/>
      </c>
      <c r="E84" s="12" t="str">
        <f aca="false">IF($L84="","",INDEX(Population!$F$2:$F$1092,$L84))</f>
        <v/>
      </c>
      <c r="F84" s="16" t="str">
        <f aca="false">IF($L84="","",INDEX(Population!$L$2:$L$1092,$L84))</f>
        <v/>
      </c>
      <c r="G84" s="16" t="str">
        <f aca="false">IF($L84="","",INDEX(Population!$M$2:$M$1092,$L84))</f>
        <v/>
      </c>
      <c r="H84" s="15" t="str">
        <f aca="false">IF($L84="","",Summary!$C$5)</f>
        <v/>
      </c>
      <c r="I84" s="12" t="str">
        <f aca="false">IF($L84="","","Above Materiality")</f>
        <v/>
      </c>
      <c r="J84" s="12" t="str">
        <f aca="false">IF($L84="","",INDEX(Population!$N$2:$N$1092,$L84))</f>
        <v/>
      </c>
      <c r="K84" s="12" t="str">
        <f aca="false">IF($L84="","",INDEX(Population!$G$2:$G$1092,$L84)&amp;" / row "&amp;INDEX(Population!$H$2:$H$1092,$L84))</f>
        <v/>
      </c>
      <c r="L84" s="26" t="str">
        <f aca="false">IFERROR(MATCH("Population 1|A|"&amp;ROWS($L$5:L84),Population!$U$2:$U$1092,0),"")</f>
        <v/>
      </c>
    </row>
    <row r="85" customFormat="false" ht="15" hidden="false" customHeight="false" outlineLevel="0" collapsed="false">
      <c r="A85" s="12" t="str">
        <f aca="false">IF($L85="","",INDEX(Population!$B$2:$B$1092,$L85)&amp;"")</f>
        <v/>
      </c>
      <c r="B85" s="12" t="str">
        <f aca="false">IF($L85="","",INDEX(Population!$C$2:$C$1092,$L85)&amp;"")</f>
        <v/>
      </c>
      <c r="C85" s="12" t="str">
        <f aca="false">IF($L85="","",INDEX(Population!$D$2:$D$1092,$L85)&amp;"")</f>
        <v/>
      </c>
      <c r="D85" s="12" t="str">
        <f aca="false">IF($L85="","",INDEX(Population!$E$2:$E$1092,$L85))</f>
        <v/>
      </c>
      <c r="E85" s="12" t="str">
        <f aca="false">IF($L85="","",INDEX(Population!$F$2:$F$1092,$L85))</f>
        <v/>
      </c>
      <c r="F85" s="16" t="str">
        <f aca="false">IF($L85="","",INDEX(Population!$L$2:$L$1092,$L85))</f>
        <v/>
      </c>
      <c r="G85" s="16" t="str">
        <f aca="false">IF($L85="","",INDEX(Population!$M$2:$M$1092,$L85))</f>
        <v/>
      </c>
      <c r="H85" s="15" t="str">
        <f aca="false">IF($L85="","",Summary!$C$5)</f>
        <v/>
      </c>
      <c r="I85" s="12" t="str">
        <f aca="false">IF($L85="","","Above Materiality")</f>
        <v/>
      </c>
      <c r="J85" s="12" t="str">
        <f aca="false">IF($L85="","",INDEX(Population!$N$2:$N$1092,$L85))</f>
        <v/>
      </c>
      <c r="K85" s="12" t="str">
        <f aca="false">IF($L85="","",INDEX(Population!$G$2:$G$1092,$L85)&amp;" / row "&amp;INDEX(Population!$H$2:$H$1092,$L85))</f>
        <v/>
      </c>
      <c r="L85" s="26" t="str">
        <f aca="false">IFERROR(MATCH("Population 1|A|"&amp;ROWS($L$5:L85),Population!$U$2:$U$1092,0),"")</f>
        <v/>
      </c>
    </row>
    <row r="86" customFormat="false" ht="15" hidden="false" customHeight="false" outlineLevel="0" collapsed="false">
      <c r="A86" s="12" t="str">
        <f aca="false">IF($L86="","",INDEX(Population!$B$2:$B$1092,$L86)&amp;"")</f>
        <v/>
      </c>
      <c r="B86" s="12" t="str">
        <f aca="false">IF($L86="","",INDEX(Population!$C$2:$C$1092,$L86)&amp;"")</f>
        <v/>
      </c>
      <c r="C86" s="12" t="str">
        <f aca="false">IF($L86="","",INDEX(Population!$D$2:$D$1092,$L86)&amp;"")</f>
        <v/>
      </c>
      <c r="D86" s="12" t="str">
        <f aca="false">IF($L86="","",INDEX(Population!$E$2:$E$1092,$L86))</f>
        <v/>
      </c>
      <c r="E86" s="12" t="str">
        <f aca="false">IF($L86="","",INDEX(Population!$F$2:$F$1092,$L86))</f>
        <v/>
      </c>
      <c r="F86" s="16" t="str">
        <f aca="false">IF($L86="","",INDEX(Population!$L$2:$L$1092,$L86))</f>
        <v/>
      </c>
      <c r="G86" s="16" t="str">
        <f aca="false">IF($L86="","",INDEX(Population!$M$2:$M$1092,$L86))</f>
        <v/>
      </c>
      <c r="H86" s="15" t="str">
        <f aca="false">IF($L86="","",Summary!$C$5)</f>
        <v/>
      </c>
      <c r="I86" s="12" t="str">
        <f aca="false">IF($L86="","","Above Materiality")</f>
        <v/>
      </c>
      <c r="J86" s="12" t="str">
        <f aca="false">IF($L86="","",INDEX(Population!$N$2:$N$1092,$L86))</f>
        <v/>
      </c>
      <c r="K86" s="12" t="str">
        <f aca="false">IF($L86="","",INDEX(Population!$G$2:$G$1092,$L86)&amp;" / row "&amp;INDEX(Population!$H$2:$H$1092,$L86))</f>
        <v/>
      </c>
      <c r="L86" s="26" t="str">
        <f aca="false">IFERROR(MATCH("Population 1|A|"&amp;ROWS($L$5:L86),Population!$U$2:$U$1092,0),"")</f>
        <v/>
      </c>
    </row>
    <row r="87" customFormat="false" ht="15" hidden="false" customHeight="false" outlineLevel="0" collapsed="false">
      <c r="A87" s="12" t="str">
        <f aca="false">IF($L87="","",INDEX(Population!$B$2:$B$1092,$L87)&amp;"")</f>
        <v/>
      </c>
      <c r="B87" s="12" t="str">
        <f aca="false">IF($L87="","",INDEX(Population!$C$2:$C$1092,$L87)&amp;"")</f>
        <v/>
      </c>
      <c r="C87" s="12" t="str">
        <f aca="false">IF($L87="","",INDEX(Population!$D$2:$D$1092,$L87)&amp;"")</f>
        <v/>
      </c>
      <c r="D87" s="12" t="str">
        <f aca="false">IF($L87="","",INDEX(Population!$E$2:$E$1092,$L87))</f>
        <v/>
      </c>
      <c r="E87" s="12" t="str">
        <f aca="false">IF($L87="","",INDEX(Population!$F$2:$F$1092,$L87))</f>
        <v/>
      </c>
      <c r="F87" s="16" t="str">
        <f aca="false">IF($L87="","",INDEX(Population!$L$2:$L$1092,$L87))</f>
        <v/>
      </c>
      <c r="G87" s="16" t="str">
        <f aca="false">IF($L87="","",INDEX(Population!$M$2:$M$1092,$L87))</f>
        <v/>
      </c>
      <c r="H87" s="15" t="str">
        <f aca="false">IF($L87="","",Summary!$C$5)</f>
        <v/>
      </c>
      <c r="I87" s="12" t="str">
        <f aca="false">IF($L87="","","Above Materiality")</f>
        <v/>
      </c>
      <c r="J87" s="12" t="str">
        <f aca="false">IF($L87="","",INDEX(Population!$N$2:$N$1092,$L87))</f>
        <v/>
      </c>
      <c r="K87" s="12" t="str">
        <f aca="false">IF($L87="","",INDEX(Population!$G$2:$G$1092,$L87)&amp;" / row "&amp;INDEX(Population!$H$2:$H$1092,$L87))</f>
        <v/>
      </c>
      <c r="L87" s="26" t="str">
        <f aca="false">IFERROR(MATCH("Population 1|A|"&amp;ROWS($L$5:L87),Population!$U$2:$U$1092,0),"")</f>
        <v/>
      </c>
    </row>
    <row r="88" customFormat="false" ht="15" hidden="false" customHeight="false" outlineLevel="0" collapsed="false">
      <c r="A88" s="12" t="str">
        <f aca="false">IF($L88="","",INDEX(Population!$B$2:$B$1092,$L88)&amp;"")</f>
        <v/>
      </c>
      <c r="B88" s="12" t="str">
        <f aca="false">IF($L88="","",INDEX(Population!$C$2:$C$1092,$L88)&amp;"")</f>
        <v/>
      </c>
      <c r="C88" s="12" t="str">
        <f aca="false">IF($L88="","",INDEX(Population!$D$2:$D$1092,$L88)&amp;"")</f>
        <v/>
      </c>
      <c r="D88" s="12" t="str">
        <f aca="false">IF($L88="","",INDEX(Population!$E$2:$E$1092,$L88))</f>
        <v/>
      </c>
      <c r="E88" s="12" t="str">
        <f aca="false">IF($L88="","",INDEX(Population!$F$2:$F$1092,$L88))</f>
        <v/>
      </c>
      <c r="F88" s="16" t="str">
        <f aca="false">IF($L88="","",INDEX(Population!$L$2:$L$1092,$L88))</f>
        <v/>
      </c>
      <c r="G88" s="16" t="str">
        <f aca="false">IF($L88="","",INDEX(Population!$M$2:$M$1092,$L88))</f>
        <v/>
      </c>
      <c r="H88" s="15" t="str">
        <f aca="false">IF($L88="","",Summary!$C$5)</f>
        <v/>
      </c>
      <c r="I88" s="12" t="str">
        <f aca="false">IF($L88="","","Above Materiality")</f>
        <v/>
      </c>
      <c r="J88" s="12" t="str">
        <f aca="false">IF($L88="","",INDEX(Population!$N$2:$N$1092,$L88))</f>
        <v/>
      </c>
      <c r="K88" s="12" t="str">
        <f aca="false">IF($L88="","",INDEX(Population!$G$2:$G$1092,$L88)&amp;" / row "&amp;INDEX(Population!$H$2:$H$1092,$L88))</f>
        <v/>
      </c>
      <c r="L88" s="26" t="str">
        <f aca="false">IFERROR(MATCH("Population 1|A|"&amp;ROWS($L$5:L88),Population!$U$2:$U$1092,0),"")</f>
        <v/>
      </c>
    </row>
    <row r="89" customFormat="false" ht="15" hidden="false" customHeight="false" outlineLevel="0" collapsed="false">
      <c r="A89" s="12" t="str">
        <f aca="false">IF($L89="","",INDEX(Population!$B$2:$B$1092,$L89)&amp;"")</f>
        <v/>
      </c>
      <c r="B89" s="12" t="str">
        <f aca="false">IF($L89="","",INDEX(Population!$C$2:$C$1092,$L89)&amp;"")</f>
        <v/>
      </c>
      <c r="C89" s="12" t="str">
        <f aca="false">IF($L89="","",INDEX(Population!$D$2:$D$1092,$L89)&amp;"")</f>
        <v/>
      </c>
      <c r="D89" s="12" t="str">
        <f aca="false">IF($L89="","",INDEX(Population!$E$2:$E$1092,$L89))</f>
        <v/>
      </c>
      <c r="E89" s="12" t="str">
        <f aca="false">IF($L89="","",INDEX(Population!$F$2:$F$1092,$L89))</f>
        <v/>
      </c>
      <c r="F89" s="16" t="str">
        <f aca="false">IF($L89="","",INDEX(Population!$L$2:$L$1092,$L89))</f>
        <v/>
      </c>
      <c r="G89" s="16" t="str">
        <f aca="false">IF($L89="","",INDEX(Population!$M$2:$M$1092,$L89))</f>
        <v/>
      </c>
      <c r="H89" s="15" t="str">
        <f aca="false">IF($L89="","",Summary!$C$5)</f>
        <v/>
      </c>
      <c r="I89" s="12" t="str">
        <f aca="false">IF($L89="","","Above Materiality")</f>
        <v/>
      </c>
      <c r="J89" s="12" t="str">
        <f aca="false">IF($L89="","",INDEX(Population!$N$2:$N$1092,$L89))</f>
        <v/>
      </c>
      <c r="K89" s="12" t="str">
        <f aca="false">IF($L89="","",INDEX(Population!$G$2:$G$1092,$L89)&amp;" / row "&amp;INDEX(Population!$H$2:$H$1092,$L89))</f>
        <v/>
      </c>
      <c r="L89" s="26" t="str">
        <f aca="false">IFERROR(MATCH("Population 1|A|"&amp;ROWS($L$5:L89),Population!$U$2:$U$1092,0),"")</f>
        <v/>
      </c>
    </row>
    <row r="90" customFormat="false" ht="15" hidden="false" customHeight="false" outlineLevel="0" collapsed="false">
      <c r="A90" s="12" t="str">
        <f aca="false">IF($L90="","",INDEX(Population!$B$2:$B$1092,$L90)&amp;"")</f>
        <v/>
      </c>
      <c r="B90" s="12" t="str">
        <f aca="false">IF($L90="","",INDEX(Population!$C$2:$C$1092,$L90)&amp;"")</f>
        <v/>
      </c>
      <c r="C90" s="12" t="str">
        <f aca="false">IF($L90="","",INDEX(Population!$D$2:$D$1092,$L90)&amp;"")</f>
        <v/>
      </c>
      <c r="D90" s="12" t="str">
        <f aca="false">IF($L90="","",INDEX(Population!$E$2:$E$1092,$L90))</f>
        <v/>
      </c>
      <c r="E90" s="12" t="str">
        <f aca="false">IF($L90="","",INDEX(Population!$F$2:$F$1092,$L90))</f>
        <v/>
      </c>
      <c r="F90" s="16" t="str">
        <f aca="false">IF($L90="","",INDEX(Population!$L$2:$L$1092,$L90))</f>
        <v/>
      </c>
      <c r="G90" s="16" t="str">
        <f aca="false">IF($L90="","",INDEX(Population!$M$2:$M$1092,$L90))</f>
        <v/>
      </c>
      <c r="H90" s="15" t="str">
        <f aca="false">IF($L90="","",Summary!$C$5)</f>
        <v/>
      </c>
      <c r="I90" s="12" t="str">
        <f aca="false">IF($L90="","","Above Materiality")</f>
        <v/>
      </c>
      <c r="J90" s="12" t="str">
        <f aca="false">IF($L90="","",INDEX(Population!$N$2:$N$1092,$L90))</f>
        <v/>
      </c>
      <c r="K90" s="12" t="str">
        <f aca="false">IF($L90="","",INDEX(Population!$G$2:$G$1092,$L90)&amp;" / row "&amp;INDEX(Population!$H$2:$H$1092,$L90))</f>
        <v/>
      </c>
      <c r="L90" s="26" t="str">
        <f aca="false">IFERROR(MATCH("Population 1|A|"&amp;ROWS($L$5:L90),Population!$U$2:$U$1092,0),"")</f>
        <v/>
      </c>
    </row>
    <row r="91" customFormat="false" ht="15" hidden="false" customHeight="false" outlineLevel="0" collapsed="false">
      <c r="A91" s="12" t="str">
        <f aca="false">IF($L91="","",INDEX(Population!$B$2:$B$1092,$L91)&amp;"")</f>
        <v/>
      </c>
      <c r="B91" s="12" t="str">
        <f aca="false">IF($L91="","",INDEX(Population!$C$2:$C$1092,$L91)&amp;"")</f>
        <v/>
      </c>
      <c r="C91" s="12" t="str">
        <f aca="false">IF($L91="","",INDEX(Population!$D$2:$D$1092,$L91)&amp;"")</f>
        <v/>
      </c>
      <c r="D91" s="12" t="str">
        <f aca="false">IF($L91="","",INDEX(Population!$E$2:$E$1092,$L91))</f>
        <v/>
      </c>
      <c r="E91" s="12" t="str">
        <f aca="false">IF($L91="","",INDEX(Population!$F$2:$F$1092,$L91))</f>
        <v/>
      </c>
      <c r="F91" s="16" t="str">
        <f aca="false">IF($L91="","",INDEX(Population!$L$2:$L$1092,$L91))</f>
        <v/>
      </c>
      <c r="G91" s="16" t="str">
        <f aca="false">IF($L91="","",INDEX(Population!$M$2:$M$1092,$L91))</f>
        <v/>
      </c>
      <c r="H91" s="15" t="str">
        <f aca="false">IF($L91="","",Summary!$C$5)</f>
        <v/>
      </c>
      <c r="I91" s="12" t="str">
        <f aca="false">IF($L91="","","Above Materiality")</f>
        <v/>
      </c>
      <c r="J91" s="12" t="str">
        <f aca="false">IF($L91="","",INDEX(Population!$N$2:$N$1092,$L91))</f>
        <v/>
      </c>
      <c r="K91" s="12" t="str">
        <f aca="false">IF($L91="","",INDEX(Population!$G$2:$G$1092,$L91)&amp;" / row "&amp;INDEX(Population!$H$2:$H$1092,$L91))</f>
        <v/>
      </c>
      <c r="L91" s="26" t="str">
        <f aca="false">IFERROR(MATCH("Population 1|A|"&amp;ROWS($L$5:L91),Population!$U$2:$U$1092,0),"")</f>
        <v/>
      </c>
    </row>
    <row r="92" customFormat="false" ht="15" hidden="false" customHeight="false" outlineLevel="0" collapsed="false">
      <c r="A92" s="12" t="str">
        <f aca="false">IF($L92="","",INDEX(Population!$B$2:$B$1092,$L92)&amp;"")</f>
        <v/>
      </c>
      <c r="B92" s="12" t="str">
        <f aca="false">IF($L92="","",INDEX(Population!$C$2:$C$1092,$L92)&amp;"")</f>
        <v/>
      </c>
      <c r="C92" s="12" t="str">
        <f aca="false">IF($L92="","",INDEX(Population!$D$2:$D$1092,$L92)&amp;"")</f>
        <v/>
      </c>
      <c r="D92" s="12" t="str">
        <f aca="false">IF($L92="","",INDEX(Population!$E$2:$E$1092,$L92))</f>
        <v/>
      </c>
      <c r="E92" s="12" t="str">
        <f aca="false">IF($L92="","",INDEX(Population!$F$2:$F$1092,$L92))</f>
        <v/>
      </c>
      <c r="F92" s="16" t="str">
        <f aca="false">IF($L92="","",INDEX(Population!$L$2:$L$1092,$L92))</f>
        <v/>
      </c>
      <c r="G92" s="16" t="str">
        <f aca="false">IF($L92="","",INDEX(Population!$M$2:$M$1092,$L92))</f>
        <v/>
      </c>
      <c r="H92" s="15" t="str">
        <f aca="false">IF($L92="","",Summary!$C$5)</f>
        <v/>
      </c>
      <c r="I92" s="12" t="str">
        <f aca="false">IF($L92="","","Above Materiality")</f>
        <v/>
      </c>
      <c r="J92" s="12" t="str">
        <f aca="false">IF($L92="","",INDEX(Population!$N$2:$N$1092,$L92))</f>
        <v/>
      </c>
      <c r="K92" s="12" t="str">
        <f aca="false">IF($L92="","",INDEX(Population!$G$2:$G$1092,$L92)&amp;" / row "&amp;INDEX(Population!$H$2:$H$1092,$L92))</f>
        <v/>
      </c>
      <c r="L92" s="26" t="str">
        <f aca="false">IFERROR(MATCH("Population 1|A|"&amp;ROWS($L$5:L92),Population!$U$2:$U$1092,0),"")</f>
        <v/>
      </c>
    </row>
    <row r="93" customFormat="false" ht="15" hidden="false" customHeight="false" outlineLevel="0" collapsed="false">
      <c r="A93" s="12" t="str">
        <f aca="false">IF($L93="","",INDEX(Population!$B$2:$B$1092,$L93)&amp;"")</f>
        <v/>
      </c>
      <c r="B93" s="12" t="str">
        <f aca="false">IF($L93="","",INDEX(Population!$C$2:$C$1092,$L93)&amp;"")</f>
        <v/>
      </c>
      <c r="C93" s="12" t="str">
        <f aca="false">IF($L93="","",INDEX(Population!$D$2:$D$1092,$L93)&amp;"")</f>
        <v/>
      </c>
      <c r="D93" s="12" t="str">
        <f aca="false">IF($L93="","",INDEX(Population!$E$2:$E$1092,$L93))</f>
        <v/>
      </c>
      <c r="E93" s="12" t="str">
        <f aca="false">IF($L93="","",INDEX(Population!$F$2:$F$1092,$L93))</f>
        <v/>
      </c>
      <c r="F93" s="16" t="str">
        <f aca="false">IF($L93="","",INDEX(Population!$L$2:$L$1092,$L93))</f>
        <v/>
      </c>
      <c r="G93" s="16" t="str">
        <f aca="false">IF($L93="","",INDEX(Population!$M$2:$M$1092,$L93))</f>
        <v/>
      </c>
      <c r="H93" s="15" t="str">
        <f aca="false">IF($L93="","",Summary!$C$5)</f>
        <v/>
      </c>
      <c r="I93" s="12" t="str">
        <f aca="false">IF($L93="","","Above Materiality")</f>
        <v/>
      </c>
      <c r="J93" s="12" t="str">
        <f aca="false">IF($L93="","",INDEX(Population!$N$2:$N$1092,$L93))</f>
        <v/>
      </c>
      <c r="K93" s="12" t="str">
        <f aca="false">IF($L93="","",INDEX(Population!$G$2:$G$1092,$L93)&amp;" / row "&amp;INDEX(Population!$H$2:$H$1092,$L93))</f>
        <v/>
      </c>
      <c r="L93" s="26" t="str">
        <f aca="false">IFERROR(MATCH("Population 1|A|"&amp;ROWS($L$5:L93),Population!$U$2:$U$1092,0),"")</f>
        <v/>
      </c>
    </row>
    <row r="94" customFormat="false" ht="15" hidden="false" customHeight="false" outlineLevel="0" collapsed="false">
      <c r="A94" s="12" t="str">
        <f aca="false">IF($L94="","",INDEX(Population!$B$2:$B$1092,$L94)&amp;"")</f>
        <v/>
      </c>
      <c r="B94" s="12" t="str">
        <f aca="false">IF($L94="","",INDEX(Population!$C$2:$C$1092,$L94)&amp;"")</f>
        <v/>
      </c>
      <c r="C94" s="12" t="str">
        <f aca="false">IF($L94="","",INDEX(Population!$D$2:$D$1092,$L94)&amp;"")</f>
        <v/>
      </c>
      <c r="D94" s="12" t="str">
        <f aca="false">IF($L94="","",INDEX(Population!$E$2:$E$1092,$L94))</f>
        <v/>
      </c>
      <c r="E94" s="12" t="str">
        <f aca="false">IF($L94="","",INDEX(Population!$F$2:$F$1092,$L94))</f>
        <v/>
      </c>
      <c r="F94" s="16" t="str">
        <f aca="false">IF($L94="","",INDEX(Population!$L$2:$L$1092,$L94))</f>
        <v/>
      </c>
      <c r="G94" s="16" t="str">
        <f aca="false">IF($L94="","",INDEX(Population!$M$2:$M$1092,$L94))</f>
        <v/>
      </c>
      <c r="H94" s="15" t="str">
        <f aca="false">IF($L94="","",Summary!$C$5)</f>
        <v/>
      </c>
      <c r="I94" s="12" t="str">
        <f aca="false">IF($L94="","","Above Materiality")</f>
        <v/>
      </c>
      <c r="J94" s="12" t="str">
        <f aca="false">IF($L94="","",INDEX(Population!$N$2:$N$1092,$L94))</f>
        <v/>
      </c>
      <c r="K94" s="12" t="str">
        <f aca="false">IF($L94="","",INDEX(Population!$G$2:$G$1092,$L94)&amp;" / row "&amp;INDEX(Population!$H$2:$H$1092,$L94))</f>
        <v/>
      </c>
      <c r="L94" s="26" t="str">
        <f aca="false">IFERROR(MATCH("Population 1|A|"&amp;ROWS($L$5:L94),Population!$U$2:$U$1092,0),"")</f>
        <v/>
      </c>
    </row>
    <row r="95" customFormat="false" ht="15" hidden="false" customHeight="false" outlineLevel="0" collapsed="false">
      <c r="A95" s="12" t="str">
        <f aca="false">IF($L95="","",INDEX(Population!$B$2:$B$1092,$L95)&amp;"")</f>
        <v/>
      </c>
      <c r="B95" s="12" t="str">
        <f aca="false">IF($L95="","",INDEX(Population!$C$2:$C$1092,$L95)&amp;"")</f>
        <v/>
      </c>
      <c r="C95" s="12" t="str">
        <f aca="false">IF($L95="","",INDEX(Population!$D$2:$D$1092,$L95)&amp;"")</f>
        <v/>
      </c>
      <c r="D95" s="12" t="str">
        <f aca="false">IF($L95="","",INDEX(Population!$E$2:$E$1092,$L95))</f>
        <v/>
      </c>
      <c r="E95" s="12" t="str">
        <f aca="false">IF($L95="","",INDEX(Population!$F$2:$F$1092,$L95))</f>
        <v/>
      </c>
      <c r="F95" s="16" t="str">
        <f aca="false">IF($L95="","",INDEX(Population!$L$2:$L$1092,$L95))</f>
        <v/>
      </c>
      <c r="G95" s="16" t="str">
        <f aca="false">IF($L95="","",INDEX(Population!$M$2:$M$1092,$L95))</f>
        <v/>
      </c>
      <c r="H95" s="15" t="str">
        <f aca="false">IF($L95="","",Summary!$C$5)</f>
        <v/>
      </c>
      <c r="I95" s="12" t="str">
        <f aca="false">IF($L95="","","Above Materiality")</f>
        <v/>
      </c>
      <c r="J95" s="12" t="str">
        <f aca="false">IF($L95="","",INDEX(Population!$N$2:$N$1092,$L95))</f>
        <v/>
      </c>
      <c r="K95" s="12" t="str">
        <f aca="false">IF($L95="","",INDEX(Population!$G$2:$G$1092,$L95)&amp;" / row "&amp;INDEX(Population!$H$2:$H$1092,$L95))</f>
        <v/>
      </c>
      <c r="L95" s="26" t="str">
        <f aca="false">IFERROR(MATCH("Population 1|A|"&amp;ROWS($L$5:L95),Population!$U$2:$U$1092,0),"")</f>
        <v/>
      </c>
    </row>
    <row r="96" customFormat="false" ht="15" hidden="false" customHeight="false" outlineLevel="0" collapsed="false">
      <c r="A96" s="12" t="str">
        <f aca="false">IF($L96="","",INDEX(Population!$B$2:$B$1092,$L96)&amp;"")</f>
        <v/>
      </c>
      <c r="B96" s="12" t="str">
        <f aca="false">IF($L96="","",INDEX(Population!$C$2:$C$1092,$L96)&amp;"")</f>
        <v/>
      </c>
      <c r="C96" s="12" t="str">
        <f aca="false">IF($L96="","",INDEX(Population!$D$2:$D$1092,$L96)&amp;"")</f>
        <v/>
      </c>
      <c r="D96" s="12" t="str">
        <f aca="false">IF($L96="","",INDEX(Population!$E$2:$E$1092,$L96))</f>
        <v/>
      </c>
      <c r="E96" s="12" t="str">
        <f aca="false">IF($L96="","",INDEX(Population!$F$2:$F$1092,$L96))</f>
        <v/>
      </c>
      <c r="F96" s="16" t="str">
        <f aca="false">IF($L96="","",INDEX(Population!$L$2:$L$1092,$L96))</f>
        <v/>
      </c>
      <c r="G96" s="16" t="str">
        <f aca="false">IF($L96="","",INDEX(Population!$M$2:$M$1092,$L96))</f>
        <v/>
      </c>
      <c r="H96" s="15" t="str">
        <f aca="false">IF($L96="","",Summary!$C$5)</f>
        <v/>
      </c>
      <c r="I96" s="12" t="str">
        <f aca="false">IF($L96="","","Above Materiality")</f>
        <v/>
      </c>
      <c r="J96" s="12" t="str">
        <f aca="false">IF($L96="","",INDEX(Population!$N$2:$N$1092,$L96))</f>
        <v/>
      </c>
      <c r="K96" s="12" t="str">
        <f aca="false">IF($L96="","",INDEX(Population!$G$2:$G$1092,$L96)&amp;" / row "&amp;INDEX(Population!$H$2:$H$1092,$L96))</f>
        <v/>
      </c>
      <c r="L96" s="26" t="str">
        <f aca="false">IFERROR(MATCH("Population 1|A|"&amp;ROWS($L$5:L96),Population!$U$2:$U$1092,0),"")</f>
        <v/>
      </c>
    </row>
    <row r="97" customFormat="false" ht="15" hidden="false" customHeight="false" outlineLevel="0" collapsed="false">
      <c r="A97" s="12" t="str">
        <f aca="false">IF($L97="","",INDEX(Population!$B$2:$B$1092,$L97)&amp;"")</f>
        <v/>
      </c>
      <c r="B97" s="12" t="str">
        <f aca="false">IF($L97="","",INDEX(Population!$C$2:$C$1092,$L97)&amp;"")</f>
        <v/>
      </c>
      <c r="C97" s="12" t="str">
        <f aca="false">IF($L97="","",INDEX(Population!$D$2:$D$1092,$L97)&amp;"")</f>
        <v/>
      </c>
      <c r="D97" s="12" t="str">
        <f aca="false">IF($L97="","",INDEX(Population!$E$2:$E$1092,$L97))</f>
        <v/>
      </c>
      <c r="E97" s="12" t="str">
        <f aca="false">IF($L97="","",INDEX(Population!$F$2:$F$1092,$L97))</f>
        <v/>
      </c>
      <c r="F97" s="16" t="str">
        <f aca="false">IF($L97="","",INDEX(Population!$L$2:$L$1092,$L97))</f>
        <v/>
      </c>
      <c r="G97" s="16" t="str">
        <f aca="false">IF($L97="","",INDEX(Population!$M$2:$M$1092,$L97))</f>
        <v/>
      </c>
      <c r="H97" s="15" t="str">
        <f aca="false">IF($L97="","",Summary!$C$5)</f>
        <v/>
      </c>
      <c r="I97" s="12" t="str">
        <f aca="false">IF($L97="","","Above Materiality")</f>
        <v/>
      </c>
      <c r="J97" s="12" t="str">
        <f aca="false">IF($L97="","",INDEX(Population!$N$2:$N$1092,$L97))</f>
        <v/>
      </c>
      <c r="K97" s="12" t="str">
        <f aca="false">IF($L97="","",INDEX(Population!$G$2:$G$1092,$L97)&amp;" / row "&amp;INDEX(Population!$H$2:$H$1092,$L97))</f>
        <v/>
      </c>
      <c r="L97" s="26" t="str">
        <f aca="false">IFERROR(MATCH("Population 1|A|"&amp;ROWS($L$5:L97),Population!$U$2:$U$1092,0),"")</f>
        <v/>
      </c>
    </row>
    <row r="98" customFormat="false" ht="15" hidden="false" customHeight="false" outlineLevel="0" collapsed="false">
      <c r="A98" s="12" t="str">
        <f aca="false">IF($L98="","",INDEX(Population!$B$2:$B$1092,$L98)&amp;"")</f>
        <v/>
      </c>
      <c r="B98" s="12" t="str">
        <f aca="false">IF($L98="","",INDEX(Population!$C$2:$C$1092,$L98)&amp;"")</f>
        <v/>
      </c>
      <c r="C98" s="12" t="str">
        <f aca="false">IF($L98="","",INDEX(Population!$D$2:$D$1092,$L98)&amp;"")</f>
        <v/>
      </c>
      <c r="D98" s="12" t="str">
        <f aca="false">IF($L98="","",INDEX(Population!$E$2:$E$1092,$L98))</f>
        <v/>
      </c>
      <c r="E98" s="12" t="str">
        <f aca="false">IF($L98="","",INDEX(Population!$F$2:$F$1092,$L98))</f>
        <v/>
      </c>
      <c r="F98" s="16" t="str">
        <f aca="false">IF($L98="","",INDEX(Population!$L$2:$L$1092,$L98))</f>
        <v/>
      </c>
      <c r="G98" s="16" t="str">
        <f aca="false">IF($L98="","",INDEX(Population!$M$2:$M$1092,$L98))</f>
        <v/>
      </c>
      <c r="H98" s="15" t="str">
        <f aca="false">IF($L98="","",Summary!$C$5)</f>
        <v/>
      </c>
      <c r="I98" s="12" t="str">
        <f aca="false">IF($L98="","","Above Materiality")</f>
        <v/>
      </c>
      <c r="J98" s="12" t="str">
        <f aca="false">IF($L98="","",INDEX(Population!$N$2:$N$1092,$L98))</f>
        <v/>
      </c>
      <c r="K98" s="12" t="str">
        <f aca="false">IF($L98="","",INDEX(Population!$G$2:$G$1092,$L98)&amp;" / row "&amp;INDEX(Population!$H$2:$H$1092,$L98))</f>
        <v/>
      </c>
      <c r="L98" s="26" t="str">
        <f aca="false">IFERROR(MATCH("Population 1|A|"&amp;ROWS($L$5:L98),Population!$U$2:$U$1092,0),"")</f>
        <v/>
      </c>
    </row>
    <row r="99" customFormat="false" ht="15" hidden="false" customHeight="false" outlineLevel="0" collapsed="false">
      <c r="A99" s="12" t="str">
        <f aca="false">IF($L99="","",INDEX(Population!$B$2:$B$1092,$L99)&amp;"")</f>
        <v/>
      </c>
      <c r="B99" s="12" t="str">
        <f aca="false">IF($L99="","",INDEX(Population!$C$2:$C$1092,$L99)&amp;"")</f>
        <v/>
      </c>
      <c r="C99" s="12" t="str">
        <f aca="false">IF($L99="","",INDEX(Population!$D$2:$D$1092,$L99)&amp;"")</f>
        <v/>
      </c>
      <c r="D99" s="12" t="str">
        <f aca="false">IF($L99="","",INDEX(Population!$E$2:$E$1092,$L99))</f>
        <v/>
      </c>
      <c r="E99" s="12" t="str">
        <f aca="false">IF($L99="","",INDEX(Population!$F$2:$F$1092,$L99))</f>
        <v/>
      </c>
      <c r="F99" s="16" t="str">
        <f aca="false">IF($L99="","",INDEX(Population!$L$2:$L$1092,$L99))</f>
        <v/>
      </c>
      <c r="G99" s="16" t="str">
        <f aca="false">IF($L99="","",INDEX(Population!$M$2:$M$1092,$L99))</f>
        <v/>
      </c>
      <c r="H99" s="15" t="str">
        <f aca="false">IF($L99="","",Summary!$C$5)</f>
        <v/>
      </c>
      <c r="I99" s="12" t="str">
        <f aca="false">IF($L99="","","Above Materiality")</f>
        <v/>
      </c>
      <c r="J99" s="12" t="str">
        <f aca="false">IF($L99="","",INDEX(Population!$N$2:$N$1092,$L99))</f>
        <v/>
      </c>
      <c r="K99" s="12" t="str">
        <f aca="false">IF($L99="","",INDEX(Population!$G$2:$G$1092,$L99)&amp;" / row "&amp;INDEX(Population!$H$2:$H$1092,$L99))</f>
        <v/>
      </c>
      <c r="L99" s="26" t="str">
        <f aca="false">IFERROR(MATCH("Population 1|A|"&amp;ROWS($L$5:L99),Population!$U$2:$U$1092,0),"")</f>
        <v/>
      </c>
    </row>
    <row r="100" customFormat="false" ht="15" hidden="false" customHeight="false" outlineLevel="0" collapsed="false">
      <c r="A100" s="12" t="str">
        <f aca="false">IF($L100="","",INDEX(Population!$B$2:$B$1092,$L100)&amp;"")</f>
        <v/>
      </c>
      <c r="B100" s="12" t="str">
        <f aca="false">IF($L100="","",INDEX(Population!$C$2:$C$1092,$L100)&amp;"")</f>
        <v/>
      </c>
      <c r="C100" s="12" t="str">
        <f aca="false">IF($L100="","",INDEX(Population!$D$2:$D$1092,$L100)&amp;"")</f>
        <v/>
      </c>
      <c r="D100" s="12" t="str">
        <f aca="false">IF($L100="","",INDEX(Population!$E$2:$E$1092,$L100))</f>
        <v/>
      </c>
      <c r="E100" s="12" t="str">
        <f aca="false">IF($L100="","",INDEX(Population!$F$2:$F$1092,$L100))</f>
        <v/>
      </c>
      <c r="F100" s="16" t="str">
        <f aca="false">IF($L100="","",INDEX(Population!$L$2:$L$1092,$L100))</f>
        <v/>
      </c>
      <c r="G100" s="16" t="str">
        <f aca="false">IF($L100="","",INDEX(Population!$M$2:$M$1092,$L100))</f>
        <v/>
      </c>
      <c r="H100" s="15" t="str">
        <f aca="false">IF($L100="","",Summary!$C$5)</f>
        <v/>
      </c>
      <c r="I100" s="12" t="str">
        <f aca="false">IF($L100="","","Above Materiality")</f>
        <v/>
      </c>
      <c r="J100" s="12" t="str">
        <f aca="false">IF($L100="","",INDEX(Population!$N$2:$N$1092,$L100))</f>
        <v/>
      </c>
      <c r="K100" s="12" t="str">
        <f aca="false">IF($L100="","",INDEX(Population!$G$2:$G$1092,$L100)&amp;" / row "&amp;INDEX(Population!$H$2:$H$1092,$L100))</f>
        <v/>
      </c>
      <c r="L100" s="26" t="str">
        <f aca="false">IFERROR(MATCH("Population 1|A|"&amp;ROWS($L$5:L100),Population!$U$2:$U$1092,0),"")</f>
        <v/>
      </c>
    </row>
    <row r="101" customFormat="false" ht="15" hidden="false" customHeight="false" outlineLevel="0" collapsed="false">
      <c r="A101" s="12" t="str">
        <f aca="false">IF($L101="","",INDEX(Population!$B$2:$B$1092,$L101)&amp;"")</f>
        <v/>
      </c>
      <c r="B101" s="12" t="str">
        <f aca="false">IF($L101="","",INDEX(Population!$C$2:$C$1092,$L101)&amp;"")</f>
        <v/>
      </c>
      <c r="C101" s="12" t="str">
        <f aca="false">IF($L101="","",INDEX(Population!$D$2:$D$1092,$L101)&amp;"")</f>
        <v/>
      </c>
      <c r="D101" s="12" t="str">
        <f aca="false">IF($L101="","",INDEX(Population!$E$2:$E$1092,$L101))</f>
        <v/>
      </c>
      <c r="E101" s="12" t="str">
        <f aca="false">IF($L101="","",INDEX(Population!$F$2:$F$1092,$L101))</f>
        <v/>
      </c>
      <c r="F101" s="16" t="str">
        <f aca="false">IF($L101="","",INDEX(Population!$L$2:$L$1092,$L101))</f>
        <v/>
      </c>
      <c r="G101" s="16" t="str">
        <f aca="false">IF($L101="","",INDEX(Population!$M$2:$M$1092,$L101))</f>
        <v/>
      </c>
      <c r="H101" s="15" t="str">
        <f aca="false">IF($L101="","",Summary!$C$5)</f>
        <v/>
      </c>
      <c r="I101" s="12" t="str">
        <f aca="false">IF($L101="","","Above Materiality")</f>
        <v/>
      </c>
      <c r="J101" s="12" t="str">
        <f aca="false">IF($L101="","",INDEX(Population!$N$2:$N$1092,$L101))</f>
        <v/>
      </c>
      <c r="K101" s="12" t="str">
        <f aca="false">IF($L101="","",INDEX(Population!$G$2:$G$1092,$L101)&amp;" / row "&amp;INDEX(Population!$H$2:$H$1092,$L101))</f>
        <v/>
      </c>
      <c r="L101" s="26" t="str">
        <f aca="false">IFERROR(MATCH("Population 1|A|"&amp;ROWS($L$5:L101),Population!$U$2:$U$1092,0),"")</f>
        <v/>
      </c>
    </row>
    <row r="102" customFormat="false" ht="15" hidden="false" customHeight="false" outlineLevel="0" collapsed="false">
      <c r="A102" s="12" t="str">
        <f aca="false">IF($L102="","",INDEX(Population!$B$2:$B$1092,$L102)&amp;"")</f>
        <v/>
      </c>
      <c r="B102" s="12" t="str">
        <f aca="false">IF($L102="","",INDEX(Population!$C$2:$C$1092,$L102)&amp;"")</f>
        <v/>
      </c>
      <c r="C102" s="12" t="str">
        <f aca="false">IF($L102="","",INDEX(Population!$D$2:$D$1092,$L102)&amp;"")</f>
        <v/>
      </c>
      <c r="D102" s="12" t="str">
        <f aca="false">IF($L102="","",INDEX(Population!$E$2:$E$1092,$L102))</f>
        <v/>
      </c>
      <c r="E102" s="12" t="str">
        <f aca="false">IF($L102="","",INDEX(Population!$F$2:$F$1092,$L102))</f>
        <v/>
      </c>
      <c r="F102" s="16" t="str">
        <f aca="false">IF($L102="","",INDEX(Population!$L$2:$L$1092,$L102))</f>
        <v/>
      </c>
      <c r="G102" s="16" t="str">
        <f aca="false">IF($L102="","",INDEX(Population!$M$2:$M$1092,$L102))</f>
        <v/>
      </c>
      <c r="H102" s="15" t="str">
        <f aca="false">IF($L102="","",Summary!$C$5)</f>
        <v/>
      </c>
      <c r="I102" s="12" t="str">
        <f aca="false">IF($L102="","","Above Materiality")</f>
        <v/>
      </c>
      <c r="J102" s="12" t="str">
        <f aca="false">IF($L102="","",INDEX(Population!$N$2:$N$1092,$L102))</f>
        <v/>
      </c>
      <c r="K102" s="12" t="str">
        <f aca="false">IF($L102="","",INDEX(Population!$G$2:$G$1092,$L102)&amp;" / row "&amp;INDEX(Population!$H$2:$H$1092,$L102))</f>
        <v/>
      </c>
      <c r="L102" s="26" t="str">
        <f aca="false">IFERROR(MATCH("Population 1|A|"&amp;ROWS($L$5:L102),Population!$U$2:$U$1092,0),"")</f>
        <v/>
      </c>
    </row>
    <row r="103" customFormat="false" ht="15" hidden="false" customHeight="false" outlineLevel="0" collapsed="false">
      <c r="A103" s="12" t="str">
        <f aca="false">IF($L103="","",INDEX(Population!$B$2:$B$1092,$L103)&amp;"")</f>
        <v/>
      </c>
      <c r="B103" s="12" t="str">
        <f aca="false">IF($L103="","",INDEX(Population!$C$2:$C$1092,$L103)&amp;"")</f>
        <v/>
      </c>
      <c r="C103" s="12" t="str">
        <f aca="false">IF($L103="","",INDEX(Population!$D$2:$D$1092,$L103)&amp;"")</f>
        <v/>
      </c>
      <c r="D103" s="12" t="str">
        <f aca="false">IF($L103="","",INDEX(Population!$E$2:$E$1092,$L103))</f>
        <v/>
      </c>
      <c r="E103" s="12" t="str">
        <f aca="false">IF($L103="","",INDEX(Population!$F$2:$F$1092,$L103))</f>
        <v/>
      </c>
      <c r="F103" s="16" t="str">
        <f aca="false">IF($L103="","",INDEX(Population!$L$2:$L$1092,$L103))</f>
        <v/>
      </c>
      <c r="G103" s="16" t="str">
        <f aca="false">IF($L103="","",INDEX(Population!$M$2:$M$1092,$L103))</f>
        <v/>
      </c>
      <c r="H103" s="15" t="str">
        <f aca="false">IF($L103="","",Summary!$C$5)</f>
        <v/>
      </c>
      <c r="I103" s="12" t="str">
        <f aca="false">IF($L103="","","Above Materiality")</f>
        <v/>
      </c>
      <c r="J103" s="12" t="str">
        <f aca="false">IF($L103="","",INDEX(Population!$N$2:$N$1092,$L103))</f>
        <v/>
      </c>
      <c r="K103" s="12" t="str">
        <f aca="false">IF($L103="","",INDEX(Population!$G$2:$G$1092,$L103)&amp;" / row "&amp;INDEX(Population!$H$2:$H$1092,$L103))</f>
        <v/>
      </c>
      <c r="L103" s="26" t="str">
        <f aca="false">IFERROR(MATCH("Population 1|A|"&amp;ROWS($L$5:L103),Population!$U$2:$U$1092,0),"")</f>
        <v/>
      </c>
    </row>
    <row r="104" customFormat="false" ht="15" hidden="false" customHeight="false" outlineLevel="0" collapsed="false">
      <c r="A104" s="12" t="str">
        <f aca="false">IF($L104="","",INDEX(Population!$B$2:$B$1092,$L104)&amp;"")</f>
        <v/>
      </c>
      <c r="B104" s="12" t="str">
        <f aca="false">IF($L104="","",INDEX(Population!$C$2:$C$1092,$L104)&amp;"")</f>
        <v/>
      </c>
      <c r="C104" s="12" t="str">
        <f aca="false">IF($L104="","",INDEX(Population!$D$2:$D$1092,$L104)&amp;"")</f>
        <v/>
      </c>
      <c r="D104" s="12" t="str">
        <f aca="false">IF($L104="","",INDEX(Population!$E$2:$E$1092,$L104))</f>
        <v/>
      </c>
      <c r="E104" s="12" t="str">
        <f aca="false">IF($L104="","",INDEX(Population!$F$2:$F$1092,$L104))</f>
        <v/>
      </c>
      <c r="F104" s="16" t="str">
        <f aca="false">IF($L104="","",INDEX(Population!$L$2:$L$1092,$L104))</f>
        <v/>
      </c>
      <c r="G104" s="16" t="str">
        <f aca="false">IF($L104="","",INDEX(Population!$M$2:$M$1092,$L104))</f>
        <v/>
      </c>
      <c r="H104" s="15" t="str">
        <f aca="false">IF($L104="","",Summary!$C$5)</f>
        <v/>
      </c>
      <c r="I104" s="12" t="str">
        <f aca="false">IF($L104="","","Above Materiality")</f>
        <v/>
      </c>
      <c r="J104" s="12" t="str">
        <f aca="false">IF($L104="","",INDEX(Population!$N$2:$N$1092,$L104))</f>
        <v/>
      </c>
      <c r="K104" s="12" t="str">
        <f aca="false">IF($L104="","",INDEX(Population!$G$2:$G$1092,$L104)&amp;" / row "&amp;INDEX(Population!$H$2:$H$1092,$L104))</f>
        <v/>
      </c>
      <c r="L104" s="26" t="str">
        <f aca="false">IFERROR(MATCH("Population 1|A|"&amp;ROWS($L$5:L104),Population!$U$2:$U$1092,0),"")</f>
        <v/>
      </c>
    </row>
    <row r="105" customFormat="false" ht="15" hidden="false" customHeight="false" outlineLevel="0" collapsed="false">
      <c r="A105" s="12" t="str">
        <f aca="false">IF($L105="","",INDEX(Population!$B$2:$B$1092,$L105)&amp;"")</f>
        <v/>
      </c>
      <c r="B105" s="12" t="str">
        <f aca="false">IF($L105="","",INDEX(Population!$C$2:$C$1092,$L105)&amp;"")</f>
        <v/>
      </c>
      <c r="C105" s="12" t="str">
        <f aca="false">IF($L105="","",INDEX(Population!$D$2:$D$1092,$L105)&amp;"")</f>
        <v/>
      </c>
      <c r="D105" s="12" t="str">
        <f aca="false">IF($L105="","",INDEX(Population!$E$2:$E$1092,$L105))</f>
        <v/>
      </c>
      <c r="E105" s="12" t="str">
        <f aca="false">IF($L105="","",INDEX(Population!$F$2:$F$1092,$L105))</f>
        <v/>
      </c>
      <c r="F105" s="16" t="str">
        <f aca="false">IF($L105="","",INDEX(Population!$L$2:$L$1092,$L105))</f>
        <v/>
      </c>
      <c r="G105" s="16" t="str">
        <f aca="false">IF($L105="","",INDEX(Population!$M$2:$M$1092,$L105))</f>
        <v/>
      </c>
      <c r="H105" s="15" t="str">
        <f aca="false">IF($L105="","",Summary!$C$5)</f>
        <v/>
      </c>
      <c r="I105" s="12" t="str">
        <f aca="false">IF($L105="","","Above Materiality")</f>
        <v/>
      </c>
      <c r="J105" s="12" t="str">
        <f aca="false">IF($L105="","",INDEX(Population!$N$2:$N$1092,$L105))</f>
        <v/>
      </c>
      <c r="K105" s="12" t="str">
        <f aca="false">IF($L105="","",INDEX(Population!$G$2:$G$1092,$L105)&amp;" / row "&amp;INDEX(Population!$H$2:$H$1092,$L105))</f>
        <v/>
      </c>
      <c r="L105" s="26" t="str">
        <f aca="false">IFERROR(MATCH("Population 1|A|"&amp;ROWS($L$5:L105),Population!$U$2:$U$1092,0),"")</f>
        <v/>
      </c>
    </row>
    <row r="106" customFormat="false" ht="15" hidden="false" customHeight="false" outlineLevel="0" collapsed="false">
      <c r="A106" s="12" t="str">
        <f aca="false">IF($L106="","",INDEX(Population!$B$2:$B$1092,$L106)&amp;"")</f>
        <v/>
      </c>
      <c r="B106" s="12" t="str">
        <f aca="false">IF($L106="","",INDEX(Population!$C$2:$C$1092,$L106)&amp;"")</f>
        <v/>
      </c>
      <c r="C106" s="12" t="str">
        <f aca="false">IF($L106="","",INDEX(Population!$D$2:$D$1092,$L106)&amp;"")</f>
        <v/>
      </c>
      <c r="D106" s="12" t="str">
        <f aca="false">IF($L106="","",INDEX(Population!$E$2:$E$1092,$L106))</f>
        <v/>
      </c>
      <c r="E106" s="12" t="str">
        <f aca="false">IF($L106="","",INDEX(Population!$F$2:$F$1092,$L106))</f>
        <v/>
      </c>
      <c r="F106" s="16" t="str">
        <f aca="false">IF($L106="","",INDEX(Population!$L$2:$L$1092,$L106))</f>
        <v/>
      </c>
      <c r="G106" s="16" t="str">
        <f aca="false">IF($L106="","",INDEX(Population!$M$2:$M$1092,$L106))</f>
        <v/>
      </c>
      <c r="H106" s="15" t="str">
        <f aca="false">IF($L106="","",Summary!$C$5)</f>
        <v/>
      </c>
      <c r="I106" s="12" t="str">
        <f aca="false">IF($L106="","","Above Materiality")</f>
        <v/>
      </c>
      <c r="J106" s="12" t="str">
        <f aca="false">IF($L106="","",INDEX(Population!$N$2:$N$1092,$L106))</f>
        <v/>
      </c>
      <c r="K106" s="12" t="str">
        <f aca="false">IF($L106="","",INDEX(Population!$G$2:$G$1092,$L106)&amp;" / row "&amp;INDEX(Population!$H$2:$H$1092,$L106))</f>
        <v/>
      </c>
      <c r="L106" s="26" t="str">
        <f aca="false">IFERROR(MATCH("Population 1|A|"&amp;ROWS($L$5:L106),Population!$U$2:$U$1092,0),"")</f>
        <v/>
      </c>
    </row>
    <row r="107" customFormat="false" ht="15" hidden="false" customHeight="false" outlineLevel="0" collapsed="false">
      <c r="A107" s="12" t="str">
        <f aca="false">IF($L107="","",INDEX(Population!$B$2:$B$1092,$L107)&amp;"")</f>
        <v/>
      </c>
      <c r="B107" s="12" t="str">
        <f aca="false">IF($L107="","",INDEX(Population!$C$2:$C$1092,$L107)&amp;"")</f>
        <v/>
      </c>
      <c r="C107" s="12" t="str">
        <f aca="false">IF($L107="","",INDEX(Population!$D$2:$D$1092,$L107)&amp;"")</f>
        <v/>
      </c>
      <c r="D107" s="12" t="str">
        <f aca="false">IF($L107="","",INDEX(Population!$E$2:$E$1092,$L107))</f>
        <v/>
      </c>
      <c r="E107" s="12" t="str">
        <f aca="false">IF($L107="","",INDEX(Population!$F$2:$F$1092,$L107))</f>
        <v/>
      </c>
      <c r="F107" s="16" t="str">
        <f aca="false">IF($L107="","",INDEX(Population!$L$2:$L$1092,$L107))</f>
        <v/>
      </c>
      <c r="G107" s="16" t="str">
        <f aca="false">IF($L107="","",INDEX(Population!$M$2:$M$1092,$L107))</f>
        <v/>
      </c>
      <c r="H107" s="15" t="str">
        <f aca="false">IF($L107="","",Summary!$C$5)</f>
        <v/>
      </c>
      <c r="I107" s="12" t="str">
        <f aca="false">IF($L107="","","Above Materiality")</f>
        <v/>
      </c>
      <c r="J107" s="12" t="str">
        <f aca="false">IF($L107="","",INDEX(Population!$N$2:$N$1092,$L107))</f>
        <v/>
      </c>
      <c r="K107" s="12" t="str">
        <f aca="false">IF($L107="","",INDEX(Population!$G$2:$G$1092,$L107)&amp;" / row "&amp;INDEX(Population!$H$2:$H$1092,$L107))</f>
        <v/>
      </c>
      <c r="L107" s="26" t="str">
        <f aca="false">IFERROR(MATCH("Population 1|A|"&amp;ROWS($L$5:L107),Population!$U$2:$U$1092,0),"")</f>
        <v/>
      </c>
    </row>
    <row r="108" customFormat="false" ht="15" hidden="false" customHeight="false" outlineLevel="0" collapsed="false">
      <c r="A108" s="12" t="str">
        <f aca="false">IF($L108="","",INDEX(Population!$B$2:$B$1092,$L108)&amp;"")</f>
        <v/>
      </c>
      <c r="B108" s="12" t="str">
        <f aca="false">IF($L108="","",INDEX(Population!$C$2:$C$1092,$L108)&amp;"")</f>
        <v/>
      </c>
      <c r="C108" s="12" t="str">
        <f aca="false">IF($L108="","",INDEX(Population!$D$2:$D$1092,$L108)&amp;"")</f>
        <v/>
      </c>
      <c r="D108" s="12" t="str">
        <f aca="false">IF($L108="","",INDEX(Population!$E$2:$E$1092,$L108))</f>
        <v/>
      </c>
      <c r="E108" s="12" t="str">
        <f aca="false">IF($L108="","",INDEX(Population!$F$2:$F$1092,$L108))</f>
        <v/>
      </c>
      <c r="F108" s="16" t="str">
        <f aca="false">IF($L108="","",INDEX(Population!$L$2:$L$1092,$L108))</f>
        <v/>
      </c>
      <c r="G108" s="16" t="str">
        <f aca="false">IF($L108="","",INDEX(Population!$M$2:$M$1092,$L108))</f>
        <v/>
      </c>
      <c r="H108" s="15" t="str">
        <f aca="false">IF($L108="","",Summary!$C$5)</f>
        <v/>
      </c>
      <c r="I108" s="12" t="str">
        <f aca="false">IF($L108="","","Above Materiality")</f>
        <v/>
      </c>
      <c r="J108" s="12" t="str">
        <f aca="false">IF($L108="","",INDEX(Population!$N$2:$N$1092,$L108))</f>
        <v/>
      </c>
      <c r="K108" s="12" t="str">
        <f aca="false">IF($L108="","",INDEX(Population!$G$2:$G$1092,$L108)&amp;" / row "&amp;INDEX(Population!$H$2:$H$1092,$L108))</f>
        <v/>
      </c>
      <c r="L108" s="26" t="str">
        <f aca="false">IFERROR(MATCH("Population 1|A|"&amp;ROWS($L$5:L108),Population!$U$2:$U$1092,0),"")</f>
        <v/>
      </c>
    </row>
    <row r="109" customFormat="false" ht="15" hidden="false" customHeight="false" outlineLevel="0" collapsed="false">
      <c r="A109" s="12" t="str">
        <f aca="false">IF($L109="","",INDEX(Population!$B$2:$B$1092,$L109)&amp;"")</f>
        <v/>
      </c>
      <c r="B109" s="12" t="str">
        <f aca="false">IF($L109="","",INDEX(Population!$C$2:$C$1092,$L109)&amp;"")</f>
        <v/>
      </c>
      <c r="C109" s="12" t="str">
        <f aca="false">IF($L109="","",INDEX(Population!$D$2:$D$1092,$L109)&amp;"")</f>
        <v/>
      </c>
      <c r="D109" s="12" t="str">
        <f aca="false">IF($L109="","",INDEX(Population!$E$2:$E$1092,$L109))</f>
        <v/>
      </c>
      <c r="E109" s="12" t="str">
        <f aca="false">IF($L109="","",INDEX(Population!$F$2:$F$1092,$L109))</f>
        <v/>
      </c>
      <c r="F109" s="16" t="str">
        <f aca="false">IF($L109="","",INDEX(Population!$L$2:$L$1092,$L109))</f>
        <v/>
      </c>
      <c r="G109" s="16" t="str">
        <f aca="false">IF($L109="","",INDEX(Population!$M$2:$M$1092,$L109))</f>
        <v/>
      </c>
      <c r="H109" s="15" t="str">
        <f aca="false">IF($L109="","",Summary!$C$5)</f>
        <v/>
      </c>
      <c r="I109" s="12" t="str">
        <f aca="false">IF($L109="","","Above Materiality")</f>
        <v/>
      </c>
      <c r="J109" s="12" t="str">
        <f aca="false">IF($L109="","",INDEX(Population!$N$2:$N$1092,$L109))</f>
        <v/>
      </c>
      <c r="K109" s="12" t="str">
        <f aca="false">IF($L109="","",INDEX(Population!$G$2:$G$1092,$L109)&amp;" / row "&amp;INDEX(Population!$H$2:$H$1092,$L109))</f>
        <v/>
      </c>
      <c r="L109" s="26" t="str">
        <f aca="false">IFERROR(MATCH("Population 1|A|"&amp;ROWS($L$5:L109),Population!$U$2:$U$1092,0),"")</f>
        <v/>
      </c>
    </row>
    <row r="110" customFormat="false" ht="15" hidden="false" customHeight="false" outlineLevel="0" collapsed="false">
      <c r="A110" s="12" t="str">
        <f aca="false">IF($L110="","",INDEX(Population!$B$2:$B$1092,$L110)&amp;"")</f>
        <v/>
      </c>
      <c r="B110" s="12" t="str">
        <f aca="false">IF($L110="","",INDEX(Population!$C$2:$C$1092,$L110)&amp;"")</f>
        <v/>
      </c>
      <c r="C110" s="12" t="str">
        <f aca="false">IF($L110="","",INDEX(Population!$D$2:$D$1092,$L110)&amp;"")</f>
        <v/>
      </c>
      <c r="D110" s="12" t="str">
        <f aca="false">IF($L110="","",INDEX(Population!$E$2:$E$1092,$L110))</f>
        <v/>
      </c>
      <c r="E110" s="12" t="str">
        <f aca="false">IF($L110="","",INDEX(Population!$F$2:$F$1092,$L110))</f>
        <v/>
      </c>
      <c r="F110" s="16" t="str">
        <f aca="false">IF($L110="","",INDEX(Population!$L$2:$L$1092,$L110))</f>
        <v/>
      </c>
      <c r="G110" s="16" t="str">
        <f aca="false">IF($L110="","",INDEX(Population!$M$2:$M$1092,$L110))</f>
        <v/>
      </c>
      <c r="H110" s="15" t="str">
        <f aca="false">IF($L110="","",Summary!$C$5)</f>
        <v/>
      </c>
      <c r="I110" s="12" t="str">
        <f aca="false">IF($L110="","","Above Materiality")</f>
        <v/>
      </c>
      <c r="J110" s="12" t="str">
        <f aca="false">IF($L110="","",INDEX(Population!$N$2:$N$1092,$L110))</f>
        <v/>
      </c>
      <c r="K110" s="12" t="str">
        <f aca="false">IF($L110="","",INDEX(Population!$G$2:$G$1092,$L110)&amp;" / row "&amp;INDEX(Population!$H$2:$H$1092,$L110))</f>
        <v/>
      </c>
      <c r="L110" s="26" t="str">
        <f aca="false">IFERROR(MATCH("Population 1|A|"&amp;ROWS($L$5:L110),Population!$U$2:$U$1092,0),"")</f>
        <v/>
      </c>
    </row>
    <row r="111" customFormat="false" ht="15" hidden="false" customHeight="false" outlineLevel="0" collapsed="false">
      <c r="A111" s="12" t="str">
        <f aca="false">IF($L111="","",INDEX(Population!$B$2:$B$1092,$L111)&amp;"")</f>
        <v/>
      </c>
      <c r="B111" s="12" t="str">
        <f aca="false">IF($L111="","",INDEX(Population!$C$2:$C$1092,$L111)&amp;"")</f>
        <v/>
      </c>
      <c r="C111" s="12" t="str">
        <f aca="false">IF($L111="","",INDEX(Population!$D$2:$D$1092,$L111)&amp;"")</f>
        <v/>
      </c>
      <c r="D111" s="12" t="str">
        <f aca="false">IF($L111="","",INDEX(Population!$E$2:$E$1092,$L111))</f>
        <v/>
      </c>
      <c r="E111" s="12" t="str">
        <f aca="false">IF($L111="","",INDEX(Population!$F$2:$F$1092,$L111))</f>
        <v/>
      </c>
      <c r="F111" s="16" t="str">
        <f aca="false">IF($L111="","",INDEX(Population!$L$2:$L$1092,$L111))</f>
        <v/>
      </c>
      <c r="G111" s="16" t="str">
        <f aca="false">IF($L111="","",INDEX(Population!$M$2:$M$1092,$L111))</f>
        <v/>
      </c>
      <c r="H111" s="15" t="str">
        <f aca="false">IF($L111="","",Summary!$C$5)</f>
        <v/>
      </c>
      <c r="I111" s="12" t="str">
        <f aca="false">IF($L111="","","Above Materiality")</f>
        <v/>
      </c>
      <c r="J111" s="12" t="str">
        <f aca="false">IF($L111="","",INDEX(Population!$N$2:$N$1092,$L111))</f>
        <v/>
      </c>
      <c r="K111" s="12" t="str">
        <f aca="false">IF($L111="","",INDEX(Population!$G$2:$G$1092,$L111)&amp;" / row "&amp;INDEX(Population!$H$2:$H$1092,$L111))</f>
        <v/>
      </c>
      <c r="L111" s="26" t="str">
        <f aca="false">IFERROR(MATCH("Population 1|A|"&amp;ROWS($L$5:L111),Population!$U$2:$U$1092,0),"")</f>
        <v/>
      </c>
    </row>
    <row r="112" customFormat="false" ht="15" hidden="false" customHeight="false" outlineLevel="0" collapsed="false">
      <c r="A112" s="12" t="str">
        <f aca="false">IF($L112="","",INDEX(Population!$B$2:$B$1092,$L112)&amp;"")</f>
        <v/>
      </c>
      <c r="B112" s="12" t="str">
        <f aca="false">IF($L112="","",INDEX(Population!$C$2:$C$1092,$L112)&amp;"")</f>
        <v/>
      </c>
      <c r="C112" s="12" t="str">
        <f aca="false">IF($L112="","",INDEX(Population!$D$2:$D$1092,$L112)&amp;"")</f>
        <v/>
      </c>
      <c r="D112" s="12" t="str">
        <f aca="false">IF($L112="","",INDEX(Population!$E$2:$E$1092,$L112))</f>
        <v/>
      </c>
      <c r="E112" s="12" t="str">
        <f aca="false">IF($L112="","",INDEX(Population!$F$2:$F$1092,$L112))</f>
        <v/>
      </c>
      <c r="F112" s="16" t="str">
        <f aca="false">IF($L112="","",INDEX(Population!$L$2:$L$1092,$L112))</f>
        <v/>
      </c>
      <c r="G112" s="16" t="str">
        <f aca="false">IF($L112="","",INDEX(Population!$M$2:$M$1092,$L112))</f>
        <v/>
      </c>
      <c r="H112" s="15" t="str">
        <f aca="false">IF($L112="","",Summary!$C$5)</f>
        <v/>
      </c>
      <c r="I112" s="12" t="str">
        <f aca="false">IF($L112="","","Above Materiality")</f>
        <v/>
      </c>
      <c r="J112" s="12" t="str">
        <f aca="false">IF($L112="","",INDEX(Population!$N$2:$N$1092,$L112))</f>
        <v/>
      </c>
      <c r="K112" s="12" t="str">
        <f aca="false">IF($L112="","",INDEX(Population!$G$2:$G$1092,$L112)&amp;" / row "&amp;INDEX(Population!$H$2:$H$1092,$L112))</f>
        <v/>
      </c>
      <c r="L112" s="26" t="str">
        <f aca="false">IFERROR(MATCH("Population 1|A|"&amp;ROWS($L$5:L112),Population!$U$2:$U$1092,0),"")</f>
        <v/>
      </c>
    </row>
    <row r="113" customFormat="false" ht="15" hidden="false" customHeight="false" outlineLevel="0" collapsed="false">
      <c r="A113" s="12" t="str">
        <f aca="false">IF($L113="","",INDEX(Population!$B$2:$B$1092,$L113)&amp;"")</f>
        <v/>
      </c>
      <c r="B113" s="12" t="str">
        <f aca="false">IF($L113="","",INDEX(Population!$C$2:$C$1092,$L113)&amp;"")</f>
        <v/>
      </c>
      <c r="C113" s="12" t="str">
        <f aca="false">IF($L113="","",INDEX(Population!$D$2:$D$1092,$L113)&amp;"")</f>
        <v/>
      </c>
      <c r="D113" s="12" t="str">
        <f aca="false">IF($L113="","",INDEX(Population!$E$2:$E$1092,$L113))</f>
        <v/>
      </c>
      <c r="E113" s="12" t="str">
        <f aca="false">IF($L113="","",INDEX(Population!$F$2:$F$1092,$L113))</f>
        <v/>
      </c>
      <c r="F113" s="16" t="str">
        <f aca="false">IF($L113="","",INDEX(Population!$L$2:$L$1092,$L113))</f>
        <v/>
      </c>
      <c r="G113" s="16" t="str">
        <f aca="false">IF($L113="","",INDEX(Population!$M$2:$M$1092,$L113))</f>
        <v/>
      </c>
      <c r="H113" s="15" t="str">
        <f aca="false">IF($L113="","",Summary!$C$5)</f>
        <v/>
      </c>
      <c r="I113" s="12" t="str">
        <f aca="false">IF($L113="","","Above Materiality")</f>
        <v/>
      </c>
      <c r="J113" s="12" t="str">
        <f aca="false">IF($L113="","",INDEX(Population!$N$2:$N$1092,$L113))</f>
        <v/>
      </c>
      <c r="K113" s="12" t="str">
        <f aca="false">IF($L113="","",INDEX(Population!$G$2:$G$1092,$L113)&amp;" / row "&amp;INDEX(Population!$H$2:$H$1092,$L113))</f>
        <v/>
      </c>
      <c r="L113" s="26" t="str">
        <f aca="false">IFERROR(MATCH("Population 1|A|"&amp;ROWS($L$5:L113),Population!$U$2:$U$1092,0),"")</f>
        <v/>
      </c>
    </row>
    <row r="114" customFormat="false" ht="15" hidden="false" customHeight="false" outlineLevel="0" collapsed="false">
      <c r="A114" s="12" t="str">
        <f aca="false">IF($L114="","",INDEX(Population!$B$2:$B$1092,$L114)&amp;"")</f>
        <v/>
      </c>
      <c r="B114" s="12" t="str">
        <f aca="false">IF($L114="","",INDEX(Population!$C$2:$C$1092,$L114)&amp;"")</f>
        <v/>
      </c>
      <c r="C114" s="12" t="str">
        <f aca="false">IF($L114="","",INDEX(Population!$D$2:$D$1092,$L114)&amp;"")</f>
        <v/>
      </c>
      <c r="D114" s="12" t="str">
        <f aca="false">IF($L114="","",INDEX(Population!$E$2:$E$1092,$L114))</f>
        <v/>
      </c>
      <c r="E114" s="12" t="str">
        <f aca="false">IF($L114="","",INDEX(Population!$F$2:$F$1092,$L114))</f>
        <v/>
      </c>
      <c r="F114" s="16" t="str">
        <f aca="false">IF($L114="","",INDEX(Population!$L$2:$L$1092,$L114))</f>
        <v/>
      </c>
      <c r="G114" s="16" t="str">
        <f aca="false">IF($L114="","",INDEX(Population!$M$2:$M$1092,$L114))</f>
        <v/>
      </c>
      <c r="H114" s="15" t="str">
        <f aca="false">IF($L114="","",Summary!$C$5)</f>
        <v/>
      </c>
      <c r="I114" s="12" t="str">
        <f aca="false">IF($L114="","","Above Materiality")</f>
        <v/>
      </c>
      <c r="J114" s="12" t="str">
        <f aca="false">IF($L114="","",INDEX(Population!$N$2:$N$1092,$L114))</f>
        <v/>
      </c>
      <c r="K114" s="12" t="str">
        <f aca="false">IF($L114="","",INDEX(Population!$G$2:$G$1092,$L114)&amp;" / row "&amp;INDEX(Population!$H$2:$H$1092,$L114))</f>
        <v/>
      </c>
      <c r="L114" s="26" t="str">
        <f aca="false">IFERROR(MATCH("Population 1|A|"&amp;ROWS($L$5:L114),Population!$U$2:$U$1092,0),"")</f>
        <v/>
      </c>
    </row>
    <row r="115" customFormat="false" ht="15" hidden="false" customHeight="false" outlineLevel="0" collapsed="false">
      <c r="A115" s="12" t="str">
        <f aca="false">IF($L115="","",INDEX(Population!$B$2:$B$1092,$L115)&amp;"")</f>
        <v/>
      </c>
      <c r="B115" s="12" t="str">
        <f aca="false">IF($L115="","",INDEX(Population!$C$2:$C$1092,$L115)&amp;"")</f>
        <v/>
      </c>
      <c r="C115" s="12" t="str">
        <f aca="false">IF($L115="","",INDEX(Population!$D$2:$D$1092,$L115)&amp;"")</f>
        <v/>
      </c>
      <c r="D115" s="12" t="str">
        <f aca="false">IF($L115="","",INDEX(Population!$E$2:$E$1092,$L115))</f>
        <v/>
      </c>
      <c r="E115" s="12" t="str">
        <f aca="false">IF($L115="","",INDEX(Population!$F$2:$F$1092,$L115))</f>
        <v/>
      </c>
      <c r="F115" s="16" t="str">
        <f aca="false">IF($L115="","",INDEX(Population!$L$2:$L$1092,$L115))</f>
        <v/>
      </c>
      <c r="G115" s="16" t="str">
        <f aca="false">IF($L115="","",INDEX(Population!$M$2:$M$1092,$L115))</f>
        <v/>
      </c>
      <c r="H115" s="15" t="str">
        <f aca="false">IF($L115="","",Summary!$C$5)</f>
        <v/>
      </c>
      <c r="I115" s="12" t="str">
        <f aca="false">IF($L115="","","Above Materiality")</f>
        <v/>
      </c>
      <c r="J115" s="12" t="str">
        <f aca="false">IF($L115="","",INDEX(Population!$N$2:$N$1092,$L115))</f>
        <v/>
      </c>
      <c r="K115" s="12" t="str">
        <f aca="false">IF($L115="","",INDEX(Population!$G$2:$G$1092,$L115)&amp;" / row "&amp;INDEX(Population!$H$2:$H$1092,$L115))</f>
        <v/>
      </c>
      <c r="L115" s="26" t="str">
        <f aca="false">IFERROR(MATCH("Population 1|A|"&amp;ROWS($L$5:L115),Population!$U$2:$U$1092,0),"")</f>
        <v/>
      </c>
    </row>
    <row r="116" customFormat="false" ht="15" hidden="false" customHeight="false" outlineLevel="0" collapsed="false">
      <c r="A116" s="12" t="str">
        <f aca="false">IF($L116="","",INDEX(Population!$B$2:$B$1092,$L116)&amp;"")</f>
        <v/>
      </c>
      <c r="B116" s="12" t="str">
        <f aca="false">IF($L116="","",INDEX(Population!$C$2:$C$1092,$L116)&amp;"")</f>
        <v/>
      </c>
      <c r="C116" s="12" t="str">
        <f aca="false">IF($L116="","",INDEX(Population!$D$2:$D$1092,$L116)&amp;"")</f>
        <v/>
      </c>
      <c r="D116" s="12" t="str">
        <f aca="false">IF($L116="","",INDEX(Population!$E$2:$E$1092,$L116))</f>
        <v/>
      </c>
      <c r="E116" s="12" t="str">
        <f aca="false">IF($L116="","",INDEX(Population!$F$2:$F$1092,$L116))</f>
        <v/>
      </c>
      <c r="F116" s="16" t="str">
        <f aca="false">IF($L116="","",INDEX(Population!$L$2:$L$1092,$L116))</f>
        <v/>
      </c>
      <c r="G116" s="16" t="str">
        <f aca="false">IF($L116="","",INDEX(Population!$M$2:$M$1092,$L116))</f>
        <v/>
      </c>
      <c r="H116" s="15" t="str">
        <f aca="false">IF($L116="","",Summary!$C$5)</f>
        <v/>
      </c>
      <c r="I116" s="12" t="str">
        <f aca="false">IF($L116="","","Above Materiality")</f>
        <v/>
      </c>
      <c r="J116" s="12" t="str">
        <f aca="false">IF($L116="","",INDEX(Population!$N$2:$N$1092,$L116))</f>
        <v/>
      </c>
      <c r="K116" s="12" t="str">
        <f aca="false">IF($L116="","",INDEX(Population!$G$2:$G$1092,$L116)&amp;" / row "&amp;INDEX(Population!$H$2:$H$1092,$L116))</f>
        <v/>
      </c>
      <c r="L116" s="26" t="str">
        <f aca="false">IFERROR(MATCH("Population 1|A|"&amp;ROWS($L$5:L116),Population!$U$2:$U$1092,0),"")</f>
        <v/>
      </c>
    </row>
    <row r="117" customFormat="false" ht="15" hidden="false" customHeight="false" outlineLevel="0" collapsed="false">
      <c r="A117" s="12" t="str">
        <f aca="false">IF($L117="","",INDEX(Population!$B$2:$B$1092,$L117)&amp;"")</f>
        <v/>
      </c>
      <c r="B117" s="12" t="str">
        <f aca="false">IF($L117="","",INDEX(Population!$C$2:$C$1092,$L117)&amp;"")</f>
        <v/>
      </c>
      <c r="C117" s="12" t="str">
        <f aca="false">IF($L117="","",INDEX(Population!$D$2:$D$1092,$L117)&amp;"")</f>
        <v/>
      </c>
      <c r="D117" s="12" t="str">
        <f aca="false">IF($L117="","",INDEX(Population!$E$2:$E$1092,$L117))</f>
        <v/>
      </c>
      <c r="E117" s="12" t="str">
        <f aca="false">IF($L117="","",INDEX(Population!$F$2:$F$1092,$L117))</f>
        <v/>
      </c>
      <c r="F117" s="16" t="str">
        <f aca="false">IF($L117="","",INDEX(Population!$L$2:$L$1092,$L117))</f>
        <v/>
      </c>
      <c r="G117" s="16" t="str">
        <f aca="false">IF($L117="","",INDEX(Population!$M$2:$M$1092,$L117))</f>
        <v/>
      </c>
      <c r="H117" s="15" t="str">
        <f aca="false">IF($L117="","",Summary!$C$5)</f>
        <v/>
      </c>
      <c r="I117" s="12" t="str">
        <f aca="false">IF($L117="","","Above Materiality")</f>
        <v/>
      </c>
      <c r="J117" s="12" t="str">
        <f aca="false">IF($L117="","",INDEX(Population!$N$2:$N$1092,$L117))</f>
        <v/>
      </c>
      <c r="K117" s="12" t="str">
        <f aca="false">IF($L117="","",INDEX(Population!$G$2:$G$1092,$L117)&amp;" / row "&amp;INDEX(Population!$H$2:$H$1092,$L117))</f>
        <v/>
      </c>
      <c r="L117" s="26" t="str">
        <f aca="false">IFERROR(MATCH("Population 1|A|"&amp;ROWS($L$5:L117),Population!$U$2:$U$1092,0),"")</f>
        <v/>
      </c>
    </row>
    <row r="118" customFormat="false" ht="15" hidden="false" customHeight="false" outlineLevel="0" collapsed="false">
      <c r="A118" s="12" t="str">
        <f aca="false">IF($L118="","",INDEX(Population!$B$2:$B$1092,$L118)&amp;"")</f>
        <v/>
      </c>
      <c r="B118" s="12" t="str">
        <f aca="false">IF($L118="","",INDEX(Population!$C$2:$C$1092,$L118)&amp;"")</f>
        <v/>
      </c>
      <c r="C118" s="12" t="str">
        <f aca="false">IF($L118="","",INDEX(Population!$D$2:$D$1092,$L118)&amp;"")</f>
        <v/>
      </c>
      <c r="D118" s="12" t="str">
        <f aca="false">IF($L118="","",INDEX(Population!$E$2:$E$1092,$L118))</f>
        <v/>
      </c>
      <c r="E118" s="12" t="str">
        <f aca="false">IF($L118="","",INDEX(Population!$F$2:$F$1092,$L118))</f>
        <v/>
      </c>
      <c r="F118" s="16" t="str">
        <f aca="false">IF($L118="","",INDEX(Population!$L$2:$L$1092,$L118))</f>
        <v/>
      </c>
      <c r="G118" s="16" t="str">
        <f aca="false">IF($L118="","",INDEX(Population!$M$2:$M$1092,$L118))</f>
        <v/>
      </c>
      <c r="H118" s="15" t="str">
        <f aca="false">IF($L118="","",Summary!$C$5)</f>
        <v/>
      </c>
      <c r="I118" s="12" t="str">
        <f aca="false">IF($L118="","","Above Materiality")</f>
        <v/>
      </c>
      <c r="J118" s="12" t="str">
        <f aca="false">IF($L118="","",INDEX(Population!$N$2:$N$1092,$L118))</f>
        <v/>
      </c>
      <c r="K118" s="12" t="str">
        <f aca="false">IF($L118="","",INDEX(Population!$G$2:$G$1092,$L118)&amp;" / row "&amp;INDEX(Population!$H$2:$H$1092,$L118))</f>
        <v/>
      </c>
      <c r="L118" s="26" t="str">
        <f aca="false">IFERROR(MATCH("Population 1|A|"&amp;ROWS($L$5:L118),Population!$U$2:$U$1092,0),"")</f>
        <v/>
      </c>
    </row>
    <row r="119" customFormat="false" ht="15" hidden="false" customHeight="false" outlineLevel="0" collapsed="false">
      <c r="A119" s="12" t="str">
        <f aca="false">IF($L119="","",INDEX(Population!$B$2:$B$1092,$L119)&amp;"")</f>
        <v/>
      </c>
      <c r="B119" s="12" t="str">
        <f aca="false">IF($L119="","",INDEX(Population!$C$2:$C$1092,$L119)&amp;"")</f>
        <v/>
      </c>
      <c r="C119" s="12" t="str">
        <f aca="false">IF($L119="","",INDEX(Population!$D$2:$D$1092,$L119)&amp;"")</f>
        <v/>
      </c>
      <c r="D119" s="12" t="str">
        <f aca="false">IF($L119="","",INDEX(Population!$E$2:$E$1092,$L119))</f>
        <v/>
      </c>
      <c r="E119" s="12" t="str">
        <f aca="false">IF($L119="","",INDEX(Population!$F$2:$F$1092,$L119))</f>
        <v/>
      </c>
      <c r="F119" s="16" t="str">
        <f aca="false">IF($L119="","",INDEX(Population!$L$2:$L$1092,$L119))</f>
        <v/>
      </c>
      <c r="G119" s="16" t="str">
        <f aca="false">IF($L119="","",INDEX(Population!$M$2:$M$1092,$L119))</f>
        <v/>
      </c>
      <c r="H119" s="15" t="str">
        <f aca="false">IF($L119="","",Summary!$C$5)</f>
        <v/>
      </c>
      <c r="I119" s="12" t="str">
        <f aca="false">IF($L119="","","Above Materiality")</f>
        <v/>
      </c>
      <c r="J119" s="12" t="str">
        <f aca="false">IF($L119="","",INDEX(Population!$N$2:$N$1092,$L119))</f>
        <v/>
      </c>
      <c r="K119" s="12" t="str">
        <f aca="false">IF($L119="","",INDEX(Population!$G$2:$G$1092,$L119)&amp;" / row "&amp;INDEX(Population!$H$2:$H$1092,$L119))</f>
        <v/>
      </c>
      <c r="L119" s="26" t="str">
        <f aca="false">IFERROR(MATCH("Population 1|A|"&amp;ROWS($L$5:L119),Population!$U$2:$U$1092,0),"")</f>
        <v/>
      </c>
    </row>
    <row r="120" customFormat="false" ht="15" hidden="false" customHeight="false" outlineLevel="0" collapsed="false">
      <c r="A120" s="12" t="str">
        <f aca="false">IF($L120="","",INDEX(Population!$B$2:$B$1092,$L120)&amp;"")</f>
        <v/>
      </c>
      <c r="B120" s="12" t="str">
        <f aca="false">IF($L120="","",INDEX(Population!$C$2:$C$1092,$L120)&amp;"")</f>
        <v/>
      </c>
      <c r="C120" s="12" t="str">
        <f aca="false">IF($L120="","",INDEX(Population!$D$2:$D$1092,$L120)&amp;"")</f>
        <v/>
      </c>
      <c r="D120" s="12" t="str">
        <f aca="false">IF($L120="","",INDEX(Population!$E$2:$E$1092,$L120))</f>
        <v/>
      </c>
      <c r="E120" s="12" t="str">
        <f aca="false">IF($L120="","",INDEX(Population!$F$2:$F$1092,$L120))</f>
        <v/>
      </c>
      <c r="F120" s="16" t="str">
        <f aca="false">IF($L120="","",INDEX(Population!$L$2:$L$1092,$L120))</f>
        <v/>
      </c>
      <c r="G120" s="16" t="str">
        <f aca="false">IF($L120="","",INDEX(Population!$M$2:$M$1092,$L120))</f>
        <v/>
      </c>
      <c r="H120" s="15" t="str">
        <f aca="false">IF($L120="","",Summary!$C$5)</f>
        <v/>
      </c>
      <c r="I120" s="12" t="str">
        <f aca="false">IF($L120="","","Above Materiality")</f>
        <v/>
      </c>
      <c r="J120" s="12" t="str">
        <f aca="false">IF($L120="","",INDEX(Population!$N$2:$N$1092,$L120))</f>
        <v/>
      </c>
      <c r="K120" s="12" t="str">
        <f aca="false">IF($L120="","",INDEX(Population!$G$2:$G$1092,$L120)&amp;" / row "&amp;INDEX(Population!$H$2:$H$1092,$L120))</f>
        <v/>
      </c>
      <c r="L120" s="26" t="str">
        <f aca="false">IFERROR(MATCH("Population 1|A|"&amp;ROWS($L$5:L120),Population!$U$2:$U$1092,0),"")</f>
        <v/>
      </c>
    </row>
    <row r="121" customFormat="false" ht="15" hidden="false" customHeight="false" outlineLevel="0" collapsed="false">
      <c r="A121" s="12" t="str">
        <f aca="false">IF($L121="","",INDEX(Population!$B$2:$B$1092,$L121)&amp;"")</f>
        <v/>
      </c>
      <c r="B121" s="12" t="str">
        <f aca="false">IF($L121="","",INDEX(Population!$C$2:$C$1092,$L121)&amp;"")</f>
        <v/>
      </c>
      <c r="C121" s="12" t="str">
        <f aca="false">IF($L121="","",INDEX(Population!$D$2:$D$1092,$L121)&amp;"")</f>
        <v/>
      </c>
      <c r="D121" s="12" t="str">
        <f aca="false">IF($L121="","",INDEX(Population!$E$2:$E$1092,$L121))</f>
        <v/>
      </c>
      <c r="E121" s="12" t="str">
        <f aca="false">IF($L121="","",INDEX(Population!$F$2:$F$1092,$L121))</f>
        <v/>
      </c>
      <c r="F121" s="16" t="str">
        <f aca="false">IF($L121="","",INDEX(Population!$L$2:$L$1092,$L121))</f>
        <v/>
      </c>
      <c r="G121" s="16" t="str">
        <f aca="false">IF($L121="","",INDEX(Population!$M$2:$M$1092,$L121))</f>
        <v/>
      </c>
      <c r="H121" s="15" t="str">
        <f aca="false">IF($L121="","",Summary!$C$5)</f>
        <v/>
      </c>
      <c r="I121" s="12" t="str">
        <f aca="false">IF($L121="","","Above Materiality")</f>
        <v/>
      </c>
      <c r="J121" s="12" t="str">
        <f aca="false">IF($L121="","",INDEX(Population!$N$2:$N$1092,$L121))</f>
        <v/>
      </c>
      <c r="K121" s="12" t="str">
        <f aca="false">IF($L121="","",INDEX(Population!$G$2:$G$1092,$L121)&amp;" / row "&amp;INDEX(Population!$H$2:$H$1092,$L121))</f>
        <v/>
      </c>
      <c r="L121" s="26" t="str">
        <f aca="false">IFERROR(MATCH("Population 1|A|"&amp;ROWS($L$5:L121),Population!$U$2:$U$1092,0),"")</f>
        <v/>
      </c>
    </row>
    <row r="122" customFormat="false" ht="15" hidden="false" customHeight="false" outlineLevel="0" collapsed="false">
      <c r="A122" s="12" t="str">
        <f aca="false">IF($L122="","",INDEX(Population!$B$2:$B$1092,$L122)&amp;"")</f>
        <v/>
      </c>
      <c r="B122" s="12" t="str">
        <f aca="false">IF($L122="","",INDEX(Population!$C$2:$C$1092,$L122)&amp;"")</f>
        <v/>
      </c>
      <c r="C122" s="12" t="str">
        <f aca="false">IF($L122="","",INDEX(Population!$D$2:$D$1092,$L122)&amp;"")</f>
        <v/>
      </c>
      <c r="D122" s="12" t="str">
        <f aca="false">IF($L122="","",INDEX(Population!$E$2:$E$1092,$L122))</f>
        <v/>
      </c>
      <c r="E122" s="12" t="str">
        <f aca="false">IF($L122="","",INDEX(Population!$F$2:$F$1092,$L122))</f>
        <v/>
      </c>
      <c r="F122" s="16" t="str">
        <f aca="false">IF($L122="","",INDEX(Population!$L$2:$L$1092,$L122))</f>
        <v/>
      </c>
      <c r="G122" s="16" t="str">
        <f aca="false">IF($L122="","",INDEX(Population!$M$2:$M$1092,$L122))</f>
        <v/>
      </c>
      <c r="H122" s="15" t="str">
        <f aca="false">IF($L122="","",Summary!$C$5)</f>
        <v/>
      </c>
      <c r="I122" s="12" t="str">
        <f aca="false">IF($L122="","","Above Materiality")</f>
        <v/>
      </c>
      <c r="J122" s="12" t="str">
        <f aca="false">IF($L122="","",INDEX(Population!$N$2:$N$1092,$L122))</f>
        <v/>
      </c>
      <c r="K122" s="12" t="str">
        <f aca="false">IF($L122="","",INDEX(Population!$G$2:$G$1092,$L122)&amp;" / row "&amp;INDEX(Population!$H$2:$H$1092,$L122))</f>
        <v/>
      </c>
      <c r="L122" s="26" t="str">
        <f aca="false">IFERROR(MATCH("Population 1|A|"&amp;ROWS($L$5:L122),Population!$U$2:$U$1092,0),"")</f>
        <v/>
      </c>
    </row>
    <row r="123" customFormat="false" ht="15" hidden="false" customHeight="false" outlineLevel="0" collapsed="false">
      <c r="A123" s="12" t="str">
        <f aca="false">IF($L123="","",INDEX(Population!$B$2:$B$1092,$L123)&amp;"")</f>
        <v/>
      </c>
      <c r="B123" s="12" t="str">
        <f aca="false">IF($L123="","",INDEX(Population!$C$2:$C$1092,$L123)&amp;"")</f>
        <v/>
      </c>
      <c r="C123" s="12" t="str">
        <f aca="false">IF($L123="","",INDEX(Population!$D$2:$D$1092,$L123)&amp;"")</f>
        <v/>
      </c>
      <c r="D123" s="12" t="str">
        <f aca="false">IF($L123="","",INDEX(Population!$E$2:$E$1092,$L123))</f>
        <v/>
      </c>
      <c r="E123" s="12" t="str">
        <f aca="false">IF($L123="","",INDEX(Population!$F$2:$F$1092,$L123))</f>
        <v/>
      </c>
      <c r="F123" s="16" t="str">
        <f aca="false">IF($L123="","",INDEX(Population!$L$2:$L$1092,$L123))</f>
        <v/>
      </c>
      <c r="G123" s="16" t="str">
        <f aca="false">IF($L123="","",INDEX(Population!$M$2:$M$1092,$L123))</f>
        <v/>
      </c>
      <c r="H123" s="15" t="str">
        <f aca="false">IF($L123="","",Summary!$C$5)</f>
        <v/>
      </c>
      <c r="I123" s="12" t="str">
        <f aca="false">IF($L123="","","Above Materiality")</f>
        <v/>
      </c>
      <c r="J123" s="12" t="str">
        <f aca="false">IF($L123="","",INDEX(Population!$N$2:$N$1092,$L123))</f>
        <v/>
      </c>
      <c r="K123" s="12" t="str">
        <f aca="false">IF($L123="","",INDEX(Population!$G$2:$G$1092,$L123)&amp;" / row "&amp;INDEX(Population!$H$2:$H$1092,$L123))</f>
        <v/>
      </c>
      <c r="L123" s="26" t="str">
        <f aca="false">IFERROR(MATCH("Population 1|A|"&amp;ROWS($L$5:L123),Population!$U$2:$U$1092,0),"")</f>
        <v/>
      </c>
    </row>
    <row r="124" customFormat="false" ht="15" hidden="false" customHeight="false" outlineLevel="0" collapsed="false">
      <c r="A124" s="12" t="str">
        <f aca="false">IF($L124="","",INDEX(Population!$B$2:$B$1092,$L124)&amp;"")</f>
        <v/>
      </c>
      <c r="B124" s="12" t="str">
        <f aca="false">IF($L124="","",INDEX(Population!$C$2:$C$1092,$L124)&amp;"")</f>
        <v/>
      </c>
      <c r="C124" s="12" t="str">
        <f aca="false">IF($L124="","",INDEX(Population!$D$2:$D$1092,$L124)&amp;"")</f>
        <v/>
      </c>
      <c r="D124" s="12" t="str">
        <f aca="false">IF($L124="","",INDEX(Population!$E$2:$E$1092,$L124))</f>
        <v/>
      </c>
      <c r="E124" s="12" t="str">
        <f aca="false">IF($L124="","",INDEX(Population!$F$2:$F$1092,$L124))</f>
        <v/>
      </c>
      <c r="F124" s="16" t="str">
        <f aca="false">IF($L124="","",INDEX(Population!$L$2:$L$1092,$L124))</f>
        <v/>
      </c>
      <c r="G124" s="16" t="str">
        <f aca="false">IF($L124="","",INDEX(Population!$M$2:$M$1092,$L124))</f>
        <v/>
      </c>
      <c r="H124" s="15" t="str">
        <f aca="false">IF($L124="","",Summary!$C$5)</f>
        <v/>
      </c>
      <c r="I124" s="12" t="str">
        <f aca="false">IF($L124="","","Above Materiality")</f>
        <v/>
      </c>
      <c r="J124" s="12" t="str">
        <f aca="false">IF($L124="","",INDEX(Population!$N$2:$N$1092,$L124))</f>
        <v/>
      </c>
      <c r="K124" s="12" t="str">
        <f aca="false">IF($L124="","",INDEX(Population!$G$2:$G$1092,$L124)&amp;" / row "&amp;INDEX(Population!$H$2:$H$1092,$L124))</f>
        <v/>
      </c>
      <c r="L124" s="26" t="str">
        <f aca="false">IFERROR(MATCH("Population 1|A|"&amp;ROWS($L$5:L124),Population!$U$2:$U$1092,0),"")</f>
        <v/>
      </c>
    </row>
    <row r="125" customFormat="false" ht="15" hidden="false" customHeight="false" outlineLevel="0" collapsed="false">
      <c r="A125" s="12" t="str">
        <f aca="false">IF($L125="","",INDEX(Population!$B$2:$B$1092,$L125)&amp;"")</f>
        <v/>
      </c>
      <c r="B125" s="12" t="str">
        <f aca="false">IF($L125="","",INDEX(Population!$C$2:$C$1092,$L125)&amp;"")</f>
        <v/>
      </c>
      <c r="C125" s="12" t="str">
        <f aca="false">IF($L125="","",INDEX(Population!$D$2:$D$1092,$L125)&amp;"")</f>
        <v/>
      </c>
      <c r="D125" s="12" t="str">
        <f aca="false">IF($L125="","",INDEX(Population!$E$2:$E$1092,$L125))</f>
        <v/>
      </c>
      <c r="E125" s="12" t="str">
        <f aca="false">IF($L125="","",INDEX(Population!$F$2:$F$1092,$L125))</f>
        <v/>
      </c>
      <c r="F125" s="16" t="str">
        <f aca="false">IF($L125="","",INDEX(Population!$L$2:$L$1092,$L125))</f>
        <v/>
      </c>
      <c r="G125" s="16" t="str">
        <f aca="false">IF($L125="","",INDEX(Population!$M$2:$M$1092,$L125))</f>
        <v/>
      </c>
      <c r="H125" s="15" t="str">
        <f aca="false">IF($L125="","",Summary!$C$5)</f>
        <v/>
      </c>
      <c r="I125" s="12" t="str">
        <f aca="false">IF($L125="","","Above Materiality")</f>
        <v/>
      </c>
      <c r="J125" s="12" t="str">
        <f aca="false">IF($L125="","",INDEX(Population!$N$2:$N$1092,$L125))</f>
        <v/>
      </c>
      <c r="K125" s="12" t="str">
        <f aca="false">IF($L125="","",INDEX(Population!$G$2:$G$1092,$L125)&amp;" / row "&amp;INDEX(Population!$H$2:$H$1092,$L125))</f>
        <v/>
      </c>
      <c r="L125" s="26" t="str">
        <f aca="false">IFERROR(MATCH("Population 1|A|"&amp;ROWS($L$5:L125),Population!$U$2:$U$1092,0),"")</f>
        <v/>
      </c>
    </row>
    <row r="126" customFormat="false" ht="15" hidden="false" customHeight="false" outlineLevel="0" collapsed="false">
      <c r="A126" s="12" t="str">
        <f aca="false">IF($L126="","",INDEX(Population!$B$2:$B$1092,$L126)&amp;"")</f>
        <v/>
      </c>
      <c r="B126" s="12" t="str">
        <f aca="false">IF($L126="","",INDEX(Population!$C$2:$C$1092,$L126)&amp;"")</f>
        <v/>
      </c>
      <c r="C126" s="12" t="str">
        <f aca="false">IF($L126="","",INDEX(Population!$D$2:$D$1092,$L126)&amp;"")</f>
        <v/>
      </c>
      <c r="D126" s="12" t="str">
        <f aca="false">IF($L126="","",INDEX(Population!$E$2:$E$1092,$L126))</f>
        <v/>
      </c>
      <c r="E126" s="12" t="str">
        <f aca="false">IF($L126="","",INDEX(Population!$F$2:$F$1092,$L126))</f>
        <v/>
      </c>
      <c r="F126" s="16" t="str">
        <f aca="false">IF($L126="","",INDEX(Population!$L$2:$L$1092,$L126))</f>
        <v/>
      </c>
      <c r="G126" s="16" t="str">
        <f aca="false">IF($L126="","",INDEX(Population!$M$2:$M$1092,$L126))</f>
        <v/>
      </c>
      <c r="H126" s="15" t="str">
        <f aca="false">IF($L126="","",Summary!$C$5)</f>
        <v/>
      </c>
      <c r="I126" s="12" t="str">
        <f aca="false">IF($L126="","","Above Materiality")</f>
        <v/>
      </c>
      <c r="J126" s="12" t="str">
        <f aca="false">IF($L126="","",INDEX(Population!$N$2:$N$1092,$L126))</f>
        <v/>
      </c>
      <c r="K126" s="12" t="str">
        <f aca="false">IF($L126="","",INDEX(Population!$G$2:$G$1092,$L126)&amp;" / row "&amp;INDEX(Population!$H$2:$H$1092,$L126))</f>
        <v/>
      </c>
      <c r="L126" s="26" t="str">
        <f aca="false">IFERROR(MATCH("Population 1|A|"&amp;ROWS($L$5:L126),Population!$U$2:$U$1092,0),"")</f>
        <v/>
      </c>
    </row>
    <row r="127" customFormat="false" ht="15" hidden="false" customHeight="false" outlineLevel="0" collapsed="false">
      <c r="A127" s="12" t="str">
        <f aca="false">IF($L127="","",INDEX(Population!$B$2:$B$1092,$L127)&amp;"")</f>
        <v/>
      </c>
      <c r="B127" s="12" t="str">
        <f aca="false">IF($L127="","",INDEX(Population!$C$2:$C$1092,$L127)&amp;"")</f>
        <v/>
      </c>
      <c r="C127" s="12" t="str">
        <f aca="false">IF($L127="","",INDEX(Population!$D$2:$D$1092,$L127)&amp;"")</f>
        <v/>
      </c>
      <c r="D127" s="12" t="str">
        <f aca="false">IF($L127="","",INDEX(Population!$E$2:$E$1092,$L127))</f>
        <v/>
      </c>
      <c r="E127" s="12" t="str">
        <f aca="false">IF($L127="","",INDEX(Population!$F$2:$F$1092,$L127))</f>
        <v/>
      </c>
      <c r="F127" s="16" t="str">
        <f aca="false">IF($L127="","",INDEX(Population!$L$2:$L$1092,$L127))</f>
        <v/>
      </c>
      <c r="G127" s="16" t="str">
        <f aca="false">IF($L127="","",INDEX(Population!$M$2:$M$1092,$L127))</f>
        <v/>
      </c>
      <c r="H127" s="15" t="str">
        <f aca="false">IF($L127="","",Summary!$C$5)</f>
        <v/>
      </c>
      <c r="I127" s="12" t="str">
        <f aca="false">IF($L127="","","Above Materiality")</f>
        <v/>
      </c>
      <c r="J127" s="12" t="str">
        <f aca="false">IF($L127="","",INDEX(Population!$N$2:$N$1092,$L127))</f>
        <v/>
      </c>
      <c r="K127" s="12" t="str">
        <f aca="false">IF($L127="","",INDEX(Population!$G$2:$G$1092,$L127)&amp;" / row "&amp;INDEX(Population!$H$2:$H$1092,$L127))</f>
        <v/>
      </c>
      <c r="L127" s="26" t="str">
        <f aca="false">IFERROR(MATCH("Population 1|A|"&amp;ROWS($L$5:L127),Population!$U$2:$U$1092,0),"")</f>
        <v/>
      </c>
    </row>
    <row r="128" customFormat="false" ht="15" hidden="false" customHeight="false" outlineLevel="0" collapsed="false">
      <c r="A128" s="12" t="str">
        <f aca="false">IF($L128="","",INDEX(Population!$B$2:$B$1092,$L128)&amp;"")</f>
        <v/>
      </c>
      <c r="B128" s="12" t="str">
        <f aca="false">IF($L128="","",INDEX(Population!$C$2:$C$1092,$L128)&amp;"")</f>
        <v/>
      </c>
      <c r="C128" s="12" t="str">
        <f aca="false">IF($L128="","",INDEX(Population!$D$2:$D$1092,$L128)&amp;"")</f>
        <v/>
      </c>
      <c r="D128" s="12" t="str">
        <f aca="false">IF($L128="","",INDEX(Population!$E$2:$E$1092,$L128))</f>
        <v/>
      </c>
      <c r="E128" s="12" t="str">
        <f aca="false">IF($L128="","",INDEX(Population!$F$2:$F$1092,$L128))</f>
        <v/>
      </c>
      <c r="F128" s="16" t="str">
        <f aca="false">IF($L128="","",INDEX(Population!$L$2:$L$1092,$L128))</f>
        <v/>
      </c>
      <c r="G128" s="16" t="str">
        <f aca="false">IF($L128="","",INDEX(Population!$M$2:$M$1092,$L128))</f>
        <v/>
      </c>
      <c r="H128" s="15" t="str">
        <f aca="false">IF($L128="","",Summary!$C$5)</f>
        <v/>
      </c>
      <c r="I128" s="12" t="str">
        <f aca="false">IF($L128="","","Above Materiality")</f>
        <v/>
      </c>
      <c r="J128" s="12" t="str">
        <f aca="false">IF($L128="","",INDEX(Population!$N$2:$N$1092,$L128))</f>
        <v/>
      </c>
      <c r="K128" s="12" t="str">
        <f aca="false">IF($L128="","",INDEX(Population!$G$2:$G$1092,$L128)&amp;" / row "&amp;INDEX(Population!$H$2:$H$1092,$L128))</f>
        <v/>
      </c>
      <c r="L128" s="26" t="str">
        <f aca="false">IFERROR(MATCH("Population 1|A|"&amp;ROWS($L$5:L128),Population!$U$2:$U$1092,0),"")</f>
        <v/>
      </c>
    </row>
    <row r="129" customFormat="false" ht="15" hidden="false" customHeight="false" outlineLevel="0" collapsed="false">
      <c r="A129" s="12" t="str">
        <f aca="false">IF($L129="","",INDEX(Population!$B$2:$B$1092,$L129)&amp;"")</f>
        <v/>
      </c>
      <c r="B129" s="12" t="str">
        <f aca="false">IF($L129="","",INDEX(Population!$C$2:$C$1092,$L129)&amp;"")</f>
        <v/>
      </c>
      <c r="C129" s="12" t="str">
        <f aca="false">IF($L129="","",INDEX(Population!$D$2:$D$1092,$L129)&amp;"")</f>
        <v/>
      </c>
      <c r="D129" s="12" t="str">
        <f aca="false">IF($L129="","",INDEX(Population!$E$2:$E$1092,$L129))</f>
        <v/>
      </c>
      <c r="E129" s="12" t="str">
        <f aca="false">IF($L129="","",INDEX(Population!$F$2:$F$1092,$L129))</f>
        <v/>
      </c>
      <c r="F129" s="16" t="str">
        <f aca="false">IF($L129="","",INDEX(Population!$L$2:$L$1092,$L129))</f>
        <v/>
      </c>
      <c r="G129" s="16" t="str">
        <f aca="false">IF($L129="","",INDEX(Population!$M$2:$M$1092,$L129))</f>
        <v/>
      </c>
      <c r="H129" s="15" t="str">
        <f aca="false">IF($L129="","",Summary!$C$5)</f>
        <v/>
      </c>
      <c r="I129" s="12" t="str">
        <f aca="false">IF($L129="","","Above Materiality")</f>
        <v/>
      </c>
      <c r="J129" s="12" t="str">
        <f aca="false">IF($L129="","",INDEX(Population!$N$2:$N$1092,$L129))</f>
        <v/>
      </c>
      <c r="K129" s="12" t="str">
        <f aca="false">IF($L129="","",INDEX(Population!$G$2:$G$1092,$L129)&amp;" / row "&amp;INDEX(Population!$H$2:$H$1092,$L129))</f>
        <v/>
      </c>
      <c r="L129" s="26" t="str">
        <f aca="false">IFERROR(MATCH("Population 1|A|"&amp;ROWS($L$5:L129),Population!$U$2:$U$1092,0),"")</f>
        <v/>
      </c>
    </row>
    <row r="130" customFormat="false" ht="15" hidden="false" customHeight="false" outlineLevel="0" collapsed="false">
      <c r="A130" s="12" t="str">
        <f aca="false">IF($L130="","",INDEX(Population!$B$2:$B$1092,$L130)&amp;"")</f>
        <v/>
      </c>
      <c r="B130" s="12" t="str">
        <f aca="false">IF($L130="","",INDEX(Population!$C$2:$C$1092,$L130)&amp;"")</f>
        <v/>
      </c>
      <c r="C130" s="12" t="str">
        <f aca="false">IF($L130="","",INDEX(Population!$D$2:$D$1092,$L130)&amp;"")</f>
        <v/>
      </c>
      <c r="D130" s="12" t="str">
        <f aca="false">IF($L130="","",INDEX(Population!$E$2:$E$1092,$L130))</f>
        <v/>
      </c>
      <c r="E130" s="12" t="str">
        <f aca="false">IF($L130="","",INDEX(Population!$F$2:$F$1092,$L130))</f>
        <v/>
      </c>
      <c r="F130" s="16" t="str">
        <f aca="false">IF($L130="","",INDEX(Population!$L$2:$L$1092,$L130))</f>
        <v/>
      </c>
      <c r="G130" s="16" t="str">
        <f aca="false">IF($L130="","",INDEX(Population!$M$2:$M$1092,$L130))</f>
        <v/>
      </c>
      <c r="H130" s="15" t="str">
        <f aca="false">IF($L130="","",Summary!$C$5)</f>
        <v/>
      </c>
      <c r="I130" s="12" t="str">
        <f aca="false">IF($L130="","","Above Materiality")</f>
        <v/>
      </c>
      <c r="J130" s="12" t="str">
        <f aca="false">IF($L130="","",INDEX(Population!$N$2:$N$1092,$L130))</f>
        <v/>
      </c>
      <c r="K130" s="12" t="str">
        <f aca="false">IF($L130="","",INDEX(Population!$G$2:$G$1092,$L130)&amp;" / row "&amp;INDEX(Population!$H$2:$H$1092,$L130))</f>
        <v/>
      </c>
      <c r="L130" s="26" t="str">
        <f aca="false">IFERROR(MATCH("Population 1|A|"&amp;ROWS($L$5:L130),Population!$U$2:$U$1092,0),"")</f>
        <v/>
      </c>
    </row>
    <row r="131" customFormat="false" ht="15" hidden="false" customHeight="false" outlineLevel="0" collapsed="false">
      <c r="A131" s="12" t="str">
        <f aca="false">IF($L131="","",INDEX(Population!$B$2:$B$1092,$L131)&amp;"")</f>
        <v/>
      </c>
      <c r="B131" s="12" t="str">
        <f aca="false">IF($L131="","",INDEX(Population!$C$2:$C$1092,$L131)&amp;"")</f>
        <v/>
      </c>
      <c r="C131" s="12" t="str">
        <f aca="false">IF($L131="","",INDEX(Population!$D$2:$D$1092,$L131)&amp;"")</f>
        <v/>
      </c>
      <c r="D131" s="12" t="str">
        <f aca="false">IF($L131="","",INDEX(Population!$E$2:$E$1092,$L131))</f>
        <v/>
      </c>
      <c r="E131" s="12" t="str">
        <f aca="false">IF($L131="","",INDEX(Population!$F$2:$F$1092,$L131))</f>
        <v/>
      </c>
      <c r="F131" s="16" t="str">
        <f aca="false">IF($L131="","",INDEX(Population!$L$2:$L$1092,$L131))</f>
        <v/>
      </c>
      <c r="G131" s="16" t="str">
        <f aca="false">IF($L131="","",INDEX(Population!$M$2:$M$1092,$L131))</f>
        <v/>
      </c>
      <c r="H131" s="15" t="str">
        <f aca="false">IF($L131="","",Summary!$C$5)</f>
        <v/>
      </c>
      <c r="I131" s="12" t="str">
        <f aca="false">IF($L131="","","Above Materiality")</f>
        <v/>
      </c>
      <c r="J131" s="12" t="str">
        <f aca="false">IF($L131="","",INDEX(Population!$N$2:$N$1092,$L131))</f>
        <v/>
      </c>
      <c r="K131" s="12" t="str">
        <f aca="false">IF($L131="","",INDEX(Population!$G$2:$G$1092,$L131)&amp;" / row "&amp;INDEX(Population!$H$2:$H$1092,$L131))</f>
        <v/>
      </c>
      <c r="L131" s="26" t="str">
        <f aca="false">IFERROR(MATCH("Population 1|A|"&amp;ROWS($L$5:L131),Population!$U$2:$U$1092,0),"")</f>
        <v/>
      </c>
    </row>
    <row r="132" customFormat="false" ht="15" hidden="false" customHeight="false" outlineLevel="0" collapsed="false">
      <c r="A132" s="12" t="str">
        <f aca="false">IF($L132="","",INDEX(Population!$B$2:$B$1092,$L132)&amp;"")</f>
        <v/>
      </c>
      <c r="B132" s="12" t="str">
        <f aca="false">IF($L132="","",INDEX(Population!$C$2:$C$1092,$L132)&amp;"")</f>
        <v/>
      </c>
      <c r="C132" s="12" t="str">
        <f aca="false">IF($L132="","",INDEX(Population!$D$2:$D$1092,$L132)&amp;"")</f>
        <v/>
      </c>
      <c r="D132" s="12" t="str">
        <f aca="false">IF($L132="","",INDEX(Population!$E$2:$E$1092,$L132))</f>
        <v/>
      </c>
      <c r="E132" s="12" t="str">
        <f aca="false">IF($L132="","",INDEX(Population!$F$2:$F$1092,$L132))</f>
        <v/>
      </c>
      <c r="F132" s="16" t="str">
        <f aca="false">IF($L132="","",INDEX(Population!$L$2:$L$1092,$L132))</f>
        <v/>
      </c>
      <c r="G132" s="16" t="str">
        <f aca="false">IF($L132="","",INDEX(Population!$M$2:$M$1092,$L132))</f>
        <v/>
      </c>
      <c r="H132" s="15" t="str">
        <f aca="false">IF($L132="","",Summary!$C$5)</f>
        <v/>
      </c>
      <c r="I132" s="12" t="str">
        <f aca="false">IF($L132="","","Above Materiality")</f>
        <v/>
      </c>
      <c r="J132" s="12" t="str">
        <f aca="false">IF($L132="","",INDEX(Population!$N$2:$N$1092,$L132))</f>
        <v/>
      </c>
      <c r="K132" s="12" t="str">
        <f aca="false">IF($L132="","",INDEX(Population!$G$2:$G$1092,$L132)&amp;" / row "&amp;INDEX(Population!$H$2:$H$1092,$L132))</f>
        <v/>
      </c>
      <c r="L132" s="26" t="str">
        <f aca="false">IFERROR(MATCH("Population 1|A|"&amp;ROWS($L$5:L132),Population!$U$2:$U$1092,0),"")</f>
        <v/>
      </c>
    </row>
    <row r="133" customFormat="false" ht="15" hidden="false" customHeight="false" outlineLevel="0" collapsed="false">
      <c r="A133" s="12" t="str">
        <f aca="false">IF($L133="","",INDEX(Population!$B$2:$B$1092,$L133)&amp;"")</f>
        <v/>
      </c>
      <c r="B133" s="12" t="str">
        <f aca="false">IF($L133="","",INDEX(Population!$C$2:$C$1092,$L133)&amp;"")</f>
        <v/>
      </c>
      <c r="C133" s="12" t="str">
        <f aca="false">IF($L133="","",INDEX(Population!$D$2:$D$1092,$L133)&amp;"")</f>
        <v/>
      </c>
      <c r="D133" s="12" t="str">
        <f aca="false">IF($L133="","",INDEX(Population!$E$2:$E$1092,$L133))</f>
        <v/>
      </c>
      <c r="E133" s="12" t="str">
        <f aca="false">IF($L133="","",INDEX(Population!$F$2:$F$1092,$L133))</f>
        <v/>
      </c>
      <c r="F133" s="16" t="str">
        <f aca="false">IF($L133="","",INDEX(Population!$L$2:$L$1092,$L133))</f>
        <v/>
      </c>
      <c r="G133" s="16" t="str">
        <f aca="false">IF($L133="","",INDEX(Population!$M$2:$M$1092,$L133))</f>
        <v/>
      </c>
      <c r="H133" s="15" t="str">
        <f aca="false">IF($L133="","",Summary!$C$5)</f>
        <v/>
      </c>
      <c r="I133" s="12" t="str">
        <f aca="false">IF($L133="","","Above Materiality")</f>
        <v/>
      </c>
      <c r="J133" s="12" t="str">
        <f aca="false">IF($L133="","",INDEX(Population!$N$2:$N$1092,$L133))</f>
        <v/>
      </c>
      <c r="K133" s="12" t="str">
        <f aca="false">IF($L133="","",INDEX(Population!$G$2:$G$1092,$L133)&amp;" / row "&amp;INDEX(Population!$H$2:$H$1092,$L133))</f>
        <v/>
      </c>
      <c r="L133" s="26" t="str">
        <f aca="false">IFERROR(MATCH("Population 1|A|"&amp;ROWS($L$5:L133),Population!$U$2:$U$1092,0),"")</f>
        <v/>
      </c>
    </row>
    <row r="134" customFormat="false" ht="15" hidden="false" customHeight="false" outlineLevel="0" collapsed="false">
      <c r="A134" s="12" t="str">
        <f aca="false">IF($L134="","",INDEX(Population!$B$2:$B$1092,$L134)&amp;"")</f>
        <v/>
      </c>
      <c r="B134" s="12" t="str">
        <f aca="false">IF($L134="","",INDEX(Population!$C$2:$C$1092,$L134)&amp;"")</f>
        <v/>
      </c>
      <c r="C134" s="12" t="str">
        <f aca="false">IF($L134="","",INDEX(Population!$D$2:$D$1092,$L134)&amp;"")</f>
        <v/>
      </c>
      <c r="D134" s="12" t="str">
        <f aca="false">IF($L134="","",INDEX(Population!$E$2:$E$1092,$L134))</f>
        <v/>
      </c>
      <c r="E134" s="12" t="str">
        <f aca="false">IF($L134="","",INDEX(Population!$F$2:$F$1092,$L134))</f>
        <v/>
      </c>
      <c r="F134" s="16" t="str">
        <f aca="false">IF($L134="","",INDEX(Population!$L$2:$L$1092,$L134))</f>
        <v/>
      </c>
      <c r="G134" s="16" t="str">
        <f aca="false">IF($L134="","",INDEX(Population!$M$2:$M$1092,$L134))</f>
        <v/>
      </c>
      <c r="H134" s="15" t="str">
        <f aca="false">IF($L134="","",Summary!$C$5)</f>
        <v/>
      </c>
      <c r="I134" s="12" t="str">
        <f aca="false">IF($L134="","","Above Materiality")</f>
        <v/>
      </c>
      <c r="J134" s="12" t="str">
        <f aca="false">IF($L134="","",INDEX(Population!$N$2:$N$1092,$L134))</f>
        <v/>
      </c>
      <c r="K134" s="12" t="str">
        <f aca="false">IF($L134="","",INDEX(Population!$G$2:$G$1092,$L134)&amp;" / row "&amp;INDEX(Population!$H$2:$H$1092,$L134))</f>
        <v/>
      </c>
      <c r="L134" s="26" t="str">
        <f aca="false">IFERROR(MATCH("Population 1|A|"&amp;ROWS($L$5:L134),Population!$U$2:$U$1092,0),"")</f>
        <v/>
      </c>
    </row>
    <row r="135" customFormat="false" ht="15" hidden="false" customHeight="false" outlineLevel="0" collapsed="false">
      <c r="A135" s="12" t="str">
        <f aca="false">IF($L135="","",INDEX(Population!$B$2:$B$1092,$L135)&amp;"")</f>
        <v/>
      </c>
      <c r="B135" s="12" t="str">
        <f aca="false">IF($L135="","",INDEX(Population!$C$2:$C$1092,$L135)&amp;"")</f>
        <v/>
      </c>
      <c r="C135" s="12" t="str">
        <f aca="false">IF($L135="","",INDEX(Population!$D$2:$D$1092,$L135)&amp;"")</f>
        <v/>
      </c>
      <c r="D135" s="12" t="str">
        <f aca="false">IF($L135="","",INDEX(Population!$E$2:$E$1092,$L135))</f>
        <v/>
      </c>
      <c r="E135" s="12" t="str">
        <f aca="false">IF($L135="","",INDEX(Population!$F$2:$F$1092,$L135))</f>
        <v/>
      </c>
      <c r="F135" s="16" t="str">
        <f aca="false">IF($L135="","",INDEX(Population!$L$2:$L$1092,$L135))</f>
        <v/>
      </c>
      <c r="G135" s="16" t="str">
        <f aca="false">IF($L135="","",INDEX(Population!$M$2:$M$1092,$L135))</f>
        <v/>
      </c>
      <c r="H135" s="15" t="str">
        <f aca="false">IF($L135="","",Summary!$C$5)</f>
        <v/>
      </c>
      <c r="I135" s="12" t="str">
        <f aca="false">IF($L135="","","Above Materiality")</f>
        <v/>
      </c>
      <c r="J135" s="12" t="str">
        <f aca="false">IF($L135="","",INDEX(Population!$N$2:$N$1092,$L135))</f>
        <v/>
      </c>
      <c r="K135" s="12" t="str">
        <f aca="false">IF($L135="","",INDEX(Population!$G$2:$G$1092,$L135)&amp;" / row "&amp;INDEX(Population!$H$2:$H$1092,$L135))</f>
        <v/>
      </c>
      <c r="L135" s="26" t="str">
        <f aca="false">IFERROR(MATCH("Population 1|A|"&amp;ROWS($L$5:L135),Population!$U$2:$U$1092,0),"")</f>
        <v/>
      </c>
    </row>
    <row r="136" customFormat="false" ht="15" hidden="false" customHeight="false" outlineLevel="0" collapsed="false">
      <c r="A136" s="12" t="str">
        <f aca="false">IF($L136="","",INDEX(Population!$B$2:$B$1092,$L136)&amp;"")</f>
        <v/>
      </c>
      <c r="B136" s="12" t="str">
        <f aca="false">IF($L136="","",INDEX(Population!$C$2:$C$1092,$L136)&amp;"")</f>
        <v/>
      </c>
      <c r="C136" s="12" t="str">
        <f aca="false">IF($L136="","",INDEX(Population!$D$2:$D$1092,$L136)&amp;"")</f>
        <v/>
      </c>
      <c r="D136" s="12" t="str">
        <f aca="false">IF($L136="","",INDEX(Population!$E$2:$E$1092,$L136))</f>
        <v/>
      </c>
      <c r="E136" s="12" t="str">
        <f aca="false">IF($L136="","",INDEX(Population!$F$2:$F$1092,$L136))</f>
        <v/>
      </c>
      <c r="F136" s="16" t="str">
        <f aca="false">IF($L136="","",INDEX(Population!$L$2:$L$1092,$L136))</f>
        <v/>
      </c>
      <c r="G136" s="16" t="str">
        <f aca="false">IF($L136="","",INDEX(Population!$M$2:$M$1092,$L136))</f>
        <v/>
      </c>
      <c r="H136" s="15" t="str">
        <f aca="false">IF($L136="","",Summary!$C$5)</f>
        <v/>
      </c>
      <c r="I136" s="12" t="str">
        <f aca="false">IF($L136="","","Above Materiality")</f>
        <v/>
      </c>
      <c r="J136" s="12" t="str">
        <f aca="false">IF($L136="","",INDEX(Population!$N$2:$N$1092,$L136))</f>
        <v/>
      </c>
      <c r="K136" s="12" t="str">
        <f aca="false">IF($L136="","",INDEX(Population!$G$2:$G$1092,$L136)&amp;" / row "&amp;INDEX(Population!$H$2:$H$1092,$L136))</f>
        <v/>
      </c>
      <c r="L136" s="26" t="str">
        <f aca="false">IFERROR(MATCH("Population 1|A|"&amp;ROWS($L$5:L136),Population!$U$2:$U$1092,0),"")</f>
        <v/>
      </c>
    </row>
    <row r="137" customFormat="false" ht="15" hidden="false" customHeight="false" outlineLevel="0" collapsed="false">
      <c r="A137" s="12" t="str">
        <f aca="false">IF($L137="","",INDEX(Population!$B$2:$B$1092,$L137)&amp;"")</f>
        <v/>
      </c>
      <c r="B137" s="12" t="str">
        <f aca="false">IF($L137="","",INDEX(Population!$C$2:$C$1092,$L137)&amp;"")</f>
        <v/>
      </c>
      <c r="C137" s="12" t="str">
        <f aca="false">IF($L137="","",INDEX(Population!$D$2:$D$1092,$L137)&amp;"")</f>
        <v/>
      </c>
      <c r="D137" s="12" t="str">
        <f aca="false">IF($L137="","",INDEX(Population!$E$2:$E$1092,$L137))</f>
        <v/>
      </c>
      <c r="E137" s="12" t="str">
        <f aca="false">IF($L137="","",INDEX(Population!$F$2:$F$1092,$L137))</f>
        <v/>
      </c>
      <c r="F137" s="16" t="str">
        <f aca="false">IF($L137="","",INDEX(Population!$L$2:$L$1092,$L137))</f>
        <v/>
      </c>
      <c r="G137" s="16" t="str">
        <f aca="false">IF($L137="","",INDEX(Population!$M$2:$M$1092,$L137))</f>
        <v/>
      </c>
      <c r="H137" s="15" t="str">
        <f aca="false">IF($L137="","",Summary!$C$5)</f>
        <v/>
      </c>
      <c r="I137" s="12" t="str">
        <f aca="false">IF($L137="","","Above Materiality")</f>
        <v/>
      </c>
      <c r="J137" s="12" t="str">
        <f aca="false">IF($L137="","",INDEX(Population!$N$2:$N$1092,$L137))</f>
        <v/>
      </c>
      <c r="K137" s="12" t="str">
        <f aca="false">IF($L137="","",INDEX(Population!$G$2:$G$1092,$L137)&amp;" / row "&amp;INDEX(Population!$H$2:$H$1092,$L137))</f>
        <v/>
      </c>
      <c r="L137" s="26" t="str">
        <f aca="false">IFERROR(MATCH("Population 1|A|"&amp;ROWS($L$5:L137),Population!$U$2:$U$1092,0),"")</f>
        <v/>
      </c>
    </row>
    <row r="138" customFormat="false" ht="15" hidden="false" customHeight="false" outlineLevel="0" collapsed="false">
      <c r="A138" s="12" t="str">
        <f aca="false">IF($L138="","",INDEX(Population!$B$2:$B$1092,$L138)&amp;"")</f>
        <v/>
      </c>
      <c r="B138" s="12" t="str">
        <f aca="false">IF($L138="","",INDEX(Population!$C$2:$C$1092,$L138)&amp;"")</f>
        <v/>
      </c>
      <c r="C138" s="12" t="str">
        <f aca="false">IF($L138="","",INDEX(Population!$D$2:$D$1092,$L138)&amp;"")</f>
        <v/>
      </c>
      <c r="D138" s="12" t="str">
        <f aca="false">IF($L138="","",INDEX(Population!$E$2:$E$1092,$L138))</f>
        <v/>
      </c>
      <c r="E138" s="12" t="str">
        <f aca="false">IF($L138="","",INDEX(Population!$F$2:$F$1092,$L138))</f>
        <v/>
      </c>
      <c r="F138" s="16" t="str">
        <f aca="false">IF($L138="","",INDEX(Population!$L$2:$L$1092,$L138))</f>
        <v/>
      </c>
      <c r="G138" s="16" t="str">
        <f aca="false">IF($L138="","",INDEX(Population!$M$2:$M$1092,$L138))</f>
        <v/>
      </c>
      <c r="H138" s="15" t="str">
        <f aca="false">IF($L138="","",Summary!$C$5)</f>
        <v/>
      </c>
      <c r="I138" s="12" t="str">
        <f aca="false">IF($L138="","","Above Materiality")</f>
        <v/>
      </c>
      <c r="J138" s="12" t="str">
        <f aca="false">IF($L138="","",INDEX(Population!$N$2:$N$1092,$L138))</f>
        <v/>
      </c>
      <c r="K138" s="12" t="str">
        <f aca="false">IF($L138="","",INDEX(Population!$G$2:$G$1092,$L138)&amp;" / row "&amp;INDEX(Population!$H$2:$H$1092,$L138))</f>
        <v/>
      </c>
      <c r="L138" s="26" t="str">
        <f aca="false">IFERROR(MATCH("Population 1|A|"&amp;ROWS($L$5:L138),Population!$U$2:$U$1092,0),"")</f>
        <v/>
      </c>
    </row>
    <row r="139" customFormat="false" ht="15" hidden="false" customHeight="false" outlineLevel="0" collapsed="false">
      <c r="A139" s="12" t="str">
        <f aca="false">IF($L139="","",INDEX(Population!$B$2:$B$1092,$L139)&amp;"")</f>
        <v/>
      </c>
      <c r="B139" s="12" t="str">
        <f aca="false">IF($L139="","",INDEX(Population!$C$2:$C$1092,$L139)&amp;"")</f>
        <v/>
      </c>
      <c r="C139" s="12" t="str">
        <f aca="false">IF($L139="","",INDEX(Population!$D$2:$D$1092,$L139)&amp;"")</f>
        <v/>
      </c>
      <c r="D139" s="12" t="str">
        <f aca="false">IF($L139="","",INDEX(Population!$E$2:$E$1092,$L139))</f>
        <v/>
      </c>
      <c r="E139" s="12" t="str">
        <f aca="false">IF($L139="","",INDEX(Population!$F$2:$F$1092,$L139))</f>
        <v/>
      </c>
      <c r="F139" s="16" t="str">
        <f aca="false">IF($L139="","",INDEX(Population!$L$2:$L$1092,$L139))</f>
        <v/>
      </c>
      <c r="G139" s="16" t="str">
        <f aca="false">IF($L139="","",INDEX(Population!$M$2:$M$1092,$L139))</f>
        <v/>
      </c>
      <c r="H139" s="15" t="str">
        <f aca="false">IF($L139="","",Summary!$C$5)</f>
        <v/>
      </c>
      <c r="I139" s="12" t="str">
        <f aca="false">IF($L139="","","Above Materiality")</f>
        <v/>
      </c>
      <c r="J139" s="12" t="str">
        <f aca="false">IF($L139="","",INDEX(Population!$N$2:$N$1092,$L139))</f>
        <v/>
      </c>
      <c r="K139" s="12" t="str">
        <f aca="false">IF($L139="","",INDEX(Population!$G$2:$G$1092,$L139)&amp;" / row "&amp;INDEX(Population!$H$2:$H$1092,$L139))</f>
        <v/>
      </c>
      <c r="L139" s="26" t="str">
        <f aca="false">IFERROR(MATCH("Population 1|A|"&amp;ROWS($L$5:L139),Population!$U$2:$U$1092,0),"")</f>
        <v/>
      </c>
    </row>
    <row r="140" customFormat="false" ht="15" hidden="false" customHeight="false" outlineLevel="0" collapsed="false">
      <c r="A140" s="12" t="str">
        <f aca="false">IF($L140="","",INDEX(Population!$B$2:$B$1092,$L140)&amp;"")</f>
        <v/>
      </c>
      <c r="B140" s="12" t="str">
        <f aca="false">IF($L140="","",INDEX(Population!$C$2:$C$1092,$L140)&amp;"")</f>
        <v/>
      </c>
      <c r="C140" s="12" t="str">
        <f aca="false">IF($L140="","",INDEX(Population!$D$2:$D$1092,$L140)&amp;"")</f>
        <v/>
      </c>
      <c r="D140" s="12" t="str">
        <f aca="false">IF($L140="","",INDEX(Population!$E$2:$E$1092,$L140))</f>
        <v/>
      </c>
      <c r="E140" s="12" t="str">
        <f aca="false">IF($L140="","",INDEX(Population!$F$2:$F$1092,$L140))</f>
        <v/>
      </c>
      <c r="F140" s="16" t="str">
        <f aca="false">IF($L140="","",INDEX(Population!$L$2:$L$1092,$L140))</f>
        <v/>
      </c>
      <c r="G140" s="16" t="str">
        <f aca="false">IF($L140="","",INDEX(Population!$M$2:$M$1092,$L140))</f>
        <v/>
      </c>
      <c r="H140" s="15" t="str">
        <f aca="false">IF($L140="","",Summary!$C$5)</f>
        <v/>
      </c>
      <c r="I140" s="12" t="str">
        <f aca="false">IF($L140="","","Above Materiality")</f>
        <v/>
      </c>
      <c r="J140" s="12" t="str">
        <f aca="false">IF($L140="","",INDEX(Population!$N$2:$N$1092,$L140))</f>
        <v/>
      </c>
      <c r="K140" s="12" t="str">
        <f aca="false">IF($L140="","",INDEX(Population!$G$2:$G$1092,$L140)&amp;" / row "&amp;INDEX(Population!$H$2:$H$1092,$L140))</f>
        <v/>
      </c>
      <c r="L140" s="26" t="str">
        <f aca="false">IFERROR(MATCH("Population 1|A|"&amp;ROWS($L$5:L140),Population!$U$2:$U$1092,0),"")</f>
        <v/>
      </c>
    </row>
    <row r="141" customFormat="false" ht="15" hidden="false" customHeight="false" outlineLevel="0" collapsed="false">
      <c r="A141" s="12" t="str">
        <f aca="false">IF($L141="","",INDEX(Population!$B$2:$B$1092,$L141)&amp;"")</f>
        <v/>
      </c>
      <c r="B141" s="12" t="str">
        <f aca="false">IF($L141="","",INDEX(Population!$C$2:$C$1092,$L141)&amp;"")</f>
        <v/>
      </c>
      <c r="C141" s="12" t="str">
        <f aca="false">IF($L141="","",INDEX(Population!$D$2:$D$1092,$L141)&amp;"")</f>
        <v/>
      </c>
      <c r="D141" s="12" t="str">
        <f aca="false">IF($L141="","",INDEX(Population!$E$2:$E$1092,$L141))</f>
        <v/>
      </c>
      <c r="E141" s="12" t="str">
        <f aca="false">IF($L141="","",INDEX(Population!$F$2:$F$1092,$L141))</f>
        <v/>
      </c>
      <c r="F141" s="16" t="str">
        <f aca="false">IF($L141="","",INDEX(Population!$L$2:$L$1092,$L141))</f>
        <v/>
      </c>
      <c r="G141" s="16" t="str">
        <f aca="false">IF($L141="","",INDEX(Population!$M$2:$M$1092,$L141))</f>
        <v/>
      </c>
      <c r="H141" s="15" t="str">
        <f aca="false">IF($L141="","",Summary!$C$5)</f>
        <v/>
      </c>
      <c r="I141" s="12" t="str">
        <f aca="false">IF($L141="","","Above Materiality")</f>
        <v/>
      </c>
      <c r="J141" s="12" t="str">
        <f aca="false">IF($L141="","",INDEX(Population!$N$2:$N$1092,$L141))</f>
        <v/>
      </c>
      <c r="K141" s="12" t="str">
        <f aca="false">IF($L141="","",INDEX(Population!$G$2:$G$1092,$L141)&amp;" / row "&amp;INDEX(Population!$H$2:$H$1092,$L141))</f>
        <v/>
      </c>
      <c r="L141" s="26" t="str">
        <f aca="false">IFERROR(MATCH("Population 1|A|"&amp;ROWS($L$5:L141),Population!$U$2:$U$1092,0),"")</f>
        <v/>
      </c>
    </row>
    <row r="142" customFormat="false" ht="15" hidden="false" customHeight="false" outlineLevel="0" collapsed="false">
      <c r="A142" s="12" t="str">
        <f aca="false">IF($L142="","",INDEX(Population!$B$2:$B$1092,$L142)&amp;"")</f>
        <v/>
      </c>
      <c r="B142" s="12" t="str">
        <f aca="false">IF($L142="","",INDEX(Population!$C$2:$C$1092,$L142)&amp;"")</f>
        <v/>
      </c>
      <c r="C142" s="12" t="str">
        <f aca="false">IF($L142="","",INDEX(Population!$D$2:$D$1092,$L142)&amp;"")</f>
        <v/>
      </c>
      <c r="D142" s="12" t="str">
        <f aca="false">IF($L142="","",INDEX(Population!$E$2:$E$1092,$L142))</f>
        <v/>
      </c>
      <c r="E142" s="12" t="str">
        <f aca="false">IF($L142="","",INDEX(Population!$F$2:$F$1092,$L142))</f>
        <v/>
      </c>
      <c r="F142" s="16" t="str">
        <f aca="false">IF($L142="","",INDEX(Population!$L$2:$L$1092,$L142))</f>
        <v/>
      </c>
      <c r="G142" s="16" t="str">
        <f aca="false">IF($L142="","",INDEX(Population!$M$2:$M$1092,$L142))</f>
        <v/>
      </c>
      <c r="H142" s="15" t="str">
        <f aca="false">IF($L142="","",Summary!$C$5)</f>
        <v/>
      </c>
      <c r="I142" s="12" t="str">
        <f aca="false">IF($L142="","","Above Materiality")</f>
        <v/>
      </c>
      <c r="J142" s="12" t="str">
        <f aca="false">IF($L142="","",INDEX(Population!$N$2:$N$1092,$L142))</f>
        <v/>
      </c>
      <c r="K142" s="12" t="str">
        <f aca="false">IF($L142="","",INDEX(Population!$G$2:$G$1092,$L142)&amp;" / row "&amp;INDEX(Population!$H$2:$H$1092,$L142))</f>
        <v/>
      </c>
      <c r="L142" s="26" t="str">
        <f aca="false">IFERROR(MATCH("Population 1|A|"&amp;ROWS($L$5:L142),Population!$U$2:$U$1092,0),"")</f>
        <v/>
      </c>
    </row>
    <row r="143" customFormat="false" ht="15" hidden="false" customHeight="false" outlineLevel="0" collapsed="false">
      <c r="A143" s="12" t="str">
        <f aca="false">IF($L143="","",INDEX(Population!$B$2:$B$1092,$L143)&amp;"")</f>
        <v/>
      </c>
      <c r="B143" s="12" t="str">
        <f aca="false">IF($L143="","",INDEX(Population!$C$2:$C$1092,$L143)&amp;"")</f>
        <v/>
      </c>
      <c r="C143" s="12" t="str">
        <f aca="false">IF($L143="","",INDEX(Population!$D$2:$D$1092,$L143)&amp;"")</f>
        <v/>
      </c>
      <c r="D143" s="12" t="str">
        <f aca="false">IF($L143="","",INDEX(Population!$E$2:$E$1092,$L143))</f>
        <v/>
      </c>
      <c r="E143" s="12" t="str">
        <f aca="false">IF($L143="","",INDEX(Population!$F$2:$F$1092,$L143))</f>
        <v/>
      </c>
      <c r="F143" s="16" t="str">
        <f aca="false">IF($L143="","",INDEX(Population!$L$2:$L$1092,$L143))</f>
        <v/>
      </c>
      <c r="G143" s="16" t="str">
        <f aca="false">IF($L143="","",INDEX(Population!$M$2:$M$1092,$L143))</f>
        <v/>
      </c>
      <c r="H143" s="15" t="str">
        <f aca="false">IF($L143="","",Summary!$C$5)</f>
        <v/>
      </c>
      <c r="I143" s="12" t="str">
        <f aca="false">IF($L143="","","Above Materiality")</f>
        <v/>
      </c>
      <c r="J143" s="12" t="str">
        <f aca="false">IF($L143="","",INDEX(Population!$N$2:$N$1092,$L143))</f>
        <v/>
      </c>
      <c r="K143" s="12" t="str">
        <f aca="false">IF($L143="","",INDEX(Population!$G$2:$G$1092,$L143)&amp;" / row "&amp;INDEX(Population!$H$2:$H$1092,$L143))</f>
        <v/>
      </c>
      <c r="L143" s="26" t="str">
        <f aca="false">IFERROR(MATCH("Population 1|A|"&amp;ROWS($L$5:L143),Population!$U$2:$U$1092,0),"")</f>
        <v/>
      </c>
    </row>
    <row r="144" customFormat="false" ht="15" hidden="false" customHeight="false" outlineLevel="0" collapsed="false">
      <c r="A144" s="12" t="str">
        <f aca="false">IF($L144="","",INDEX(Population!$B$2:$B$1092,$L144)&amp;"")</f>
        <v/>
      </c>
      <c r="B144" s="12" t="str">
        <f aca="false">IF($L144="","",INDEX(Population!$C$2:$C$1092,$L144)&amp;"")</f>
        <v/>
      </c>
      <c r="C144" s="12" t="str">
        <f aca="false">IF($L144="","",INDEX(Population!$D$2:$D$1092,$L144)&amp;"")</f>
        <v/>
      </c>
      <c r="D144" s="12" t="str">
        <f aca="false">IF($L144="","",INDEX(Population!$E$2:$E$1092,$L144))</f>
        <v/>
      </c>
      <c r="E144" s="12" t="str">
        <f aca="false">IF($L144="","",INDEX(Population!$F$2:$F$1092,$L144))</f>
        <v/>
      </c>
      <c r="F144" s="16" t="str">
        <f aca="false">IF($L144="","",INDEX(Population!$L$2:$L$1092,$L144))</f>
        <v/>
      </c>
      <c r="G144" s="16" t="str">
        <f aca="false">IF($L144="","",INDEX(Population!$M$2:$M$1092,$L144))</f>
        <v/>
      </c>
      <c r="H144" s="15" t="str">
        <f aca="false">IF($L144="","",Summary!$C$5)</f>
        <v/>
      </c>
      <c r="I144" s="12" t="str">
        <f aca="false">IF($L144="","","Above Materiality")</f>
        <v/>
      </c>
      <c r="J144" s="12" t="str">
        <f aca="false">IF($L144="","",INDEX(Population!$N$2:$N$1092,$L144))</f>
        <v/>
      </c>
      <c r="K144" s="12" t="str">
        <f aca="false">IF($L144="","",INDEX(Population!$G$2:$G$1092,$L144)&amp;" / row "&amp;INDEX(Population!$H$2:$H$1092,$L144))</f>
        <v/>
      </c>
      <c r="L144" s="26" t="str">
        <f aca="false">IFERROR(MATCH("Population 1|A|"&amp;ROWS($L$5:L144),Population!$U$2:$U$1092,0),"")</f>
        <v/>
      </c>
    </row>
    <row r="145" customFormat="false" ht="15" hidden="false" customHeight="false" outlineLevel="0" collapsed="false">
      <c r="A145" s="12" t="str">
        <f aca="false">IF($L145="","",INDEX(Population!$B$2:$B$1092,$L145)&amp;"")</f>
        <v/>
      </c>
      <c r="B145" s="12" t="str">
        <f aca="false">IF($L145="","",INDEX(Population!$C$2:$C$1092,$L145)&amp;"")</f>
        <v/>
      </c>
      <c r="C145" s="12" t="str">
        <f aca="false">IF($L145="","",INDEX(Population!$D$2:$D$1092,$L145)&amp;"")</f>
        <v/>
      </c>
      <c r="D145" s="12" t="str">
        <f aca="false">IF($L145="","",INDEX(Population!$E$2:$E$1092,$L145))</f>
        <v/>
      </c>
      <c r="E145" s="12" t="str">
        <f aca="false">IF($L145="","",INDEX(Population!$F$2:$F$1092,$L145))</f>
        <v/>
      </c>
      <c r="F145" s="16" t="str">
        <f aca="false">IF($L145="","",INDEX(Population!$L$2:$L$1092,$L145))</f>
        <v/>
      </c>
      <c r="G145" s="16" t="str">
        <f aca="false">IF($L145="","",INDEX(Population!$M$2:$M$1092,$L145))</f>
        <v/>
      </c>
      <c r="H145" s="15" t="str">
        <f aca="false">IF($L145="","",Summary!$C$5)</f>
        <v/>
      </c>
      <c r="I145" s="12" t="str">
        <f aca="false">IF($L145="","","Above Materiality")</f>
        <v/>
      </c>
      <c r="J145" s="12" t="str">
        <f aca="false">IF($L145="","",INDEX(Population!$N$2:$N$1092,$L145))</f>
        <v/>
      </c>
      <c r="K145" s="12" t="str">
        <f aca="false">IF($L145="","",INDEX(Population!$G$2:$G$1092,$L145)&amp;" / row "&amp;INDEX(Population!$H$2:$H$1092,$L145))</f>
        <v/>
      </c>
      <c r="L145" s="26" t="str">
        <f aca="false">IFERROR(MATCH("Population 1|A|"&amp;ROWS($L$5:L145),Population!$U$2:$U$1092,0),"")</f>
        <v/>
      </c>
    </row>
    <row r="146" customFormat="false" ht="15" hidden="false" customHeight="false" outlineLevel="0" collapsed="false">
      <c r="A146" s="12" t="str">
        <f aca="false">IF($L146="","",INDEX(Population!$B$2:$B$1092,$L146)&amp;"")</f>
        <v/>
      </c>
      <c r="B146" s="12" t="str">
        <f aca="false">IF($L146="","",INDEX(Population!$C$2:$C$1092,$L146)&amp;"")</f>
        <v/>
      </c>
      <c r="C146" s="12" t="str">
        <f aca="false">IF($L146="","",INDEX(Population!$D$2:$D$1092,$L146)&amp;"")</f>
        <v/>
      </c>
      <c r="D146" s="12" t="str">
        <f aca="false">IF($L146="","",INDEX(Population!$E$2:$E$1092,$L146))</f>
        <v/>
      </c>
      <c r="E146" s="12" t="str">
        <f aca="false">IF($L146="","",INDEX(Population!$F$2:$F$1092,$L146))</f>
        <v/>
      </c>
      <c r="F146" s="16" t="str">
        <f aca="false">IF($L146="","",INDEX(Population!$L$2:$L$1092,$L146))</f>
        <v/>
      </c>
      <c r="G146" s="16" t="str">
        <f aca="false">IF($L146="","",INDEX(Population!$M$2:$M$1092,$L146))</f>
        <v/>
      </c>
      <c r="H146" s="15" t="str">
        <f aca="false">IF($L146="","",Summary!$C$5)</f>
        <v/>
      </c>
      <c r="I146" s="12" t="str">
        <f aca="false">IF($L146="","","Above Materiality")</f>
        <v/>
      </c>
      <c r="J146" s="12" t="str">
        <f aca="false">IF($L146="","",INDEX(Population!$N$2:$N$1092,$L146))</f>
        <v/>
      </c>
      <c r="K146" s="12" t="str">
        <f aca="false">IF($L146="","",INDEX(Population!$G$2:$G$1092,$L146)&amp;" / row "&amp;INDEX(Population!$H$2:$H$1092,$L146))</f>
        <v/>
      </c>
      <c r="L146" s="26" t="str">
        <f aca="false">IFERROR(MATCH("Population 1|A|"&amp;ROWS($L$5:L146),Population!$U$2:$U$1092,0),"")</f>
        <v/>
      </c>
    </row>
    <row r="147" customFormat="false" ht="15" hidden="false" customHeight="false" outlineLevel="0" collapsed="false">
      <c r="A147" s="12" t="str">
        <f aca="false">IF($L147="","",INDEX(Population!$B$2:$B$1092,$L147)&amp;"")</f>
        <v/>
      </c>
      <c r="B147" s="12" t="str">
        <f aca="false">IF($L147="","",INDEX(Population!$C$2:$C$1092,$L147)&amp;"")</f>
        <v/>
      </c>
      <c r="C147" s="12" t="str">
        <f aca="false">IF($L147="","",INDEX(Population!$D$2:$D$1092,$L147)&amp;"")</f>
        <v/>
      </c>
      <c r="D147" s="12" t="str">
        <f aca="false">IF($L147="","",INDEX(Population!$E$2:$E$1092,$L147))</f>
        <v/>
      </c>
      <c r="E147" s="12" t="str">
        <f aca="false">IF($L147="","",INDEX(Population!$F$2:$F$1092,$L147))</f>
        <v/>
      </c>
      <c r="F147" s="16" t="str">
        <f aca="false">IF($L147="","",INDEX(Population!$L$2:$L$1092,$L147))</f>
        <v/>
      </c>
      <c r="G147" s="16" t="str">
        <f aca="false">IF($L147="","",INDEX(Population!$M$2:$M$1092,$L147))</f>
        <v/>
      </c>
      <c r="H147" s="15" t="str">
        <f aca="false">IF($L147="","",Summary!$C$5)</f>
        <v/>
      </c>
      <c r="I147" s="12" t="str">
        <f aca="false">IF($L147="","","Above Materiality")</f>
        <v/>
      </c>
      <c r="J147" s="12" t="str">
        <f aca="false">IF($L147="","",INDEX(Population!$N$2:$N$1092,$L147))</f>
        <v/>
      </c>
      <c r="K147" s="12" t="str">
        <f aca="false">IF($L147="","",INDEX(Population!$G$2:$G$1092,$L147)&amp;" / row "&amp;INDEX(Population!$H$2:$H$1092,$L147))</f>
        <v/>
      </c>
      <c r="L147" s="26" t="str">
        <f aca="false">IFERROR(MATCH("Population 1|A|"&amp;ROWS($L$5:L147),Population!$U$2:$U$1092,0),"")</f>
        <v/>
      </c>
    </row>
    <row r="148" customFormat="false" ht="15" hidden="false" customHeight="false" outlineLevel="0" collapsed="false">
      <c r="A148" s="12" t="str">
        <f aca="false">IF($L148="","",INDEX(Population!$B$2:$B$1092,$L148)&amp;"")</f>
        <v/>
      </c>
      <c r="B148" s="12" t="str">
        <f aca="false">IF($L148="","",INDEX(Population!$C$2:$C$1092,$L148)&amp;"")</f>
        <v/>
      </c>
      <c r="C148" s="12" t="str">
        <f aca="false">IF($L148="","",INDEX(Population!$D$2:$D$1092,$L148)&amp;"")</f>
        <v/>
      </c>
      <c r="D148" s="12" t="str">
        <f aca="false">IF($L148="","",INDEX(Population!$E$2:$E$1092,$L148))</f>
        <v/>
      </c>
      <c r="E148" s="12" t="str">
        <f aca="false">IF($L148="","",INDEX(Population!$F$2:$F$1092,$L148))</f>
        <v/>
      </c>
      <c r="F148" s="16" t="str">
        <f aca="false">IF($L148="","",INDEX(Population!$L$2:$L$1092,$L148))</f>
        <v/>
      </c>
      <c r="G148" s="16" t="str">
        <f aca="false">IF($L148="","",INDEX(Population!$M$2:$M$1092,$L148))</f>
        <v/>
      </c>
      <c r="H148" s="15" t="str">
        <f aca="false">IF($L148="","",Summary!$C$5)</f>
        <v/>
      </c>
      <c r="I148" s="12" t="str">
        <f aca="false">IF($L148="","","Above Materiality")</f>
        <v/>
      </c>
      <c r="J148" s="12" t="str">
        <f aca="false">IF($L148="","",INDEX(Population!$N$2:$N$1092,$L148))</f>
        <v/>
      </c>
      <c r="K148" s="12" t="str">
        <f aca="false">IF($L148="","",INDEX(Population!$G$2:$G$1092,$L148)&amp;" / row "&amp;INDEX(Population!$H$2:$H$1092,$L148))</f>
        <v/>
      </c>
      <c r="L148" s="26" t="str">
        <f aca="false">IFERROR(MATCH("Population 1|A|"&amp;ROWS($L$5:L148),Population!$U$2:$U$1092,0),"")</f>
        <v/>
      </c>
    </row>
    <row r="149" customFormat="false" ht="15" hidden="false" customHeight="false" outlineLevel="0" collapsed="false">
      <c r="A149" s="12" t="str">
        <f aca="false">IF($L149="","",INDEX(Population!$B$2:$B$1092,$L149)&amp;"")</f>
        <v/>
      </c>
      <c r="B149" s="12" t="str">
        <f aca="false">IF($L149="","",INDEX(Population!$C$2:$C$1092,$L149)&amp;"")</f>
        <v/>
      </c>
      <c r="C149" s="12" t="str">
        <f aca="false">IF($L149="","",INDEX(Population!$D$2:$D$1092,$L149)&amp;"")</f>
        <v/>
      </c>
      <c r="D149" s="12" t="str">
        <f aca="false">IF($L149="","",INDEX(Population!$E$2:$E$1092,$L149))</f>
        <v/>
      </c>
      <c r="E149" s="12" t="str">
        <f aca="false">IF($L149="","",INDEX(Population!$F$2:$F$1092,$L149))</f>
        <v/>
      </c>
      <c r="F149" s="16" t="str">
        <f aca="false">IF($L149="","",INDEX(Population!$L$2:$L$1092,$L149))</f>
        <v/>
      </c>
      <c r="G149" s="16" t="str">
        <f aca="false">IF($L149="","",INDEX(Population!$M$2:$M$1092,$L149))</f>
        <v/>
      </c>
      <c r="H149" s="15" t="str">
        <f aca="false">IF($L149="","",Summary!$C$5)</f>
        <v/>
      </c>
      <c r="I149" s="12" t="str">
        <f aca="false">IF($L149="","","Above Materiality")</f>
        <v/>
      </c>
      <c r="J149" s="12" t="str">
        <f aca="false">IF($L149="","",INDEX(Population!$N$2:$N$1092,$L149))</f>
        <v/>
      </c>
      <c r="K149" s="12" t="str">
        <f aca="false">IF($L149="","",INDEX(Population!$G$2:$G$1092,$L149)&amp;" / row "&amp;INDEX(Population!$H$2:$H$1092,$L149))</f>
        <v/>
      </c>
      <c r="L149" s="26" t="str">
        <f aca="false">IFERROR(MATCH("Population 1|A|"&amp;ROWS($L$5:L149),Population!$U$2:$U$1092,0),"")</f>
        <v/>
      </c>
    </row>
    <row r="150" customFormat="false" ht="15" hidden="false" customHeight="false" outlineLevel="0" collapsed="false">
      <c r="A150" s="12" t="str">
        <f aca="false">IF($L150="","",INDEX(Population!$B$2:$B$1092,$L150)&amp;"")</f>
        <v/>
      </c>
      <c r="B150" s="12" t="str">
        <f aca="false">IF($L150="","",INDEX(Population!$C$2:$C$1092,$L150)&amp;"")</f>
        <v/>
      </c>
      <c r="C150" s="12" t="str">
        <f aca="false">IF($L150="","",INDEX(Population!$D$2:$D$1092,$L150)&amp;"")</f>
        <v/>
      </c>
      <c r="D150" s="12" t="str">
        <f aca="false">IF($L150="","",INDEX(Population!$E$2:$E$1092,$L150))</f>
        <v/>
      </c>
      <c r="E150" s="12" t="str">
        <f aca="false">IF($L150="","",INDEX(Population!$F$2:$F$1092,$L150))</f>
        <v/>
      </c>
      <c r="F150" s="16" t="str">
        <f aca="false">IF($L150="","",INDEX(Population!$L$2:$L$1092,$L150))</f>
        <v/>
      </c>
      <c r="G150" s="16" t="str">
        <f aca="false">IF($L150="","",INDEX(Population!$M$2:$M$1092,$L150))</f>
        <v/>
      </c>
      <c r="H150" s="15" t="str">
        <f aca="false">IF($L150="","",Summary!$C$5)</f>
        <v/>
      </c>
      <c r="I150" s="12" t="str">
        <f aca="false">IF($L150="","","Above Materiality")</f>
        <v/>
      </c>
      <c r="J150" s="12" t="str">
        <f aca="false">IF($L150="","",INDEX(Population!$N$2:$N$1092,$L150))</f>
        <v/>
      </c>
      <c r="K150" s="12" t="str">
        <f aca="false">IF($L150="","",INDEX(Population!$G$2:$G$1092,$L150)&amp;" / row "&amp;INDEX(Population!$H$2:$H$1092,$L150))</f>
        <v/>
      </c>
      <c r="L150" s="26" t="str">
        <f aca="false">IFERROR(MATCH("Population 1|A|"&amp;ROWS($L$5:L150),Population!$U$2:$U$1092,0),"")</f>
        <v/>
      </c>
    </row>
    <row r="151" customFormat="false" ht="15" hidden="false" customHeight="false" outlineLevel="0" collapsed="false">
      <c r="A151" s="12" t="str">
        <f aca="false">IF($L151="","",INDEX(Population!$B$2:$B$1092,$L151)&amp;"")</f>
        <v/>
      </c>
      <c r="B151" s="12" t="str">
        <f aca="false">IF($L151="","",INDEX(Population!$C$2:$C$1092,$L151)&amp;"")</f>
        <v/>
      </c>
      <c r="C151" s="12" t="str">
        <f aca="false">IF($L151="","",INDEX(Population!$D$2:$D$1092,$L151)&amp;"")</f>
        <v/>
      </c>
      <c r="D151" s="12" t="str">
        <f aca="false">IF($L151="","",INDEX(Population!$E$2:$E$1092,$L151))</f>
        <v/>
      </c>
      <c r="E151" s="12" t="str">
        <f aca="false">IF($L151="","",INDEX(Population!$F$2:$F$1092,$L151))</f>
        <v/>
      </c>
      <c r="F151" s="16" t="str">
        <f aca="false">IF($L151="","",INDEX(Population!$L$2:$L$1092,$L151))</f>
        <v/>
      </c>
      <c r="G151" s="16" t="str">
        <f aca="false">IF($L151="","",INDEX(Population!$M$2:$M$1092,$L151))</f>
        <v/>
      </c>
      <c r="H151" s="15" t="str">
        <f aca="false">IF($L151="","",Summary!$C$5)</f>
        <v/>
      </c>
      <c r="I151" s="12" t="str">
        <f aca="false">IF($L151="","","Above Materiality")</f>
        <v/>
      </c>
      <c r="J151" s="12" t="str">
        <f aca="false">IF($L151="","",INDEX(Population!$N$2:$N$1092,$L151))</f>
        <v/>
      </c>
      <c r="K151" s="12" t="str">
        <f aca="false">IF($L151="","",INDEX(Population!$G$2:$G$1092,$L151)&amp;" / row "&amp;INDEX(Population!$H$2:$H$1092,$L151))</f>
        <v/>
      </c>
      <c r="L151" s="26" t="str">
        <f aca="false">IFERROR(MATCH("Population 1|A|"&amp;ROWS($L$5:L151),Population!$U$2:$U$1092,0),"")</f>
        <v/>
      </c>
    </row>
    <row r="152" customFormat="false" ht="15" hidden="false" customHeight="false" outlineLevel="0" collapsed="false">
      <c r="A152" s="12" t="str">
        <f aca="false">IF($L152="","",INDEX(Population!$B$2:$B$1092,$L152)&amp;"")</f>
        <v/>
      </c>
      <c r="B152" s="12" t="str">
        <f aca="false">IF($L152="","",INDEX(Population!$C$2:$C$1092,$L152)&amp;"")</f>
        <v/>
      </c>
      <c r="C152" s="12" t="str">
        <f aca="false">IF($L152="","",INDEX(Population!$D$2:$D$1092,$L152)&amp;"")</f>
        <v/>
      </c>
      <c r="D152" s="12" t="str">
        <f aca="false">IF($L152="","",INDEX(Population!$E$2:$E$1092,$L152))</f>
        <v/>
      </c>
      <c r="E152" s="12" t="str">
        <f aca="false">IF($L152="","",INDEX(Population!$F$2:$F$1092,$L152))</f>
        <v/>
      </c>
      <c r="F152" s="16" t="str">
        <f aca="false">IF($L152="","",INDEX(Population!$L$2:$L$1092,$L152))</f>
        <v/>
      </c>
      <c r="G152" s="16" t="str">
        <f aca="false">IF($L152="","",INDEX(Population!$M$2:$M$1092,$L152))</f>
        <v/>
      </c>
      <c r="H152" s="15" t="str">
        <f aca="false">IF($L152="","",Summary!$C$5)</f>
        <v/>
      </c>
      <c r="I152" s="12" t="str">
        <f aca="false">IF($L152="","","Above Materiality")</f>
        <v/>
      </c>
      <c r="J152" s="12" t="str">
        <f aca="false">IF($L152="","",INDEX(Population!$N$2:$N$1092,$L152))</f>
        <v/>
      </c>
      <c r="K152" s="12" t="str">
        <f aca="false">IF($L152="","",INDEX(Population!$G$2:$G$1092,$L152)&amp;" / row "&amp;INDEX(Population!$H$2:$H$1092,$L152))</f>
        <v/>
      </c>
      <c r="L152" s="26" t="str">
        <f aca="false">IFERROR(MATCH("Population 1|A|"&amp;ROWS($L$5:L152),Population!$U$2:$U$1092,0),"")</f>
        <v/>
      </c>
    </row>
    <row r="153" customFormat="false" ht="15" hidden="false" customHeight="false" outlineLevel="0" collapsed="false">
      <c r="A153" s="12" t="str">
        <f aca="false">IF($L153="","",INDEX(Population!$B$2:$B$1092,$L153)&amp;"")</f>
        <v/>
      </c>
      <c r="B153" s="12" t="str">
        <f aca="false">IF($L153="","",INDEX(Population!$C$2:$C$1092,$L153)&amp;"")</f>
        <v/>
      </c>
      <c r="C153" s="12" t="str">
        <f aca="false">IF($L153="","",INDEX(Population!$D$2:$D$1092,$L153)&amp;"")</f>
        <v/>
      </c>
      <c r="D153" s="12" t="str">
        <f aca="false">IF($L153="","",INDEX(Population!$E$2:$E$1092,$L153))</f>
        <v/>
      </c>
      <c r="E153" s="12" t="str">
        <f aca="false">IF($L153="","",INDEX(Population!$F$2:$F$1092,$L153))</f>
        <v/>
      </c>
      <c r="F153" s="16" t="str">
        <f aca="false">IF($L153="","",INDEX(Population!$L$2:$L$1092,$L153))</f>
        <v/>
      </c>
      <c r="G153" s="16" t="str">
        <f aca="false">IF($L153="","",INDEX(Population!$M$2:$M$1092,$L153))</f>
        <v/>
      </c>
      <c r="H153" s="15" t="str">
        <f aca="false">IF($L153="","",Summary!$C$5)</f>
        <v/>
      </c>
      <c r="I153" s="12" t="str">
        <f aca="false">IF($L153="","","Above Materiality")</f>
        <v/>
      </c>
      <c r="J153" s="12" t="str">
        <f aca="false">IF($L153="","",INDEX(Population!$N$2:$N$1092,$L153))</f>
        <v/>
      </c>
      <c r="K153" s="12" t="str">
        <f aca="false">IF($L153="","",INDEX(Population!$G$2:$G$1092,$L153)&amp;" / row "&amp;INDEX(Population!$H$2:$H$1092,$L153))</f>
        <v/>
      </c>
      <c r="L153" s="26" t="str">
        <f aca="false">IFERROR(MATCH("Population 1|A|"&amp;ROWS($L$5:L153),Population!$U$2:$U$1092,0),"")</f>
        <v/>
      </c>
    </row>
    <row r="154" customFormat="false" ht="15" hidden="false" customHeight="false" outlineLevel="0" collapsed="false">
      <c r="A154" s="12" t="str">
        <f aca="false">IF($L154="","",INDEX(Population!$B$2:$B$1092,$L154)&amp;"")</f>
        <v/>
      </c>
      <c r="B154" s="12" t="str">
        <f aca="false">IF($L154="","",INDEX(Population!$C$2:$C$1092,$L154)&amp;"")</f>
        <v/>
      </c>
      <c r="C154" s="12" t="str">
        <f aca="false">IF($L154="","",INDEX(Population!$D$2:$D$1092,$L154)&amp;"")</f>
        <v/>
      </c>
      <c r="D154" s="12" t="str">
        <f aca="false">IF($L154="","",INDEX(Population!$E$2:$E$1092,$L154))</f>
        <v/>
      </c>
      <c r="E154" s="12" t="str">
        <f aca="false">IF($L154="","",INDEX(Population!$F$2:$F$1092,$L154))</f>
        <v/>
      </c>
      <c r="F154" s="16" t="str">
        <f aca="false">IF($L154="","",INDEX(Population!$L$2:$L$1092,$L154))</f>
        <v/>
      </c>
      <c r="G154" s="16" t="str">
        <f aca="false">IF($L154="","",INDEX(Population!$M$2:$M$1092,$L154))</f>
        <v/>
      </c>
      <c r="H154" s="15" t="str">
        <f aca="false">IF($L154="","",Summary!$C$5)</f>
        <v/>
      </c>
      <c r="I154" s="12" t="str">
        <f aca="false">IF($L154="","","Above Materiality")</f>
        <v/>
      </c>
      <c r="J154" s="12" t="str">
        <f aca="false">IF($L154="","",INDEX(Population!$N$2:$N$1092,$L154))</f>
        <v/>
      </c>
      <c r="K154" s="12" t="str">
        <f aca="false">IF($L154="","",INDEX(Population!$G$2:$G$1092,$L154)&amp;" / row "&amp;INDEX(Population!$H$2:$H$1092,$L154))</f>
        <v/>
      </c>
      <c r="L154" s="26" t="str">
        <f aca="false">IFERROR(MATCH("Population 1|A|"&amp;ROWS($L$5:L154),Population!$U$2:$U$1092,0),"")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60"/>
    <col collapsed="false" customWidth="true" hidden="false" outlineLevel="0" max="7" min="6" style="0" width="17"/>
    <col collapsed="false" customWidth="true" hidden="false" outlineLevel="0" max="8" min="8" style="0" width="15"/>
    <col collapsed="false" customWidth="true" hidden="false" outlineLevel="0" max="9" min="9" style="0" width="26"/>
    <col collapsed="false" customWidth="true" hidden="false" outlineLevel="0" max="10" min="10" style="0" width="20"/>
    <col collapsed="false" customWidth="true" hidden="false" outlineLevel="0" max="11" min="11" style="0" width="40"/>
    <col collapsed="false" customWidth="true" hidden="false" outlineLevel="0" max="12" min="12" style="0" width="12"/>
  </cols>
  <sheetData>
    <row r="1" customFormat="false" ht="16.15" hidden="false" customHeight="false" outlineLevel="0" collapsed="false">
      <c r="A1" s="23" t="str">
        <f aca="false">"Excel 2 – "&amp;Summary!$C$12&amp;": Below Materiality Sample"</f>
        <v>Excel 2 – AR Population (AR file: receivables + customer advances): Below Materiality Sample</v>
      </c>
    </row>
    <row r="2" customFormat="false" ht="15" hidden="false" customHeight="false" outlineLevel="0" collapsed="false">
      <c r="A2" s="25" t="str">
        <f aca="false">"Items listed: "&amp;COUNT(L5:L104)&amp;"   |   Materiality: "&amp;TEXT(Summary!$C$5,"#,##0")&amp;"   |   Method: "&amp;Summary!$C$9&amp;"   |   Confidence factor: "&amp;Summary!$C$6&amp;"   |   n required: "&amp;Summary!$C$7</f>
        <v>Items listed: 9   |   Materiality: 10,000   |   Method: Highest value   |   Confidence factor: 0.5   |   n required: 9</v>
      </c>
    </row>
    <row r="4" customFormat="false" ht="31.5" hidden="false" customHeight="true" outlineLevel="0" collapsed="false">
      <c r="A4" s="11" t="s">
        <v>49</v>
      </c>
      <c r="B4" s="11" t="s">
        <v>50</v>
      </c>
      <c r="C4" s="11" t="s">
        <v>51</v>
      </c>
      <c r="D4" s="11" t="s">
        <v>52</v>
      </c>
      <c r="E4" s="11" t="s">
        <v>53</v>
      </c>
      <c r="F4" s="11" t="s">
        <v>2041</v>
      </c>
      <c r="G4" s="11" t="s">
        <v>60</v>
      </c>
      <c r="H4" s="11" t="str">
        <f aca="false">IF(Summary!$C$9="Random","Random Number","Selection Rank (1 = highest value)")</f>
        <v>Selection Rank (1 = highest value)</v>
      </c>
      <c r="I4" s="11" t="s">
        <v>62</v>
      </c>
      <c r="J4" s="11" t="s">
        <v>61</v>
      </c>
      <c r="K4" s="11" t="s">
        <v>2042</v>
      </c>
      <c r="L4" s="11" t="s">
        <v>2043</v>
      </c>
    </row>
    <row r="5" customFormat="false" ht="15" hidden="false" customHeight="false" outlineLevel="0" collapsed="false">
      <c r="A5" s="12" t="str">
        <f aca="false">IF($L5="","",INDEX(Population!$B$2:$B$1092,$L5)&amp;"")</f>
        <v/>
      </c>
      <c r="B5" s="12" t="str">
        <f aca="false">IF($L5="","",INDEX(Population!$C$2:$C$1092,$L5)&amp;"")</f>
        <v/>
      </c>
      <c r="C5" s="12" t="str">
        <f aca="false">IF($L5="","",INDEX(Population!$D$2:$D$1092,$L5)&amp;"")</f>
        <v/>
      </c>
      <c r="D5" s="12" t="str">
        <f aca="false">IF($L5="","",INDEX(Population!$E$2:$E$1092,$L5))</f>
        <v>AL MAJDOUIE MANUFACTURING COMPANY</v>
      </c>
      <c r="E5" s="12" t="str">
        <f aca="false">IF($L5="","",INDEX(Population!$F$2:$F$1092,$L5))</f>
        <v>Party-wise closing balance (Opening 25,300.75; Debit 148,074.86; Credit 163,906.91)</v>
      </c>
      <c r="F5" s="16" t="n">
        <f aca="false">IF($L5="","",INDEX(Population!$L$2:$L$1092,$L5))</f>
        <v>9468.69999999998</v>
      </c>
      <c r="G5" s="16" t="n">
        <f aca="false">IF($L5="","",INDEX(Population!$M$2:$M$1092,$L5))</f>
        <v>9468.69999999998</v>
      </c>
      <c r="H5" s="27" t="n">
        <f aca="false">IF($L5="","",IF(Summary!$C$9="Random",INDEX(Population!$Q$2:$Q$1092,$L5),INDEX(Population!$S$2:$S$1092,$L5)))</f>
        <v>1</v>
      </c>
      <c r="I5" s="12" t="str">
        <f aca="false">IF($L5="","",IF(Summary!$C$9="Random","Below Materiality – Random","Below Materiality – Highest n"))</f>
        <v>Below Materiality – Highest n</v>
      </c>
      <c r="J5" s="12" t="str">
        <f aca="false">IF($L5="","",INDEX(Population!$N$2:$N$1092,$L5))</f>
        <v>Accounts Receivable</v>
      </c>
      <c r="K5" s="12" t="str">
        <f aca="false">IF($L5="","",INDEX(Population!$G$2:$G$1092,$L5)&amp;" / row "&amp;INDEX(Population!$H$2:$H$1092,$L5))</f>
        <v>AR file / row 177</v>
      </c>
      <c r="L5" s="26" t="n">
        <f aca="false">IF(ROWS($L$5:L5)&lt;=N(Summary!$C$7),IFERROR(MATCH("Population 1|R|"&amp;ROWS($L$5:L5),Population!$V$2:$V$1092,0),""),"")</f>
        <v>42</v>
      </c>
    </row>
    <row r="6" customFormat="false" ht="15" hidden="false" customHeight="false" outlineLevel="0" collapsed="false">
      <c r="A6" s="12" t="str">
        <f aca="false">IF($L6="","",INDEX(Population!$B$2:$B$1092,$L6)&amp;"")</f>
        <v/>
      </c>
      <c r="B6" s="12" t="str">
        <f aca="false">IF($L6="","",INDEX(Population!$C$2:$C$1092,$L6)&amp;"")</f>
        <v/>
      </c>
      <c r="C6" s="12" t="str">
        <f aca="false">IF($L6="","",INDEX(Population!$D$2:$D$1092,$L6)&amp;"")</f>
        <v/>
      </c>
      <c r="D6" s="12" t="str">
        <f aca="false">IF($L6="","",INDEX(Population!$E$2:$E$1092,$L6))</f>
        <v>TECHNICAL LINES TRADING ESTABLISHMENT</v>
      </c>
      <c r="E6" s="12" t="str">
        <f aca="false">IF($L6="","",INDEX(Population!$F$2:$F$1092,$L6))</f>
        <v>Party-wise closing balance (Opening 17,345.72; Debit 31,986.97; Credit 40,284.22)</v>
      </c>
      <c r="F6" s="16" t="n">
        <f aca="false">IF($L6="","",INDEX(Population!$L$2:$L$1092,$L6))</f>
        <v>9048.47</v>
      </c>
      <c r="G6" s="16" t="n">
        <f aca="false">IF($L6="","",INDEX(Population!$M$2:$M$1092,$L6))</f>
        <v>9048.47</v>
      </c>
      <c r="H6" s="27" t="n">
        <f aca="false">IF($L6="","",IF(Summary!$C$9="Random",INDEX(Population!$Q$2:$Q$1092,$L6),INDEX(Population!$S$2:$S$1092,$L6)))</f>
        <v>2</v>
      </c>
      <c r="I6" s="12" t="str">
        <f aca="false">IF($L6="","",IF(Summary!$C$9="Random","Below Materiality – Random","Below Materiality – Highest n"))</f>
        <v>Below Materiality – Highest n</v>
      </c>
      <c r="J6" s="12" t="str">
        <f aca="false">IF($L6="","",INDEX(Population!$N$2:$N$1092,$L6))</f>
        <v>Accounts Receivable</v>
      </c>
      <c r="K6" s="12" t="str">
        <f aca="false">IF($L6="","",INDEX(Population!$G$2:$G$1092,$L6)&amp;" / row "&amp;INDEX(Population!$H$2:$H$1092,$L6))</f>
        <v>AR file / row 29</v>
      </c>
      <c r="L6" s="26" t="n">
        <f aca="false">IF(ROWS($L$5:L6)&lt;=N(Summary!$C$7),IFERROR(MATCH("Population 1|R|"&amp;ROWS($L$5:L6),Population!$V$2:$V$1092,0),""),"")</f>
        <v>43</v>
      </c>
    </row>
    <row r="7" customFormat="false" ht="15" hidden="false" customHeight="false" outlineLevel="0" collapsed="false">
      <c r="A7" s="12" t="str">
        <f aca="false">IF($L7="","",INDEX(Population!$B$2:$B$1092,$L7)&amp;"")</f>
        <v/>
      </c>
      <c r="B7" s="12" t="str">
        <f aca="false">IF($L7="","",INDEX(Population!$C$2:$C$1092,$L7)&amp;"")</f>
        <v/>
      </c>
      <c r="C7" s="12" t="str">
        <f aca="false">IF($L7="","",INDEX(Population!$D$2:$D$1092,$L7)&amp;"")</f>
        <v/>
      </c>
      <c r="D7" s="12" t="str">
        <f aca="false">IF($L7="","",INDEX(Population!$E$2:$E$1092,$L7))</f>
        <v>SMEET ELEVATOR FOUNDATION</v>
      </c>
      <c r="E7" s="12" t="str">
        <f aca="false">IF($L7="","",INDEX(Population!$F$2:$F$1092,$L7))</f>
        <v>Party-wise closing balance (Opening 8,852.65; Debit 172.50; Credit 172.00)</v>
      </c>
      <c r="F7" s="16" t="n">
        <f aca="false">IF($L7="","",INDEX(Population!$L$2:$L$1092,$L7))</f>
        <v>8853.15</v>
      </c>
      <c r="G7" s="16" t="n">
        <f aca="false">IF($L7="","",INDEX(Population!$M$2:$M$1092,$L7))</f>
        <v>8853.15</v>
      </c>
      <c r="H7" s="27" t="n">
        <f aca="false">IF($L7="","",IF(Summary!$C$9="Random",INDEX(Population!$Q$2:$Q$1092,$L7),INDEX(Population!$S$2:$S$1092,$L7)))</f>
        <v>3</v>
      </c>
      <c r="I7" s="12" t="str">
        <f aca="false">IF($L7="","",IF(Summary!$C$9="Random","Below Materiality – Random","Below Materiality – Highest n"))</f>
        <v>Below Materiality – Highest n</v>
      </c>
      <c r="J7" s="12" t="str">
        <f aca="false">IF($L7="","",INDEX(Population!$N$2:$N$1092,$L7))</f>
        <v>Accounts Receivable</v>
      </c>
      <c r="K7" s="12" t="str">
        <f aca="false">IF($L7="","",INDEX(Population!$G$2:$G$1092,$L7)&amp;" / row "&amp;INDEX(Population!$H$2:$H$1092,$L7))</f>
        <v>AR file / row 92</v>
      </c>
      <c r="L7" s="26" t="n">
        <f aca="false">IF(ROWS($L$5:L7)&lt;=N(Summary!$C$7),IFERROR(MATCH("Population 1|R|"&amp;ROWS($L$5:L7),Population!$V$2:$V$1092,0),""),"")</f>
        <v>44</v>
      </c>
    </row>
    <row r="8" customFormat="false" ht="15" hidden="false" customHeight="false" outlineLevel="0" collapsed="false">
      <c r="A8" s="12" t="str">
        <f aca="false">IF($L8="","",INDEX(Population!$B$2:$B$1092,$L8)&amp;"")</f>
        <v/>
      </c>
      <c r="B8" s="12" t="str">
        <f aca="false">IF($L8="","",INDEX(Population!$C$2:$C$1092,$L8)&amp;"")</f>
        <v/>
      </c>
      <c r="C8" s="12" t="str">
        <f aca="false">IF($L8="","",INDEX(Population!$D$2:$D$1092,$L8)&amp;"")</f>
        <v/>
      </c>
      <c r="D8" s="12" t="str">
        <f aca="false">IF($L8="","",INDEX(Population!$E$2:$E$1092,$L8))</f>
        <v>ALI MANEA AL YAMI TRADING ESTABLISHMENT</v>
      </c>
      <c r="E8" s="12" t="str">
        <f aca="false">IF($L8="","",INDEX(Population!$F$2:$F$1092,$L8))</f>
        <v>Party-wise closing balance (Opening 0.00; Debit 111,088.52; Credit 118,742.17)</v>
      </c>
      <c r="F8" s="16" t="n">
        <f aca="false">IF($L8="","",INDEX(Population!$L$2:$L$1092,$L8))</f>
        <v>-7653.64999999999</v>
      </c>
      <c r="G8" s="16" t="n">
        <f aca="false">IF($L8="","",INDEX(Population!$M$2:$M$1092,$L8))</f>
        <v>7653.64999999999</v>
      </c>
      <c r="H8" s="27" t="n">
        <f aca="false">IF($L8="","",IF(Summary!$C$9="Random",INDEX(Population!$Q$2:$Q$1092,$L8),INDEX(Population!$S$2:$S$1092,$L8)))</f>
        <v>4</v>
      </c>
      <c r="I8" s="12" t="str">
        <f aca="false">IF($L8="","",IF(Summary!$C$9="Random","Below Materiality – Random","Below Materiality – Highest n"))</f>
        <v>Below Materiality – Highest n</v>
      </c>
      <c r="J8" s="12" t="str">
        <f aca="false">IF($L8="","",INDEX(Population!$N$2:$N$1092,$L8))</f>
        <v>Customer Advances</v>
      </c>
      <c r="K8" s="12" t="str">
        <f aca="false">IF($L8="","",INDEX(Population!$G$2:$G$1092,$L8)&amp;" / row "&amp;INDEX(Population!$H$2:$H$1092,$L8))</f>
        <v>AR file / row 446</v>
      </c>
      <c r="L8" s="26" t="n">
        <f aca="false">IF(ROWS($L$5:L8)&lt;=N(Summary!$C$7),IFERROR(MATCH("Population 1|R|"&amp;ROWS($L$5:L8),Population!$V$2:$V$1092,0),""),"")</f>
        <v>45</v>
      </c>
    </row>
    <row r="9" customFormat="false" ht="15" hidden="false" customHeight="false" outlineLevel="0" collapsed="false">
      <c r="A9" s="12" t="str">
        <f aca="false">IF($L9="","",INDEX(Population!$B$2:$B$1092,$L9)&amp;"")</f>
        <v/>
      </c>
      <c r="B9" s="12" t="str">
        <f aca="false">IF($L9="","",INDEX(Population!$C$2:$C$1092,$L9)&amp;"")</f>
        <v/>
      </c>
      <c r="C9" s="12" t="str">
        <f aca="false">IF($L9="","",INDEX(Population!$D$2:$D$1092,$L9)&amp;"")</f>
        <v/>
      </c>
      <c r="D9" s="12" t="str">
        <f aca="false">IF($L9="","",INDEX(Population!$E$2:$E$1092,$L9))</f>
        <v>CREATIVE STEEL FACTORYCOMPANY FOR INDUSTRY</v>
      </c>
      <c r="E9" s="12" t="str">
        <f aca="false">IF($L9="","",INDEX(Population!$F$2:$F$1092,$L9))</f>
        <v>Party-wise closing balance (Opening 3,894.28; Debit 52,234.73; Credit 48,493.20)</v>
      </c>
      <c r="F9" s="16" t="n">
        <f aca="false">IF($L9="","",INDEX(Population!$L$2:$L$1092,$L9))</f>
        <v>7635.81000000001</v>
      </c>
      <c r="G9" s="16" t="n">
        <f aca="false">IF($L9="","",INDEX(Population!$M$2:$M$1092,$L9))</f>
        <v>7635.81000000001</v>
      </c>
      <c r="H9" s="27" t="n">
        <f aca="false">IF($L9="","",IF(Summary!$C$9="Random",INDEX(Population!$Q$2:$Q$1092,$L9),INDEX(Population!$S$2:$S$1092,$L9)))</f>
        <v>5</v>
      </c>
      <c r="I9" s="12" t="str">
        <f aca="false">IF($L9="","",IF(Summary!$C$9="Random","Below Materiality – Random","Below Materiality – Highest n"))</f>
        <v>Below Materiality – Highest n</v>
      </c>
      <c r="J9" s="12" t="str">
        <f aca="false">IF($L9="","",INDEX(Population!$N$2:$N$1092,$L9))</f>
        <v>Accounts Receivable</v>
      </c>
      <c r="K9" s="12" t="str">
        <f aca="false">IF($L9="","",INDEX(Population!$G$2:$G$1092,$L9)&amp;" / row "&amp;INDEX(Population!$H$2:$H$1092,$L9))</f>
        <v>AR file / row 98</v>
      </c>
      <c r="L9" s="26" t="n">
        <f aca="false">IF(ROWS($L$5:L9)&lt;=N(Summary!$C$7),IFERROR(MATCH("Population 1|R|"&amp;ROWS($L$5:L9),Population!$V$2:$V$1092,0),""),"")</f>
        <v>46</v>
      </c>
    </row>
    <row r="10" customFormat="false" ht="15" hidden="false" customHeight="false" outlineLevel="0" collapsed="false">
      <c r="A10" s="12" t="str">
        <f aca="false">IF($L10="","",INDEX(Population!$B$2:$B$1092,$L10)&amp;"")</f>
        <v/>
      </c>
      <c r="B10" s="12" t="str">
        <f aca="false">IF($L10="","",INDEX(Population!$C$2:$C$1092,$L10)&amp;"")</f>
        <v/>
      </c>
      <c r="C10" s="12" t="str">
        <f aca="false">IF($L10="","",INDEX(Population!$D$2:$D$1092,$L10)&amp;"")</f>
        <v/>
      </c>
      <c r="D10" s="12" t="str">
        <f aca="false">IF($L10="","",INDEX(Population!$E$2:$E$1092,$L10))</f>
        <v>BUSINESS LEGEND GENERAL CONTRACTING COMPANY</v>
      </c>
      <c r="E10" s="12" t="str">
        <f aca="false">IF($L10="","",INDEX(Population!$F$2:$F$1092,$L10))</f>
        <v>Party-wise closing balance (Opening 0.00; Debit 36,889.70; Credit 29,414.70)</v>
      </c>
      <c r="F10" s="16" t="n">
        <f aca="false">IF($L10="","",INDEX(Population!$L$2:$L$1092,$L10))</f>
        <v>7475</v>
      </c>
      <c r="G10" s="16" t="n">
        <f aca="false">IF($L10="","",INDEX(Population!$M$2:$M$1092,$L10))</f>
        <v>7475</v>
      </c>
      <c r="H10" s="27" t="n">
        <f aca="false">IF($L10="","",IF(Summary!$C$9="Random",INDEX(Population!$Q$2:$Q$1092,$L10),INDEX(Population!$S$2:$S$1092,$L10)))</f>
        <v>6</v>
      </c>
      <c r="I10" s="12" t="str">
        <f aca="false">IF($L10="","",IF(Summary!$C$9="Random","Below Materiality – Random","Below Materiality – Highest n"))</f>
        <v>Below Materiality – Highest n</v>
      </c>
      <c r="J10" s="12" t="str">
        <f aca="false">IF($L10="","",INDEX(Population!$N$2:$N$1092,$L10))</f>
        <v>Accounts Receivable</v>
      </c>
      <c r="K10" s="12" t="str">
        <f aca="false">IF($L10="","",INDEX(Population!$G$2:$G$1092,$L10)&amp;" / row "&amp;INDEX(Population!$H$2:$H$1092,$L10))</f>
        <v>AR file / row 771</v>
      </c>
      <c r="L10" s="26" t="n">
        <f aca="false">IF(ROWS($L$5:L10)&lt;=N(Summary!$C$7),IFERROR(MATCH("Population 1|R|"&amp;ROWS($L$5:L10),Population!$V$2:$V$1092,0),""),"")</f>
        <v>47</v>
      </c>
    </row>
    <row r="11" customFormat="false" ht="15" hidden="false" customHeight="false" outlineLevel="0" collapsed="false">
      <c r="A11" s="12" t="str">
        <f aca="false">IF($L11="","",INDEX(Population!$B$2:$B$1092,$L11)&amp;"")</f>
        <v/>
      </c>
      <c r="B11" s="12" t="str">
        <f aca="false">IF($L11="","",INDEX(Population!$C$2:$C$1092,$L11)&amp;"")</f>
        <v/>
      </c>
      <c r="C11" s="12" t="str">
        <f aca="false">IF($L11="","",INDEX(Population!$D$2:$D$1092,$L11)&amp;"")</f>
        <v/>
      </c>
      <c r="D11" s="12" t="str">
        <f aca="false">IF($L11="","",INDEX(Population!$E$2:$E$1092,$L11))</f>
        <v>AROZAN</v>
      </c>
      <c r="E11" s="12" t="str">
        <f aca="false">IF($L11="","",INDEX(Population!$F$2:$F$1092,$L11))</f>
        <v>Party-wise closing balance (Opening -1,988.50; Debit 15,320.80; Credit 6,158.60)</v>
      </c>
      <c r="F11" s="16" t="n">
        <f aca="false">IF($L11="","",INDEX(Population!$L$2:$L$1092,$L11))</f>
        <v>7173.7</v>
      </c>
      <c r="G11" s="16" t="n">
        <f aca="false">IF($L11="","",INDEX(Population!$M$2:$M$1092,$L11))</f>
        <v>7173.7</v>
      </c>
      <c r="H11" s="27" t="n">
        <f aca="false">IF($L11="","",IF(Summary!$C$9="Random",INDEX(Population!$Q$2:$Q$1092,$L11),INDEX(Population!$S$2:$S$1092,$L11)))</f>
        <v>7</v>
      </c>
      <c r="I11" s="12" t="str">
        <f aca="false">IF($L11="","",IF(Summary!$C$9="Random","Below Materiality – Random","Below Materiality – Highest n"))</f>
        <v>Below Materiality – Highest n</v>
      </c>
      <c r="J11" s="12" t="str">
        <f aca="false">IF($L11="","",INDEX(Population!$N$2:$N$1092,$L11))</f>
        <v>Accounts Receivable</v>
      </c>
      <c r="K11" s="12" t="str">
        <f aca="false">IF($L11="","",INDEX(Population!$G$2:$G$1092,$L11)&amp;" / row "&amp;INDEX(Population!$H$2:$H$1092,$L11))</f>
        <v>AR file / row 95</v>
      </c>
      <c r="L11" s="26" t="n">
        <f aca="false">IF(ROWS($L$5:L11)&lt;=N(Summary!$C$7),IFERROR(MATCH("Population 1|R|"&amp;ROWS($L$5:L11),Population!$V$2:$V$1092,0),""),"")</f>
        <v>48</v>
      </c>
    </row>
    <row r="12" customFormat="false" ht="15" hidden="false" customHeight="false" outlineLevel="0" collapsed="false">
      <c r="A12" s="12" t="str">
        <f aca="false">IF($L12="","",INDEX(Population!$B$2:$B$1092,$L12)&amp;"")</f>
        <v/>
      </c>
      <c r="B12" s="12" t="str">
        <f aca="false">IF($L12="","",INDEX(Population!$C$2:$C$1092,$L12)&amp;"")</f>
        <v/>
      </c>
      <c r="C12" s="12" t="str">
        <f aca="false">IF($L12="","",INDEX(Population!$D$2:$D$1092,$L12)&amp;"")</f>
        <v/>
      </c>
      <c r="D12" s="12" t="str">
        <f aca="false">IF($L12="","",INDEX(Population!$E$2:$E$1092,$L12))</f>
        <v>INTERNATIONAL AGENT CO.</v>
      </c>
      <c r="E12" s="12" t="str">
        <f aca="false">IF($L12="","",INDEX(Population!$F$2:$F$1092,$L12))</f>
        <v>Party-wise closing balance (Opening -24,002.40; Debit 75,462.44; Credit 45,000.00)</v>
      </c>
      <c r="F12" s="16" t="n">
        <f aca="false">IF($L12="","",INDEX(Population!$L$2:$L$1092,$L12))</f>
        <v>6460.04</v>
      </c>
      <c r="G12" s="16" t="n">
        <f aca="false">IF($L12="","",INDEX(Population!$M$2:$M$1092,$L12))</f>
        <v>6460.04</v>
      </c>
      <c r="H12" s="27" t="n">
        <f aca="false">IF($L12="","",IF(Summary!$C$9="Random",INDEX(Population!$Q$2:$Q$1092,$L12),INDEX(Population!$S$2:$S$1092,$L12)))</f>
        <v>8</v>
      </c>
      <c r="I12" s="12" t="str">
        <f aca="false">IF($L12="","",IF(Summary!$C$9="Random","Below Materiality – Random","Below Materiality – Highest n"))</f>
        <v>Below Materiality – Highest n</v>
      </c>
      <c r="J12" s="12" t="str">
        <f aca="false">IF($L12="","",INDEX(Population!$N$2:$N$1092,$L12))</f>
        <v>Accounts Receivable</v>
      </c>
      <c r="K12" s="12" t="str">
        <f aca="false">IF($L12="","",INDEX(Population!$G$2:$G$1092,$L12)&amp;" / row "&amp;INDEX(Population!$H$2:$H$1092,$L12))</f>
        <v>AR file / row 323</v>
      </c>
      <c r="L12" s="26" t="n">
        <f aca="false">IF(ROWS($L$5:L12)&lt;=N(Summary!$C$7),IFERROR(MATCH("Population 1|R|"&amp;ROWS($L$5:L12),Population!$V$2:$V$1092,0),""),"")</f>
        <v>49</v>
      </c>
    </row>
    <row r="13" customFormat="false" ht="15" hidden="false" customHeight="false" outlineLevel="0" collapsed="false">
      <c r="A13" s="12" t="str">
        <f aca="false">IF($L13="","",INDEX(Population!$B$2:$B$1092,$L13)&amp;"")</f>
        <v/>
      </c>
      <c r="B13" s="12" t="str">
        <f aca="false">IF($L13="","",INDEX(Population!$C$2:$C$1092,$L13)&amp;"")</f>
        <v/>
      </c>
      <c r="C13" s="12" t="str">
        <f aca="false">IF($L13="","",INDEX(Population!$D$2:$D$1092,$L13)&amp;"")</f>
        <v/>
      </c>
      <c r="D13" s="12" t="str">
        <f aca="false">IF($L13="","",INDEX(Population!$E$2:$E$1092,$L13))</f>
        <v>ADVANCED METAL RUBBER COMPANY FOR INDUSTRY</v>
      </c>
      <c r="E13" s="12" t="str">
        <f aca="false">IF($L13="","",INDEX(Population!$F$2:$F$1092,$L13))</f>
        <v>Party-wise closing balance (Opening 17,964.23; Debit 30,981.00; Credit 42,510.98)</v>
      </c>
      <c r="F13" s="16" t="n">
        <f aca="false">IF($L13="","",INDEX(Population!$L$2:$L$1092,$L13))</f>
        <v>6434.24999999999</v>
      </c>
      <c r="G13" s="16" t="n">
        <f aca="false">IF($L13="","",INDEX(Population!$M$2:$M$1092,$L13))</f>
        <v>6434.24999999999</v>
      </c>
      <c r="H13" s="27" t="n">
        <f aca="false">IF($L13="","",IF(Summary!$C$9="Random",INDEX(Population!$Q$2:$Q$1092,$L13),INDEX(Population!$S$2:$S$1092,$L13)))</f>
        <v>9</v>
      </c>
      <c r="I13" s="12" t="str">
        <f aca="false">IF($L13="","",IF(Summary!$C$9="Random","Below Materiality – Random","Below Materiality – Highest n"))</f>
        <v>Below Materiality – Highest n</v>
      </c>
      <c r="J13" s="12" t="str">
        <f aca="false">IF($L13="","",INDEX(Population!$N$2:$N$1092,$L13))</f>
        <v>Accounts Receivable</v>
      </c>
      <c r="K13" s="12" t="str">
        <f aca="false">IF($L13="","",INDEX(Population!$G$2:$G$1092,$L13)&amp;" / row "&amp;INDEX(Population!$H$2:$H$1092,$L13))</f>
        <v>AR file / row 137</v>
      </c>
      <c r="L13" s="26" t="n">
        <f aca="false">IF(ROWS($L$5:L13)&lt;=N(Summary!$C$7),IFERROR(MATCH("Population 1|R|"&amp;ROWS($L$5:L13),Population!$V$2:$V$1092,0),""),"")</f>
        <v>50</v>
      </c>
    </row>
    <row r="14" customFormat="false" ht="15" hidden="false" customHeight="false" outlineLevel="0" collapsed="false">
      <c r="A14" s="12" t="str">
        <f aca="false">IF($L14="","",INDEX(Population!$B$2:$B$1092,$L14)&amp;"")</f>
        <v/>
      </c>
      <c r="B14" s="12" t="str">
        <f aca="false">IF($L14="","",INDEX(Population!$C$2:$C$1092,$L14)&amp;"")</f>
        <v/>
      </c>
      <c r="C14" s="12" t="str">
        <f aca="false">IF($L14="","",INDEX(Population!$D$2:$D$1092,$L14)&amp;"")</f>
        <v/>
      </c>
      <c r="D14" s="12" t="str">
        <f aca="false">IF($L14="","",INDEX(Population!$E$2:$E$1092,$L14))</f>
        <v/>
      </c>
      <c r="E14" s="12" t="str">
        <f aca="false">IF($L14="","",INDEX(Population!$F$2:$F$1092,$L14))</f>
        <v/>
      </c>
      <c r="F14" s="16" t="str">
        <f aca="false">IF($L14="","",INDEX(Population!$L$2:$L$1092,$L14))</f>
        <v/>
      </c>
      <c r="G14" s="16" t="str">
        <f aca="false">IF($L14="","",INDEX(Population!$M$2:$M$1092,$L14))</f>
        <v/>
      </c>
      <c r="H14" s="27" t="str">
        <f aca="false">IF($L14="","",IF(Summary!$C$9="Random",INDEX(Population!$Q$2:$Q$1092,$L14),INDEX(Population!$S$2:$S$1092,$L14)))</f>
        <v/>
      </c>
      <c r="I14" s="12" t="str">
        <f aca="false">IF($L14="","",IF(Summary!$C$9="Random","Below Materiality – Random","Below Materiality – Highest n"))</f>
        <v/>
      </c>
      <c r="J14" s="12" t="str">
        <f aca="false">IF($L14="","",INDEX(Population!$N$2:$N$1092,$L14))</f>
        <v/>
      </c>
      <c r="K14" s="12" t="str">
        <f aca="false">IF($L14="","",INDEX(Population!$G$2:$G$1092,$L14)&amp;" / row "&amp;INDEX(Population!$H$2:$H$1092,$L14))</f>
        <v/>
      </c>
      <c r="L14" s="26" t="str">
        <f aca="false">IF(ROWS($L$5:L14)&lt;=N(Summary!$C$7),IFERROR(MATCH("Population 1|R|"&amp;ROWS($L$5:L14),Population!$V$2:$V$1092,0),""),"")</f>
        <v/>
      </c>
    </row>
    <row r="15" customFormat="false" ht="15" hidden="false" customHeight="false" outlineLevel="0" collapsed="false">
      <c r="A15" s="12" t="str">
        <f aca="false">IF($L15="","",INDEX(Population!$B$2:$B$1092,$L15)&amp;"")</f>
        <v/>
      </c>
      <c r="B15" s="12" t="str">
        <f aca="false">IF($L15="","",INDEX(Population!$C$2:$C$1092,$L15)&amp;"")</f>
        <v/>
      </c>
      <c r="C15" s="12" t="str">
        <f aca="false">IF($L15="","",INDEX(Population!$D$2:$D$1092,$L15)&amp;"")</f>
        <v/>
      </c>
      <c r="D15" s="12" t="str">
        <f aca="false">IF($L15="","",INDEX(Population!$E$2:$E$1092,$L15))</f>
        <v/>
      </c>
      <c r="E15" s="12" t="str">
        <f aca="false">IF($L15="","",INDEX(Population!$F$2:$F$1092,$L15))</f>
        <v/>
      </c>
      <c r="F15" s="16" t="str">
        <f aca="false">IF($L15="","",INDEX(Population!$L$2:$L$1092,$L15))</f>
        <v/>
      </c>
      <c r="G15" s="16" t="str">
        <f aca="false">IF($L15="","",INDEX(Population!$M$2:$M$1092,$L15))</f>
        <v/>
      </c>
      <c r="H15" s="27" t="str">
        <f aca="false">IF($L15="","",IF(Summary!$C$9="Random",INDEX(Population!$Q$2:$Q$1092,$L15),INDEX(Population!$S$2:$S$1092,$L15)))</f>
        <v/>
      </c>
      <c r="I15" s="12" t="str">
        <f aca="false">IF($L15="","",IF(Summary!$C$9="Random","Below Materiality – Random","Below Materiality – Highest n"))</f>
        <v/>
      </c>
      <c r="J15" s="12" t="str">
        <f aca="false">IF($L15="","",INDEX(Population!$N$2:$N$1092,$L15))</f>
        <v/>
      </c>
      <c r="K15" s="12" t="str">
        <f aca="false">IF($L15="","",INDEX(Population!$G$2:$G$1092,$L15)&amp;" / row "&amp;INDEX(Population!$H$2:$H$1092,$L15))</f>
        <v/>
      </c>
      <c r="L15" s="26" t="str">
        <f aca="false">IF(ROWS($L$5:L15)&lt;=N(Summary!$C$7),IFERROR(MATCH("Population 1|R|"&amp;ROWS($L$5:L15),Population!$V$2:$V$1092,0),""),"")</f>
        <v/>
      </c>
    </row>
    <row r="16" customFormat="false" ht="15" hidden="false" customHeight="false" outlineLevel="0" collapsed="false">
      <c r="A16" s="12" t="str">
        <f aca="false">IF($L16="","",INDEX(Population!$B$2:$B$1092,$L16)&amp;"")</f>
        <v/>
      </c>
      <c r="B16" s="12" t="str">
        <f aca="false">IF($L16="","",INDEX(Population!$C$2:$C$1092,$L16)&amp;"")</f>
        <v/>
      </c>
      <c r="C16" s="12" t="str">
        <f aca="false">IF($L16="","",INDEX(Population!$D$2:$D$1092,$L16)&amp;"")</f>
        <v/>
      </c>
      <c r="D16" s="12" t="str">
        <f aca="false">IF($L16="","",INDEX(Population!$E$2:$E$1092,$L16))</f>
        <v/>
      </c>
      <c r="E16" s="12" t="str">
        <f aca="false">IF($L16="","",INDEX(Population!$F$2:$F$1092,$L16))</f>
        <v/>
      </c>
      <c r="F16" s="16" t="str">
        <f aca="false">IF($L16="","",INDEX(Population!$L$2:$L$1092,$L16))</f>
        <v/>
      </c>
      <c r="G16" s="16" t="str">
        <f aca="false">IF($L16="","",INDEX(Population!$M$2:$M$1092,$L16))</f>
        <v/>
      </c>
      <c r="H16" s="27" t="str">
        <f aca="false">IF($L16="","",IF(Summary!$C$9="Random",INDEX(Population!$Q$2:$Q$1092,$L16),INDEX(Population!$S$2:$S$1092,$L16)))</f>
        <v/>
      </c>
      <c r="I16" s="12" t="str">
        <f aca="false">IF($L16="","",IF(Summary!$C$9="Random","Below Materiality – Random","Below Materiality – Highest n"))</f>
        <v/>
      </c>
      <c r="J16" s="12" t="str">
        <f aca="false">IF($L16="","",INDEX(Population!$N$2:$N$1092,$L16))</f>
        <v/>
      </c>
      <c r="K16" s="12" t="str">
        <f aca="false">IF($L16="","",INDEX(Population!$G$2:$G$1092,$L16)&amp;" / row "&amp;INDEX(Population!$H$2:$H$1092,$L16))</f>
        <v/>
      </c>
      <c r="L16" s="26" t="str">
        <f aca="false">IF(ROWS($L$5:L16)&lt;=N(Summary!$C$7),IFERROR(MATCH("Population 1|R|"&amp;ROWS($L$5:L16),Population!$V$2:$V$1092,0),""),"")</f>
        <v/>
      </c>
    </row>
    <row r="17" customFormat="false" ht="15" hidden="false" customHeight="false" outlineLevel="0" collapsed="false">
      <c r="A17" s="12" t="str">
        <f aca="false">IF($L17="","",INDEX(Population!$B$2:$B$1092,$L17)&amp;"")</f>
        <v/>
      </c>
      <c r="B17" s="12" t="str">
        <f aca="false">IF($L17="","",INDEX(Population!$C$2:$C$1092,$L17)&amp;"")</f>
        <v/>
      </c>
      <c r="C17" s="12" t="str">
        <f aca="false">IF($L17="","",INDEX(Population!$D$2:$D$1092,$L17)&amp;"")</f>
        <v/>
      </c>
      <c r="D17" s="12" t="str">
        <f aca="false">IF($L17="","",INDEX(Population!$E$2:$E$1092,$L17))</f>
        <v/>
      </c>
      <c r="E17" s="12" t="str">
        <f aca="false">IF($L17="","",INDEX(Population!$F$2:$F$1092,$L17))</f>
        <v/>
      </c>
      <c r="F17" s="16" t="str">
        <f aca="false">IF($L17="","",INDEX(Population!$L$2:$L$1092,$L17))</f>
        <v/>
      </c>
      <c r="G17" s="16" t="str">
        <f aca="false">IF($L17="","",INDEX(Population!$M$2:$M$1092,$L17))</f>
        <v/>
      </c>
      <c r="H17" s="27" t="str">
        <f aca="false">IF($L17="","",IF(Summary!$C$9="Random",INDEX(Population!$Q$2:$Q$1092,$L17),INDEX(Population!$S$2:$S$1092,$L17)))</f>
        <v/>
      </c>
      <c r="I17" s="12" t="str">
        <f aca="false">IF($L17="","",IF(Summary!$C$9="Random","Below Materiality – Random","Below Materiality – Highest n"))</f>
        <v/>
      </c>
      <c r="J17" s="12" t="str">
        <f aca="false">IF($L17="","",INDEX(Population!$N$2:$N$1092,$L17))</f>
        <v/>
      </c>
      <c r="K17" s="12" t="str">
        <f aca="false">IF($L17="","",INDEX(Population!$G$2:$G$1092,$L17)&amp;" / row "&amp;INDEX(Population!$H$2:$H$1092,$L17))</f>
        <v/>
      </c>
      <c r="L17" s="26" t="str">
        <f aca="false">IF(ROWS($L$5:L17)&lt;=N(Summary!$C$7),IFERROR(MATCH("Population 1|R|"&amp;ROWS($L$5:L17),Population!$V$2:$V$1092,0),""),"")</f>
        <v/>
      </c>
    </row>
    <row r="18" customFormat="false" ht="15" hidden="false" customHeight="false" outlineLevel="0" collapsed="false">
      <c r="A18" s="12" t="str">
        <f aca="false">IF($L18="","",INDEX(Population!$B$2:$B$1092,$L18)&amp;"")</f>
        <v/>
      </c>
      <c r="B18" s="12" t="str">
        <f aca="false">IF($L18="","",INDEX(Population!$C$2:$C$1092,$L18)&amp;"")</f>
        <v/>
      </c>
      <c r="C18" s="12" t="str">
        <f aca="false">IF($L18="","",INDEX(Population!$D$2:$D$1092,$L18)&amp;"")</f>
        <v/>
      </c>
      <c r="D18" s="12" t="str">
        <f aca="false">IF($L18="","",INDEX(Population!$E$2:$E$1092,$L18))</f>
        <v/>
      </c>
      <c r="E18" s="12" t="str">
        <f aca="false">IF($L18="","",INDEX(Population!$F$2:$F$1092,$L18))</f>
        <v/>
      </c>
      <c r="F18" s="16" t="str">
        <f aca="false">IF($L18="","",INDEX(Population!$L$2:$L$1092,$L18))</f>
        <v/>
      </c>
      <c r="G18" s="16" t="str">
        <f aca="false">IF($L18="","",INDEX(Population!$M$2:$M$1092,$L18))</f>
        <v/>
      </c>
      <c r="H18" s="27" t="str">
        <f aca="false">IF($L18="","",IF(Summary!$C$9="Random",INDEX(Population!$Q$2:$Q$1092,$L18),INDEX(Population!$S$2:$S$1092,$L18)))</f>
        <v/>
      </c>
      <c r="I18" s="12" t="str">
        <f aca="false">IF($L18="","",IF(Summary!$C$9="Random","Below Materiality – Random","Below Materiality – Highest n"))</f>
        <v/>
      </c>
      <c r="J18" s="12" t="str">
        <f aca="false">IF($L18="","",INDEX(Population!$N$2:$N$1092,$L18))</f>
        <v/>
      </c>
      <c r="K18" s="12" t="str">
        <f aca="false">IF($L18="","",INDEX(Population!$G$2:$G$1092,$L18)&amp;" / row "&amp;INDEX(Population!$H$2:$H$1092,$L18))</f>
        <v/>
      </c>
      <c r="L18" s="26" t="str">
        <f aca="false">IF(ROWS($L$5:L18)&lt;=N(Summary!$C$7),IFERROR(MATCH("Population 1|R|"&amp;ROWS($L$5:L18),Population!$V$2:$V$1092,0),""),"")</f>
        <v/>
      </c>
    </row>
    <row r="19" customFormat="false" ht="15" hidden="false" customHeight="false" outlineLevel="0" collapsed="false">
      <c r="A19" s="12" t="str">
        <f aca="false">IF($L19="","",INDEX(Population!$B$2:$B$1092,$L19)&amp;"")</f>
        <v/>
      </c>
      <c r="B19" s="12" t="str">
        <f aca="false">IF($L19="","",INDEX(Population!$C$2:$C$1092,$L19)&amp;"")</f>
        <v/>
      </c>
      <c r="C19" s="12" t="str">
        <f aca="false">IF($L19="","",INDEX(Population!$D$2:$D$1092,$L19)&amp;"")</f>
        <v/>
      </c>
      <c r="D19" s="12" t="str">
        <f aca="false">IF($L19="","",INDEX(Population!$E$2:$E$1092,$L19))</f>
        <v/>
      </c>
      <c r="E19" s="12" t="str">
        <f aca="false">IF($L19="","",INDEX(Population!$F$2:$F$1092,$L19))</f>
        <v/>
      </c>
      <c r="F19" s="16" t="str">
        <f aca="false">IF($L19="","",INDEX(Population!$L$2:$L$1092,$L19))</f>
        <v/>
      </c>
      <c r="G19" s="16" t="str">
        <f aca="false">IF($L19="","",INDEX(Population!$M$2:$M$1092,$L19))</f>
        <v/>
      </c>
      <c r="H19" s="27" t="str">
        <f aca="false">IF($L19="","",IF(Summary!$C$9="Random",INDEX(Population!$Q$2:$Q$1092,$L19),INDEX(Population!$S$2:$S$1092,$L19)))</f>
        <v/>
      </c>
      <c r="I19" s="12" t="str">
        <f aca="false">IF($L19="","",IF(Summary!$C$9="Random","Below Materiality – Random","Below Materiality – Highest n"))</f>
        <v/>
      </c>
      <c r="J19" s="12" t="str">
        <f aca="false">IF($L19="","",INDEX(Population!$N$2:$N$1092,$L19))</f>
        <v/>
      </c>
      <c r="K19" s="12" t="str">
        <f aca="false">IF($L19="","",INDEX(Population!$G$2:$G$1092,$L19)&amp;" / row "&amp;INDEX(Population!$H$2:$H$1092,$L19))</f>
        <v/>
      </c>
      <c r="L19" s="26" t="str">
        <f aca="false">IF(ROWS($L$5:L19)&lt;=N(Summary!$C$7),IFERROR(MATCH("Population 1|R|"&amp;ROWS($L$5:L19),Population!$V$2:$V$1092,0),""),"")</f>
        <v/>
      </c>
    </row>
    <row r="20" customFormat="false" ht="15" hidden="false" customHeight="false" outlineLevel="0" collapsed="false">
      <c r="A20" s="12" t="str">
        <f aca="false">IF($L20="","",INDEX(Population!$B$2:$B$1092,$L20)&amp;"")</f>
        <v/>
      </c>
      <c r="B20" s="12" t="str">
        <f aca="false">IF($L20="","",INDEX(Population!$C$2:$C$1092,$L20)&amp;"")</f>
        <v/>
      </c>
      <c r="C20" s="12" t="str">
        <f aca="false">IF($L20="","",INDEX(Population!$D$2:$D$1092,$L20)&amp;"")</f>
        <v/>
      </c>
      <c r="D20" s="12" t="str">
        <f aca="false">IF($L20="","",INDEX(Population!$E$2:$E$1092,$L20))</f>
        <v/>
      </c>
      <c r="E20" s="12" t="str">
        <f aca="false">IF($L20="","",INDEX(Population!$F$2:$F$1092,$L20))</f>
        <v/>
      </c>
      <c r="F20" s="16" t="str">
        <f aca="false">IF($L20="","",INDEX(Population!$L$2:$L$1092,$L20))</f>
        <v/>
      </c>
      <c r="G20" s="16" t="str">
        <f aca="false">IF($L20="","",INDEX(Population!$M$2:$M$1092,$L20))</f>
        <v/>
      </c>
      <c r="H20" s="27" t="str">
        <f aca="false">IF($L20="","",IF(Summary!$C$9="Random",INDEX(Population!$Q$2:$Q$1092,$L20),INDEX(Population!$S$2:$S$1092,$L20)))</f>
        <v/>
      </c>
      <c r="I20" s="12" t="str">
        <f aca="false">IF($L20="","",IF(Summary!$C$9="Random","Below Materiality – Random","Below Materiality – Highest n"))</f>
        <v/>
      </c>
      <c r="J20" s="12" t="str">
        <f aca="false">IF($L20="","",INDEX(Population!$N$2:$N$1092,$L20))</f>
        <v/>
      </c>
      <c r="K20" s="12" t="str">
        <f aca="false">IF($L20="","",INDEX(Population!$G$2:$G$1092,$L20)&amp;" / row "&amp;INDEX(Population!$H$2:$H$1092,$L20))</f>
        <v/>
      </c>
      <c r="L20" s="26" t="str">
        <f aca="false">IF(ROWS($L$5:L20)&lt;=N(Summary!$C$7),IFERROR(MATCH("Population 1|R|"&amp;ROWS($L$5:L20),Population!$V$2:$V$1092,0),""),"")</f>
        <v/>
      </c>
    </row>
    <row r="21" customFormat="false" ht="15" hidden="false" customHeight="false" outlineLevel="0" collapsed="false">
      <c r="A21" s="12" t="str">
        <f aca="false">IF($L21="","",INDEX(Population!$B$2:$B$1092,$L21)&amp;"")</f>
        <v/>
      </c>
      <c r="B21" s="12" t="str">
        <f aca="false">IF($L21="","",INDEX(Population!$C$2:$C$1092,$L21)&amp;"")</f>
        <v/>
      </c>
      <c r="C21" s="12" t="str">
        <f aca="false">IF($L21="","",INDEX(Population!$D$2:$D$1092,$L21)&amp;"")</f>
        <v/>
      </c>
      <c r="D21" s="12" t="str">
        <f aca="false">IF($L21="","",INDEX(Population!$E$2:$E$1092,$L21))</f>
        <v/>
      </c>
      <c r="E21" s="12" t="str">
        <f aca="false">IF($L21="","",INDEX(Population!$F$2:$F$1092,$L21))</f>
        <v/>
      </c>
      <c r="F21" s="16" t="str">
        <f aca="false">IF($L21="","",INDEX(Population!$L$2:$L$1092,$L21))</f>
        <v/>
      </c>
      <c r="G21" s="16" t="str">
        <f aca="false">IF($L21="","",INDEX(Population!$M$2:$M$1092,$L21))</f>
        <v/>
      </c>
      <c r="H21" s="27" t="str">
        <f aca="false">IF($L21="","",IF(Summary!$C$9="Random",INDEX(Population!$Q$2:$Q$1092,$L21),INDEX(Population!$S$2:$S$1092,$L21)))</f>
        <v/>
      </c>
      <c r="I21" s="12" t="str">
        <f aca="false">IF($L21="","",IF(Summary!$C$9="Random","Below Materiality – Random","Below Materiality – Highest n"))</f>
        <v/>
      </c>
      <c r="J21" s="12" t="str">
        <f aca="false">IF($L21="","",INDEX(Population!$N$2:$N$1092,$L21))</f>
        <v/>
      </c>
      <c r="K21" s="12" t="str">
        <f aca="false">IF($L21="","",INDEX(Population!$G$2:$G$1092,$L21)&amp;" / row "&amp;INDEX(Population!$H$2:$H$1092,$L21))</f>
        <v/>
      </c>
      <c r="L21" s="26" t="str">
        <f aca="false">IF(ROWS($L$5:L21)&lt;=N(Summary!$C$7),IFERROR(MATCH("Population 1|R|"&amp;ROWS($L$5:L21),Population!$V$2:$V$1092,0),""),"")</f>
        <v/>
      </c>
    </row>
    <row r="22" customFormat="false" ht="15" hidden="false" customHeight="false" outlineLevel="0" collapsed="false">
      <c r="A22" s="12" t="str">
        <f aca="false">IF($L22="","",INDEX(Population!$B$2:$B$1092,$L22)&amp;"")</f>
        <v/>
      </c>
      <c r="B22" s="12" t="str">
        <f aca="false">IF($L22="","",INDEX(Population!$C$2:$C$1092,$L22)&amp;"")</f>
        <v/>
      </c>
      <c r="C22" s="12" t="str">
        <f aca="false">IF($L22="","",INDEX(Population!$D$2:$D$1092,$L22)&amp;"")</f>
        <v/>
      </c>
      <c r="D22" s="12" t="str">
        <f aca="false">IF($L22="","",INDEX(Population!$E$2:$E$1092,$L22))</f>
        <v/>
      </c>
      <c r="E22" s="12" t="str">
        <f aca="false">IF($L22="","",INDEX(Population!$F$2:$F$1092,$L22))</f>
        <v/>
      </c>
      <c r="F22" s="16" t="str">
        <f aca="false">IF($L22="","",INDEX(Population!$L$2:$L$1092,$L22))</f>
        <v/>
      </c>
      <c r="G22" s="16" t="str">
        <f aca="false">IF($L22="","",INDEX(Population!$M$2:$M$1092,$L22))</f>
        <v/>
      </c>
      <c r="H22" s="27" t="str">
        <f aca="false">IF($L22="","",IF(Summary!$C$9="Random",INDEX(Population!$Q$2:$Q$1092,$L22),INDEX(Population!$S$2:$S$1092,$L22)))</f>
        <v/>
      </c>
      <c r="I22" s="12" t="str">
        <f aca="false">IF($L22="","",IF(Summary!$C$9="Random","Below Materiality – Random","Below Materiality – Highest n"))</f>
        <v/>
      </c>
      <c r="J22" s="12" t="str">
        <f aca="false">IF($L22="","",INDEX(Population!$N$2:$N$1092,$L22))</f>
        <v/>
      </c>
      <c r="K22" s="12" t="str">
        <f aca="false">IF($L22="","",INDEX(Population!$G$2:$G$1092,$L22)&amp;" / row "&amp;INDEX(Population!$H$2:$H$1092,$L22))</f>
        <v/>
      </c>
      <c r="L22" s="26" t="str">
        <f aca="false">IF(ROWS($L$5:L22)&lt;=N(Summary!$C$7),IFERROR(MATCH("Population 1|R|"&amp;ROWS($L$5:L22),Population!$V$2:$V$1092,0),""),"")</f>
        <v/>
      </c>
    </row>
    <row r="23" customFormat="false" ht="15" hidden="false" customHeight="false" outlineLevel="0" collapsed="false">
      <c r="A23" s="12" t="str">
        <f aca="false">IF($L23="","",INDEX(Population!$B$2:$B$1092,$L23)&amp;"")</f>
        <v/>
      </c>
      <c r="B23" s="12" t="str">
        <f aca="false">IF($L23="","",INDEX(Population!$C$2:$C$1092,$L23)&amp;"")</f>
        <v/>
      </c>
      <c r="C23" s="12" t="str">
        <f aca="false">IF($L23="","",INDEX(Population!$D$2:$D$1092,$L23)&amp;"")</f>
        <v/>
      </c>
      <c r="D23" s="12" t="str">
        <f aca="false">IF($L23="","",INDEX(Population!$E$2:$E$1092,$L23))</f>
        <v/>
      </c>
      <c r="E23" s="12" t="str">
        <f aca="false">IF($L23="","",INDEX(Population!$F$2:$F$1092,$L23))</f>
        <v/>
      </c>
      <c r="F23" s="16" t="str">
        <f aca="false">IF($L23="","",INDEX(Population!$L$2:$L$1092,$L23))</f>
        <v/>
      </c>
      <c r="G23" s="16" t="str">
        <f aca="false">IF($L23="","",INDEX(Population!$M$2:$M$1092,$L23))</f>
        <v/>
      </c>
      <c r="H23" s="27" t="str">
        <f aca="false">IF($L23="","",IF(Summary!$C$9="Random",INDEX(Population!$Q$2:$Q$1092,$L23),INDEX(Population!$S$2:$S$1092,$L23)))</f>
        <v/>
      </c>
      <c r="I23" s="12" t="str">
        <f aca="false">IF($L23="","",IF(Summary!$C$9="Random","Below Materiality – Random","Below Materiality – Highest n"))</f>
        <v/>
      </c>
      <c r="J23" s="12" t="str">
        <f aca="false">IF($L23="","",INDEX(Population!$N$2:$N$1092,$L23))</f>
        <v/>
      </c>
      <c r="K23" s="12" t="str">
        <f aca="false">IF($L23="","",INDEX(Population!$G$2:$G$1092,$L23)&amp;" / row "&amp;INDEX(Population!$H$2:$H$1092,$L23))</f>
        <v/>
      </c>
      <c r="L23" s="26" t="str">
        <f aca="false">IF(ROWS($L$5:L23)&lt;=N(Summary!$C$7),IFERROR(MATCH("Population 1|R|"&amp;ROWS($L$5:L23),Population!$V$2:$V$1092,0),""),"")</f>
        <v/>
      </c>
    </row>
    <row r="24" customFormat="false" ht="15" hidden="false" customHeight="false" outlineLevel="0" collapsed="false">
      <c r="A24" s="12" t="str">
        <f aca="false">IF($L24="","",INDEX(Population!$B$2:$B$1092,$L24)&amp;"")</f>
        <v/>
      </c>
      <c r="B24" s="12" t="str">
        <f aca="false">IF($L24="","",INDEX(Population!$C$2:$C$1092,$L24)&amp;"")</f>
        <v/>
      </c>
      <c r="C24" s="12" t="str">
        <f aca="false">IF($L24="","",INDEX(Population!$D$2:$D$1092,$L24)&amp;"")</f>
        <v/>
      </c>
      <c r="D24" s="12" t="str">
        <f aca="false">IF($L24="","",INDEX(Population!$E$2:$E$1092,$L24))</f>
        <v/>
      </c>
      <c r="E24" s="12" t="str">
        <f aca="false">IF($L24="","",INDEX(Population!$F$2:$F$1092,$L24))</f>
        <v/>
      </c>
      <c r="F24" s="16" t="str">
        <f aca="false">IF($L24="","",INDEX(Population!$L$2:$L$1092,$L24))</f>
        <v/>
      </c>
      <c r="G24" s="16" t="str">
        <f aca="false">IF($L24="","",INDEX(Population!$M$2:$M$1092,$L24))</f>
        <v/>
      </c>
      <c r="H24" s="27" t="str">
        <f aca="false">IF($L24="","",IF(Summary!$C$9="Random",INDEX(Population!$Q$2:$Q$1092,$L24),INDEX(Population!$S$2:$S$1092,$L24)))</f>
        <v/>
      </c>
      <c r="I24" s="12" t="str">
        <f aca="false">IF($L24="","",IF(Summary!$C$9="Random","Below Materiality – Random","Below Materiality – Highest n"))</f>
        <v/>
      </c>
      <c r="J24" s="12" t="str">
        <f aca="false">IF($L24="","",INDEX(Population!$N$2:$N$1092,$L24))</f>
        <v/>
      </c>
      <c r="K24" s="12" t="str">
        <f aca="false">IF($L24="","",INDEX(Population!$G$2:$G$1092,$L24)&amp;" / row "&amp;INDEX(Population!$H$2:$H$1092,$L24))</f>
        <v/>
      </c>
      <c r="L24" s="26" t="str">
        <f aca="false">IF(ROWS($L$5:L24)&lt;=N(Summary!$C$7),IFERROR(MATCH("Population 1|R|"&amp;ROWS($L$5:L24),Population!$V$2:$V$1092,0),""),"")</f>
        <v/>
      </c>
    </row>
    <row r="25" customFormat="false" ht="15" hidden="false" customHeight="false" outlineLevel="0" collapsed="false">
      <c r="A25" s="12" t="str">
        <f aca="false">IF($L25="","",INDEX(Population!$B$2:$B$1092,$L25)&amp;"")</f>
        <v/>
      </c>
      <c r="B25" s="12" t="str">
        <f aca="false">IF($L25="","",INDEX(Population!$C$2:$C$1092,$L25)&amp;"")</f>
        <v/>
      </c>
      <c r="C25" s="12" t="str">
        <f aca="false">IF($L25="","",INDEX(Population!$D$2:$D$1092,$L25)&amp;"")</f>
        <v/>
      </c>
      <c r="D25" s="12" t="str">
        <f aca="false">IF($L25="","",INDEX(Population!$E$2:$E$1092,$L25))</f>
        <v/>
      </c>
      <c r="E25" s="12" t="str">
        <f aca="false">IF($L25="","",INDEX(Population!$F$2:$F$1092,$L25))</f>
        <v/>
      </c>
      <c r="F25" s="16" t="str">
        <f aca="false">IF($L25="","",INDEX(Population!$L$2:$L$1092,$L25))</f>
        <v/>
      </c>
      <c r="G25" s="16" t="str">
        <f aca="false">IF($L25="","",INDEX(Population!$M$2:$M$1092,$L25))</f>
        <v/>
      </c>
      <c r="H25" s="27" t="str">
        <f aca="false">IF($L25="","",IF(Summary!$C$9="Random",INDEX(Population!$Q$2:$Q$1092,$L25),INDEX(Population!$S$2:$S$1092,$L25)))</f>
        <v/>
      </c>
      <c r="I25" s="12" t="str">
        <f aca="false">IF($L25="","",IF(Summary!$C$9="Random","Below Materiality – Random","Below Materiality – Highest n"))</f>
        <v/>
      </c>
      <c r="J25" s="12" t="str">
        <f aca="false">IF($L25="","",INDEX(Population!$N$2:$N$1092,$L25))</f>
        <v/>
      </c>
      <c r="K25" s="12" t="str">
        <f aca="false">IF($L25="","",INDEX(Population!$G$2:$G$1092,$L25)&amp;" / row "&amp;INDEX(Population!$H$2:$H$1092,$L25))</f>
        <v/>
      </c>
      <c r="L25" s="26" t="str">
        <f aca="false">IF(ROWS($L$5:L25)&lt;=N(Summary!$C$7),IFERROR(MATCH("Population 1|R|"&amp;ROWS($L$5:L25),Population!$V$2:$V$1092,0),""),"")</f>
        <v/>
      </c>
    </row>
    <row r="26" customFormat="false" ht="15" hidden="false" customHeight="false" outlineLevel="0" collapsed="false">
      <c r="A26" s="12" t="str">
        <f aca="false">IF($L26="","",INDEX(Population!$B$2:$B$1092,$L26)&amp;"")</f>
        <v/>
      </c>
      <c r="B26" s="12" t="str">
        <f aca="false">IF($L26="","",INDEX(Population!$C$2:$C$1092,$L26)&amp;"")</f>
        <v/>
      </c>
      <c r="C26" s="12" t="str">
        <f aca="false">IF($L26="","",INDEX(Population!$D$2:$D$1092,$L26)&amp;"")</f>
        <v/>
      </c>
      <c r="D26" s="12" t="str">
        <f aca="false">IF($L26="","",INDEX(Population!$E$2:$E$1092,$L26))</f>
        <v/>
      </c>
      <c r="E26" s="12" t="str">
        <f aca="false">IF($L26="","",INDEX(Population!$F$2:$F$1092,$L26))</f>
        <v/>
      </c>
      <c r="F26" s="16" t="str">
        <f aca="false">IF($L26="","",INDEX(Population!$L$2:$L$1092,$L26))</f>
        <v/>
      </c>
      <c r="G26" s="16" t="str">
        <f aca="false">IF($L26="","",INDEX(Population!$M$2:$M$1092,$L26))</f>
        <v/>
      </c>
      <c r="H26" s="27" t="str">
        <f aca="false">IF($L26="","",IF(Summary!$C$9="Random",INDEX(Population!$Q$2:$Q$1092,$L26),INDEX(Population!$S$2:$S$1092,$L26)))</f>
        <v/>
      </c>
      <c r="I26" s="12" t="str">
        <f aca="false">IF($L26="","",IF(Summary!$C$9="Random","Below Materiality – Random","Below Materiality – Highest n"))</f>
        <v/>
      </c>
      <c r="J26" s="12" t="str">
        <f aca="false">IF($L26="","",INDEX(Population!$N$2:$N$1092,$L26))</f>
        <v/>
      </c>
      <c r="K26" s="12" t="str">
        <f aca="false">IF($L26="","",INDEX(Population!$G$2:$G$1092,$L26)&amp;" / row "&amp;INDEX(Population!$H$2:$H$1092,$L26))</f>
        <v/>
      </c>
      <c r="L26" s="26" t="str">
        <f aca="false">IF(ROWS($L$5:L26)&lt;=N(Summary!$C$7),IFERROR(MATCH("Population 1|R|"&amp;ROWS($L$5:L26),Population!$V$2:$V$1092,0),""),"")</f>
        <v/>
      </c>
    </row>
    <row r="27" customFormat="false" ht="15" hidden="false" customHeight="false" outlineLevel="0" collapsed="false">
      <c r="A27" s="12" t="str">
        <f aca="false">IF($L27="","",INDEX(Population!$B$2:$B$1092,$L27)&amp;"")</f>
        <v/>
      </c>
      <c r="B27" s="12" t="str">
        <f aca="false">IF($L27="","",INDEX(Population!$C$2:$C$1092,$L27)&amp;"")</f>
        <v/>
      </c>
      <c r="C27" s="12" t="str">
        <f aca="false">IF($L27="","",INDEX(Population!$D$2:$D$1092,$L27)&amp;"")</f>
        <v/>
      </c>
      <c r="D27" s="12" t="str">
        <f aca="false">IF($L27="","",INDEX(Population!$E$2:$E$1092,$L27))</f>
        <v/>
      </c>
      <c r="E27" s="12" t="str">
        <f aca="false">IF($L27="","",INDEX(Population!$F$2:$F$1092,$L27))</f>
        <v/>
      </c>
      <c r="F27" s="16" t="str">
        <f aca="false">IF($L27="","",INDEX(Population!$L$2:$L$1092,$L27))</f>
        <v/>
      </c>
      <c r="G27" s="16" t="str">
        <f aca="false">IF($L27="","",INDEX(Population!$M$2:$M$1092,$L27))</f>
        <v/>
      </c>
      <c r="H27" s="27" t="str">
        <f aca="false">IF($L27="","",IF(Summary!$C$9="Random",INDEX(Population!$Q$2:$Q$1092,$L27),INDEX(Population!$S$2:$S$1092,$L27)))</f>
        <v/>
      </c>
      <c r="I27" s="12" t="str">
        <f aca="false">IF($L27="","",IF(Summary!$C$9="Random","Below Materiality – Random","Below Materiality – Highest n"))</f>
        <v/>
      </c>
      <c r="J27" s="12" t="str">
        <f aca="false">IF($L27="","",INDEX(Population!$N$2:$N$1092,$L27))</f>
        <v/>
      </c>
      <c r="K27" s="12" t="str">
        <f aca="false">IF($L27="","",INDEX(Population!$G$2:$G$1092,$L27)&amp;" / row "&amp;INDEX(Population!$H$2:$H$1092,$L27))</f>
        <v/>
      </c>
      <c r="L27" s="26" t="str">
        <f aca="false">IF(ROWS($L$5:L27)&lt;=N(Summary!$C$7),IFERROR(MATCH("Population 1|R|"&amp;ROWS($L$5:L27),Population!$V$2:$V$1092,0),""),"")</f>
        <v/>
      </c>
    </row>
    <row r="28" customFormat="false" ht="15" hidden="false" customHeight="false" outlineLevel="0" collapsed="false">
      <c r="A28" s="12" t="str">
        <f aca="false">IF($L28="","",INDEX(Population!$B$2:$B$1092,$L28)&amp;"")</f>
        <v/>
      </c>
      <c r="B28" s="12" t="str">
        <f aca="false">IF($L28="","",INDEX(Population!$C$2:$C$1092,$L28)&amp;"")</f>
        <v/>
      </c>
      <c r="C28" s="12" t="str">
        <f aca="false">IF($L28="","",INDEX(Population!$D$2:$D$1092,$L28)&amp;"")</f>
        <v/>
      </c>
      <c r="D28" s="12" t="str">
        <f aca="false">IF($L28="","",INDEX(Population!$E$2:$E$1092,$L28))</f>
        <v/>
      </c>
      <c r="E28" s="12" t="str">
        <f aca="false">IF($L28="","",INDEX(Population!$F$2:$F$1092,$L28))</f>
        <v/>
      </c>
      <c r="F28" s="16" t="str">
        <f aca="false">IF($L28="","",INDEX(Population!$L$2:$L$1092,$L28))</f>
        <v/>
      </c>
      <c r="G28" s="16" t="str">
        <f aca="false">IF($L28="","",INDEX(Population!$M$2:$M$1092,$L28))</f>
        <v/>
      </c>
      <c r="H28" s="27" t="str">
        <f aca="false">IF($L28="","",IF(Summary!$C$9="Random",INDEX(Population!$Q$2:$Q$1092,$L28),INDEX(Population!$S$2:$S$1092,$L28)))</f>
        <v/>
      </c>
      <c r="I28" s="12" t="str">
        <f aca="false">IF($L28="","",IF(Summary!$C$9="Random","Below Materiality – Random","Below Materiality – Highest n"))</f>
        <v/>
      </c>
      <c r="J28" s="12" t="str">
        <f aca="false">IF($L28="","",INDEX(Population!$N$2:$N$1092,$L28))</f>
        <v/>
      </c>
      <c r="K28" s="12" t="str">
        <f aca="false">IF($L28="","",INDEX(Population!$G$2:$G$1092,$L28)&amp;" / row "&amp;INDEX(Population!$H$2:$H$1092,$L28))</f>
        <v/>
      </c>
      <c r="L28" s="26" t="str">
        <f aca="false">IF(ROWS($L$5:L28)&lt;=N(Summary!$C$7),IFERROR(MATCH("Population 1|R|"&amp;ROWS($L$5:L28),Population!$V$2:$V$1092,0),""),"")</f>
        <v/>
      </c>
    </row>
    <row r="29" customFormat="false" ht="15" hidden="false" customHeight="false" outlineLevel="0" collapsed="false">
      <c r="A29" s="12" t="str">
        <f aca="false">IF($L29="","",INDEX(Population!$B$2:$B$1092,$L29)&amp;"")</f>
        <v/>
      </c>
      <c r="B29" s="12" t="str">
        <f aca="false">IF($L29="","",INDEX(Population!$C$2:$C$1092,$L29)&amp;"")</f>
        <v/>
      </c>
      <c r="C29" s="12" t="str">
        <f aca="false">IF($L29="","",INDEX(Population!$D$2:$D$1092,$L29)&amp;"")</f>
        <v/>
      </c>
      <c r="D29" s="12" t="str">
        <f aca="false">IF($L29="","",INDEX(Population!$E$2:$E$1092,$L29))</f>
        <v/>
      </c>
      <c r="E29" s="12" t="str">
        <f aca="false">IF($L29="","",INDEX(Population!$F$2:$F$1092,$L29))</f>
        <v/>
      </c>
      <c r="F29" s="16" t="str">
        <f aca="false">IF($L29="","",INDEX(Population!$L$2:$L$1092,$L29))</f>
        <v/>
      </c>
      <c r="G29" s="16" t="str">
        <f aca="false">IF($L29="","",INDEX(Population!$M$2:$M$1092,$L29))</f>
        <v/>
      </c>
      <c r="H29" s="27" t="str">
        <f aca="false">IF($L29="","",IF(Summary!$C$9="Random",INDEX(Population!$Q$2:$Q$1092,$L29),INDEX(Population!$S$2:$S$1092,$L29)))</f>
        <v/>
      </c>
      <c r="I29" s="12" t="str">
        <f aca="false">IF($L29="","",IF(Summary!$C$9="Random","Below Materiality – Random","Below Materiality – Highest n"))</f>
        <v/>
      </c>
      <c r="J29" s="12" t="str">
        <f aca="false">IF($L29="","",INDEX(Population!$N$2:$N$1092,$L29))</f>
        <v/>
      </c>
      <c r="K29" s="12" t="str">
        <f aca="false">IF($L29="","",INDEX(Population!$G$2:$G$1092,$L29)&amp;" / row "&amp;INDEX(Population!$H$2:$H$1092,$L29))</f>
        <v/>
      </c>
      <c r="L29" s="26" t="str">
        <f aca="false">IF(ROWS($L$5:L29)&lt;=N(Summary!$C$7),IFERROR(MATCH("Population 1|R|"&amp;ROWS($L$5:L29),Population!$V$2:$V$1092,0),""),"")</f>
        <v/>
      </c>
    </row>
    <row r="30" customFormat="false" ht="15" hidden="false" customHeight="false" outlineLevel="0" collapsed="false">
      <c r="A30" s="12" t="str">
        <f aca="false">IF($L30="","",INDEX(Population!$B$2:$B$1092,$L30)&amp;"")</f>
        <v/>
      </c>
      <c r="B30" s="12" t="str">
        <f aca="false">IF($L30="","",INDEX(Population!$C$2:$C$1092,$L30)&amp;"")</f>
        <v/>
      </c>
      <c r="C30" s="12" t="str">
        <f aca="false">IF($L30="","",INDEX(Population!$D$2:$D$1092,$L30)&amp;"")</f>
        <v/>
      </c>
      <c r="D30" s="12" t="str">
        <f aca="false">IF($L30="","",INDEX(Population!$E$2:$E$1092,$L30))</f>
        <v/>
      </c>
      <c r="E30" s="12" t="str">
        <f aca="false">IF($L30="","",INDEX(Population!$F$2:$F$1092,$L30))</f>
        <v/>
      </c>
      <c r="F30" s="16" t="str">
        <f aca="false">IF($L30="","",INDEX(Population!$L$2:$L$1092,$L30))</f>
        <v/>
      </c>
      <c r="G30" s="16" t="str">
        <f aca="false">IF($L30="","",INDEX(Population!$M$2:$M$1092,$L30))</f>
        <v/>
      </c>
      <c r="H30" s="27" t="str">
        <f aca="false">IF($L30="","",IF(Summary!$C$9="Random",INDEX(Population!$Q$2:$Q$1092,$L30),INDEX(Population!$S$2:$S$1092,$L30)))</f>
        <v/>
      </c>
      <c r="I30" s="12" t="str">
        <f aca="false">IF($L30="","",IF(Summary!$C$9="Random","Below Materiality – Random","Below Materiality – Highest n"))</f>
        <v/>
      </c>
      <c r="J30" s="12" t="str">
        <f aca="false">IF($L30="","",INDEX(Population!$N$2:$N$1092,$L30))</f>
        <v/>
      </c>
      <c r="K30" s="12" t="str">
        <f aca="false">IF($L30="","",INDEX(Population!$G$2:$G$1092,$L30)&amp;" / row "&amp;INDEX(Population!$H$2:$H$1092,$L30))</f>
        <v/>
      </c>
      <c r="L30" s="26" t="str">
        <f aca="false">IF(ROWS($L$5:L30)&lt;=N(Summary!$C$7),IFERROR(MATCH("Population 1|R|"&amp;ROWS($L$5:L30),Population!$V$2:$V$1092,0),""),"")</f>
        <v/>
      </c>
    </row>
    <row r="31" customFormat="false" ht="15" hidden="false" customHeight="false" outlineLevel="0" collapsed="false">
      <c r="A31" s="12" t="str">
        <f aca="false">IF($L31="","",INDEX(Population!$B$2:$B$1092,$L31)&amp;"")</f>
        <v/>
      </c>
      <c r="B31" s="12" t="str">
        <f aca="false">IF($L31="","",INDEX(Population!$C$2:$C$1092,$L31)&amp;"")</f>
        <v/>
      </c>
      <c r="C31" s="12" t="str">
        <f aca="false">IF($L31="","",INDEX(Population!$D$2:$D$1092,$L31)&amp;"")</f>
        <v/>
      </c>
      <c r="D31" s="12" t="str">
        <f aca="false">IF($L31="","",INDEX(Population!$E$2:$E$1092,$L31))</f>
        <v/>
      </c>
      <c r="E31" s="12" t="str">
        <f aca="false">IF($L31="","",INDEX(Population!$F$2:$F$1092,$L31))</f>
        <v/>
      </c>
      <c r="F31" s="16" t="str">
        <f aca="false">IF($L31="","",INDEX(Population!$L$2:$L$1092,$L31))</f>
        <v/>
      </c>
      <c r="G31" s="16" t="str">
        <f aca="false">IF($L31="","",INDEX(Population!$M$2:$M$1092,$L31))</f>
        <v/>
      </c>
      <c r="H31" s="27" t="str">
        <f aca="false">IF($L31="","",IF(Summary!$C$9="Random",INDEX(Population!$Q$2:$Q$1092,$L31),INDEX(Population!$S$2:$S$1092,$L31)))</f>
        <v/>
      </c>
      <c r="I31" s="12" t="str">
        <f aca="false">IF($L31="","",IF(Summary!$C$9="Random","Below Materiality – Random","Below Materiality – Highest n"))</f>
        <v/>
      </c>
      <c r="J31" s="12" t="str">
        <f aca="false">IF($L31="","",INDEX(Population!$N$2:$N$1092,$L31))</f>
        <v/>
      </c>
      <c r="K31" s="12" t="str">
        <f aca="false">IF($L31="","",INDEX(Population!$G$2:$G$1092,$L31)&amp;" / row "&amp;INDEX(Population!$H$2:$H$1092,$L31))</f>
        <v/>
      </c>
      <c r="L31" s="26" t="str">
        <f aca="false">IF(ROWS($L$5:L31)&lt;=N(Summary!$C$7),IFERROR(MATCH("Population 1|R|"&amp;ROWS($L$5:L31),Population!$V$2:$V$1092,0),""),"")</f>
        <v/>
      </c>
    </row>
    <row r="32" customFormat="false" ht="15" hidden="false" customHeight="false" outlineLevel="0" collapsed="false">
      <c r="A32" s="12" t="str">
        <f aca="false">IF($L32="","",INDEX(Population!$B$2:$B$1092,$L32)&amp;"")</f>
        <v/>
      </c>
      <c r="B32" s="12" t="str">
        <f aca="false">IF($L32="","",INDEX(Population!$C$2:$C$1092,$L32)&amp;"")</f>
        <v/>
      </c>
      <c r="C32" s="12" t="str">
        <f aca="false">IF($L32="","",INDEX(Population!$D$2:$D$1092,$L32)&amp;"")</f>
        <v/>
      </c>
      <c r="D32" s="12" t="str">
        <f aca="false">IF($L32="","",INDEX(Population!$E$2:$E$1092,$L32))</f>
        <v/>
      </c>
      <c r="E32" s="12" t="str">
        <f aca="false">IF($L32="","",INDEX(Population!$F$2:$F$1092,$L32))</f>
        <v/>
      </c>
      <c r="F32" s="16" t="str">
        <f aca="false">IF($L32="","",INDEX(Population!$L$2:$L$1092,$L32))</f>
        <v/>
      </c>
      <c r="G32" s="16" t="str">
        <f aca="false">IF($L32="","",INDEX(Population!$M$2:$M$1092,$L32))</f>
        <v/>
      </c>
      <c r="H32" s="27" t="str">
        <f aca="false">IF($L32="","",IF(Summary!$C$9="Random",INDEX(Population!$Q$2:$Q$1092,$L32),INDEX(Population!$S$2:$S$1092,$L32)))</f>
        <v/>
      </c>
      <c r="I32" s="12" t="str">
        <f aca="false">IF($L32="","",IF(Summary!$C$9="Random","Below Materiality – Random","Below Materiality – Highest n"))</f>
        <v/>
      </c>
      <c r="J32" s="12" t="str">
        <f aca="false">IF($L32="","",INDEX(Population!$N$2:$N$1092,$L32))</f>
        <v/>
      </c>
      <c r="K32" s="12" t="str">
        <f aca="false">IF($L32="","",INDEX(Population!$G$2:$G$1092,$L32)&amp;" / row "&amp;INDEX(Population!$H$2:$H$1092,$L32))</f>
        <v/>
      </c>
      <c r="L32" s="26" t="str">
        <f aca="false">IF(ROWS($L$5:L32)&lt;=N(Summary!$C$7),IFERROR(MATCH("Population 1|R|"&amp;ROWS($L$5:L32),Population!$V$2:$V$1092,0),""),"")</f>
        <v/>
      </c>
    </row>
    <row r="33" customFormat="false" ht="15" hidden="false" customHeight="false" outlineLevel="0" collapsed="false">
      <c r="A33" s="12" t="str">
        <f aca="false">IF($L33="","",INDEX(Population!$B$2:$B$1092,$L33)&amp;"")</f>
        <v/>
      </c>
      <c r="B33" s="12" t="str">
        <f aca="false">IF($L33="","",INDEX(Population!$C$2:$C$1092,$L33)&amp;"")</f>
        <v/>
      </c>
      <c r="C33" s="12" t="str">
        <f aca="false">IF($L33="","",INDEX(Population!$D$2:$D$1092,$L33)&amp;"")</f>
        <v/>
      </c>
      <c r="D33" s="12" t="str">
        <f aca="false">IF($L33="","",INDEX(Population!$E$2:$E$1092,$L33))</f>
        <v/>
      </c>
      <c r="E33" s="12" t="str">
        <f aca="false">IF($L33="","",INDEX(Population!$F$2:$F$1092,$L33))</f>
        <v/>
      </c>
      <c r="F33" s="16" t="str">
        <f aca="false">IF($L33="","",INDEX(Population!$L$2:$L$1092,$L33))</f>
        <v/>
      </c>
      <c r="G33" s="16" t="str">
        <f aca="false">IF($L33="","",INDEX(Population!$M$2:$M$1092,$L33))</f>
        <v/>
      </c>
      <c r="H33" s="27" t="str">
        <f aca="false">IF($L33="","",IF(Summary!$C$9="Random",INDEX(Population!$Q$2:$Q$1092,$L33),INDEX(Population!$S$2:$S$1092,$L33)))</f>
        <v/>
      </c>
      <c r="I33" s="12" t="str">
        <f aca="false">IF($L33="","",IF(Summary!$C$9="Random","Below Materiality – Random","Below Materiality – Highest n"))</f>
        <v/>
      </c>
      <c r="J33" s="12" t="str">
        <f aca="false">IF($L33="","",INDEX(Population!$N$2:$N$1092,$L33))</f>
        <v/>
      </c>
      <c r="K33" s="12" t="str">
        <f aca="false">IF($L33="","",INDEX(Population!$G$2:$G$1092,$L33)&amp;" / row "&amp;INDEX(Population!$H$2:$H$1092,$L33))</f>
        <v/>
      </c>
      <c r="L33" s="26" t="str">
        <f aca="false">IF(ROWS($L$5:L33)&lt;=N(Summary!$C$7),IFERROR(MATCH("Population 1|R|"&amp;ROWS($L$5:L33),Population!$V$2:$V$1092,0),""),"")</f>
        <v/>
      </c>
    </row>
    <row r="34" customFormat="false" ht="15" hidden="false" customHeight="false" outlineLevel="0" collapsed="false">
      <c r="A34" s="12" t="str">
        <f aca="false">IF($L34="","",INDEX(Population!$B$2:$B$1092,$L34)&amp;"")</f>
        <v/>
      </c>
      <c r="B34" s="12" t="str">
        <f aca="false">IF($L34="","",INDEX(Population!$C$2:$C$1092,$L34)&amp;"")</f>
        <v/>
      </c>
      <c r="C34" s="12" t="str">
        <f aca="false">IF($L34="","",INDEX(Population!$D$2:$D$1092,$L34)&amp;"")</f>
        <v/>
      </c>
      <c r="D34" s="12" t="str">
        <f aca="false">IF($L34="","",INDEX(Population!$E$2:$E$1092,$L34))</f>
        <v/>
      </c>
      <c r="E34" s="12" t="str">
        <f aca="false">IF($L34="","",INDEX(Population!$F$2:$F$1092,$L34))</f>
        <v/>
      </c>
      <c r="F34" s="16" t="str">
        <f aca="false">IF($L34="","",INDEX(Population!$L$2:$L$1092,$L34))</f>
        <v/>
      </c>
      <c r="G34" s="16" t="str">
        <f aca="false">IF($L34="","",INDEX(Population!$M$2:$M$1092,$L34))</f>
        <v/>
      </c>
      <c r="H34" s="27" t="str">
        <f aca="false">IF($L34="","",IF(Summary!$C$9="Random",INDEX(Population!$Q$2:$Q$1092,$L34),INDEX(Population!$S$2:$S$1092,$L34)))</f>
        <v/>
      </c>
      <c r="I34" s="12" t="str">
        <f aca="false">IF($L34="","",IF(Summary!$C$9="Random","Below Materiality – Random","Below Materiality – Highest n"))</f>
        <v/>
      </c>
      <c r="J34" s="12" t="str">
        <f aca="false">IF($L34="","",INDEX(Population!$N$2:$N$1092,$L34))</f>
        <v/>
      </c>
      <c r="K34" s="12" t="str">
        <f aca="false">IF($L34="","",INDEX(Population!$G$2:$G$1092,$L34)&amp;" / row "&amp;INDEX(Population!$H$2:$H$1092,$L34))</f>
        <v/>
      </c>
      <c r="L34" s="26" t="str">
        <f aca="false">IF(ROWS($L$5:L34)&lt;=N(Summary!$C$7),IFERROR(MATCH("Population 1|R|"&amp;ROWS($L$5:L34),Population!$V$2:$V$1092,0),""),"")</f>
        <v/>
      </c>
    </row>
    <row r="35" customFormat="false" ht="15" hidden="false" customHeight="false" outlineLevel="0" collapsed="false">
      <c r="A35" s="12" t="str">
        <f aca="false">IF($L35="","",INDEX(Population!$B$2:$B$1092,$L35)&amp;"")</f>
        <v/>
      </c>
      <c r="B35" s="12" t="str">
        <f aca="false">IF($L35="","",INDEX(Population!$C$2:$C$1092,$L35)&amp;"")</f>
        <v/>
      </c>
      <c r="C35" s="12" t="str">
        <f aca="false">IF($L35="","",INDEX(Population!$D$2:$D$1092,$L35)&amp;"")</f>
        <v/>
      </c>
      <c r="D35" s="12" t="str">
        <f aca="false">IF($L35="","",INDEX(Population!$E$2:$E$1092,$L35))</f>
        <v/>
      </c>
      <c r="E35" s="12" t="str">
        <f aca="false">IF($L35="","",INDEX(Population!$F$2:$F$1092,$L35))</f>
        <v/>
      </c>
      <c r="F35" s="16" t="str">
        <f aca="false">IF($L35="","",INDEX(Population!$L$2:$L$1092,$L35))</f>
        <v/>
      </c>
      <c r="G35" s="16" t="str">
        <f aca="false">IF($L35="","",INDEX(Population!$M$2:$M$1092,$L35))</f>
        <v/>
      </c>
      <c r="H35" s="27" t="str">
        <f aca="false">IF($L35="","",IF(Summary!$C$9="Random",INDEX(Population!$Q$2:$Q$1092,$L35),INDEX(Population!$S$2:$S$1092,$L35)))</f>
        <v/>
      </c>
      <c r="I35" s="12" t="str">
        <f aca="false">IF($L35="","",IF(Summary!$C$9="Random","Below Materiality – Random","Below Materiality – Highest n"))</f>
        <v/>
      </c>
      <c r="J35" s="12" t="str">
        <f aca="false">IF($L35="","",INDEX(Population!$N$2:$N$1092,$L35))</f>
        <v/>
      </c>
      <c r="K35" s="12" t="str">
        <f aca="false">IF($L35="","",INDEX(Population!$G$2:$G$1092,$L35)&amp;" / row "&amp;INDEX(Population!$H$2:$H$1092,$L35))</f>
        <v/>
      </c>
      <c r="L35" s="26" t="str">
        <f aca="false">IF(ROWS($L$5:L35)&lt;=N(Summary!$C$7),IFERROR(MATCH("Population 1|R|"&amp;ROWS($L$5:L35),Population!$V$2:$V$1092,0),""),"")</f>
        <v/>
      </c>
    </row>
    <row r="36" customFormat="false" ht="15" hidden="false" customHeight="false" outlineLevel="0" collapsed="false">
      <c r="A36" s="12" t="str">
        <f aca="false">IF($L36="","",INDEX(Population!$B$2:$B$1092,$L36)&amp;"")</f>
        <v/>
      </c>
      <c r="B36" s="12" t="str">
        <f aca="false">IF($L36="","",INDEX(Population!$C$2:$C$1092,$L36)&amp;"")</f>
        <v/>
      </c>
      <c r="C36" s="12" t="str">
        <f aca="false">IF($L36="","",INDEX(Population!$D$2:$D$1092,$L36)&amp;"")</f>
        <v/>
      </c>
      <c r="D36" s="12" t="str">
        <f aca="false">IF($L36="","",INDEX(Population!$E$2:$E$1092,$L36))</f>
        <v/>
      </c>
      <c r="E36" s="12" t="str">
        <f aca="false">IF($L36="","",INDEX(Population!$F$2:$F$1092,$L36))</f>
        <v/>
      </c>
      <c r="F36" s="16" t="str">
        <f aca="false">IF($L36="","",INDEX(Population!$L$2:$L$1092,$L36))</f>
        <v/>
      </c>
      <c r="G36" s="16" t="str">
        <f aca="false">IF($L36="","",INDEX(Population!$M$2:$M$1092,$L36))</f>
        <v/>
      </c>
      <c r="H36" s="27" t="str">
        <f aca="false">IF($L36="","",IF(Summary!$C$9="Random",INDEX(Population!$Q$2:$Q$1092,$L36),INDEX(Population!$S$2:$S$1092,$L36)))</f>
        <v/>
      </c>
      <c r="I36" s="12" t="str">
        <f aca="false">IF($L36="","",IF(Summary!$C$9="Random","Below Materiality – Random","Below Materiality – Highest n"))</f>
        <v/>
      </c>
      <c r="J36" s="12" t="str">
        <f aca="false">IF($L36="","",INDEX(Population!$N$2:$N$1092,$L36))</f>
        <v/>
      </c>
      <c r="K36" s="12" t="str">
        <f aca="false">IF($L36="","",INDEX(Population!$G$2:$G$1092,$L36)&amp;" / row "&amp;INDEX(Population!$H$2:$H$1092,$L36))</f>
        <v/>
      </c>
      <c r="L36" s="26" t="str">
        <f aca="false">IF(ROWS($L$5:L36)&lt;=N(Summary!$C$7),IFERROR(MATCH("Population 1|R|"&amp;ROWS($L$5:L36),Population!$V$2:$V$1092,0),""),"")</f>
        <v/>
      </c>
    </row>
    <row r="37" customFormat="false" ht="15" hidden="false" customHeight="false" outlineLevel="0" collapsed="false">
      <c r="A37" s="12" t="str">
        <f aca="false">IF($L37="","",INDEX(Population!$B$2:$B$1092,$L37)&amp;"")</f>
        <v/>
      </c>
      <c r="B37" s="12" t="str">
        <f aca="false">IF($L37="","",INDEX(Population!$C$2:$C$1092,$L37)&amp;"")</f>
        <v/>
      </c>
      <c r="C37" s="12" t="str">
        <f aca="false">IF($L37="","",INDEX(Population!$D$2:$D$1092,$L37)&amp;"")</f>
        <v/>
      </c>
      <c r="D37" s="12" t="str">
        <f aca="false">IF($L37="","",INDEX(Population!$E$2:$E$1092,$L37))</f>
        <v/>
      </c>
      <c r="E37" s="12" t="str">
        <f aca="false">IF($L37="","",INDEX(Population!$F$2:$F$1092,$L37))</f>
        <v/>
      </c>
      <c r="F37" s="16" t="str">
        <f aca="false">IF($L37="","",INDEX(Population!$L$2:$L$1092,$L37))</f>
        <v/>
      </c>
      <c r="G37" s="16" t="str">
        <f aca="false">IF($L37="","",INDEX(Population!$M$2:$M$1092,$L37))</f>
        <v/>
      </c>
      <c r="H37" s="27" t="str">
        <f aca="false">IF($L37="","",IF(Summary!$C$9="Random",INDEX(Population!$Q$2:$Q$1092,$L37),INDEX(Population!$S$2:$S$1092,$L37)))</f>
        <v/>
      </c>
      <c r="I37" s="12" t="str">
        <f aca="false">IF($L37="","",IF(Summary!$C$9="Random","Below Materiality – Random","Below Materiality – Highest n"))</f>
        <v/>
      </c>
      <c r="J37" s="12" t="str">
        <f aca="false">IF($L37="","",INDEX(Population!$N$2:$N$1092,$L37))</f>
        <v/>
      </c>
      <c r="K37" s="12" t="str">
        <f aca="false">IF($L37="","",INDEX(Population!$G$2:$G$1092,$L37)&amp;" / row "&amp;INDEX(Population!$H$2:$H$1092,$L37))</f>
        <v/>
      </c>
      <c r="L37" s="26" t="str">
        <f aca="false">IF(ROWS($L$5:L37)&lt;=N(Summary!$C$7),IFERROR(MATCH("Population 1|R|"&amp;ROWS($L$5:L37),Population!$V$2:$V$1092,0),""),"")</f>
        <v/>
      </c>
    </row>
    <row r="38" customFormat="false" ht="15" hidden="false" customHeight="false" outlineLevel="0" collapsed="false">
      <c r="A38" s="12" t="str">
        <f aca="false">IF($L38="","",INDEX(Population!$B$2:$B$1092,$L38)&amp;"")</f>
        <v/>
      </c>
      <c r="B38" s="12" t="str">
        <f aca="false">IF($L38="","",INDEX(Population!$C$2:$C$1092,$L38)&amp;"")</f>
        <v/>
      </c>
      <c r="C38" s="12" t="str">
        <f aca="false">IF($L38="","",INDEX(Population!$D$2:$D$1092,$L38)&amp;"")</f>
        <v/>
      </c>
      <c r="D38" s="12" t="str">
        <f aca="false">IF($L38="","",INDEX(Population!$E$2:$E$1092,$L38))</f>
        <v/>
      </c>
      <c r="E38" s="12" t="str">
        <f aca="false">IF($L38="","",INDEX(Population!$F$2:$F$1092,$L38))</f>
        <v/>
      </c>
      <c r="F38" s="16" t="str">
        <f aca="false">IF($L38="","",INDEX(Population!$L$2:$L$1092,$L38))</f>
        <v/>
      </c>
      <c r="G38" s="16" t="str">
        <f aca="false">IF($L38="","",INDEX(Population!$M$2:$M$1092,$L38))</f>
        <v/>
      </c>
      <c r="H38" s="27" t="str">
        <f aca="false">IF($L38="","",IF(Summary!$C$9="Random",INDEX(Population!$Q$2:$Q$1092,$L38),INDEX(Population!$S$2:$S$1092,$L38)))</f>
        <v/>
      </c>
      <c r="I38" s="12" t="str">
        <f aca="false">IF($L38="","",IF(Summary!$C$9="Random","Below Materiality – Random","Below Materiality – Highest n"))</f>
        <v/>
      </c>
      <c r="J38" s="12" t="str">
        <f aca="false">IF($L38="","",INDEX(Population!$N$2:$N$1092,$L38))</f>
        <v/>
      </c>
      <c r="K38" s="12" t="str">
        <f aca="false">IF($L38="","",INDEX(Population!$G$2:$G$1092,$L38)&amp;" / row "&amp;INDEX(Population!$H$2:$H$1092,$L38))</f>
        <v/>
      </c>
      <c r="L38" s="26" t="str">
        <f aca="false">IF(ROWS($L$5:L38)&lt;=N(Summary!$C$7),IFERROR(MATCH("Population 1|R|"&amp;ROWS($L$5:L38),Population!$V$2:$V$1092,0),""),"")</f>
        <v/>
      </c>
    </row>
    <row r="39" customFormat="false" ht="15" hidden="false" customHeight="false" outlineLevel="0" collapsed="false">
      <c r="A39" s="12" t="str">
        <f aca="false">IF($L39="","",INDEX(Population!$B$2:$B$1092,$L39)&amp;"")</f>
        <v/>
      </c>
      <c r="B39" s="12" t="str">
        <f aca="false">IF($L39="","",INDEX(Population!$C$2:$C$1092,$L39)&amp;"")</f>
        <v/>
      </c>
      <c r="C39" s="12" t="str">
        <f aca="false">IF($L39="","",INDEX(Population!$D$2:$D$1092,$L39)&amp;"")</f>
        <v/>
      </c>
      <c r="D39" s="12" t="str">
        <f aca="false">IF($L39="","",INDEX(Population!$E$2:$E$1092,$L39))</f>
        <v/>
      </c>
      <c r="E39" s="12" t="str">
        <f aca="false">IF($L39="","",INDEX(Population!$F$2:$F$1092,$L39))</f>
        <v/>
      </c>
      <c r="F39" s="16" t="str">
        <f aca="false">IF($L39="","",INDEX(Population!$L$2:$L$1092,$L39))</f>
        <v/>
      </c>
      <c r="G39" s="16" t="str">
        <f aca="false">IF($L39="","",INDEX(Population!$M$2:$M$1092,$L39))</f>
        <v/>
      </c>
      <c r="H39" s="27" t="str">
        <f aca="false">IF($L39="","",IF(Summary!$C$9="Random",INDEX(Population!$Q$2:$Q$1092,$L39),INDEX(Population!$S$2:$S$1092,$L39)))</f>
        <v/>
      </c>
      <c r="I39" s="12" t="str">
        <f aca="false">IF($L39="","",IF(Summary!$C$9="Random","Below Materiality – Random","Below Materiality – Highest n"))</f>
        <v/>
      </c>
      <c r="J39" s="12" t="str">
        <f aca="false">IF($L39="","",INDEX(Population!$N$2:$N$1092,$L39))</f>
        <v/>
      </c>
      <c r="K39" s="12" t="str">
        <f aca="false">IF($L39="","",INDEX(Population!$G$2:$G$1092,$L39)&amp;" / row "&amp;INDEX(Population!$H$2:$H$1092,$L39))</f>
        <v/>
      </c>
      <c r="L39" s="26" t="str">
        <f aca="false">IF(ROWS($L$5:L39)&lt;=N(Summary!$C$7),IFERROR(MATCH("Population 1|R|"&amp;ROWS($L$5:L39),Population!$V$2:$V$1092,0),""),"")</f>
        <v/>
      </c>
    </row>
    <row r="40" customFormat="false" ht="15" hidden="false" customHeight="false" outlineLevel="0" collapsed="false">
      <c r="A40" s="12" t="str">
        <f aca="false">IF($L40="","",INDEX(Population!$B$2:$B$1092,$L40)&amp;"")</f>
        <v/>
      </c>
      <c r="B40" s="12" t="str">
        <f aca="false">IF($L40="","",INDEX(Population!$C$2:$C$1092,$L40)&amp;"")</f>
        <v/>
      </c>
      <c r="C40" s="12" t="str">
        <f aca="false">IF($L40="","",INDEX(Population!$D$2:$D$1092,$L40)&amp;"")</f>
        <v/>
      </c>
      <c r="D40" s="12" t="str">
        <f aca="false">IF($L40="","",INDEX(Population!$E$2:$E$1092,$L40))</f>
        <v/>
      </c>
      <c r="E40" s="12" t="str">
        <f aca="false">IF($L40="","",INDEX(Population!$F$2:$F$1092,$L40))</f>
        <v/>
      </c>
      <c r="F40" s="16" t="str">
        <f aca="false">IF($L40="","",INDEX(Population!$L$2:$L$1092,$L40))</f>
        <v/>
      </c>
      <c r="G40" s="16" t="str">
        <f aca="false">IF($L40="","",INDEX(Population!$M$2:$M$1092,$L40))</f>
        <v/>
      </c>
      <c r="H40" s="27" t="str">
        <f aca="false">IF($L40="","",IF(Summary!$C$9="Random",INDEX(Population!$Q$2:$Q$1092,$L40),INDEX(Population!$S$2:$S$1092,$L40)))</f>
        <v/>
      </c>
      <c r="I40" s="12" t="str">
        <f aca="false">IF($L40="","",IF(Summary!$C$9="Random","Below Materiality – Random","Below Materiality – Highest n"))</f>
        <v/>
      </c>
      <c r="J40" s="12" t="str">
        <f aca="false">IF($L40="","",INDEX(Population!$N$2:$N$1092,$L40))</f>
        <v/>
      </c>
      <c r="K40" s="12" t="str">
        <f aca="false">IF($L40="","",INDEX(Population!$G$2:$G$1092,$L40)&amp;" / row "&amp;INDEX(Population!$H$2:$H$1092,$L40))</f>
        <v/>
      </c>
      <c r="L40" s="26" t="str">
        <f aca="false">IF(ROWS($L$5:L40)&lt;=N(Summary!$C$7),IFERROR(MATCH("Population 1|R|"&amp;ROWS($L$5:L40),Population!$V$2:$V$1092,0),""),"")</f>
        <v/>
      </c>
    </row>
    <row r="41" customFormat="false" ht="15" hidden="false" customHeight="false" outlineLevel="0" collapsed="false">
      <c r="A41" s="12" t="str">
        <f aca="false">IF($L41="","",INDEX(Population!$B$2:$B$1092,$L41)&amp;"")</f>
        <v/>
      </c>
      <c r="B41" s="12" t="str">
        <f aca="false">IF($L41="","",INDEX(Population!$C$2:$C$1092,$L41)&amp;"")</f>
        <v/>
      </c>
      <c r="C41" s="12" t="str">
        <f aca="false">IF($L41="","",INDEX(Population!$D$2:$D$1092,$L41)&amp;"")</f>
        <v/>
      </c>
      <c r="D41" s="12" t="str">
        <f aca="false">IF($L41="","",INDEX(Population!$E$2:$E$1092,$L41))</f>
        <v/>
      </c>
      <c r="E41" s="12" t="str">
        <f aca="false">IF($L41="","",INDEX(Population!$F$2:$F$1092,$L41))</f>
        <v/>
      </c>
      <c r="F41" s="16" t="str">
        <f aca="false">IF($L41="","",INDEX(Population!$L$2:$L$1092,$L41))</f>
        <v/>
      </c>
      <c r="G41" s="16" t="str">
        <f aca="false">IF($L41="","",INDEX(Population!$M$2:$M$1092,$L41))</f>
        <v/>
      </c>
      <c r="H41" s="27" t="str">
        <f aca="false">IF($L41="","",IF(Summary!$C$9="Random",INDEX(Population!$Q$2:$Q$1092,$L41),INDEX(Population!$S$2:$S$1092,$L41)))</f>
        <v/>
      </c>
      <c r="I41" s="12" t="str">
        <f aca="false">IF($L41="","",IF(Summary!$C$9="Random","Below Materiality – Random","Below Materiality – Highest n"))</f>
        <v/>
      </c>
      <c r="J41" s="12" t="str">
        <f aca="false">IF($L41="","",INDEX(Population!$N$2:$N$1092,$L41))</f>
        <v/>
      </c>
      <c r="K41" s="12" t="str">
        <f aca="false">IF($L41="","",INDEX(Population!$G$2:$G$1092,$L41)&amp;" / row "&amp;INDEX(Population!$H$2:$H$1092,$L41))</f>
        <v/>
      </c>
      <c r="L41" s="26" t="str">
        <f aca="false">IF(ROWS($L$5:L41)&lt;=N(Summary!$C$7),IFERROR(MATCH("Population 1|R|"&amp;ROWS($L$5:L41),Population!$V$2:$V$1092,0),""),"")</f>
        <v/>
      </c>
    </row>
    <row r="42" customFormat="false" ht="15" hidden="false" customHeight="false" outlineLevel="0" collapsed="false">
      <c r="A42" s="12" t="str">
        <f aca="false">IF($L42="","",INDEX(Population!$B$2:$B$1092,$L42)&amp;"")</f>
        <v/>
      </c>
      <c r="B42" s="12" t="str">
        <f aca="false">IF($L42="","",INDEX(Population!$C$2:$C$1092,$L42)&amp;"")</f>
        <v/>
      </c>
      <c r="C42" s="12" t="str">
        <f aca="false">IF($L42="","",INDEX(Population!$D$2:$D$1092,$L42)&amp;"")</f>
        <v/>
      </c>
      <c r="D42" s="12" t="str">
        <f aca="false">IF($L42="","",INDEX(Population!$E$2:$E$1092,$L42))</f>
        <v/>
      </c>
      <c r="E42" s="12" t="str">
        <f aca="false">IF($L42="","",INDEX(Population!$F$2:$F$1092,$L42))</f>
        <v/>
      </c>
      <c r="F42" s="16" t="str">
        <f aca="false">IF($L42="","",INDEX(Population!$L$2:$L$1092,$L42))</f>
        <v/>
      </c>
      <c r="G42" s="16" t="str">
        <f aca="false">IF($L42="","",INDEX(Population!$M$2:$M$1092,$L42))</f>
        <v/>
      </c>
      <c r="H42" s="27" t="str">
        <f aca="false">IF($L42="","",IF(Summary!$C$9="Random",INDEX(Population!$Q$2:$Q$1092,$L42),INDEX(Population!$S$2:$S$1092,$L42)))</f>
        <v/>
      </c>
      <c r="I42" s="12" t="str">
        <f aca="false">IF($L42="","",IF(Summary!$C$9="Random","Below Materiality – Random","Below Materiality – Highest n"))</f>
        <v/>
      </c>
      <c r="J42" s="12" t="str">
        <f aca="false">IF($L42="","",INDEX(Population!$N$2:$N$1092,$L42))</f>
        <v/>
      </c>
      <c r="K42" s="12" t="str">
        <f aca="false">IF($L42="","",INDEX(Population!$G$2:$G$1092,$L42)&amp;" / row "&amp;INDEX(Population!$H$2:$H$1092,$L42))</f>
        <v/>
      </c>
      <c r="L42" s="26" t="str">
        <f aca="false">IF(ROWS($L$5:L42)&lt;=N(Summary!$C$7),IFERROR(MATCH("Population 1|R|"&amp;ROWS($L$5:L42),Population!$V$2:$V$1092,0),""),"")</f>
        <v/>
      </c>
    </row>
    <row r="43" customFormat="false" ht="15" hidden="false" customHeight="false" outlineLevel="0" collapsed="false">
      <c r="A43" s="12" t="str">
        <f aca="false">IF($L43="","",INDEX(Population!$B$2:$B$1092,$L43)&amp;"")</f>
        <v/>
      </c>
      <c r="B43" s="12" t="str">
        <f aca="false">IF($L43="","",INDEX(Population!$C$2:$C$1092,$L43)&amp;"")</f>
        <v/>
      </c>
      <c r="C43" s="12" t="str">
        <f aca="false">IF($L43="","",INDEX(Population!$D$2:$D$1092,$L43)&amp;"")</f>
        <v/>
      </c>
      <c r="D43" s="12" t="str">
        <f aca="false">IF($L43="","",INDEX(Population!$E$2:$E$1092,$L43))</f>
        <v/>
      </c>
      <c r="E43" s="12" t="str">
        <f aca="false">IF($L43="","",INDEX(Population!$F$2:$F$1092,$L43))</f>
        <v/>
      </c>
      <c r="F43" s="16" t="str">
        <f aca="false">IF($L43="","",INDEX(Population!$L$2:$L$1092,$L43))</f>
        <v/>
      </c>
      <c r="G43" s="16" t="str">
        <f aca="false">IF($L43="","",INDEX(Population!$M$2:$M$1092,$L43))</f>
        <v/>
      </c>
      <c r="H43" s="27" t="str">
        <f aca="false">IF($L43="","",IF(Summary!$C$9="Random",INDEX(Population!$Q$2:$Q$1092,$L43),INDEX(Population!$S$2:$S$1092,$L43)))</f>
        <v/>
      </c>
      <c r="I43" s="12" t="str">
        <f aca="false">IF($L43="","",IF(Summary!$C$9="Random","Below Materiality – Random","Below Materiality – Highest n"))</f>
        <v/>
      </c>
      <c r="J43" s="12" t="str">
        <f aca="false">IF($L43="","",INDEX(Population!$N$2:$N$1092,$L43))</f>
        <v/>
      </c>
      <c r="K43" s="12" t="str">
        <f aca="false">IF($L43="","",INDEX(Population!$G$2:$G$1092,$L43)&amp;" / row "&amp;INDEX(Population!$H$2:$H$1092,$L43))</f>
        <v/>
      </c>
      <c r="L43" s="26" t="str">
        <f aca="false">IF(ROWS($L$5:L43)&lt;=N(Summary!$C$7),IFERROR(MATCH("Population 1|R|"&amp;ROWS($L$5:L43),Population!$V$2:$V$1092,0),""),"")</f>
        <v/>
      </c>
    </row>
    <row r="44" customFormat="false" ht="15" hidden="false" customHeight="false" outlineLevel="0" collapsed="false">
      <c r="A44" s="12" t="str">
        <f aca="false">IF($L44="","",INDEX(Population!$B$2:$B$1092,$L44)&amp;"")</f>
        <v/>
      </c>
      <c r="B44" s="12" t="str">
        <f aca="false">IF($L44="","",INDEX(Population!$C$2:$C$1092,$L44)&amp;"")</f>
        <v/>
      </c>
      <c r="C44" s="12" t="str">
        <f aca="false">IF($L44="","",INDEX(Population!$D$2:$D$1092,$L44)&amp;"")</f>
        <v/>
      </c>
      <c r="D44" s="12" t="str">
        <f aca="false">IF($L44="","",INDEX(Population!$E$2:$E$1092,$L44))</f>
        <v/>
      </c>
      <c r="E44" s="12" t="str">
        <f aca="false">IF($L44="","",INDEX(Population!$F$2:$F$1092,$L44))</f>
        <v/>
      </c>
      <c r="F44" s="16" t="str">
        <f aca="false">IF($L44="","",INDEX(Population!$L$2:$L$1092,$L44))</f>
        <v/>
      </c>
      <c r="G44" s="16" t="str">
        <f aca="false">IF($L44="","",INDEX(Population!$M$2:$M$1092,$L44))</f>
        <v/>
      </c>
      <c r="H44" s="27" t="str">
        <f aca="false">IF($L44="","",IF(Summary!$C$9="Random",INDEX(Population!$Q$2:$Q$1092,$L44),INDEX(Population!$S$2:$S$1092,$L44)))</f>
        <v/>
      </c>
      <c r="I44" s="12" t="str">
        <f aca="false">IF($L44="","",IF(Summary!$C$9="Random","Below Materiality – Random","Below Materiality – Highest n"))</f>
        <v/>
      </c>
      <c r="J44" s="12" t="str">
        <f aca="false">IF($L44="","",INDEX(Population!$N$2:$N$1092,$L44))</f>
        <v/>
      </c>
      <c r="K44" s="12" t="str">
        <f aca="false">IF($L44="","",INDEX(Population!$G$2:$G$1092,$L44)&amp;" / row "&amp;INDEX(Population!$H$2:$H$1092,$L44))</f>
        <v/>
      </c>
      <c r="L44" s="26" t="str">
        <f aca="false">IF(ROWS($L$5:L44)&lt;=N(Summary!$C$7),IFERROR(MATCH("Population 1|R|"&amp;ROWS($L$5:L44),Population!$V$2:$V$1092,0),""),"")</f>
        <v/>
      </c>
    </row>
    <row r="45" customFormat="false" ht="15" hidden="false" customHeight="false" outlineLevel="0" collapsed="false">
      <c r="A45" s="12" t="str">
        <f aca="false">IF($L45="","",INDEX(Population!$B$2:$B$1092,$L45)&amp;"")</f>
        <v/>
      </c>
      <c r="B45" s="12" t="str">
        <f aca="false">IF($L45="","",INDEX(Population!$C$2:$C$1092,$L45)&amp;"")</f>
        <v/>
      </c>
      <c r="C45" s="12" t="str">
        <f aca="false">IF($L45="","",INDEX(Population!$D$2:$D$1092,$L45)&amp;"")</f>
        <v/>
      </c>
      <c r="D45" s="12" t="str">
        <f aca="false">IF($L45="","",INDEX(Population!$E$2:$E$1092,$L45))</f>
        <v/>
      </c>
      <c r="E45" s="12" t="str">
        <f aca="false">IF($L45="","",INDEX(Population!$F$2:$F$1092,$L45))</f>
        <v/>
      </c>
      <c r="F45" s="16" t="str">
        <f aca="false">IF($L45="","",INDEX(Population!$L$2:$L$1092,$L45))</f>
        <v/>
      </c>
      <c r="G45" s="16" t="str">
        <f aca="false">IF($L45="","",INDEX(Population!$M$2:$M$1092,$L45))</f>
        <v/>
      </c>
      <c r="H45" s="27" t="str">
        <f aca="false">IF($L45="","",IF(Summary!$C$9="Random",INDEX(Population!$Q$2:$Q$1092,$L45),INDEX(Population!$S$2:$S$1092,$L45)))</f>
        <v/>
      </c>
      <c r="I45" s="12" t="str">
        <f aca="false">IF($L45="","",IF(Summary!$C$9="Random","Below Materiality – Random","Below Materiality – Highest n"))</f>
        <v/>
      </c>
      <c r="J45" s="12" t="str">
        <f aca="false">IF($L45="","",INDEX(Population!$N$2:$N$1092,$L45))</f>
        <v/>
      </c>
      <c r="K45" s="12" t="str">
        <f aca="false">IF($L45="","",INDEX(Population!$G$2:$G$1092,$L45)&amp;" / row "&amp;INDEX(Population!$H$2:$H$1092,$L45))</f>
        <v/>
      </c>
      <c r="L45" s="26" t="str">
        <f aca="false">IF(ROWS($L$5:L45)&lt;=N(Summary!$C$7),IFERROR(MATCH("Population 1|R|"&amp;ROWS($L$5:L45),Population!$V$2:$V$1092,0),""),"")</f>
        <v/>
      </c>
    </row>
    <row r="46" customFormat="false" ht="15" hidden="false" customHeight="false" outlineLevel="0" collapsed="false">
      <c r="A46" s="12" t="str">
        <f aca="false">IF($L46="","",INDEX(Population!$B$2:$B$1092,$L46)&amp;"")</f>
        <v/>
      </c>
      <c r="B46" s="12" t="str">
        <f aca="false">IF($L46="","",INDEX(Population!$C$2:$C$1092,$L46)&amp;"")</f>
        <v/>
      </c>
      <c r="C46" s="12" t="str">
        <f aca="false">IF($L46="","",INDEX(Population!$D$2:$D$1092,$L46)&amp;"")</f>
        <v/>
      </c>
      <c r="D46" s="12" t="str">
        <f aca="false">IF($L46="","",INDEX(Population!$E$2:$E$1092,$L46))</f>
        <v/>
      </c>
      <c r="E46" s="12" t="str">
        <f aca="false">IF($L46="","",INDEX(Population!$F$2:$F$1092,$L46))</f>
        <v/>
      </c>
      <c r="F46" s="16" t="str">
        <f aca="false">IF($L46="","",INDEX(Population!$L$2:$L$1092,$L46))</f>
        <v/>
      </c>
      <c r="G46" s="16" t="str">
        <f aca="false">IF($L46="","",INDEX(Population!$M$2:$M$1092,$L46))</f>
        <v/>
      </c>
      <c r="H46" s="27" t="str">
        <f aca="false">IF($L46="","",IF(Summary!$C$9="Random",INDEX(Population!$Q$2:$Q$1092,$L46),INDEX(Population!$S$2:$S$1092,$L46)))</f>
        <v/>
      </c>
      <c r="I46" s="12" t="str">
        <f aca="false">IF($L46="","",IF(Summary!$C$9="Random","Below Materiality – Random","Below Materiality – Highest n"))</f>
        <v/>
      </c>
      <c r="J46" s="12" t="str">
        <f aca="false">IF($L46="","",INDEX(Population!$N$2:$N$1092,$L46))</f>
        <v/>
      </c>
      <c r="K46" s="12" t="str">
        <f aca="false">IF($L46="","",INDEX(Population!$G$2:$G$1092,$L46)&amp;" / row "&amp;INDEX(Population!$H$2:$H$1092,$L46))</f>
        <v/>
      </c>
      <c r="L46" s="26" t="str">
        <f aca="false">IF(ROWS($L$5:L46)&lt;=N(Summary!$C$7),IFERROR(MATCH("Population 1|R|"&amp;ROWS($L$5:L46),Population!$V$2:$V$1092,0),""),"")</f>
        <v/>
      </c>
    </row>
    <row r="47" customFormat="false" ht="15" hidden="false" customHeight="false" outlineLevel="0" collapsed="false">
      <c r="A47" s="12" t="str">
        <f aca="false">IF($L47="","",INDEX(Population!$B$2:$B$1092,$L47)&amp;"")</f>
        <v/>
      </c>
      <c r="B47" s="12" t="str">
        <f aca="false">IF($L47="","",INDEX(Population!$C$2:$C$1092,$L47)&amp;"")</f>
        <v/>
      </c>
      <c r="C47" s="12" t="str">
        <f aca="false">IF($L47="","",INDEX(Population!$D$2:$D$1092,$L47)&amp;"")</f>
        <v/>
      </c>
      <c r="D47" s="12" t="str">
        <f aca="false">IF($L47="","",INDEX(Population!$E$2:$E$1092,$L47))</f>
        <v/>
      </c>
      <c r="E47" s="12" t="str">
        <f aca="false">IF($L47="","",INDEX(Population!$F$2:$F$1092,$L47))</f>
        <v/>
      </c>
      <c r="F47" s="16" t="str">
        <f aca="false">IF($L47="","",INDEX(Population!$L$2:$L$1092,$L47))</f>
        <v/>
      </c>
      <c r="G47" s="16" t="str">
        <f aca="false">IF($L47="","",INDEX(Population!$M$2:$M$1092,$L47))</f>
        <v/>
      </c>
      <c r="H47" s="27" t="str">
        <f aca="false">IF($L47="","",IF(Summary!$C$9="Random",INDEX(Population!$Q$2:$Q$1092,$L47),INDEX(Population!$S$2:$S$1092,$L47)))</f>
        <v/>
      </c>
      <c r="I47" s="12" t="str">
        <f aca="false">IF($L47="","",IF(Summary!$C$9="Random","Below Materiality – Random","Below Materiality – Highest n"))</f>
        <v/>
      </c>
      <c r="J47" s="12" t="str">
        <f aca="false">IF($L47="","",INDEX(Population!$N$2:$N$1092,$L47))</f>
        <v/>
      </c>
      <c r="K47" s="12" t="str">
        <f aca="false">IF($L47="","",INDEX(Population!$G$2:$G$1092,$L47)&amp;" / row "&amp;INDEX(Population!$H$2:$H$1092,$L47))</f>
        <v/>
      </c>
      <c r="L47" s="26" t="str">
        <f aca="false">IF(ROWS($L$5:L47)&lt;=N(Summary!$C$7),IFERROR(MATCH("Population 1|R|"&amp;ROWS($L$5:L47),Population!$V$2:$V$1092,0),""),"")</f>
        <v/>
      </c>
    </row>
    <row r="48" customFormat="false" ht="15" hidden="false" customHeight="false" outlineLevel="0" collapsed="false">
      <c r="A48" s="12" t="str">
        <f aca="false">IF($L48="","",INDEX(Population!$B$2:$B$1092,$L48)&amp;"")</f>
        <v/>
      </c>
      <c r="B48" s="12" t="str">
        <f aca="false">IF($L48="","",INDEX(Population!$C$2:$C$1092,$L48)&amp;"")</f>
        <v/>
      </c>
      <c r="C48" s="12" t="str">
        <f aca="false">IF($L48="","",INDEX(Population!$D$2:$D$1092,$L48)&amp;"")</f>
        <v/>
      </c>
      <c r="D48" s="12" t="str">
        <f aca="false">IF($L48="","",INDEX(Population!$E$2:$E$1092,$L48))</f>
        <v/>
      </c>
      <c r="E48" s="12" t="str">
        <f aca="false">IF($L48="","",INDEX(Population!$F$2:$F$1092,$L48))</f>
        <v/>
      </c>
      <c r="F48" s="16" t="str">
        <f aca="false">IF($L48="","",INDEX(Population!$L$2:$L$1092,$L48))</f>
        <v/>
      </c>
      <c r="G48" s="16" t="str">
        <f aca="false">IF($L48="","",INDEX(Population!$M$2:$M$1092,$L48))</f>
        <v/>
      </c>
      <c r="H48" s="27" t="str">
        <f aca="false">IF($L48="","",IF(Summary!$C$9="Random",INDEX(Population!$Q$2:$Q$1092,$L48),INDEX(Population!$S$2:$S$1092,$L48)))</f>
        <v/>
      </c>
      <c r="I48" s="12" t="str">
        <f aca="false">IF($L48="","",IF(Summary!$C$9="Random","Below Materiality – Random","Below Materiality – Highest n"))</f>
        <v/>
      </c>
      <c r="J48" s="12" t="str">
        <f aca="false">IF($L48="","",INDEX(Population!$N$2:$N$1092,$L48))</f>
        <v/>
      </c>
      <c r="K48" s="12" t="str">
        <f aca="false">IF($L48="","",INDEX(Population!$G$2:$G$1092,$L48)&amp;" / row "&amp;INDEX(Population!$H$2:$H$1092,$L48))</f>
        <v/>
      </c>
      <c r="L48" s="26" t="str">
        <f aca="false">IF(ROWS($L$5:L48)&lt;=N(Summary!$C$7),IFERROR(MATCH("Population 1|R|"&amp;ROWS($L$5:L48),Population!$V$2:$V$1092,0),""),"")</f>
        <v/>
      </c>
    </row>
    <row r="49" customFormat="false" ht="15" hidden="false" customHeight="false" outlineLevel="0" collapsed="false">
      <c r="A49" s="12" t="str">
        <f aca="false">IF($L49="","",INDEX(Population!$B$2:$B$1092,$L49)&amp;"")</f>
        <v/>
      </c>
      <c r="B49" s="12" t="str">
        <f aca="false">IF($L49="","",INDEX(Population!$C$2:$C$1092,$L49)&amp;"")</f>
        <v/>
      </c>
      <c r="C49" s="12" t="str">
        <f aca="false">IF($L49="","",INDEX(Population!$D$2:$D$1092,$L49)&amp;"")</f>
        <v/>
      </c>
      <c r="D49" s="12" t="str">
        <f aca="false">IF($L49="","",INDEX(Population!$E$2:$E$1092,$L49))</f>
        <v/>
      </c>
      <c r="E49" s="12" t="str">
        <f aca="false">IF($L49="","",INDEX(Population!$F$2:$F$1092,$L49))</f>
        <v/>
      </c>
      <c r="F49" s="16" t="str">
        <f aca="false">IF($L49="","",INDEX(Population!$L$2:$L$1092,$L49))</f>
        <v/>
      </c>
      <c r="G49" s="16" t="str">
        <f aca="false">IF($L49="","",INDEX(Population!$M$2:$M$1092,$L49))</f>
        <v/>
      </c>
      <c r="H49" s="27" t="str">
        <f aca="false">IF($L49="","",IF(Summary!$C$9="Random",INDEX(Population!$Q$2:$Q$1092,$L49),INDEX(Population!$S$2:$S$1092,$L49)))</f>
        <v/>
      </c>
      <c r="I49" s="12" t="str">
        <f aca="false">IF($L49="","",IF(Summary!$C$9="Random","Below Materiality – Random","Below Materiality – Highest n"))</f>
        <v/>
      </c>
      <c r="J49" s="12" t="str">
        <f aca="false">IF($L49="","",INDEX(Population!$N$2:$N$1092,$L49))</f>
        <v/>
      </c>
      <c r="K49" s="12" t="str">
        <f aca="false">IF($L49="","",INDEX(Population!$G$2:$G$1092,$L49)&amp;" / row "&amp;INDEX(Population!$H$2:$H$1092,$L49))</f>
        <v/>
      </c>
      <c r="L49" s="26" t="str">
        <f aca="false">IF(ROWS($L$5:L49)&lt;=N(Summary!$C$7),IFERROR(MATCH("Population 1|R|"&amp;ROWS($L$5:L49),Population!$V$2:$V$1092,0),""),"")</f>
        <v/>
      </c>
    </row>
    <row r="50" customFormat="false" ht="15" hidden="false" customHeight="false" outlineLevel="0" collapsed="false">
      <c r="A50" s="12" t="str">
        <f aca="false">IF($L50="","",INDEX(Population!$B$2:$B$1092,$L50)&amp;"")</f>
        <v/>
      </c>
      <c r="B50" s="12" t="str">
        <f aca="false">IF($L50="","",INDEX(Population!$C$2:$C$1092,$L50)&amp;"")</f>
        <v/>
      </c>
      <c r="C50" s="12" t="str">
        <f aca="false">IF($L50="","",INDEX(Population!$D$2:$D$1092,$L50)&amp;"")</f>
        <v/>
      </c>
      <c r="D50" s="12" t="str">
        <f aca="false">IF($L50="","",INDEX(Population!$E$2:$E$1092,$L50))</f>
        <v/>
      </c>
      <c r="E50" s="12" t="str">
        <f aca="false">IF($L50="","",INDEX(Population!$F$2:$F$1092,$L50))</f>
        <v/>
      </c>
      <c r="F50" s="16" t="str">
        <f aca="false">IF($L50="","",INDEX(Population!$L$2:$L$1092,$L50))</f>
        <v/>
      </c>
      <c r="G50" s="16" t="str">
        <f aca="false">IF($L50="","",INDEX(Population!$M$2:$M$1092,$L50))</f>
        <v/>
      </c>
      <c r="H50" s="27" t="str">
        <f aca="false">IF($L50="","",IF(Summary!$C$9="Random",INDEX(Population!$Q$2:$Q$1092,$L50),INDEX(Population!$S$2:$S$1092,$L50)))</f>
        <v/>
      </c>
      <c r="I50" s="12" t="str">
        <f aca="false">IF($L50="","",IF(Summary!$C$9="Random","Below Materiality – Random","Below Materiality – Highest n"))</f>
        <v/>
      </c>
      <c r="J50" s="12" t="str">
        <f aca="false">IF($L50="","",INDEX(Population!$N$2:$N$1092,$L50))</f>
        <v/>
      </c>
      <c r="K50" s="12" t="str">
        <f aca="false">IF($L50="","",INDEX(Population!$G$2:$G$1092,$L50)&amp;" / row "&amp;INDEX(Population!$H$2:$H$1092,$L50))</f>
        <v/>
      </c>
      <c r="L50" s="26" t="str">
        <f aca="false">IF(ROWS($L$5:L50)&lt;=N(Summary!$C$7),IFERROR(MATCH("Population 1|R|"&amp;ROWS($L$5:L50),Population!$V$2:$V$1092,0),""),"")</f>
        <v/>
      </c>
    </row>
    <row r="51" customFormat="false" ht="15" hidden="false" customHeight="false" outlineLevel="0" collapsed="false">
      <c r="A51" s="12" t="str">
        <f aca="false">IF($L51="","",INDEX(Population!$B$2:$B$1092,$L51)&amp;"")</f>
        <v/>
      </c>
      <c r="B51" s="12" t="str">
        <f aca="false">IF($L51="","",INDEX(Population!$C$2:$C$1092,$L51)&amp;"")</f>
        <v/>
      </c>
      <c r="C51" s="12" t="str">
        <f aca="false">IF($L51="","",INDEX(Population!$D$2:$D$1092,$L51)&amp;"")</f>
        <v/>
      </c>
      <c r="D51" s="12" t="str">
        <f aca="false">IF($L51="","",INDEX(Population!$E$2:$E$1092,$L51))</f>
        <v/>
      </c>
      <c r="E51" s="12" t="str">
        <f aca="false">IF($L51="","",INDEX(Population!$F$2:$F$1092,$L51))</f>
        <v/>
      </c>
      <c r="F51" s="16" t="str">
        <f aca="false">IF($L51="","",INDEX(Population!$L$2:$L$1092,$L51))</f>
        <v/>
      </c>
      <c r="G51" s="16" t="str">
        <f aca="false">IF($L51="","",INDEX(Population!$M$2:$M$1092,$L51))</f>
        <v/>
      </c>
      <c r="H51" s="27" t="str">
        <f aca="false">IF($L51="","",IF(Summary!$C$9="Random",INDEX(Population!$Q$2:$Q$1092,$L51),INDEX(Population!$S$2:$S$1092,$L51)))</f>
        <v/>
      </c>
      <c r="I51" s="12" t="str">
        <f aca="false">IF($L51="","",IF(Summary!$C$9="Random","Below Materiality – Random","Below Materiality – Highest n"))</f>
        <v/>
      </c>
      <c r="J51" s="12" t="str">
        <f aca="false">IF($L51="","",INDEX(Population!$N$2:$N$1092,$L51))</f>
        <v/>
      </c>
      <c r="K51" s="12" t="str">
        <f aca="false">IF($L51="","",INDEX(Population!$G$2:$G$1092,$L51)&amp;" / row "&amp;INDEX(Population!$H$2:$H$1092,$L51))</f>
        <v/>
      </c>
      <c r="L51" s="26" t="str">
        <f aca="false">IF(ROWS($L$5:L51)&lt;=N(Summary!$C$7),IFERROR(MATCH("Population 1|R|"&amp;ROWS($L$5:L51),Population!$V$2:$V$1092,0),""),"")</f>
        <v/>
      </c>
    </row>
    <row r="52" customFormat="false" ht="15" hidden="false" customHeight="false" outlineLevel="0" collapsed="false">
      <c r="A52" s="12" t="str">
        <f aca="false">IF($L52="","",INDEX(Population!$B$2:$B$1092,$L52)&amp;"")</f>
        <v/>
      </c>
      <c r="B52" s="12" t="str">
        <f aca="false">IF($L52="","",INDEX(Population!$C$2:$C$1092,$L52)&amp;"")</f>
        <v/>
      </c>
      <c r="C52" s="12" t="str">
        <f aca="false">IF($L52="","",INDEX(Population!$D$2:$D$1092,$L52)&amp;"")</f>
        <v/>
      </c>
      <c r="D52" s="12" t="str">
        <f aca="false">IF($L52="","",INDEX(Population!$E$2:$E$1092,$L52))</f>
        <v/>
      </c>
      <c r="E52" s="12" t="str">
        <f aca="false">IF($L52="","",INDEX(Population!$F$2:$F$1092,$L52))</f>
        <v/>
      </c>
      <c r="F52" s="16" t="str">
        <f aca="false">IF($L52="","",INDEX(Population!$L$2:$L$1092,$L52))</f>
        <v/>
      </c>
      <c r="G52" s="16" t="str">
        <f aca="false">IF($L52="","",INDEX(Population!$M$2:$M$1092,$L52))</f>
        <v/>
      </c>
      <c r="H52" s="27" t="str">
        <f aca="false">IF($L52="","",IF(Summary!$C$9="Random",INDEX(Population!$Q$2:$Q$1092,$L52),INDEX(Population!$S$2:$S$1092,$L52)))</f>
        <v/>
      </c>
      <c r="I52" s="12" t="str">
        <f aca="false">IF($L52="","",IF(Summary!$C$9="Random","Below Materiality – Random","Below Materiality – Highest n"))</f>
        <v/>
      </c>
      <c r="J52" s="12" t="str">
        <f aca="false">IF($L52="","",INDEX(Population!$N$2:$N$1092,$L52))</f>
        <v/>
      </c>
      <c r="K52" s="12" t="str">
        <f aca="false">IF($L52="","",INDEX(Population!$G$2:$G$1092,$L52)&amp;" / row "&amp;INDEX(Population!$H$2:$H$1092,$L52))</f>
        <v/>
      </c>
      <c r="L52" s="26" t="str">
        <f aca="false">IF(ROWS($L$5:L52)&lt;=N(Summary!$C$7),IFERROR(MATCH("Population 1|R|"&amp;ROWS($L$5:L52),Population!$V$2:$V$1092,0),""),"")</f>
        <v/>
      </c>
    </row>
    <row r="53" customFormat="false" ht="15" hidden="false" customHeight="false" outlineLevel="0" collapsed="false">
      <c r="A53" s="12" t="str">
        <f aca="false">IF($L53="","",INDEX(Population!$B$2:$B$1092,$L53)&amp;"")</f>
        <v/>
      </c>
      <c r="B53" s="12" t="str">
        <f aca="false">IF($L53="","",INDEX(Population!$C$2:$C$1092,$L53)&amp;"")</f>
        <v/>
      </c>
      <c r="C53" s="12" t="str">
        <f aca="false">IF($L53="","",INDEX(Population!$D$2:$D$1092,$L53)&amp;"")</f>
        <v/>
      </c>
      <c r="D53" s="12" t="str">
        <f aca="false">IF($L53="","",INDEX(Population!$E$2:$E$1092,$L53))</f>
        <v/>
      </c>
      <c r="E53" s="12" t="str">
        <f aca="false">IF($L53="","",INDEX(Population!$F$2:$F$1092,$L53))</f>
        <v/>
      </c>
      <c r="F53" s="16" t="str">
        <f aca="false">IF($L53="","",INDEX(Population!$L$2:$L$1092,$L53))</f>
        <v/>
      </c>
      <c r="G53" s="16" t="str">
        <f aca="false">IF($L53="","",INDEX(Population!$M$2:$M$1092,$L53))</f>
        <v/>
      </c>
      <c r="H53" s="27" t="str">
        <f aca="false">IF($L53="","",IF(Summary!$C$9="Random",INDEX(Population!$Q$2:$Q$1092,$L53),INDEX(Population!$S$2:$S$1092,$L53)))</f>
        <v/>
      </c>
      <c r="I53" s="12" t="str">
        <f aca="false">IF($L53="","",IF(Summary!$C$9="Random","Below Materiality – Random","Below Materiality – Highest n"))</f>
        <v/>
      </c>
      <c r="J53" s="12" t="str">
        <f aca="false">IF($L53="","",INDEX(Population!$N$2:$N$1092,$L53))</f>
        <v/>
      </c>
      <c r="K53" s="12" t="str">
        <f aca="false">IF($L53="","",INDEX(Population!$G$2:$G$1092,$L53)&amp;" / row "&amp;INDEX(Population!$H$2:$H$1092,$L53))</f>
        <v/>
      </c>
      <c r="L53" s="26" t="str">
        <f aca="false">IF(ROWS($L$5:L53)&lt;=N(Summary!$C$7),IFERROR(MATCH("Population 1|R|"&amp;ROWS($L$5:L53),Population!$V$2:$V$1092,0),""),"")</f>
        <v/>
      </c>
    </row>
    <row r="54" customFormat="false" ht="15" hidden="false" customHeight="false" outlineLevel="0" collapsed="false">
      <c r="A54" s="12" t="str">
        <f aca="false">IF($L54="","",INDEX(Population!$B$2:$B$1092,$L54)&amp;"")</f>
        <v/>
      </c>
      <c r="B54" s="12" t="str">
        <f aca="false">IF($L54="","",INDEX(Population!$C$2:$C$1092,$L54)&amp;"")</f>
        <v/>
      </c>
      <c r="C54" s="12" t="str">
        <f aca="false">IF($L54="","",INDEX(Population!$D$2:$D$1092,$L54)&amp;"")</f>
        <v/>
      </c>
      <c r="D54" s="12" t="str">
        <f aca="false">IF($L54="","",INDEX(Population!$E$2:$E$1092,$L54))</f>
        <v/>
      </c>
      <c r="E54" s="12" t="str">
        <f aca="false">IF($L54="","",INDEX(Population!$F$2:$F$1092,$L54))</f>
        <v/>
      </c>
      <c r="F54" s="16" t="str">
        <f aca="false">IF($L54="","",INDEX(Population!$L$2:$L$1092,$L54))</f>
        <v/>
      </c>
      <c r="G54" s="16" t="str">
        <f aca="false">IF($L54="","",INDEX(Population!$M$2:$M$1092,$L54))</f>
        <v/>
      </c>
      <c r="H54" s="27" t="str">
        <f aca="false">IF($L54="","",IF(Summary!$C$9="Random",INDEX(Population!$Q$2:$Q$1092,$L54),INDEX(Population!$S$2:$S$1092,$L54)))</f>
        <v/>
      </c>
      <c r="I54" s="12" t="str">
        <f aca="false">IF($L54="","",IF(Summary!$C$9="Random","Below Materiality – Random","Below Materiality – Highest n"))</f>
        <v/>
      </c>
      <c r="J54" s="12" t="str">
        <f aca="false">IF($L54="","",INDEX(Population!$N$2:$N$1092,$L54))</f>
        <v/>
      </c>
      <c r="K54" s="12" t="str">
        <f aca="false">IF($L54="","",INDEX(Population!$G$2:$G$1092,$L54)&amp;" / row "&amp;INDEX(Population!$H$2:$H$1092,$L54))</f>
        <v/>
      </c>
      <c r="L54" s="26" t="str">
        <f aca="false">IF(ROWS($L$5:L54)&lt;=N(Summary!$C$7),IFERROR(MATCH("Population 1|R|"&amp;ROWS($L$5:L54),Population!$V$2:$V$1092,0),""),"")</f>
        <v/>
      </c>
    </row>
    <row r="55" customFormat="false" ht="15" hidden="false" customHeight="false" outlineLevel="0" collapsed="false">
      <c r="A55" s="12" t="str">
        <f aca="false">IF($L55="","",INDEX(Population!$B$2:$B$1092,$L55)&amp;"")</f>
        <v/>
      </c>
      <c r="B55" s="12" t="str">
        <f aca="false">IF($L55="","",INDEX(Population!$C$2:$C$1092,$L55)&amp;"")</f>
        <v/>
      </c>
      <c r="C55" s="12" t="str">
        <f aca="false">IF($L55="","",INDEX(Population!$D$2:$D$1092,$L55)&amp;"")</f>
        <v/>
      </c>
      <c r="D55" s="12" t="str">
        <f aca="false">IF($L55="","",INDEX(Population!$E$2:$E$1092,$L55))</f>
        <v/>
      </c>
      <c r="E55" s="12" t="str">
        <f aca="false">IF($L55="","",INDEX(Population!$F$2:$F$1092,$L55))</f>
        <v/>
      </c>
      <c r="F55" s="16" t="str">
        <f aca="false">IF($L55="","",INDEX(Population!$L$2:$L$1092,$L55))</f>
        <v/>
      </c>
      <c r="G55" s="16" t="str">
        <f aca="false">IF($L55="","",INDEX(Population!$M$2:$M$1092,$L55))</f>
        <v/>
      </c>
      <c r="H55" s="27" t="str">
        <f aca="false">IF($L55="","",IF(Summary!$C$9="Random",INDEX(Population!$Q$2:$Q$1092,$L55),INDEX(Population!$S$2:$S$1092,$L55)))</f>
        <v/>
      </c>
      <c r="I55" s="12" t="str">
        <f aca="false">IF($L55="","",IF(Summary!$C$9="Random","Below Materiality – Random","Below Materiality – Highest n"))</f>
        <v/>
      </c>
      <c r="J55" s="12" t="str">
        <f aca="false">IF($L55="","",INDEX(Population!$N$2:$N$1092,$L55))</f>
        <v/>
      </c>
      <c r="K55" s="12" t="str">
        <f aca="false">IF($L55="","",INDEX(Population!$G$2:$G$1092,$L55)&amp;" / row "&amp;INDEX(Population!$H$2:$H$1092,$L55))</f>
        <v/>
      </c>
      <c r="L55" s="26" t="str">
        <f aca="false">IF(ROWS($L$5:L55)&lt;=N(Summary!$C$7),IFERROR(MATCH("Population 1|R|"&amp;ROWS($L$5:L55),Population!$V$2:$V$1092,0),""),"")</f>
        <v/>
      </c>
    </row>
    <row r="56" customFormat="false" ht="15" hidden="false" customHeight="false" outlineLevel="0" collapsed="false">
      <c r="A56" s="12" t="str">
        <f aca="false">IF($L56="","",INDEX(Population!$B$2:$B$1092,$L56)&amp;"")</f>
        <v/>
      </c>
      <c r="B56" s="12" t="str">
        <f aca="false">IF($L56="","",INDEX(Population!$C$2:$C$1092,$L56)&amp;"")</f>
        <v/>
      </c>
      <c r="C56" s="12" t="str">
        <f aca="false">IF($L56="","",INDEX(Population!$D$2:$D$1092,$L56)&amp;"")</f>
        <v/>
      </c>
      <c r="D56" s="12" t="str">
        <f aca="false">IF($L56="","",INDEX(Population!$E$2:$E$1092,$L56))</f>
        <v/>
      </c>
      <c r="E56" s="12" t="str">
        <f aca="false">IF($L56="","",INDEX(Population!$F$2:$F$1092,$L56))</f>
        <v/>
      </c>
      <c r="F56" s="16" t="str">
        <f aca="false">IF($L56="","",INDEX(Population!$L$2:$L$1092,$L56))</f>
        <v/>
      </c>
      <c r="G56" s="16" t="str">
        <f aca="false">IF($L56="","",INDEX(Population!$M$2:$M$1092,$L56))</f>
        <v/>
      </c>
      <c r="H56" s="27" t="str">
        <f aca="false">IF($L56="","",IF(Summary!$C$9="Random",INDEX(Population!$Q$2:$Q$1092,$L56),INDEX(Population!$S$2:$S$1092,$L56)))</f>
        <v/>
      </c>
      <c r="I56" s="12" t="str">
        <f aca="false">IF($L56="","",IF(Summary!$C$9="Random","Below Materiality – Random","Below Materiality – Highest n"))</f>
        <v/>
      </c>
      <c r="J56" s="12" t="str">
        <f aca="false">IF($L56="","",INDEX(Population!$N$2:$N$1092,$L56))</f>
        <v/>
      </c>
      <c r="K56" s="12" t="str">
        <f aca="false">IF($L56="","",INDEX(Population!$G$2:$G$1092,$L56)&amp;" / row "&amp;INDEX(Population!$H$2:$H$1092,$L56))</f>
        <v/>
      </c>
      <c r="L56" s="26" t="str">
        <f aca="false">IF(ROWS($L$5:L56)&lt;=N(Summary!$C$7),IFERROR(MATCH("Population 1|R|"&amp;ROWS($L$5:L56),Population!$V$2:$V$1092,0),""),"")</f>
        <v/>
      </c>
    </row>
    <row r="57" customFormat="false" ht="15" hidden="false" customHeight="false" outlineLevel="0" collapsed="false">
      <c r="A57" s="12" t="str">
        <f aca="false">IF($L57="","",INDEX(Population!$B$2:$B$1092,$L57)&amp;"")</f>
        <v/>
      </c>
      <c r="B57" s="12" t="str">
        <f aca="false">IF($L57="","",INDEX(Population!$C$2:$C$1092,$L57)&amp;"")</f>
        <v/>
      </c>
      <c r="C57" s="12" t="str">
        <f aca="false">IF($L57="","",INDEX(Population!$D$2:$D$1092,$L57)&amp;"")</f>
        <v/>
      </c>
      <c r="D57" s="12" t="str">
        <f aca="false">IF($L57="","",INDEX(Population!$E$2:$E$1092,$L57))</f>
        <v/>
      </c>
      <c r="E57" s="12" t="str">
        <f aca="false">IF($L57="","",INDEX(Population!$F$2:$F$1092,$L57))</f>
        <v/>
      </c>
      <c r="F57" s="16" t="str">
        <f aca="false">IF($L57="","",INDEX(Population!$L$2:$L$1092,$L57))</f>
        <v/>
      </c>
      <c r="G57" s="16" t="str">
        <f aca="false">IF($L57="","",INDEX(Population!$M$2:$M$1092,$L57))</f>
        <v/>
      </c>
      <c r="H57" s="27" t="str">
        <f aca="false">IF($L57="","",IF(Summary!$C$9="Random",INDEX(Population!$Q$2:$Q$1092,$L57),INDEX(Population!$S$2:$S$1092,$L57)))</f>
        <v/>
      </c>
      <c r="I57" s="12" t="str">
        <f aca="false">IF($L57="","",IF(Summary!$C$9="Random","Below Materiality – Random","Below Materiality – Highest n"))</f>
        <v/>
      </c>
      <c r="J57" s="12" t="str">
        <f aca="false">IF($L57="","",INDEX(Population!$N$2:$N$1092,$L57))</f>
        <v/>
      </c>
      <c r="K57" s="12" t="str">
        <f aca="false">IF($L57="","",INDEX(Population!$G$2:$G$1092,$L57)&amp;" / row "&amp;INDEX(Population!$H$2:$H$1092,$L57))</f>
        <v/>
      </c>
      <c r="L57" s="26" t="str">
        <f aca="false">IF(ROWS($L$5:L57)&lt;=N(Summary!$C$7),IFERROR(MATCH("Population 1|R|"&amp;ROWS($L$5:L57),Population!$V$2:$V$1092,0),""),"")</f>
        <v/>
      </c>
    </row>
    <row r="58" customFormat="false" ht="15" hidden="false" customHeight="false" outlineLevel="0" collapsed="false">
      <c r="A58" s="12" t="str">
        <f aca="false">IF($L58="","",INDEX(Population!$B$2:$B$1092,$L58)&amp;"")</f>
        <v/>
      </c>
      <c r="B58" s="12" t="str">
        <f aca="false">IF($L58="","",INDEX(Population!$C$2:$C$1092,$L58)&amp;"")</f>
        <v/>
      </c>
      <c r="C58" s="12" t="str">
        <f aca="false">IF($L58="","",INDEX(Population!$D$2:$D$1092,$L58)&amp;"")</f>
        <v/>
      </c>
      <c r="D58" s="12" t="str">
        <f aca="false">IF($L58="","",INDEX(Population!$E$2:$E$1092,$L58))</f>
        <v/>
      </c>
      <c r="E58" s="12" t="str">
        <f aca="false">IF($L58="","",INDEX(Population!$F$2:$F$1092,$L58))</f>
        <v/>
      </c>
      <c r="F58" s="16" t="str">
        <f aca="false">IF($L58="","",INDEX(Population!$L$2:$L$1092,$L58))</f>
        <v/>
      </c>
      <c r="G58" s="16" t="str">
        <f aca="false">IF($L58="","",INDEX(Population!$M$2:$M$1092,$L58))</f>
        <v/>
      </c>
      <c r="H58" s="27" t="str">
        <f aca="false">IF($L58="","",IF(Summary!$C$9="Random",INDEX(Population!$Q$2:$Q$1092,$L58),INDEX(Population!$S$2:$S$1092,$L58)))</f>
        <v/>
      </c>
      <c r="I58" s="12" t="str">
        <f aca="false">IF($L58="","",IF(Summary!$C$9="Random","Below Materiality – Random","Below Materiality – Highest n"))</f>
        <v/>
      </c>
      <c r="J58" s="12" t="str">
        <f aca="false">IF($L58="","",INDEX(Population!$N$2:$N$1092,$L58))</f>
        <v/>
      </c>
      <c r="K58" s="12" t="str">
        <f aca="false">IF($L58="","",INDEX(Population!$G$2:$G$1092,$L58)&amp;" / row "&amp;INDEX(Population!$H$2:$H$1092,$L58))</f>
        <v/>
      </c>
      <c r="L58" s="26" t="str">
        <f aca="false">IF(ROWS($L$5:L58)&lt;=N(Summary!$C$7),IFERROR(MATCH("Population 1|R|"&amp;ROWS($L$5:L58),Population!$V$2:$V$1092,0),""),"")</f>
        <v/>
      </c>
    </row>
    <row r="59" customFormat="false" ht="15" hidden="false" customHeight="false" outlineLevel="0" collapsed="false">
      <c r="A59" s="12" t="str">
        <f aca="false">IF($L59="","",INDEX(Population!$B$2:$B$1092,$L59)&amp;"")</f>
        <v/>
      </c>
      <c r="B59" s="12" t="str">
        <f aca="false">IF($L59="","",INDEX(Population!$C$2:$C$1092,$L59)&amp;"")</f>
        <v/>
      </c>
      <c r="C59" s="12" t="str">
        <f aca="false">IF($L59="","",INDEX(Population!$D$2:$D$1092,$L59)&amp;"")</f>
        <v/>
      </c>
      <c r="D59" s="12" t="str">
        <f aca="false">IF($L59="","",INDEX(Population!$E$2:$E$1092,$L59))</f>
        <v/>
      </c>
      <c r="E59" s="12" t="str">
        <f aca="false">IF($L59="","",INDEX(Population!$F$2:$F$1092,$L59))</f>
        <v/>
      </c>
      <c r="F59" s="16" t="str">
        <f aca="false">IF($L59="","",INDEX(Population!$L$2:$L$1092,$L59))</f>
        <v/>
      </c>
      <c r="G59" s="16" t="str">
        <f aca="false">IF($L59="","",INDEX(Population!$M$2:$M$1092,$L59))</f>
        <v/>
      </c>
      <c r="H59" s="27" t="str">
        <f aca="false">IF($L59="","",IF(Summary!$C$9="Random",INDEX(Population!$Q$2:$Q$1092,$L59),INDEX(Population!$S$2:$S$1092,$L59)))</f>
        <v/>
      </c>
      <c r="I59" s="12" t="str">
        <f aca="false">IF($L59="","",IF(Summary!$C$9="Random","Below Materiality – Random","Below Materiality – Highest n"))</f>
        <v/>
      </c>
      <c r="J59" s="12" t="str">
        <f aca="false">IF($L59="","",INDEX(Population!$N$2:$N$1092,$L59))</f>
        <v/>
      </c>
      <c r="K59" s="12" t="str">
        <f aca="false">IF($L59="","",INDEX(Population!$G$2:$G$1092,$L59)&amp;" / row "&amp;INDEX(Population!$H$2:$H$1092,$L59))</f>
        <v/>
      </c>
      <c r="L59" s="26" t="str">
        <f aca="false">IF(ROWS($L$5:L59)&lt;=N(Summary!$C$7),IFERROR(MATCH("Population 1|R|"&amp;ROWS($L$5:L59),Population!$V$2:$V$1092,0),""),"")</f>
        <v/>
      </c>
    </row>
    <row r="60" customFormat="false" ht="15" hidden="false" customHeight="false" outlineLevel="0" collapsed="false">
      <c r="A60" s="12" t="str">
        <f aca="false">IF($L60="","",INDEX(Population!$B$2:$B$1092,$L60)&amp;"")</f>
        <v/>
      </c>
      <c r="B60" s="12" t="str">
        <f aca="false">IF($L60="","",INDEX(Population!$C$2:$C$1092,$L60)&amp;"")</f>
        <v/>
      </c>
      <c r="C60" s="12" t="str">
        <f aca="false">IF($L60="","",INDEX(Population!$D$2:$D$1092,$L60)&amp;"")</f>
        <v/>
      </c>
      <c r="D60" s="12" t="str">
        <f aca="false">IF($L60="","",INDEX(Population!$E$2:$E$1092,$L60))</f>
        <v/>
      </c>
      <c r="E60" s="12" t="str">
        <f aca="false">IF($L60="","",INDEX(Population!$F$2:$F$1092,$L60))</f>
        <v/>
      </c>
      <c r="F60" s="16" t="str">
        <f aca="false">IF($L60="","",INDEX(Population!$L$2:$L$1092,$L60))</f>
        <v/>
      </c>
      <c r="G60" s="16" t="str">
        <f aca="false">IF($L60="","",INDEX(Population!$M$2:$M$1092,$L60))</f>
        <v/>
      </c>
      <c r="H60" s="27" t="str">
        <f aca="false">IF($L60="","",IF(Summary!$C$9="Random",INDEX(Population!$Q$2:$Q$1092,$L60),INDEX(Population!$S$2:$S$1092,$L60)))</f>
        <v/>
      </c>
      <c r="I60" s="12" t="str">
        <f aca="false">IF($L60="","",IF(Summary!$C$9="Random","Below Materiality – Random","Below Materiality – Highest n"))</f>
        <v/>
      </c>
      <c r="J60" s="12" t="str">
        <f aca="false">IF($L60="","",INDEX(Population!$N$2:$N$1092,$L60))</f>
        <v/>
      </c>
      <c r="K60" s="12" t="str">
        <f aca="false">IF($L60="","",INDEX(Population!$G$2:$G$1092,$L60)&amp;" / row "&amp;INDEX(Population!$H$2:$H$1092,$L60))</f>
        <v/>
      </c>
      <c r="L60" s="26" t="str">
        <f aca="false">IF(ROWS($L$5:L60)&lt;=N(Summary!$C$7),IFERROR(MATCH("Population 1|R|"&amp;ROWS($L$5:L60),Population!$V$2:$V$1092,0),""),"")</f>
        <v/>
      </c>
    </row>
    <row r="61" customFormat="false" ht="15" hidden="false" customHeight="false" outlineLevel="0" collapsed="false">
      <c r="A61" s="12" t="str">
        <f aca="false">IF($L61="","",INDEX(Population!$B$2:$B$1092,$L61)&amp;"")</f>
        <v/>
      </c>
      <c r="B61" s="12" t="str">
        <f aca="false">IF($L61="","",INDEX(Population!$C$2:$C$1092,$L61)&amp;"")</f>
        <v/>
      </c>
      <c r="C61" s="12" t="str">
        <f aca="false">IF($L61="","",INDEX(Population!$D$2:$D$1092,$L61)&amp;"")</f>
        <v/>
      </c>
      <c r="D61" s="12" t="str">
        <f aca="false">IF($L61="","",INDEX(Population!$E$2:$E$1092,$L61))</f>
        <v/>
      </c>
      <c r="E61" s="12" t="str">
        <f aca="false">IF($L61="","",INDEX(Population!$F$2:$F$1092,$L61))</f>
        <v/>
      </c>
      <c r="F61" s="16" t="str">
        <f aca="false">IF($L61="","",INDEX(Population!$L$2:$L$1092,$L61))</f>
        <v/>
      </c>
      <c r="G61" s="16" t="str">
        <f aca="false">IF($L61="","",INDEX(Population!$M$2:$M$1092,$L61))</f>
        <v/>
      </c>
      <c r="H61" s="27" t="str">
        <f aca="false">IF($L61="","",IF(Summary!$C$9="Random",INDEX(Population!$Q$2:$Q$1092,$L61),INDEX(Population!$S$2:$S$1092,$L61)))</f>
        <v/>
      </c>
      <c r="I61" s="12" t="str">
        <f aca="false">IF($L61="","",IF(Summary!$C$9="Random","Below Materiality – Random","Below Materiality – Highest n"))</f>
        <v/>
      </c>
      <c r="J61" s="12" t="str">
        <f aca="false">IF($L61="","",INDEX(Population!$N$2:$N$1092,$L61))</f>
        <v/>
      </c>
      <c r="K61" s="12" t="str">
        <f aca="false">IF($L61="","",INDEX(Population!$G$2:$G$1092,$L61)&amp;" / row "&amp;INDEX(Population!$H$2:$H$1092,$L61))</f>
        <v/>
      </c>
      <c r="L61" s="26" t="str">
        <f aca="false">IF(ROWS($L$5:L61)&lt;=N(Summary!$C$7),IFERROR(MATCH("Population 1|R|"&amp;ROWS($L$5:L61),Population!$V$2:$V$1092,0),""),"")</f>
        <v/>
      </c>
    </row>
    <row r="62" customFormat="false" ht="15" hidden="false" customHeight="false" outlineLevel="0" collapsed="false">
      <c r="A62" s="12" t="str">
        <f aca="false">IF($L62="","",INDEX(Population!$B$2:$B$1092,$L62)&amp;"")</f>
        <v/>
      </c>
      <c r="B62" s="12" t="str">
        <f aca="false">IF($L62="","",INDEX(Population!$C$2:$C$1092,$L62)&amp;"")</f>
        <v/>
      </c>
      <c r="C62" s="12" t="str">
        <f aca="false">IF($L62="","",INDEX(Population!$D$2:$D$1092,$L62)&amp;"")</f>
        <v/>
      </c>
      <c r="D62" s="12" t="str">
        <f aca="false">IF($L62="","",INDEX(Population!$E$2:$E$1092,$L62))</f>
        <v/>
      </c>
      <c r="E62" s="12" t="str">
        <f aca="false">IF($L62="","",INDEX(Population!$F$2:$F$1092,$L62))</f>
        <v/>
      </c>
      <c r="F62" s="16" t="str">
        <f aca="false">IF($L62="","",INDEX(Population!$L$2:$L$1092,$L62))</f>
        <v/>
      </c>
      <c r="G62" s="16" t="str">
        <f aca="false">IF($L62="","",INDEX(Population!$M$2:$M$1092,$L62))</f>
        <v/>
      </c>
      <c r="H62" s="27" t="str">
        <f aca="false">IF($L62="","",IF(Summary!$C$9="Random",INDEX(Population!$Q$2:$Q$1092,$L62),INDEX(Population!$S$2:$S$1092,$L62)))</f>
        <v/>
      </c>
      <c r="I62" s="12" t="str">
        <f aca="false">IF($L62="","",IF(Summary!$C$9="Random","Below Materiality – Random","Below Materiality – Highest n"))</f>
        <v/>
      </c>
      <c r="J62" s="12" t="str">
        <f aca="false">IF($L62="","",INDEX(Population!$N$2:$N$1092,$L62))</f>
        <v/>
      </c>
      <c r="K62" s="12" t="str">
        <f aca="false">IF($L62="","",INDEX(Population!$G$2:$G$1092,$L62)&amp;" / row "&amp;INDEX(Population!$H$2:$H$1092,$L62))</f>
        <v/>
      </c>
      <c r="L62" s="26" t="str">
        <f aca="false">IF(ROWS($L$5:L62)&lt;=N(Summary!$C$7),IFERROR(MATCH("Population 1|R|"&amp;ROWS($L$5:L62),Population!$V$2:$V$1092,0),""),"")</f>
        <v/>
      </c>
    </row>
    <row r="63" customFormat="false" ht="15" hidden="false" customHeight="false" outlineLevel="0" collapsed="false">
      <c r="A63" s="12" t="str">
        <f aca="false">IF($L63="","",INDEX(Population!$B$2:$B$1092,$L63)&amp;"")</f>
        <v/>
      </c>
      <c r="B63" s="12" t="str">
        <f aca="false">IF($L63="","",INDEX(Population!$C$2:$C$1092,$L63)&amp;"")</f>
        <v/>
      </c>
      <c r="C63" s="12" t="str">
        <f aca="false">IF($L63="","",INDEX(Population!$D$2:$D$1092,$L63)&amp;"")</f>
        <v/>
      </c>
      <c r="D63" s="12" t="str">
        <f aca="false">IF($L63="","",INDEX(Population!$E$2:$E$1092,$L63))</f>
        <v/>
      </c>
      <c r="E63" s="12" t="str">
        <f aca="false">IF($L63="","",INDEX(Population!$F$2:$F$1092,$L63))</f>
        <v/>
      </c>
      <c r="F63" s="16" t="str">
        <f aca="false">IF($L63="","",INDEX(Population!$L$2:$L$1092,$L63))</f>
        <v/>
      </c>
      <c r="G63" s="16" t="str">
        <f aca="false">IF($L63="","",INDEX(Population!$M$2:$M$1092,$L63))</f>
        <v/>
      </c>
      <c r="H63" s="27" t="str">
        <f aca="false">IF($L63="","",IF(Summary!$C$9="Random",INDEX(Population!$Q$2:$Q$1092,$L63),INDEX(Population!$S$2:$S$1092,$L63)))</f>
        <v/>
      </c>
      <c r="I63" s="12" t="str">
        <f aca="false">IF($L63="","",IF(Summary!$C$9="Random","Below Materiality – Random","Below Materiality – Highest n"))</f>
        <v/>
      </c>
      <c r="J63" s="12" t="str">
        <f aca="false">IF($L63="","",INDEX(Population!$N$2:$N$1092,$L63))</f>
        <v/>
      </c>
      <c r="K63" s="12" t="str">
        <f aca="false">IF($L63="","",INDEX(Population!$G$2:$G$1092,$L63)&amp;" / row "&amp;INDEX(Population!$H$2:$H$1092,$L63))</f>
        <v/>
      </c>
      <c r="L63" s="26" t="str">
        <f aca="false">IF(ROWS($L$5:L63)&lt;=N(Summary!$C$7),IFERROR(MATCH("Population 1|R|"&amp;ROWS($L$5:L63),Population!$V$2:$V$1092,0),""),"")</f>
        <v/>
      </c>
    </row>
    <row r="64" customFormat="false" ht="15" hidden="false" customHeight="false" outlineLevel="0" collapsed="false">
      <c r="A64" s="12" t="str">
        <f aca="false">IF($L64="","",INDEX(Population!$B$2:$B$1092,$L64)&amp;"")</f>
        <v/>
      </c>
      <c r="B64" s="12" t="str">
        <f aca="false">IF($L64="","",INDEX(Population!$C$2:$C$1092,$L64)&amp;"")</f>
        <v/>
      </c>
      <c r="C64" s="12" t="str">
        <f aca="false">IF($L64="","",INDEX(Population!$D$2:$D$1092,$L64)&amp;"")</f>
        <v/>
      </c>
      <c r="D64" s="12" t="str">
        <f aca="false">IF($L64="","",INDEX(Population!$E$2:$E$1092,$L64))</f>
        <v/>
      </c>
      <c r="E64" s="12" t="str">
        <f aca="false">IF($L64="","",INDEX(Population!$F$2:$F$1092,$L64))</f>
        <v/>
      </c>
      <c r="F64" s="16" t="str">
        <f aca="false">IF($L64="","",INDEX(Population!$L$2:$L$1092,$L64))</f>
        <v/>
      </c>
      <c r="G64" s="16" t="str">
        <f aca="false">IF($L64="","",INDEX(Population!$M$2:$M$1092,$L64))</f>
        <v/>
      </c>
      <c r="H64" s="27" t="str">
        <f aca="false">IF($L64="","",IF(Summary!$C$9="Random",INDEX(Population!$Q$2:$Q$1092,$L64),INDEX(Population!$S$2:$S$1092,$L64)))</f>
        <v/>
      </c>
      <c r="I64" s="12" t="str">
        <f aca="false">IF($L64="","",IF(Summary!$C$9="Random","Below Materiality – Random","Below Materiality – Highest n"))</f>
        <v/>
      </c>
      <c r="J64" s="12" t="str">
        <f aca="false">IF($L64="","",INDEX(Population!$N$2:$N$1092,$L64))</f>
        <v/>
      </c>
      <c r="K64" s="12" t="str">
        <f aca="false">IF($L64="","",INDEX(Population!$G$2:$G$1092,$L64)&amp;" / row "&amp;INDEX(Population!$H$2:$H$1092,$L64))</f>
        <v/>
      </c>
      <c r="L64" s="26" t="str">
        <f aca="false">IF(ROWS($L$5:L64)&lt;=N(Summary!$C$7),IFERROR(MATCH("Population 1|R|"&amp;ROWS($L$5:L64),Population!$V$2:$V$1092,0),""),"")</f>
        <v/>
      </c>
    </row>
    <row r="65" customFormat="false" ht="15" hidden="false" customHeight="false" outlineLevel="0" collapsed="false">
      <c r="A65" s="12" t="str">
        <f aca="false">IF($L65="","",INDEX(Population!$B$2:$B$1092,$L65)&amp;"")</f>
        <v/>
      </c>
      <c r="B65" s="12" t="str">
        <f aca="false">IF($L65="","",INDEX(Population!$C$2:$C$1092,$L65)&amp;"")</f>
        <v/>
      </c>
      <c r="C65" s="12" t="str">
        <f aca="false">IF($L65="","",INDEX(Population!$D$2:$D$1092,$L65)&amp;"")</f>
        <v/>
      </c>
      <c r="D65" s="12" t="str">
        <f aca="false">IF($L65="","",INDEX(Population!$E$2:$E$1092,$L65))</f>
        <v/>
      </c>
      <c r="E65" s="12" t="str">
        <f aca="false">IF($L65="","",INDEX(Population!$F$2:$F$1092,$L65))</f>
        <v/>
      </c>
      <c r="F65" s="16" t="str">
        <f aca="false">IF($L65="","",INDEX(Population!$L$2:$L$1092,$L65))</f>
        <v/>
      </c>
      <c r="G65" s="16" t="str">
        <f aca="false">IF($L65="","",INDEX(Population!$M$2:$M$1092,$L65))</f>
        <v/>
      </c>
      <c r="H65" s="27" t="str">
        <f aca="false">IF($L65="","",IF(Summary!$C$9="Random",INDEX(Population!$Q$2:$Q$1092,$L65),INDEX(Population!$S$2:$S$1092,$L65)))</f>
        <v/>
      </c>
      <c r="I65" s="12" t="str">
        <f aca="false">IF($L65="","",IF(Summary!$C$9="Random","Below Materiality – Random","Below Materiality – Highest n"))</f>
        <v/>
      </c>
      <c r="J65" s="12" t="str">
        <f aca="false">IF($L65="","",INDEX(Population!$N$2:$N$1092,$L65))</f>
        <v/>
      </c>
      <c r="K65" s="12" t="str">
        <f aca="false">IF($L65="","",INDEX(Population!$G$2:$G$1092,$L65)&amp;" / row "&amp;INDEX(Population!$H$2:$H$1092,$L65))</f>
        <v/>
      </c>
      <c r="L65" s="26" t="str">
        <f aca="false">IF(ROWS($L$5:L65)&lt;=N(Summary!$C$7),IFERROR(MATCH("Population 1|R|"&amp;ROWS($L$5:L65),Population!$V$2:$V$1092,0),""),"")</f>
        <v/>
      </c>
    </row>
    <row r="66" customFormat="false" ht="15" hidden="false" customHeight="false" outlineLevel="0" collapsed="false">
      <c r="A66" s="12" t="str">
        <f aca="false">IF($L66="","",INDEX(Population!$B$2:$B$1092,$L66)&amp;"")</f>
        <v/>
      </c>
      <c r="B66" s="12" t="str">
        <f aca="false">IF($L66="","",INDEX(Population!$C$2:$C$1092,$L66)&amp;"")</f>
        <v/>
      </c>
      <c r="C66" s="12" t="str">
        <f aca="false">IF($L66="","",INDEX(Population!$D$2:$D$1092,$L66)&amp;"")</f>
        <v/>
      </c>
      <c r="D66" s="12" t="str">
        <f aca="false">IF($L66="","",INDEX(Population!$E$2:$E$1092,$L66))</f>
        <v/>
      </c>
      <c r="E66" s="12" t="str">
        <f aca="false">IF($L66="","",INDEX(Population!$F$2:$F$1092,$L66))</f>
        <v/>
      </c>
      <c r="F66" s="16" t="str">
        <f aca="false">IF($L66="","",INDEX(Population!$L$2:$L$1092,$L66))</f>
        <v/>
      </c>
      <c r="G66" s="16" t="str">
        <f aca="false">IF($L66="","",INDEX(Population!$M$2:$M$1092,$L66))</f>
        <v/>
      </c>
      <c r="H66" s="27" t="str">
        <f aca="false">IF($L66="","",IF(Summary!$C$9="Random",INDEX(Population!$Q$2:$Q$1092,$L66),INDEX(Population!$S$2:$S$1092,$L66)))</f>
        <v/>
      </c>
      <c r="I66" s="12" t="str">
        <f aca="false">IF($L66="","",IF(Summary!$C$9="Random","Below Materiality – Random","Below Materiality – Highest n"))</f>
        <v/>
      </c>
      <c r="J66" s="12" t="str">
        <f aca="false">IF($L66="","",INDEX(Population!$N$2:$N$1092,$L66))</f>
        <v/>
      </c>
      <c r="K66" s="12" t="str">
        <f aca="false">IF($L66="","",INDEX(Population!$G$2:$G$1092,$L66)&amp;" / row "&amp;INDEX(Population!$H$2:$H$1092,$L66))</f>
        <v/>
      </c>
      <c r="L66" s="26" t="str">
        <f aca="false">IF(ROWS($L$5:L66)&lt;=N(Summary!$C$7),IFERROR(MATCH("Population 1|R|"&amp;ROWS($L$5:L66),Population!$V$2:$V$1092,0),""),"")</f>
        <v/>
      </c>
    </row>
    <row r="67" customFormat="false" ht="15" hidden="false" customHeight="false" outlineLevel="0" collapsed="false">
      <c r="A67" s="12" t="str">
        <f aca="false">IF($L67="","",INDEX(Population!$B$2:$B$1092,$L67)&amp;"")</f>
        <v/>
      </c>
      <c r="B67" s="12" t="str">
        <f aca="false">IF($L67="","",INDEX(Population!$C$2:$C$1092,$L67)&amp;"")</f>
        <v/>
      </c>
      <c r="C67" s="12" t="str">
        <f aca="false">IF($L67="","",INDEX(Population!$D$2:$D$1092,$L67)&amp;"")</f>
        <v/>
      </c>
      <c r="D67" s="12" t="str">
        <f aca="false">IF($L67="","",INDEX(Population!$E$2:$E$1092,$L67))</f>
        <v/>
      </c>
      <c r="E67" s="12" t="str">
        <f aca="false">IF($L67="","",INDEX(Population!$F$2:$F$1092,$L67))</f>
        <v/>
      </c>
      <c r="F67" s="16" t="str">
        <f aca="false">IF($L67="","",INDEX(Population!$L$2:$L$1092,$L67))</f>
        <v/>
      </c>
      <c r="G67" s="16" t="str">
        <f aca="false">IF($L67="","",INDEX(Population!$M$2:$M$1092,$L67))</f>
        <v/>
      </c>
      <c r="H67" s="27" t="str">
        <f aca="false">IF($L67="","",IF(Summary!$C$9="Random",INDEX(Population!$Q$2:$Q$1092,$L67),INDEX(Population!$S$2:$S$1092,$L67)))</f>
        <v/>
      </c>
      <c r="I67" s="12" t="str">
        <f aca="false">IF($L67="","",IF(Summary!$C$9="Random","Below Materiality – Random","Below Materiality – Highest n"))</f>
        <v/>
      </c>
      <c r="J67" s="12" t="str">
        <f aca="false">IF($L67="","",INDEX(Population!$N$2:$N$1092,$L67))</f>
        <v/>
      </c>
      <c r="K67" s="12" t="str">
        <f aca="false">IF($L67="","",INDEX(Population!$G$2:$G$1092,$L67)&amp;" / row "&amp;INDEX(Population!$H$2:$H$1092,$L67))</f>
        <v/>
      </c>
      <c r="L67" s="26" t="str">
        <f aca="false">IF(ROWS($L$5:L67)&lt;=N(Summary!$C$7),IFERROR(MATCH("Population 1|R|"&amp;ROWS($L$5:L67),Population!$V$2:$V$1092,0),""),"")</f>
        <v/>
      </c>
    </row>
    <row r="68" customFormat="false" ht="15" hidden="false" customHeight="false" outlineLevel="0" collapsed="false">
      <c r="A68" s="12" t="str">
        <f aca="false">IF($L68="","",INDEX(Population!$B$2:$B$1092,$L68)&amp;"")</f>
        <v/>
      </c>
      <c r="B68" s="12" t="str">
        <f aca="false">IF($L68="","",INDEX(Population!$C$2:$C$1092,$L68)&amp;"")</f>
        <v/>
      </c>
      <c r="C68" s="12" t="str">
        <f aca="false">IF($L68="","",INDEX(Population!$D$2:$D$1092,$L68)&amp;"")</f>
        <v/>
      </c>
      <c r="D68" s="12" t="str">
        <f aca="false">IF($L68="","",INDEX(Population!$E$2:$E$1092,$L68))</f>
        <v/>
      </c>
      <c r="E68" s="12" t="str">
        <f aca="false">IF($L68="","",INDEX(Population!$F$2:$F$1092,$L68))</f>
        <v/>
      </c>
      <c r="F68" s="16" t="str">
        <f aca="false">IF($L68="","",INDEX(Population!$L$2:$L$1092,$L68))</f>
        <v/>
      </c>
      <c r="G68" s="16" t="str">
        <f aca="false">IF($L68="","",INDEX(Population!$M$2:$M$1092,$L68))</f>
        <v/>
      </c>
      <c r="H68" s="27" t="str">
        <f aca="false">IF($L68="","",IF(Summary!$C$9="Random",INDEX(Population!$Q$2:$Q$1092,$L68),INDEX(Population!$S$2:$S$1092,$L68)))</f>
        <v/>
      </c>
      <c r="I68" s="12" t="str">
        <f aca="false">IF($L68="","",IF(Summary!$C$9="Random","Below Materiality – Random","Below Materiality – Highest n"))</f>
        <v/>
      </c>
      <c r="J68" s="12" t="str">
        <f aca="false">IF($L68="","",INDEX(Population!$N$2:$N$1092,$L68))</f>
        <v/>
      </c>
      <c r="K68" s="12" t="str">
        <f aca="false">IF($L68="","",INDEX(Population!$G$2:$G$1092,$L68)&amp;" / row "&amp;INDEX(Population!$H$2:$H$1092,$L68))</f>
        <v/>
      </c>
      <c r="L68" s="26" t="str">
        <f aca="false">IF(ROWS($L$5:L68)&lt;=N(Summary!$C$7),IFERROR(MATCH("Population 1|R|"&amp;ROWS($L$5:L68),Population!$V$2:$V$1092,0),""),"")</f>
        <v/>
      </c>
    </row>
    <row r="69" customFormat="false" ht="15" hidden="false" customHeight="false" outlineLevel="0" collapsed="false">
      <c r="A69" s="12" t="str">
        <f aca="false">IF($L69="","",INDEX(Population!$B$2:$B$1092,$L69)&amp;"")</f>
        <v/>
      </c>
      <c r="B69" s="12" t="str">
        <f aca="false">IF($L69="","",INDEX(Population!$C$2:$C$1092,$L69)&amp;"")</f>
        <v/>
      </c>
      <c r="C69" s="12" t="str">
        <f aca="false">IF($L69="","",INDEX(Population!$D$2:$D$1092,$L69)&amp;"")</f>
        <v/>
      </c>
      <c r="D69" s="12" t="str">
        <f aca="false">IF($L69="","",INDEX(Population!$E$2:$E$1092,$L69))</f>
        <v/>
      </c>
      <c r="E69" s="12" t="str">
        <f aca="false">IF($L69="","",INDEX(Population!$F$2:$F$1092,$L69))</f>
        <v/>
      </c>
      <c r="F69" s="16" t="str">
        <f aca="false">IF($L69="","",INDEX(Population!$L$2:$L$1092,$L69))</f>
        <v/>
      </c>
      <c r="G69" s="16" t="str">
        <f aca="false">IF($L69="","",INDEX(Population!$M$2:$M$1092,$L69))</f>
        <v/>
      </c>
      <c r="H69" s="27" t="str">
        <f aca="false">IF($L69="","",IF(Summary!$C$9="Random",INDEX(Population!$Q$2:$Q$1092,$L69),INDEX(Population!$S$2:$S$1092,$L69)))</f>
        <v/>
      </c>
      <c r="I69" s="12" t="str">
        <f aca="false">IF($L69="","",IF(Summary!$C$9="Random","Below Materiality – Random","Below Materiality – Highest n"))</f>
        <v/>
      </c>
      <c r="J69" s="12" t="str">
        <f aca="false">IF($L69="","",INDEX(Population!$N$2:$N$1092,$L69))</f>
        <v/>
      </c>
      <c r="K69" s="12" t="str">
        <f aca="false">IF($L69="","",INDEX(Population!$G$2:$G$1092,$L69)&amp;" / row "&amp;INDEX(Population!$H$2:$H$1092,$L69))</f>
        <v/>
      </c>
      <c r="L69" s="26" t="str">
        <f aca="false">IF(ROWS($L$5:L69)&lt;=N(Summary!$C$7),IFERROR(MATCH("Population 1|R|"&amp;ROWS($L$5:L69),Population!$V$2:$V$1092,0),""),"")</f>
        <v/>
      </c>
    </row>
    <row r="70" customFormat="false" ht="15" hidden="false" customHeight="false" outlineLevel="0" collapsed="false">
      <c r="A70" s="12" t="str">
        <f aca="false">IF($L70="","",INDEX(Population!$B$2:$B$1092,$L70)&amp;"")</f>
        <v/>
      </c>
      <c r="B70" s="12" t="str">
        <f aca="false">IF($L70="","",INDEX(Population!$C$2:$C$1092,$L70)&amp;"")</f>
        <v/>
      </c>
      <c r="C70" s="12" t="str">
        <f aca="false">IF($L70="","",INDEX(Population!$D$2:$D$1092,$L70)&amp;"")</f>
        <v/>
      </c>
      <c r="D70" s="12" t="str">
        <f aca="false">IF($L70="","",INDEX(Population!$E$2:$E$1092,$L70))</f>
        <v/>
      </c>
      <c r="E70" s="12" t="str">
        <f aca="false">IF($L70="","",INDEX(Population!$F$2:$F$1092,$L70))</f>
        <v/>
      </c>
      <c r="F70" s="16" t="str">
        <f aca="false">IF($L70="","",INDEX(Population!$L$2:$L$1092,$L70))</f>
        <v/>
      </c>
      <c r="G70" s="16" t="str">
        <f aca="false">IF($L70="","",INDEX(Population!$M$2:$M$1092,$L70))</f>
        <v/>
      </c>
      <c r="H70" s="27" t="str">
        <f aca="false">IF($L70="","",IF(Summary!$C$9="Random",INDEX(Population!$Q$2:$Q$1092,$L70),INDEX(Population!$S$2:$S$1092,$L70)))</f>
        <v/>
      </c>
      <c r="I70" s="12" t="str">
        <f aca="false">IF($L70="","",IF(Summary!$C$9="Random","Below Materiality – Random","Below Materiality – Highest n"))</f>
        <v/>
      </c>
      <c r="J70" s="12" t="str">
        <f aca="false">IF($L70="","",INDEX(Population!$N$2:$N$1092,$L70))</f>
        <v/>
      </c>
      <c r="K70" s="12" t="str">
        <f aca="false">IF($L70="","",INDEX(Population!$G$2:$G$1092,$L70)&amp;" / row "&amp;INDEX(Population!$H$2:$H$1092,$L70))</f>
        <v/>
      </c>
      <c r="L70" s="26" t="str">
        <f aca="false">IF(ROWS($L$5:L70)&lt;=N(Summary!$C$7),IFERROR(MATCH("Population 1|R|"&amp;ROWS($L$5:L70),Population!$V$2:$V$1092,0),""),"")</f>
        <v/>
      </c>
    </row>
    <row r="71" customFormat="false" ht="15" hidden="false" customHeight="false" outlineLevel="0" collapsed="false">
      <c r="A71" s="12" t="str">
        <f aca="false">IF($L71="","",INDEX(Population!$B$2:$B$1092,$L71)&amp;"")</f>
        <v/>
      </c>
      <c r="B71" s="12" t="str">
        <f aca="false">IF($L71="","",INDEX(Population!$C$2:$C$1092,$L71)&amp;"")</f>
        <v/>
      </c>
      <c r="C71" s="12" t="str">
        <f aca="false">IF($L71="","",INDEX(Population!$D$2:$D$1092,$L71)&amp;"")</f>
        <v/>
      </c>
      <c r="D71" s="12" t="str">
        <f aca="false">IF($L71="","",INDEX(Population!$E$2:$E$1092,$L71))</f>
        <v/>
      </c>
      <c r="E71" s="12" t="str">
        <f aca="false">IF($L71="","",INDEX(Population!$F$2:$F$1092,$L71))</f>
        <v/>
      </c>
      <c r="F71" s="16" t="str">
        <f aca="false">IF($L71="","",INDEX(Population!$L$2:$L$1092,$L71))</f>
        <v/>
      </c>
      <c r="G71" s="16" t="str">
        <f aca="false">IF($L71="","",INDEX(Population!$M$2:$M$1092,$L71))</f>
        <v/>
      </c>
      <c r="H71" s="27" t="str">
        <f aca="false">IF($L71="","",IF(Summary!$C$9="Random",INDEX(Population!$Q$2:$Q$1092,$L71),INDEX(Population!$S$2:$S$1092,$L71)))</f>
        <v/>
      </c>
      <c r="I71" s="12" t="str">
        <f aca="false">IF($L71="","",IF(Summary!$C$9="Random","Below Materiality – Random","Below Materiality – Highest n"))</f>
        <v/>
      </c>
      <c r="J71" s="12" t="str">
        <f aca="false">IF($L71="","",INDEX(Population!$N$2:$N$1092,$L71))</f>
        <v/>
      </c>
      <c r="K71" s="12" t="str">
        <f aca="false">IF($L71="","",INDEX(Population!$G$2:$G$1092,$L71)&amp;" / row "&amp;INDEX(Population!$H$2:$H$1092,$L71))</f>
        <v/>
      </c>
      <c r="L71" s="26" t="str">
        <f aca="false">IF(ROWS($L$5:L71)&lt;=N(Summary!$C$7),IFERROR(MATCH("Population 1|R|"&amp;ROWS($L$5:L71),Population!$V$2:$V$1092,0),""),"")</f>
        <v/>
      </c>
    </row>
    <row r="72" customFormat="false" ht="15" hidden="false" customHeight="false" outlineLevel="0" collapsed="false">
      <c r="A72" s="12" t="str">
        <f aca="false">IF($L72="","",INDEX(Population!$B$2:$B$1092,$L72)&amp;"")</f>
        <v/>
      </c>
      <c r="B72" s="12" t="str">
        <f aca="false">IF($L72="","",INDEX(Population!$C$2:$C$1092,$L72)&amp;"")</f>
        <v/>
      </c>
      <c r="C72" s="12" t="str">
        <f aca="false">IF($L72="","",INDEX(Population!$D$2:$D$1092,$L72)&amp;"")</f>
        <v/>
      </c>
      <c r="D72" s="12" t="str">
        <f aca="false">IF($L72="","",INDEX(Population!$E$2:$E$1092,$L72))</f>
        <v/>
      </c>
      <c r="E72" s="12" t="str">
        <f aca="false">IF($L72="","",INDEX(Population!$F$2:$F$1092,$L72))</f>
        <v/>
      </c>
      <c r="F72" s="16" t="str">
        <f aca="false">IF($L72="","",INDEX(Population!$L$2:$L$1092,$L72))</f>
        <v/>
      </c>
      <c r="G72" s="16" t="str">
        <f aca="false">IF($L72="","",INDEX(Population!$M$2:$M$1092,$L72))</f>
        <v/>
      </c>
      <c r="H72" s="27" t="str">
        <f aca="false">IF($L72="","",IF(Summary!$C$9="Random",INDEX(Population!$Q$2:$Q$1092,$L72),INDEX(Population!$S$2:$S$1092,$L72)))</f>
        <v/>
      </c>
      <c r="I72" s="12" t="str">
        <f aca="false">IF($L72="","",IF(Summary!$C$9="Random","Below Materiality – Random","Below Materiality – Highest n"))</f>
        <v/>
      </c>
      <c r="J72" s="12" t="str">
        <f aca="false">IF($L72="","",INDEX(Population!$N$2:$N$1092,$L72))</f>
        <v/>
      </c>
      <c r="K72" s="12" t="str">
        <f aca="false">IF($L72="","",INDEX(Population!$G$2:$G$1092,$L72)&amp;" / row "&amp;INDEX(Population!$H$2:$H$1092,$L72))</f>
        <v/>
      </c>
      <c r="L72" s="26" t="str">
        <f aca="false">IF(ROWS($L$5:L72)&lt;=N(Summary!$C$7),IFERROR(MATCH("Population 1|R|"&amp;ROWS($L$5:L72),Population!$V$2:$V$1092,0),""),"")</f>
        <v/>
      </c>
    </row>
    <row r="73" customFormat="false" ht="15" hidden="false" customHeight="false" outlineLevel="0" collapsed="false">
      <c r="A73" s="12" t="str">
        <f aca="false">IF($L73="","",INDEX(Population!$B$2:$B$1092,$L73)&amp;"")</f>
        <v/>
      </c>
      <c r="B73" s="12" t="str">
        <f aca="false">IF($L73="","",INDEX(Population!$C$2:$C$1092,$L73)&amp;"")</f>
        <v/>
      </c>
      <c r="C73" s="12" t="str">
        <f aca="false">IF($L73="","",INDEX(Population!$D$2:$D$1092,$L73)&amp;"")</f>
        <v/>
      </c>
      <c r="D73" s="12" t="str">
        <f aca="false">IF($L73="","",INDEX(Population!$E$2:$E$1092,$L73))</f>
        <v/>
      </c>
      <c r="E73" s="12" t="str">
        <f aca="false">IF($L73="","",INDEX(Population!$F$2:$F$1092,$L73))</f>
        <v/>
      </c>
      <c r="F73" s="16" t="str">
        <f aca="false">IF($L73="","",INDEX(Population!$L$2:$L$1092,$L73))</f>
        <v/>
      </c>
      <c r="G73" s="16" t="str">
        <f aca="false">IF($L73="","",INDEX(Population!$M$2:$M$1092,$L73))</f>
        <v/>
      </c>
      <c r="H73" s="27" t="str">
        <f aca="false">IF($L73="","",IF(Summary!$C$9="Random",INDEX(Population!$Q$2:$Q$1092,$L73),INDEX(Population!$S$2:$S$1092,$L73)))</f>
        <v/>
      </c>
      <c r="I73" s="12" t="str">
        <f aca="false">IF($L73="","",IF(Summary!$C$9="Random","Below Materiality – Random","Below Materiality – Highest n"))</f>
        <v/>
      </c>
      <c r="J73" s="12" t="str">
        <f aca="false">IF($L73="","",INDEX(Population!$N$2:$N$1092,$L73))</f>
        <v/>
      </c>
      <c r="K73" s="12" t="str">
        <f aca="false">IF($L73="","",INDEX(Population!$G$2:$G$1092,$L73)&amp;" / row "&amp;INDEX(Population!$H$2:$H$1092,$L73))</f>
        <v/>
      </c>
      <c r="L73" s="26" t="str">
        <f aca="false">IF(ROWS($L$5:L73)&lt;=N(Summary!$C$7),IFERROR(MATCH("Population 1|R|"&amp;ROWS($L$5:L73),Population!$V$2:$V$1092,0),""),"")</f>
        <v/>
      </c>
    </row>
    <row r="74" customFormat="false" ht="15" hidden="false" customHeight="false" outlineLevel="0" collapsed="false">
      <c r="A74" s="12" t="str">
        <f aca="false">IF($L74="","",INDEX(Population!$B$2:$B$1092,$L74)&amp;"")</f>
        <v/>
      </c>
      <c r="B74" s="12" t="str">
        <f aca="false">IF($L74="","",INDEX(Population!$C$2:$C$1092,$L74)&amp;"")</f>
        <v/>
      </c>
      <c r="C74" s="12" t="str">
        <f aca="false">IF($L74="","",INDEX(Population!$D$2:$D$1092,$L74)&amp;"")</f>
        <v/>
      </c>
      <c r="D74" s="12" t="str">
        <f aca="false">IF($L74="","",INDEX(Population!$E$2:$E$1092,$L74))</f>
        <v/>
      </c>
      <c r="E74" s="12" t="str">
        <f aca="false">IF($L74="","",INDEX(Population!$F$2:$F$1092,$L74))</f>
        <v/>
      </c>
      <c r="F74" s="16" t="str">
        <f aca="false">IF($L74="","",INDEX(Population!$L$2:$L$1092,$L74))</f>
        <v/>
      </c>
      <c r="G74" s="16" t="str">
        <f aca="false">IF($L74="","",INDEX(Population!$M$2:$M$1092,$L74))</f>
        <v/>
      </c>
      <c r="H74" s="27" t="str">
        <f aca="false">IF($L74="","",IF(Summary!$C$9="Random",INDEX(Population!$Q$2:$Q$1092,$L74),INDEX(Population!$S$2:$S$1092,$L74)))</f>
        <v/>
      </c>
      <c r="I74" s="12" t="str">
        <f aca="false">IF($L74="","",IF(Summary!$C$9="Random","Below Materiality – Random","Below Materiality – Highest n"))</f>
        <v/>
      </c>
      <c r="J74" s="12" t="str">
        <f aca="false">IF($L74="","",INDEX(Population!$N$2:$N$1092,$L74))</f>
        <v/>
      </c>
      <c r="K74" s="12" t="str">
        <f aca="false">IF($L74="","",INDEX(Population!$G$2:$G$1092,$L74)&amp;" / row "&amp;INDEX(Population!$H$2:$H$1092,$L74))</f>
        <v/>
      </c>
      <c r="L74" s="26" t="str">
        <f aca="false">IF(ROWS($L$5:L74)&lt;=N(Summary!$C$7),IFERROR(MATCH("Population 1|R|"&amp;ROWS($L$5:L74),Population!$V$2:$V$1092,0),""),"")</f>
        <v/>
      </c>
    </row>
    <row r="75" customFormat="false" ht="15" hidden="false" customHeight="false" outlineLevel="0" collapsed="false">
      <c r="A75" s="12" t="str">
        <f aca="false">IF($L75="","",INDEX(Population!$B$2:$B$1092,$L75)&amp;"")</f>
        <v/>
      </c>
      <c r="B75" s="12" t="str">
        <f aca="false">IF($L75="","",INDEX(Population!$C$2:$C$1092,$L75)&amp;"")</f>
        <v/>
      </c>
      <c r="C75" s="12" t="str">
        <f aca="false">IF($L75="","",INDEX(Population!$D$2:$D$1092,$L75)&amp;"")</f>
        <v/>
      </c>
      <c r="D75" s="12" t="str">
        <f aca="false">IF($L75="","",INDEX(Population!$E$2:$E$1092,$L75))</f>
        <v/>
      </c>
      <c r="E75" s="12" t="str">
        <f aca="false">IF($L75="","",INDEX(Population!$F$2:$F$1092,$L75))</f>
        <v/>
      </c>
      <c r="F75" s="16" t="str">
        <f aca="false">IF($L75="","",INDEX(Population!$L$2:$L$1092,$L75))</f>
        <v/>
      </c>
      <c r="G75" s="16" t="str">
        <f aca="false">IF($L75="","",INDEX(Population!$M$2:$M$1092,$L75))</f>
        <v/>
      </c>
      <c r="H75" s="27" t="str">
        <f aca="false">IF($L75="","",IF(Summary!$C$9="Random",INDEX(Population!$Q$2:$Q$1092,$L75),INDEX(Population!$S$2:$S$1092,$L75)))</f>
        <v/>
      </c>
      <c r="I75" s="12" t="str">
        <f aca="false">IF($L75="","",IF(Summary!$C$9="Random","Below Materiality – Random","Below Materiality – Highest n"))</f>
        <v/>
      </c>
      <c r="J75" s="12" t="str">
        <f aca="false">IF($L75="","",INDEX(Population!$N$2:$N$1092,$L75))</f>
        <v/>
      </c>
      <c r="K75" s="12" t="str">
        <f aca="false">IF($L75="","",INDEX(Population!$G$2:$G$1092,$L75)&amp;" / row "&amp;INDEX(Population!$H$2:$H$1092,$L75))</f>
        <v/>
      </c>
      <c r="L75" s="26" t="str">
        <f aca="false">IF(ROWS($L$5:L75)&lt;=N(Summary!$C$7),IFERROR(MATCH("Population 1|R|"&amp;ROWS($L$5:L75),Population!$V$2:$V$1092,0),""),"")</f>
        <v/>
      </c>
    </row>
    <row r="76" customFormat="false" ht="15" hidden="false" customHeight="false" outlineLevel="0" collapsed="false">
      <c r="A76" s="12" t="str">
        <f aca="false">IF($L76="","",INDEX(Population!$B$2:$B$1092,$L76)&amp;"")</f>
        <v/>
      </c>
      <c r="B76" s="12" t="str">
        <f aca="false">IF($L76="","",INDEX(Population!$C$2:$C$1092,$L76)&amp;"")</f>
        <v/>
      </c>
      <c r="C76" s="12" t="str">
        <f aca="false">IF($L76="","",INDEX(Population!$D$2:$D$1092,$L76)&amp;"")</f>
        <v/>
      </c>
      <c r="D76" s="12" t="str">
        <f aca="false">IF($L76="","",INDEX(Population!$E$2:$E$1092,$L76))</f>
        <v/>
      </c>
      <c r="E76" s="12" t="str">
        <f aca="false">IF($L76="","",INDEX(Population!$F$2:$F$1092,$L76))</f>
        <v/>
      </c>
      <c r="F76" s="16" t="str">
        <f aca="false">IF($L76="","",INDEX(Population!$L$2:$L$1092,$L76))</f>
        <v/>
      </c>
      <c r="G76" s="16" t="str">
        <f aca="false">IF($L76="","",INDEX(Population!$M$2:$M$1092,$L76))</f>
        <v/>
      </c>
      <c r="H76" s="27" t="str">
        <f aca="false">IF($L76="","",IF(Summary!$C$9="Random",INDEX(Population!$Q$2:$Q$1092,$L76),INDEX(Population!$S$2:$S$1092,$L76)))</f>
        <v/>
      </c>
      <c r="I76" s="12" t="str">
        <f aca="false">IF($L76="","",IF(Summary!$C$9="Random","Below Materiality – Random","Below Materiality – Highest n"))</f>
        <v/>
      </c>
      <c r="J76" s="12" t="str">
        <f aca="false">IF($L76="","",INDEX(Population!$N$2:$N$1092,$L76))</f>
        <v/>
      </c>
      <c r="K76" s="12" t="str">
        <f aca="false">IF($L76="","",INDEX(Population!$G$2:$G$1092,$L76)&amp;" / row "&amp;INDEX(Population!$H$2:$H$1092,$L76))</f>
        <v/>
      </c>
      <c r="L76" s="26" t="str">
        <f aca="false">IF(ROWS($L$5:L76)&lt;=N(Summary!$C$7),IFERROR(MATCH("Population 1|R|"&amp;ROWS($L$5:L76),Population!$V$2:$V$1092,0),""),"")</f>
        <v/>
      </c>
    </row>
    <row r="77" customFormat="false" ht="15" hidden="false" customHeight="false" outlineLevel="0" collapsed="false">
      <c r="A77" s="12" t="str">
        <f aca="false">IF($L77="","",INDEX(Population!$B$2:$B$1092,$L77)&amp;"")</f>
        <v/>
      </c>
      <c r="B77" s="12" t="str">
        <f aca="false">IF($L77="","",INDEX(Population!$C$2:$C$1092,$L77)&amp;"")</f>
        <v/>
      </c>
      <c r="C77" s="12" t="str">
        <f aca="false">IF($L77="","",INDEX(Population!$D$2:$D$1092,$L77)&amp;"")</f>
        <v/>
      </c>
      <c r="D77" s="12" t="str">
        <f aca="false">IF($L77="","",INDEX(Population!$E$2:$E$1092,$L77))</f>
        <v/>
      </c>
      <c r="E77" s="12" t="str">
        <f aca="false">IF($L77="","",INDEX(Population!$F$2:$F$1092,$L77))</f>
        <v/>
      </c>
      <c r="F77" s="16" t="str">
        <f aca="false">IF($L77="","",INDEX(Population!$L$2:$L$1092,$L77))</f>
        <v/>
      </c>
      <c r="G77" s="16" t="str">
        <f aca="false">IF($L77="","",INDEX(Population!$M$2:$M$1092,$L77))</f>
        <v/>
      </c>
      <c r="H77" s="27" t="str">
        <f aca="false">IF($L77="","",IF(Summary!$C$9="Random",INDEX(Population!$Q$2:$Q$1092,$L77),INDEX(Population!$S$2:$S$1092,$L77)))</f>
        <v/>
      </c>
      <c r="I77" s="12" t="str">
        <f aca="false">IF($L77="","",IF(Summary!$C$9="Random","Below Materiality – Random","Below Materiality – Highest n"))</f>
        <v/>
      </c>
      <c r="J77" s="12" t="str">
        <f aca="false">IF($L77="","",INDEX(Population!$N$2:$N$1092,$L77))</f>
        <v/>
      </c>
      <c r="K77" s="12" t="str">
        <f aca="false">IF($L77="","",INDEX(Population!$G$2:$G$1092,$L77)&amp;" / row "&amp;INDEX(Population!$H$2:$H$1092,$L77))</f>
        <v/>
      </c>
      <c r="L77" s="26" t="str">
        <f aca="false">IF(ROWS($L$5:L77)&lt;=N(Summary!$C$7),IFERROR(MATCH("Population 1|R|"&amp;ROWS($L$5:L77),Population!$V$2:$V$1092,0),""),"")</f>
        <v/>
      </c>
    </row>
    <row r="78" customFormat="false" ht="15" hidden="false" customHeight="false" outlineLevel="0" collapsed="false">
      <c r="A78" s="12" t="str">
        <f aca="false">IF($L78="","",INDEX(Population!$B$2:$B$1092,$L78)&amp;"")</f>
        <v/>
      </c>
      <c r="B78" s="12" t="str">
        <f aca="false">IF($L78="","",INDEX(Population!$C$2:$C$1092,$L78)&amp;"")</f>
        <v/>
      </c>
      <c r="C78" s="12" t="str">
        <f aca="false">IF($L78="","",INDEX(Population!$D$2:$D$1092,$L78)&amp;"")</f>
        <v/>
      </c>
      <c r="D78" s="12" t="str">
        <f aca="false">IF($L78="","",INDEX(Population!$E$2:$E$1092,$L78))</f>
        <v/>
      </c>
      <c r="E78" s="12" t="str">
        <f aca="false">IF($L78="","",INDEX(Population!$F$2:$F$1092,$L78))</f>
        <v/>
      </c>
      <c r="F78" s="16" t="str">
        <f aca="false">IF($L78="","",INDEX(Population!$L$2:$L$1092,$L78))</f>
        <v/>
      </c>
      <c r="G78" s="16" t="str">
        <f aca="false">IF($L78="","",INDEX(Population!$M$2:$M$1092,$L78))</f>
        <v/>
      </c>
      <c r="H78" s="27" t="str">
        <f aca="false">IF($L78="","",IF(Summary!$C$9="Random",INDEX(Population!$Q$2:$Q$1092,$L78),INDEX(Population!$S$2:$S$1092,$L78)))</f>
        <v/>
      </c>
      <c r="I78" s="12" t="str">
        <f aca="false">IF($L78="","",IF(Summary!$C$9="Random","Below Materiality – Random","Below Materiality – Highest n"))</f>
        <v/>
      </c>
      <c r="J78" s="12" t="str">
        <f aca="false">IF($L78="","",INDEX(Population!$N$2:$N$1092,$L78))</f>
        <v/>
      </c>
      <c r="K78" s="12" t="str">
        <f aca="false">IF($L78="","",INDEX(Population!$G$2:$G$1092,$L78)&amp;" / row "&amp;INDEX(Population!$H$2:$H$1092,$L78))</f>
        <v/>
      </c>
      <c r="L78" s="26" t="str">
        <f aca="false">IF(ROWS($L$5:L78)&lt;=N(Summary!$C$7),IFERROR(MATCH("Population 1|R|"&amp;ROWS($L$5:L78),Population!$V$2:$V$1092,0),""),"")</f>
        <v/>
      </c>
    </row>
    <row r="79" customFormat="false" ht="15" hidden="false" customHeight="false" outlineLevel="0" collapsed="false">
      <c r="A79" s="12" t="str">
        <f aca="false">IF($L79="","",INDEX(Population!$B$2:$B$1092,$L79)&amp;"")</f>
        <v/>
      </c>
      <c r="B79" s="12" t="str">
        <f aca="false">IF($L79="","",INDEX(Population!$C$2:$C$1092,$L79)&amp;"")</f>
        <v/>
      </c>
      <c r="C79" s="12" t="str">
        <f aca="false">IF($L79="","",INDEX(Population!$D$2:$D$1092,$L79)&amp;"")</f>
        <v/>
      </c>
      <c r="D79" s="12" t="str">
        <f aca="false">IF($L79="","",INDEX(Population!$E$2:$E$1092,$L79))</f>
        <v/>
      </c>
      <c r="E79" s="12" t="str">
        <f aca="false">IF($L79="","",INDEX(Population!$F$2:$F$1092,$L79))</f>
        <v/>
      </c>
      <c r="F79" s="16" t="str">
        <f aca="false">IF($L79="","",INDEX(Population!$L$2:$L$1092,$L79))</f>
        <v/>
      </c>
      <c r="G79" s="16" t="str">
        <f aca="false">IF($L79="","",INDEX(Population!$M$2:$M$1092,$L79))</f>
        <v/>
      </c>
      <c r="H79" s="27" t="str">
        <f aca="false">IF($L79="","",IF(Summary!$C$9="Random",INDEX(Population!$Q$2:$Q$1092,$L79),INDEX(Population!$S$2:$S$1092,$L79)))</f>
        <v/>
      </c>
      <c r="I79" s="12" t="str">
        <f aca="false">IF($L79="","",IF(Summary!$C$9="Random","Below Materiality – Random","Below Materiality – Highest n"))</f>
        <v/>
      </c>
      <c r="J79" s="12" t="str">
        <f aca="false">IF($L79="","",INDEX(Population!$N$2:$N$1092,$L79))</f>
        <v/>
      </c>
      <c r="K79" s="12" t="str">
        <f aca="false">IF($L79="","",INDEX(Population!$G$2:$G$1092,$L79)&amp;" / row "&amp;INDEX(Population!$H$2:$H$1092,$L79))</f>
        <v/>
      </c>
      <c r="L79" s="26" t="str">
        <f aca="false">IF(ROWS($L$5:L79)&lt;=N(Summary!$C$7),IFERROR(MATCH("Population 1|R|"&amp;ROWS($L$5:L79),Population!$V$2:$V$1092,0),""),"")</f>
        <v/>
      </c>
    </row>
    <row r="80" customFormat="false" ht="15" hidden="false" customHeight="false" outlineLevel="0" collapsed="false">
      <c r="A80" s="12" t="str">
        <f aca="false">IF($L80="","",INDEX(Population!$B$2:$B$1092,$L80)&amp;"")</f>
        <v/>
      </c>
      <c r="B80" s="12" t="str">
        <f aca="false">IF($L80="","",INDEX(Population!$C$2:$C$1092,$L80)&amp;"")</f>
        <v/>
      </c>
      <c r="C80" s="12" t="str">
        <f aca="false">IF($L80="","",INDEX(Population!$D$2:$D$1092,$L80)&amp;"")</f>
        <v/>
      </c>
      <c r="D80" s="12" t="str">
        <f aca="false">IF($L80="","",INDEX(Population!$E$2:$E$1092,$L80))</f>
        <v/>
      </c>
      <c r="E80" s="12" t="str">
        <f aca="false">IF($L80="","",INDEX(Population!$F$2:$F$1092,$L80))</f>
        <v/>
      </c>
      <c r="F80" s="16" t="str">
        <f aca="false">IF($L80="","",INDEX(Population!$L$2:$L$1092,$L80))</f>
        <v/>
      </c>
      <c r="G80" s="16" t="str">
        <f aca="false">IF($L80="","",INDEX(Population!$M$2:$M$1092,$L80))</f>
        <v/>
      </c>
      <c r="H80" s="27" t="str">
        <f aca="false">IF($L80="","",IF(Summary!$C$9="Random",INDEX(Population!$Q$2:$Q$1092,$L80),INDEX(Population!$S$2:$S$1092,$L80)))</f>
        <v/>
      </c>
      <c r="I80" s="12" t="str">
        <f aca="false">IF($L80="","",IF(Summary!$C$9="Random","Below Materiality – Random","Below Materiality – Highest n"))</f>
        <v/>
      </c>
      <c r="J80" s="12" t="str">
        <f aca="false">IF($L80="","",INDEX(Population!$N$2:$N$1092,$L80))</f>
        <v/>
      </c>
      <c r="K80" s="12" t="str">
        <f aca="false">IF($L80="","",INDEX(Population!$G$2:$G$1092,$L80)&amp;" / row "&amp;INDEX(Population!$H$2:$H$1092,$L80))</f>
        <v/>
      </c>
      <c r="L80" s="26" t="str">
        <f aca="false">IF(ROWS($L$5:L80)&lt;=N(Summary!$C$7),IFERROR(MATCH("Population 1|R|"&amp;ROWS($L$5:L80),Population!$V$2:$V$1092,0),""),"")</f>
        <v/>
      </c>
    </row>
    <row r="81" customFormat="false" ht="15" hidden="false" customHeight="false" outlineLevel="0" collapsed="false">
      <c r="A81" s="12" t="str">
        <f aca="false">IF($L81="","",INDEX(Population!$B$2:$B$1092,$L81)&amp;"")</f>
        <v/>
      </c>
      <c r="B81" s="12" t="str">
        <f aca="false">IF($L81="","",INDEX(Population!$C$2:$C$1092,$L81)&amp;"")</f>
        <v/>
      </c>
      <c r="C81" s="12" t="str">
        <f aca="false">IF($L81="","",INDEX(Population!$D$2:$D$1092,$L81)&amp;"")</f>
        <v/>
      </c>
      <c r="D81" s="12" t="str">
        <f aca="false">IF($L81="","",INDEX(Population!$E$2:$E$1092,$L81))</f>
        <v/>
      </c>
      <c r="E81" s="12" t="str">
        <f aca="false">IF($L81="","",INDEX(Population!$F$2:$F$1092,$L81))</f>
        <v/>
      </c>
      <c r="F81" s="16" t="str">
        <f aca="false">IF($L81="","",INDEX(Population!$L$2:$L$1092,$L81))</f>
        <v/>
      </c>
      <c r="G81" s="16" t="str">
        <f aca="false">IF($L81="","",INDEX(Population!$M$2:$M$1092,$L81))</f>
        <v/>
      </c>
      <c r="H81" s="27" t="str">
        <f aca="false">IF($L81="","",IF(Summary!$C$9="Random",INDEX(Population!$Q$2:$Q$1092,$L81),INDEX(Population!$S$2:$S$1092,$L81)))</f>
        <v/>
      </c>
      <c r="I81" s="12" t="str">
        <f aca="false">IF($L81="","",IF(Summary!$C$9="Random","Below Materiality – Random","Below Materiality – Highest n"))</f>
        <v/>
      </c>
      <c r="J81" s="12" t="str">
        <f aca="false">IF($L81="","",INDEX(Population!$N$2:$N$1092,$L81))</f>
        <v/>
      </c>
      <c r="K81" s="12" t="str">
        <f aca="false">IF($L81="","",INDEX(Population!$G$2:$G$1092,$L81)&amp;" / row "&amp;INDEX(Population!$H$2:$H$1092,$L81))</f>
        <v/>
      </c>
      <c r="L81" s="26" t="str">
        <f aca="false">IF(ROWS($L$5:L81)&lt;=N(Summary!$C$7),IFERROR(MATCH("Population 1|R|"&amp;ROWS($L$5:L81),Population!$V$2:$V$1092,0),""),"")</f>
        <v/>
      </c>
    </row>
    <row r="82" customFormat="false" ht="15" hidden="false" customHeight="false" outlineLevel="0" collapsed="false">
      <c r="A82" s="12" t="str">
        <f aca="false">IF($L82="","",INDEX(Population!$B$2:$B$1092,$L82)&amp;"")</f>
        <v/>
      </c>
      <c r="B82" s="12" t="str">
        <f aca="false">IF($L82="","",INDEX(Population!$C$2:$C$1092,$L82)&amp;"")</f>
        <v/>
      </c>
      <c r="C82" s="12" t="str">
        <f aca="false">IF($L82="","",INDEX(Population!$D$2:$D$1092,$L82)&amp;"")</f>
        <v/>
      </c>
      <c r="D82" s="12" t="str">
        <f aca="false">IF($L82="","",INDEX(Population!$E$2:$E$1092,$L82))</f>
        <v/>
      </c>
      <c r="E82" s="12" t="str">
        <f aca="false">IF($L82="","",INDEX(Population!$F$2:$F$1092,$L82))</f>
        <v/>
      </c>
      <c r="F82" s="16" t="str">
        <f aca="false">IF($L82="","",INDEX(Population!$L$2:$L$1092,$L82))</f>
        <v/>
      </c>
      <c r="G82" s="16" t="str">
        <f aca="false">IF($L82="","",INDEX(Population!$M$2:$M$1092,$L82))</f>
        <v/>
      </c>
      <c r="H82" s="27" t="str">
        <f aca="false">IF($L82="","",IF(Summary!$C$9="Random",INDEX(Population!$Q$2:$Q$1092,$L82),INDEX(Population!$S$2:$S$1092,$L82)))</f>
        <v/>
      </c>
      <c r="I82" s="12" t="str">
        <f aca="false">IF($L82="","",IF(Summary!$C$9="Random","Below Materiality – Random","Below Materiality – Highest n"))</f>
        <v/>
      </c>
      <c r="J82" s="12" t="str">
        <f aca="false">IF($L82="","",INDEX(Population!$N$2:$N$1092,$L82))</f>
        <v/>
      </c>
      <c r="K82" s="12" t="str">
        <f aca="false">IF($L82="","",INDEX(Population!$G$2:$G$1092,$L82)&amp;" / row "&amp;INDEX(Population!$H$2:$H$1092,$L82))</f>
        <v/>
      </c>
      <c r="L82" s="26" t="str">
        <f aca="false">IF(ROWS($L$5:L82)&lt;=N(Summary!$C$7),IFERROR(MATCH("Population 1|R|"&amp;ROWS($L$5:L82),Population!$V$2:$V$1092,0),""),"")</f>
        <v/>
      </c>
    </row>
    <row r="83" customFormat="false" ht="15" hidden="false" customHeight="false" outlineLevel="0" collapsed="false">
      <c r="A83" s="12" t="str">
        <f aca="false">IF($L83="","",INDEX(Population!$B$2:$B$1092,$L83)&amp;"")</f>
        <v/>
      </c>
      <c r="B83" s="12" t="str">
        <f aca="false">IF($L83="","",INDEX(Population!$C$2:$C$1092,$L83)&amp;"")</f>
        <v/>
      </c>
      <c r="C83" s="12" t="str">
        <f aca="false">IF($L83="","",INDEX(Population!$D$2:$D$1092,$L83)&amp;"")</f>
        <v/>
      </c>
      <c r="D83" s="12" t="str">
        <f aca="false">IF($L83="","",INDEX(Population!$E$2:$E$1092,$L83))</f>
        <v/>
      </c>
      <c r="E83" s="12" t="str">
        <f aca="false">IF($L83="","",INDEX(Population!$F$2:$F$1092,$L83))</f>
        <v/>
      </c>
      <c r="F83" s="16" t="str">
        <f aca="false">IF($L83="","",INDEX(Population!$L$2:$L$1092,$L83))</f>
        <v/>
      </c>
      <c r="G83" s="16" t="str">
        <f aca="false">IF($L83="","",INDEX(Population!$M$2:$M$1092,$L83))</f>
        <v/>
      </c>
      <c r="H83" s="27" t="str">
        <f aca="false">IF($L83="","",IF(Summary!$C$9="Random",INDEX(Population!$Q$2:$Q$1092,$L83),INDEX(Population!$S$2:$S$1092,$L83)))</f>
        <v/>
      </c>
      <c r="I83" s="12" t="str">
        <f aca="false">IF($L83="","",IF(Summary!$C$9="Random","Below Materiality – Random","Below Materiality – Highest n"))</f>
        <v/>
      </c>
      <c r="J83" s="12" t="str">
        <f aca="false">IF($L83="","",INDEX(Population!$N$2:$N$1092,$L83))</f>
        <v/>
      </c>
      <c r="K83" s="12" t="str">
        <f aca="false">IF($L83="","",INDEX(Population!$G$2:$G$1092,$L83)&amp;" / row "&amp;INDEX(Population!$H$2:$H$1092,$L83))</f>
        <v/>
      </c>
      <c r="L83" s="26" t="str">
        <f aca="false">IF(ROWS($L$5:L83)&lt;=N(Summary!$C$7),IFERROR(MATCH("Population 1|R|"&amp;ROWS($L$5:L83),Population!$V$2:$V$1092,0),""),"")</f>
        <v/>
      </c>
    </row>
    <row r="84" customFormat="false" ht="15" hidden="false" customHeight="false" outlineLevel="0" collapsed="false">
      <c r="A84" s="12" t="str">
        <f aca="false">IF($L84="","",INDEX(Population!$B$2:$B$1092,$L84)&amp;"")</f>
        <v/>
      </c>
      <c r="B84" s="12" t="str">
        <f aca="false">IF($L84="","",INDEX(Population!$C$2:$C$1092,$L84)&amp;"")</f>
        <v/>
      </c>
      <c r="C84" s="12" t="str">
        <f aca="false">IF($L84="","",INDEX(Population!$D$2:$D$1092,$L84)&amp;"")</f>
        <v/>
      </c>
      <c r="D84" s="12" t="str">
        <f aca="false">IF($L84="","",INDEX(Population!$E$2:$E$1092,$L84))</f>
        <v/>
      </c>
      <c r="E84" s="12" t="str">
        <f aca="false">IF($L84="","",INDEX(Population!$F$2:$F$1092,$L84))</f>
        <v/>
      </c>
      <c r="F84" s="16" t="str">
        <f aca="false">IF($L84="","",INDEX(Population!$L$2:$L$1092,$L84))</f>
        <v/>
      </c>
      <c r="G84" s="16" t="str">
        <f aca="false">IF($L84="","",INDEX(Population!$M$2:$M$1092,$L84))</f>
        <v/>
      </c>
      <c r="H84" s="27" t="str">
        <f aca="false">IF($L84="","",IF(Summary!$C$9="Random",INDEX(Population!$Q$2:$Q$1092,$L84),INDEX(Population!$S$2:$S$1092,$L84)))</f>
        <v/>
      </c>
      <c r="I84" s="12" t="str">
        <f aca="false">IF($L84="","",IF(Summary!$C$9="Random","Below Materiality – Random","Below Materiality – Highest n"))</f>
        <v/>
      </c>
      <c r="J84" s="12" t="str">
        <f aca="false">IF($L84="","",INDEX(Population!$N$2:$N$1092,$L84))</f>
        <v/>
      </c>
      <c r="K84" s="12" t="str">
        <f aca="false">IF($L84="","",INDEX(Population!$G$2:$G$1092,$L84)&amp;" / row "&amp;INDEX(Population!$H$2:$H$1092,$L84))</f>
        <v/>
      </c>
      <c r="L84" s="26" t="str">
        <f aca="false">IF(ROWS($L$5:L84)&lt;=N(Summary!$C$7),IFERROR(MATCH("Population 1|R|"&amp;ROWS($L$5:L84),Population!$V$2:$V$1092,0),""),"")</f>
        <v/>
      </c>
    </row>
    <row r="85" customFormat="false" ht="15" hidden="false" customHeight="false" outlineLevel="0" collapsed="false">
      <c r="A85" s="12" t="str">
        <f aca="false">IF($L85="","",INDEX(Population!$B$2:$B$1092,$L85)&amp;"")</f>
        <v/>
      </c>
      <c r="B85" s="12" t="str">
        <f aca="false">IF($L85="","",INDEX(Population!$C$2:$C$1092,$L85)&amp;"")</f>
        <v/>
      </c>
      <c r="C85" s="12" t="str">
        <f aca="false">IF($L85="","",INDEX(Population!$D$2:$D$1092,$L85)&amp;"")</f>
        <v/>
      </c>
      <c r="D85" s="12" t="str">
        <f aca="false">IF($L85="","",INDEX(Population!$E$2:$E$1092,$L85))</f>
        <v/>
      </c>
      <c r="E85" s="12" t="str">
        <f aca="false">IF($L85="","",INDEX(Population!$F$2:$F$1092,$L85))</f>
        <v/>
      </c>
      <c r="F85" s="16" t="str">
        <f aca="false">IF($L85="","",INDEX(Population!$L$2:$L$1092,$L85))</f>
        <v/>
      </c>
      <c r="G85" s="16" t="str">
        <f aca="false">IF($L85="","",INDEX(Population!$M$2:$M$1092,$L85))</f>
        <v/>
      </c>
      <c r="H85" s="27" t="str">
        <f aca="false">IF($L85="","",IF(Summary!$C$9="Random",INDEX(Population!$Q$2:$Q$1092,$L85),INDEX(Population!$S$2:$S$1092,$L85)))</f>
        <v/>
      </c>
      <c r="I85" s="12" t="str">
        <f aca="false">IF($L85="","",IF(Summary!$C$9="Random","Below Materiality – Random","Below Materiality – Highest n"))</f>
        <v/>
      </c>
      <c r="J85" s="12" t="str">
        <f aca="false">IF($L85="","",INDEX(Population!$N$2:$N$1092,$L85))</f>
        <v/>
      </c>
      <c r="K85" s="12" t="str">
        <f aca="false">IF($L85="","",INDEX(Population!$G$2:$G$1092,$L85)&amp;" / row "&amp;INDEX(Population!$H$2:$H$1092,$L85))</f>
        <v/>
      </c>
      <c r="L85" s="26" t="str">
        <f aca="false">IF(ROWS($L$5:L85)&lt;=N(Summary!$C$7),IFERROR(MATCH("Population 1|R|"&amp;ROWS($L$5:L85),Population!$V$2:$V$1092,0),""),"")</f>
        <v/>
      </c>
    </row>
    <row r="86" customFormat="false" ht="15" hidden="false" customHeight="false" outlineLevel="0" collapsed="false">
      <c r="A86" s="12" t="str">
        <f aca="false">IF($L86="","",INDEX(Population!$B$2:$B$1092,$L86)&amp;"")</f>
        <v/>
      </c>
      <c r="B86" s="12" t="str">
        <f aca="false">IF($L86="","",INDEX(Population!$C$2:$C$1092,$L86)&amp;"")</f>
        <v/>
      </c>
      <c r="C86" s="12" t="str">
        <f aca="false">IF($L86="","",INDEX(Population!$D$2:$D$1092,$L86)&amp;"")</f>
        <v/>
      </c>
      <c r="D86" s="12" t="str">
        <f aca="false">IF($L86="","",INDEX(Population!$E$2:$E$1092,$L86))</f>
        <v/>
      </c>
      <c r="E86" s="12" t="str">
        <f aca="false">IF($L86="","",INDEX(Population!$F$2:$F$1092,$L86))</f>
        <v/>
      </c>
      <c r="F86" s="16" t="str">
        <f aca="false">IF($L86="","",INDEX(Population!$L$2:$L$1092,$L86))</f>
        <v/>
      </c>
      <c r="G86" s="16" t="str">
        <f aca="false">IF($L86="","",INDEX(Population!$M$2:$M$1092,$L86))</f>
        <v/>
      </c>
      <c r="H86" s="27" t="str">
        <f aca="false">IF($L86="","",IF(Summary!$C$9="Random",INDEX(Population!$Q$2:$Q$1092,$L86),INDEX(Population!$S$2:$S$1092,$L86)))</f>
        <v/>
      </c>
      <c r="I86" s="12" t="str">
        <f aca="false">IF($L86="","",IF(Summary!$C$9="Random","Below Materiality – Random","Below Materiality – Highest n"))</f>
        <v/>
      </c>
      <c r="J86" s="12" t="str">
        <f aca="false">IF($L86="","",INDEX(Population!$N$2:$N$1092,$L86))</f>
        <v/>
      </c>
      <c r="K86" s="12" t="str">
        <f aca="false">IF($L86="","",INDEX(Population!$G$2:$G$1092,$L86)&amp;" / row "&amp;INDEX(Population!$H$2:$H$1092,$L86))</f>
        <v/>
      </c>
      <c r="L86" s="26" t="str">
        <f aca="false">IF(ROWS($L$5:L86)&lt;=N(Summary!$C$7),IFERROR(MATCH("Population 1|R|"&amp;ROWS($L$5:L86),Population!$V$2:$V$1092,0),""),"")</f>
        <v/>
      </c>
    </row>
    <row r="87" customFormat="false" ht="15" hidden="false" customHeight="false" outlineLevel="0" collapsed="false">
      <c r="A87" s="12" t="str">
        <f aca="false">IF($L87="","",INDEX(Population!$B$2:$B$1092,$L87)&amp;"")</f>
        <v/>
      </c>
      <c r="B87" s="12" t="str">
        <f aca="false">IF($L87="","",INDEX(Population!$C$2:$C$1092,$L87)&amp;"")</f>
        <v/>
      </c>
      <c r="C87" s="12" t="str">
        <f aca="false">IF($L87="","",INDEX(Population!$D$2:$D$1092,$L87)&amp;"")</f>
        <v/>
      </c>
      <c r="D87" s="12" t="str">
        <f aca="false">IF($L87="","",INDEX(Population!$E$2:$E$1092,$L87))</f>
        <v/>
      </c>
      <c r="E87" s="12" t="str">
        <f aca="false">IF($L87="","",INDEX(Population!$F$2:$F$1092,$L87))</f>
        <v/>
      </c>
      <c r="F87" s="16" t="str">
        <f aca="false">IF($L87="","",INDEX(Population!$L$2:$L$1092,$L87))</f>
        <v/>
      </c>
      <c r="G87" s="16" t="str">
        <f aca="false">IF($L87="","",INDEX(Population!$M$2:$M$1092,$L87))</f>
        <v/>
      </c>
      <c r="H87" s="27" t="str">
        <f aca="false">IF($L87="","",IF(Summary!$C$9="Random",INDEX(Population!$Q$2:$Q$1092,$L87),INDEX(Population!$S$2:$S$1092,$L87)))</f>
        <v/>
      </c>
      <c r="I87" s="12" t="str">
        <f aca="false">IF($L87="","",IF(Summary!$C$9="Random","Below Materiality – Random","Below Materiality – Highest n"))</f>
        <v/>
      </c>
      <c r="J87" s="12" t="str">
        <f aca="false">IF($L87="","",INDEX(Population!$N$2:$N$1092,$L87))</f>
        <v/>
      </c>
      <c r="K87" s="12" t="str">
        <f aca="false">IF($L87="","",INDEX(Population!$G$2:$G$1092,$L87)&amp;" / row "&amp;INDEX(Population!$H$2:$H$1092,$L87))</f>
        <v/>
      </c>
      <c r="L87" s="26" t="str">
        <f aca="false">IF(ROWS($L$5:L87)&lt;=N(Summary!$C$7),IFERROR(MATCH("Population 1|R|"&amp;ROWS($L$5:L87),Population!$V$2:$V$1092,0),""),"")</f>
        <v/>
      </c>
    </row>
    <row r="88" customFormat="false" ht="15" hidden="false" customHeight="false" outlineLevel="0" collapsed="false">
      <c r="A88" s="12" t="str">
        <f aca="false">IF($L88="","",INDEX(Population!$B$2:$B$1092,$L88)&amp;"")</f>
        <v/>
      </c>
      <c r="B88" s="12" t="str">
        <f aca="false">IF($L88="","",INDEX(Population!$C$2:$C$1092,$L88)&amp;"")</f>
        <v/>
      </c>
      <c r="C88" s="12" t="str">
        <f aca="false">IF($L88="","",INDEX(Population!$D$2:$D$1092,$L88)&amp;"")</f>
        <v/>
      </c>
      <c r="D88" s="12" t="str">
        <f aca="false">IF($L88="","",INDEX(Population!$E$2:$E$1092,$L88))</f>
        <v/>
      </c>
      <c r="E88" s="12" t="str">
        <f aca="false">IF($L88="","",INDEX(Population!$F$2:$F$1092,$L88))</f>
        <v/>
      </c>
      <c r="F88" s="16" t="str">
        <f aca="false">IF($L88="","",INDEX(Population!$L$2:$L$1092,$L88))</f>
        <v/>
      </c>
      <c r="G88" s="16" t="str">
        <f aca="false">IF($L88="","",INDEX(Population!$M$2:$M$1092,$L88))</f>
        <v/>
      </c>
      <c r="H88" s="27" t="str">
        <f aca="false">IF($L88="","",IF(Summary!$C$9="Random",INDEX(Population!$Q$2:$Q$1092,$L88),INDEX(Population!$S$2:$S$1092,$L88)))</f>
        <v/>
      </c>
      <c r="I88" s="12" t="str">
        <f aca="false">IF($L88="","",IF(Summary!$C$9="Random","Below Materiality – Random","Below Materiality – Highest n"))</f>
        <v/>
      </c>
      <c r="J88" s="12" t="str">
        <f aca="false">IF($L88="","",INDEX(Population!$N$2:$N$1092,$L88))</f>
        <v/>
      </c>
      <c r="K88" s="12" t="str">
        <f aca="false">IF($L88="","",INDEX(Population!$G$2:$G$1092,$L88)&amp;" / row "&amp;INDEX(Population!$H$2:$H$1092,$L88))</f>
        <v/>
      </c>
      <c r="L88" s="26" t="str">
        <f aca="false">IF(ROWS($L$5:L88)&lt;=N(Summary!$C$7),IFERROR(MATCH("Population 1|R|"&amp;ROWS($L$5:L88),Population!$V$2:$V$1092,0),""),"")</f>
        <v/>
      </c>
    </row>
    <row r="89" customFormat="false" ht="15" hidden="false" customHeight="false" outlineLevel="0" collapsed="false">
      <c r="A89" s="12" t="str">
        <f aca="false">IF($L89="","",INDEX(Population!$B$2:$B$1092,$L89)&amp;"")</f>
        <v/>
      </c>
      <c r="B89" s="12" t="str">
        <f aca="false">IF($L89="","",INDEX(Population!$C$2:$C$1092,$L89)&amp;"")</f>
        <v/>
      </c>
      <c r="C89" s="12" t="str">
        <f aca="false">IF($L89="","",INDEX(Population!$D$2:$D$1092,$L89)&amp;"")</f>
        <v/>
      </c>
      <c r="D89" s="12" t="str">
        <f aca="false">IF($L89="","",INDEX(Population!$E$2:$E$1092,$L89))</f>
        <v/>
      </c>
      <c r="E89" s="12" t="str">
        <f aca="false">IF($L89="","",INDEX(Population!$F$2:$F$1092,$L89))</f>
        <v/>
      </c>
      <c r="F89" s="16" t="str">
        <f aca="false">IF($L89="","",INDEX(Population!$L$2:$L$1092,$L89))</f>
        <v/>
      </c>
      <c r="G89" s="16" t="str">
        <f aca="false">IF($L89="","",INDEX(Population!$M$2:$M$1092,$L89))</f>
        <v/>
      </c>
      <c r="H89" s="27" t="str">
        <f aca="false">IF($L89="","",IF(Summary!$C$9="Random",INDEX(Population!$Q$2:$Q$1092,$L89),INDEX(Population!$S$2:$S$1092,$L89)))</f>
        <v/>
      </c>
      <c r="I89" s="12" t="str">
        <f aca="false">IF($L89="","",IF(Summary!$C$9="Random","Below Materiality – Random","Below Materiality – Highest n"))</f>
        <v/>
      </c>
      <c r="J89" s="12" t="str">
        <f aca="false">IF($L89="","",INDEX(Population!$N$2:$N$1092,$L89))</f>
        <v/>
      </c>
      <c r="K89" s="12" t="str">
        <f aca="false">IF($L89="","",INDEX(Population!$G$2:$G$1092,$L89)&amp;" / row "&amp;INDEX(Population!$H$2:$H$1092,$L89))</f>
        <v/>
      </c>
      <c r="L89" s="26" t="str">
        <f aca="false">IF(ROWS($L$5:L89)&lt;=N(Summary!$C$7),IFERROR(MATCH("Population 1|R|"&amp;ROWS($L$5:L89),Population!$V$2:$V$1092,0),""),"")</f>
        <v/>
      </c>
    </row>
    <row r="90" customFormat="false" ht="15" hidden="false" customHeight="false" outlineLevel="0" collapsed="false">
      <c r="A90" s="12" t="str">
        <f aca="false">IF($L90="","",INDEX(Population!$B$2:$B$1092,$L90)&amp;"")</f>
        <v/>
      </c>
      <c r="B90" s="12" t="str">
        <f aca="false">IF($L90="","",INDEX(Population!$C$2:$C$1092,$L90)&amp;"")</f>
        <v/>
      </c>
      <c r="C90" s="12" t="str">
        <f aca="false">IF($L90="","",INDEX(Population!$D$2:$D$1092,$L90)&amp;"")</f>
        <v/>
      </c>
      <c r="D90" s="12" t="str">
        <f aca="false">IF($L90="","",INDEX(Population!$E$2:$E$1092,$L90))</f>
        <v/>
      </c>
      <c r="E90" s="12" t="str">
        <f aca="false">IF($L90="","",INDEX(Population!$F$2:$F$1092,$L90))</f>
        <v/>
      </c>
      <c r="F90" s="16" t="str">
        <f aca="false">IF($L90="","",INDEX(Population!$L$2:$L$1092,$L90))</f>
        <v/>
      </c>
      <c r="G90" s="16" t="str">
        <f aca="false">IF($L90="","",INDEX(Population!$M$2:$M$1092,$L90))</f>
        <v/>
      </c>
      <c r="H90" s="27" t="str">
        <f aca="false">IF($L90="","",IF(Summary!$C$9="Random",INDEX(Population!$Q$2:$Q$1092,$L90),INDEX(Population!$S$2:$S$1092,$L90)))</f>
        <v/>
      </c>
      <c r="I90" s="12" t="str">
        <f aca="false">IF($L90="","",IF(Summary!$C$9="Random","Below Materiality – Random","Below Materiality – Highest n"))</f>
        <v/>
      </c>
      <c r="J90" s="12" t="str">
        <f aca="false">IF($L90="","",INDEX(Population!$N$2:$N$1092,$L90))</f>
        <v/>
      </c>
      <c r="K90" s="12" t="str">
        <f aca="false">IF($L90="","",INDEX(Population!$G$2:$G$1092,$L90)&amp;" / row "&amp;INDEX(Population!$H$2:$H$1092,$L90))</f>
        <v/>
      </c>
      <c r="L90" s="26" t="str">
        <f aca="false">IF(ROWS($L$5:L90)&lt;=N(Summary!$C$7),IFERROR(MATCH("Population 1|R|"&amp;ROWS($L$5:L90),Population!$V$2:$V$1092,0),""),"")</f>
        <v/>
      </c>
    </row>
    <row r="91" customFormat="false" ht="15" hidden="false" customHeight="false" outlineLevel="0" collapsed="false">
      <c r="A91" s="12" t="str">
        <f aca="false">IF($L91="","",INDEX(Population!$B$2:$B$1092,$L91)&amp;"")</f>
        <v/>
      </c>
      <c r="B91" s="12" t="str">
        <f aca="false">IF($L91="","",INDEX(Population!$C$2:$C$1092,$L91)&amp;"")</f>
        <v/>
      </c>
      <c r="C91" s="12" t="str">
        <f aca="false">IF($L91="","",INDEX(Population!$D$2:$D$1092,$L91)&amp;"")</f>
        <v/>
      </c>
      <c r="D91" s="12" t="str">
        <f aca="false">IF($L91="","",INDEX(Population!$E$2:$E$1092,$L91))</f>
        <v/>
      </c>
      <c r="E91" s="12" t="str">
        <f aca="false">IF($L91="","",INDEX(Population!$F$2:$F$1092,$L91))</f>
        <v/>
      </c>
      <c r="F91" s="16" t="str">
        <f aca="false">IF($L91="","",INDEX(Population!$L$2:$L$1092,$L91))</f>
        <v/>
      </c>
      <c r="G91" s="16" t="str">
        <f aca="false">IF($L91="","",INDEX(Population!$M$2:$M$1092,$L91))</f>
        <v/>
      </c>
      <c r="H91" s="27" t="str">
        <f aca="false">IF($L91="","",IF(Summary!$C$9="Random",INDEX(Population!$Q$2:$Q$1092,$L91),INDEX(Population!$S$2:$S$1092,$L91)))</f>
        <v/>
      </c>
      <c r="I91" s="12" t="str">
        <f aca="false">IF($L91="","",IF(Summary!$C$9="Random","Below Materiality – Random","Below Materiality – Highest n"))</f>
        <v/>
      </c>
      <c r="J91" s="12" t="str">
        <f aca="false">IF($L91="","",INDEX(Population!$N$2:$N$1092,$L91))</f>
        <v/>
      </c>
      <c r="K91" s="12" t="str">
        <f aca="false">IF($L91="","",INDEX(Population!$G$2:$G$1092,$L91)&amp;" / row "&amp;INDEX(Population!$H$2:$H$1092,$L91))</f>
        <v/>
      </c>
      <c r="L91" s="26" t="str">
        <f aca="false">IF(ROWS($L$5:L91)&lt;=N(Summary!$C$7),IFERROR(MATCH("Population 1|R|"&amp;ROWS($L$5:L91),Population!$V$2:$V$1092,0),""),"")</f>
        <v/>
      </c>
    </row>
    <row r="92" customFormat="false" ht="15" hidden="false" customHeight="false" outlineLevel="0" collapsed="false">
      <c r="A92" s="12" t="str">
        <f aca="false">IF($L92="","",INDEX(Population!$B$2:$B$1092,$L92)&amp;"")</f>
        <v/>
      </c>
      <c r="B92" s="12" t="str">
        <f aca="false">IF($L92="","",INDEX(Population!$C$2:$C$1092,$L92)&amp;"")</f>
        <v/>
      </c>
      <c r="C92" s="12" t="str">
        <f aca="false">IF($L92="","",INDEX(Population!$D$2:$D$1092,$L92)&amp;"")</f>
        <v/>
      </c>
      <c r="D92" s="12" t="str">
        <f aca="false">IF($L92="","",INDEX(Population!$E$2:$E$1092,$L92))</f>
        <v/>
      </c>
      <c r="E92" s="12" t="str">
        <f aca="false">IF($L92="","",INDEX(Population!$F$2:$F$1092,$L92))</f>
        <v/>
      </c>
      <c r="F92" s="16" t="str">
        <f aca="false">IF($L92="","",INDEX(Population!$L$2:$L$1092,$L92))</f>
        <v/>
      </c>
      <c r="G92" s="16" t="str">
        <f aca="false">IF($L92="","",INDEX(Population!$M$2:$M$1092,$L92))</f>
        <v/>
      </c>
      <c r="H92" s="27" t="str">
        <f aca="false">IF($L92="","",IF(Summary!$C$9="Random",INDEX(Population!$Q$2:$Q$1092,$L92),INDEX(Population!$S$2:$S$1092,$L92)))</f>
        <v/>
      </c>
      <c r="I92" s="12" t="str">
        <f aca="false">IF($L92="","",IF(Summary!$C$9="Random","Below Materiality – Random","Below Materiality – Highest n"))</f>
        <v/>
      </c>
      <c r="J92" s="12" t="str">
        <f aca="false">IF($L92="","",INDEX(Population!$N$2:$N$1092,$L92))</f>
        <v/>
      </c>
      <c r="K92" s="12" t="str">
        <f aca="false">IF($L92="","",INDEX(Population!$G$2:$G$1092,$L92)&amp;" / row "&amp;INDEX(Population!$H$2:$H$1092,$L92))</f>
        <v/>
      </c>
      <c r="L92" s="26" t="str">
        <f aca="false">IF(ROWS($L$5:L92)&lt;=N(Summary!$C$7),IFERROR(MATCH("Population 1|R|"&amp;ROWS($L$5:L92),Population!$V$2:$V$1092,0),""),"")</f>
        <v/>
      </c>
    </row>
    <row r="93" customFormat="false" ht="15" hidden="false" customHeight="false" outlineLevel="0" collapsed="false">
      <c r="A93" s="12" t="str">
        <f aca="false">IF($L93="","",INDEX(Population!$B$2:$B$1092,$L93)&amp;"")</f>
        <v/>
      </c>
      <c r="B93" s="12" t="str">
        <f aca="false">IF($L93="","",INDEX(Population!$C$2:$C$1092,$L93)&amp;"")</f>
        <v/>
      </c>
      <c r="C93" s="12" t="str">
        <f aca="false">IF($L93="","",INDEX(Population!$D$2:$D$1092,$L93)&amp;"")</f>
        <v/>
      </c>
      <c r="D93" s="12" t="str">
        <f aca="false">IF($L93="","",INDEX(Population!$E$2:$E$1092,$L93))</f>
        <v/>
      </c>
      <c r="E93" s="12" t="str">
        <f aca="false">IF($L93="","",INDEX(Population!$F$2:$F$1092,$L93))</f>
        <v/>
      </c>
      <c r="F93" s="16" t="str">
        <f aca="false">IF($L93="","",INDEX(Population!$L$2:$L$1092,$L93))</f>
        <v/>
      </c>
      <c r="G93" s="16" t="str">
        <f aca="false">IF($L93="","",INDEX(Population!$M$2:$M$1092,$L93))</f>
        <v/>
      </c>
      <c r="H93" s="27" t="str">
        <f aca="false">IF($L93="","",IF(Summary!$C$9="Random",INDEX(Population!$Q$2:$Q$1092,$L93),INDEX(Population!$S$2:$S$1092,$L93)))</f>
        <v/>
      </c>
      <c r="I93" s="12" t="str">
        <f aca="false">IF($L93="","",IF(Summary!$C$9="Random","Below Materiality – Random","Below Materiality – Highest n"))</f>
        <v/>
      </c>
      <c r="J93" s="12" t="str">
        <f aca="false">IF($L93="","",INDEX(Population!$N$2:$N$1092,$L93))</f>
        <v/>
      </c>
      <c r="K93" s="12" t="str">
        <f aca="false">IF($L93="","",INDEX(Population!$G$2:$G$1092,$L93)&amp;" / row "&amp;INDEX(Population!$H$2:$H$1092,$L93))</f>
        <v/>
      </c>
      <c r="L93" s="26" t="str">
        <f aca="false">IF(ROWS($L$5:L93)&lt;=N(Summary!$C$7),IFERROR(MATCH("Population 1|R|"&amp;ROWS($L$5:L93),Population!$V$2:$V$1092,0),""),"")</f>
        <v/>
      </c>
    </row>
    <row r="94" customFormat="false" ht="15" hidden="false" customHeight="false" outlineLevel="0" collapsed="false">
      <c r="A94" s="12" t="str">
        <f aca="false">IF($L94="","",INDEX(Population!$B$2:$B$1092,$L94)&amp;"")</f>
        <v/>
      </c>
      <c r="B94" s="12" t="str">
        <f aca="false">IF($L94="","",INDEX(Population!$C$2:$C$1092,$L94)&amp;"")</f>
        <v/>
      </c>
      <c r="C94" s="12" t="str">
        <f aca="false">IF($L94="","",INDEX(Population!$D$2:$D$1092,$L94)&amp;"")</f>
        <v/>
      </c>
      <c r="D94" s="12" t="str">
        <f aca="false">IF($L94="","",INDEX(Population!$E$2:$E$1092,$L94))</f>
        <v/>
      </c>
      <c r="E94" s="12" t="str">
        <f aca="false">IF($L94="","",INDEX(Population!$F$2:$F$1092,$L94))</f>
        <v/>
      </c>
      <c r="F94" s="16" t="str">
        <f aca="false">IF($L94="","",INDEX(Population!$L$2:$L$1092,$L94))</f>
        <v/>
      </c>
      <c r="G94" s="16" t="str">
        <f aca="false">IF($L94="","",INDEX(Population!$M$2:$M$1092,$L94))</f>
        <v/>
      </c>
      <c r="H94" s="27" t="str">
        <f aca="false">IF($L94="","",IF(Summary!$C$9="Random",INDEX(Population!$Q$2:$Q$1092,$L94),INDEX(Population!$S$2:$S$1092,$L94)))</f>
        <v/>
      </c>
      <c r="I94" s="12" t="str">
        <f aca="false">IF($L94="","",IF(Summary!$C$9="Random","Below Materiality – Random","Below Materiality – Highest n"))</f>
        <v/>
      </c>
      <c r="J94" s="12" t="str">
        <f aca="false">IF($L94="","",INDEX(Population!$N$2:$N$1092,$L94))</f>
        <v/>
      </c>
      <c r="K94" s="12" t="str">
        <f aca="false">IF($L94="","",INDEX(Population!$G$2:$G$1092,$L94)&amp;" / row "&amp;INDEX(Population!$H$2:$H$1092,$L94))</f>
        <v/>
      </c>
      <c r="L94" s="26" t="str">
        <f aca="false">IF(ROWS($L$5:L94)&lt;=N(Summary!$C$7),IFERROR(MATCH("Population 1|R|"&amp;ROWS($L$5:L94),Population!$V$2:$V$1092,0),""),"")</f>
        <v/>
      </c>
    </row>
    <row r="95" customFormat="false" ht="15" hidden="false" customHeight="false" outlineLevel="0" collapsed="false">
      <c r="A95" s="12" t="str">
        <f aca="false">IF($L95="","",INDEX(Population!$B$2:$B$1092,$L95)&amp;"")</f>
        <v/>
      </c>
      <c r="B95" s="12" t="str">
        <f aca="false">IF($L95="","",INDEX(Population!$C$2:$C$1092,$L95)&amp;"")</f>
        <v/>
      </c>
      <c r="C95" s="12" t="str">
        <f aca="false">IF($L95="","",INDEX(Population!$D$2:$D$1092,$L95)&amp;"")</f>
        <v/>
      </c>
      <c r="D95" s="12" t="str">
        <f aca="false">IF($L95="","",INDEX(Population!$E$2:$E$1092,$L95))</f>
        <v/>
      </c>
      <c r="E95" s="12" t="str">
        <f aca="false">IF($L95="","",INDEX(Population!$F$2:$F$1092,$L95))</f>
        <v/>
      </c>
      <c r="F95" s="16" t="str">
        <f aca="false">IF($L95="","",INDEX(Population!$L$2:$L$1092,$L95))</f>
        <v/>
      </c>
      <c r="G95" s="16" t="str">
        <f aca="false">IF($L95="","",INDEX(Population!$M$2:$M$1092,$L95))</f>
        <v/>
      </c>
      <c r="H95" s="27" t="str">
        <f aca="false">IF($L95="","",IF(Summary!$C$9="Random",INDEX(Population!$Q$2:$Q$1092,$L95),INDEX(Population!$S$2:$S$1092,$L95)))</f>
        <v/>
      </c>
      <c r="I95" s="12" t="str">
        <f aca="false">IF($L95="","",IF(Summary!$C$9="Random","Below Materiality – Random","Below Materiality – Highest n"))</f>
        <v/>
      </c>
      <c r="J95" s="12" t="str">
        <f aca="false">IF($L95="","",INDEX(Population!$N$2:$N$1092,$L95))</f>
        <v/>
      </c>
      <c r="K95" s="12" t="str">
        <f aca="false">IF($L95="","",INDEX(Population!$G$2:$G$1092,$L95)&amp;" / row "&amp;INDEX(Population!$H$2:$H$1092,$L95))</f>
        <v/>
      </c>
      <c r="L95" s="26" t="str">
        <f aca="false">IF(ROWS($L$5:L95)&lt;=N(Summary!$C$7),IFERROR(MATCH("Population 1|R|"&amp;ROWS($L$5:L95),Population!$V$2:$V$1092,0),""),"")</f>
        <v/>
      </c>
    </row>
    <row r="96" customFormat="false" ht="15" hidden="false" customHeight="false" outlineLevel="0" collapsed="false">
      <c r="A96" s="12" t="str">
        <f aca="false">IF($L96="","",INDEX(Population!$B$2:$B$1092,$L96)&amp;"")</f>
        <v/>
      </c>
      <c r="B96" s="12" t="str">
        <f aca="false">IF($L96="","",INDEX(Population!$C$2:$C$1092,$L96)&amp;"")</f>
        <v/>
      </c>
      <c r="C96" s="12" t="str">
        <f aca="false">IF($L96="","",INDEX(Population!$D$2:$D$1092,$L96)&amp;"")</f>
        <v/>
      </c>
      <c r="D96" s="12" t="str">
        <f aca="false">IF($L96="","",INDEX(Population!$E$2:$E$1092,$L96))</f>
        <v/>
      </c>
      <c r="E96" s="12" t="str">
        <f aca="false">IF($L96="","",INDEX(Population!$F$2:$F$1092,$L96))</f>
        <v/>
      </c>
      <c r="F96" s="16" t="str">
        <f aca="false">IF($L96="","",INDEX(Population!$L$2:$L$1092,$L96))</f>
        <v/>
      </c>
      <c r="G96" s="16" t="str">
        <f aca="false">IF($L96="","",INDEX(Population!$M$2:$M$1092,$L96))</f>
        <v/>
      </c>
      <c r="H96" s="27" t="str">
        <f aca="false">IF($L96="","",IF(Summary!$C$9="Random",INDEX(Population!$Q$2:$Q$1092,$L96),INDEX(Population!$S$2:$S$1092,$L96)))</f>
        <v/>
      </c>
      <c r="I96" s="12" t="str">
        <f aca="false">IF($L96="","",IF(Summary!$C$9="Random","Below Materiality – Random","Below Materiality – Highest n"))</f>
        <v/>
      </c>
      <c r="J96" s="12" t="str">
        <f aca="false">IF($L96="","",INDEX(Population!$N$2:$N$1092,$L96))</f>
        <v/>
      </c>
      <c r="K96" s="12" t="str">
        <f aca="false">IF($L96="","",INDEX(Population!$G$2:$G$1092,$L96)&amp;" / row "&amp;INDEX(Population!$H$2:$H$1092,$L96))</f>
        <v/>
      </c>
      <c r="L96" s="26" t="str">
        <f aca="false">IF(ROWS($L$5:L96)&lt;=N(Summary!$C$7),IFERROR(MATCH("Population 1|R|"&amp;ROWS($L$5:L96),Population!$V$2:$V$1092,0),""),"")</f>
        <v/>
      </c>
    </row>
    <row r="97" customFormat="false" ht="15" hidden="false" customHeight="false" outlineLevel="0" collapsed="false">
      <c r="A97" s="12" t="str">
        <f aca="false">IF($L97="","",INDEX(Population!$B$2:$B$1092,$L97)&amp;"")</f>
        <v/>
      </c>
      <c r="B97" s="12" t="str">
        <f aca="false">IF($L97="","",INDEX(Population!$C$2:$C$1092,$L97)&amp;"")</f>
        <v/>
      </c>
      <c r="C97" s="12" t="str">
        <f aca="false">IF($L97="","",INDEX(Population!$D$2:$D$1092,$L97)&amp;"")</f>
        <v/>
      </c>
      <c r="D97" s="12" t="str">
        <f aca="false">IF($L97="","",INDEX(Population!$E$2:$E$1092,$L97))</f>
        <v/>
      </c>
      <c r="E97" s="12" t="str">
        <f aca="false">IF($L97="","",INDEX(Population!$F$2:$F$1092,$L97))</f>
        <v/>
      </c>
      <c r="F97" s="16" t="str">
        <f aca="false">IF($L97="","",INDEX(Population!$L$2:$L$1092,$L97))</f>
        <v/>
      </c>
      <c r="G97" s="16" t="str">
        <f aca="false">IF($L97="","",INDEX(Population!$M$2:$M$1092,$L97))</f>
        <v/>
      </c>
      <c r="H97" s="27" t="str">
        <f aca="false">IF($L97="","",IF(Summary!$C$9="Random",INDEX(Population!$Q$2:$Q$1092,$L97),INDEX(Population!$S$2:$S$1092,$L97)))</f>
        <v/>
      </c>
      <c r="I97" s="12" t="str">
        <f aca="false">IF($L97="","",IF(Summary!$C$9="Random","Below Materiality – Random","Below Materiality – Highest n"))</f>
        <v/>
      </c>
      <c r="J97" s="12" t="str">
        <f aca="false">IF($L97="","",INDEX(Population!$N$2:$N$1092,$L97))</f>
        <v/>
      </c>
      <c r="K97" s="12" t="str">
        <f aca="false">IF($L97="","",INDEX(Population!$G$2:$G$1092,$L97)&amp;" / row "&amp;INDEX(Population!$H$2:$H$1092,$L97))</f>
        <v/>
      </c>
      <c r="L97" s="26" t="str">
        <f aca="false">IF(ROWS($L$5:L97)&lt;=N(Summary!$C$7),IFERROR(MATCH("Population 1|R|"&amp;ROWS($L$5:L97),Population!$V$2:$V$1092,0),""),"")</f>
        <v/>
      </c>
    </row>
    <row r="98" customFormat="false" ht="15" hidden="false" customHeight="false" outlineLevel="0" collapsed="false">
      <c r="A98" s="12" t="str">
        <f aca="false">IF($L98="","",INDEX(Population!$B$2:$B$1092,$L98)&amp;"")</f>
        <v/>
      </c>
      <c r="B98" s="12" t="str">
        <f aca="false">IF($L98="","",INDEX(Population!$C$2:$C$1092,$L98)&amp;"")</f>
        <v/>
      </c>
      <c r="C98" s="12" t="str">
        <f aca="false">IF($L98="","",INDEX(Population!$D$2:$D$1092,$L98)&amp;"")</f>
        <v/>
      </c>
      <c r="D98" s="12" t="str">
        <f aca="false">IF($L98="","",INDEX(Population!$E$2:$E$1092,$L98))</f>
        <v/>
      </c>
      <c r="E98" s="12" t="str">
        <f aca="false">IF($L98="","",INDEX(Population!$F$2:$F$1092,$L98))</f>
        <v/>
      </c>
      <c r="F98" s="16" t="str">
        <f aca="false">IF($L98="","",INDEX(Population!$L$2:$L$1092,$L98))</f>
        <v/>
      </c>
      <c r="G98" s="16" t="str">
        <f aca="false">IF($L98="","",INDEX(Population!$M$2:$M$1092,$L98))</f>
        <v/>
      </c>
      <c r="H98" s="27" t="str">
        <f aca="false">IF($L98="","",IF(Summary!$C$9="Random",INDEX(Population!$Q$2:$Q$1092,$L98),INDEX(Population!$S$2:$S$1092,$L98)))</f>
        <v/>
      </c>
      <c r="I98" s="12" t="str">
        <f aca="false">IF($L98="","",IF(Summary!$C$9="Random","Below Materiality – Random","Below Materiality – Highest n"))</f>
        <v/>
      </c>
      <c r="J98" s="12" t="str">
        <f aca="false">IF($L98="","",INDEX(Population!$N$2:$N$1092,$L98))</f>
        <v/>
      </c>
      <c r="K98" s="12" t="str">
        <f aca="false">IF($L98="","",INDEX(Population!$G$2:$G$1092,$L98)&amp;" / row "&amp;INDEX(Population!$H$2:$H$1092,$L98))</f>
        <v/>
      </c>
      <c r="L98" s="26" t="str">
        <f aca="false">IF(ROWS($L$5:L98)&lt;=N(Summary!$C$7),IFERROR(MATCH("Population 1|R|"&amp;ROWS($L$5:L98),Population!$V$2:$V$1092,0),""),"")</f>
        <v/>
      </c>
    </row>
    <row r="99" customFormat="false" ht="15" hidden="false" customHeight="false" outlineLevel="0" collapsed="false">
      <c r="A99" s="12" t="str">
        <f aca="false">IF($L99="","",INDEX(Population!$B$2:$B$1092,$L99)&amp;"")</f>
        <v/>
      </c>
      <c r="B99" s="12" t="str">
        <f aca="false">IF($L99="","",INDEX(Population!$C$2:$C$1092,$L99)&amp;"")</f>
        <v/>
      </c>
      <c r="C99" s="12" t="str">
        <f aca="false">IF($L99="","",INDEX(Population!$D$2:$D$1092,$L99)&amp;"")</f>
        <v/>
      </c>
      <c r="D99" s="12" t="str">
        <f aca="false">IF($L99="","",INDEX(Population!$E$2:$E$1092,$L99))</f>
        <v/>
      </c>
      <c r="E99" s="12" t="str">
        <f aca="false">IF($L99="","",INDEX(Population!$F$2:$F$1092,$L99))</f>
        <v/>
      </c>
      <c r="F99" s="16" t="str">
        <f aca="false">IF($L99="","",INDEX(Population!$L$2:$L$1092,$L99))</f>
        <v/>
      </c>
      <c r="G99" s="16" t="str">
        <f aca="false">IF($L99="","",INDEX(Population!$M$2:$M$1092,$L99))</f>
        <v/>
      </c>
      <c r="H99" s="27" t="str">
        <f aca="false">IF($L99="","",IF(Summary!$C$9="Random",INDEX(Population!$Q$2:$Q$1092,$L99),INDEX(Population!$S$2:$S$1092,$L99)))</f>
        <v/>
      </c>
      <c r="I99" s="12" t="str">
        <f aca="false">IF($L99="","",IF(Summary!$C$9="Random","Below Materiality – Random","Below Materiality – Highest n"))</f>
        <v/>
      </c>
      <c r="J99" s="12" t="str">
        <f aca="false">IF($L99="","",INDEX(Population!$N$2:$N$1092,$L99))</f>
        <v/>
      </c>
      <c r="K99" s="12" t="str">
        <f aca="false">IF($L99="","",INDEX(Population!$G$2:$G$1092,$L99)&amp;" / row "&amp;INDEX(Population!$H$2:$H$1092,$L99))</f>
        <v/>
      </c>
      <c r="L99" s="26" t="str">
        <f aca="false">IF(ROWS($L$5:L99)&lt;=N(Summary!$C$7),IFERROR(MATCH("Population 1|R|"&amp;ROWS($L$5:L99),Population!$V$2:$V$1092,0),""),"")</f>
        <v/>
      </c>
    </row>
    <row r="100" customFormat="false" ht="15" hidden="false" customHeight="false" outlineLevel="0" collapsed="false">
      <c r="A100" s="12" t="str">
        <f aca="false">IF($L100="","",INDEX(Population!$B$2:$B$1092,$L100)&amp;"")</f>
        <v/>
      </c>
      <c r="B100" s="12" t="str">
        <f aca="false">IF($L100="","",INDEX(Population!$C$2:$C$1092,$L100)&amp;"")</f>
        <v/>
      </c>
      <c r="C100" s="12" t="str">
        <f aca="false">IF($L100="","",INDEX(Population!$D$2:$D$1092,$L100)&amp;"")</f>
        <v/>
      </c>
      <c r="D100" s="12" t="str">
        <f aca="false">IF($L100="","",INDEX(Population!$E$2:$E$1092,$L100))</f>
        <v/>
      </c>
      <c r="E100" s="12" t="str">
        <f aca="false">IF($L100="","",INDEX(Population!$F$2:$F$1092,$L100))</f>
        <v/>
      </c>
      <c r="F100" s="16" t="str">
        <f aca="false">IF($L100="","",INDEX(Population!$L$2:$L$1092,$L100))</f>
        <v/>
      </c>
      <c r="G100" s="16" t="str">
        <f aca="false">IF($L100="","",INDEX(Population!$M$2:$M$1092,$L100))</f>
        <v/>
      </c>
      <c r="H100" s="27" t="str">
        <f aca="false">IF($L100="","",IF(Summary!$C$9="Random",INDEX(Population!$Q$2:$Q$1092,$L100),INDEX(Population!$S$2:$S$1092,$L100)))</f>
        <v/>
      </c>
      <c r="I100" s="12" t="str">
        <f aca="false">IF($L100="","",IF(Summary!$C$9="Random","Below Materiality – Random","Below Materiality – Highest n"))</f>
        <v/>
      </c>
      <c r="J100" s="12" t="str">
        <f aca="false">IF($L100="","",INDEX(Population!$N$2:$N$1092,$L100))</f>
        <v/>
      </c>
      <c r="K100" s="12" t="str">
        <f aca="false">IF($L100="","",INDEX(Population!$G$2:$G$1092,$L100)&amp;" / row "&amp;INDEX(Population!$H$2:$H$1092,$L100))</f>
        <v/>
      </c>
      <c r="L100" s="26" t="str">
        <f aca="false">IF(ROWS($L$5:L100)&lt;=N(Summary!$C$7),IFERROR(MATCH("Population 1|R|"&amp;ROWS($L$5:L100),Population!$V$2:$V$1092,0),""),"")</f>
        <v/>
      </c>
    </row>
    <row r="101" customFormat="false" ht="15" hidden="false" customHeight="false" outlineLevel="0" collapsed="false">
      <c r="A101" s="12" t="str">
        <f aca="false">IF($L101="","",INDEX(Population!$B$2:$B$1092,$L101)&amp;"")</f>
        <v/>
      </c>
      <c r="B101" s="12" t="str">
        <f aca="false">IF($L101="","",INDEX(Population!$C$2:$C$1092,$L101)&amp;"")</f>
        <v/>
      </c>
      <c r="C101" s="12" t="str">
        <f aca="false">IF($L101="","",INDEX(Population!$D$2:$D$1092,$L101)&amp;"")</f>
        <v/>
      </c>
      <c r="D101" s="12" t="str">
        <f aca="false">IF($L101="","",INDEX(Population!$E$2:$E$1092,$L101))</f>
        <v/>
      </c>
      <c r="E101" s="12" t="str">
        <f aca="false">IF($L101="","",INDEX(Population!$F$2:$F$1092,$L101))</f>
        <v/>
      </c>
      <c r="F101" s="16" t="str">
        <f aca="false">IF($L101="","",INDEX(Population!$L$2:$L$1092,$L101))</f>
        <v/>
      </c>
      <c r="G101" s="16" t="str">
        <f aca="false">IF($L101="","",INDEX(Population!$M$2:$M$1092,$L101))</f>
        <v/>
      </c>
      <c r="H101" s="27" t="str">
        <f aca="false">IF($L101="","",IF(Summary!$C$9="Random",INDEX(Population!$Q$2:$Q$1092,$L101),INDEX(Population!$S$2:$S$1092,$L101)))</f>
        <v/>
      </c>
      <c r="I101" s="12" t="str">
        <f aca="false">IF($L101="","",IF(Summary!$C$9="Random","Below Materiality – Random","Below Materiality – Highest n"))</f>
        <v/>
      </c>
      <c r="J101" s="12" t="str">
        <f aca="false">IF($L101="","",INDEX(Population!$N$2:$N$1092,$L101))</f>
        <v/>
      </c>
      <c r="K101" s="12" t="str">
        <f aca="false">IF($L101="","",INDEX(Population!$G$2:$G$1092,$L101)&amp;" / row "&amp;INDEX(Population!$H$2:$H$1092,$L101))</f>
        <v/>
      </c>
      <c r="L101" s="26" t="str">
        <f aca="false">IF(ROWS($L$5:L101)&lt;=N(Summary!$C$7),IFERROR(MATCH("Population 1|R|"&amp;ROWS($L$5:L101),Population!$V$2:$V$1092,0),""),"")</f>
        <v/>
      </c>
    </row>
    <row r="102" customFormat="false" ht="15" hidden="false" customHeight="false" outlineLevel="0" collapsed="false">
      <c r="A102" s="12" t="str">
        <f aca="false">IF($L102="","",INDEX(Population!$B$2:$B$1092,$L102)&amp;"")</f>
        <v/>
      </c>
      <c r="B102" s="12" t="str">
        <f aca="false">IF($L102="","",INDEX(Population!$C$2:$C$1092,$L102)&amp;"")</f>
        <v/>
      </c>
      <c r="C102" s="12" t="str">
        <f aca="false">IF($L102="","",INDEX(Population!$D$2:$D$1092,$L102)&amp;"")</f>
        <v/>
      </c>
      <c r="D102" s="12" t="str">
        <f aca="false">IF($L102="","",INDEX(Population!$E$2:$E$1092,$L102))</f>
        <v/>
      </c>
      <c r="E102" s="12" t="str">
        <f aca="false">IF($L102="","",INDEX(Population!$F$2:$F$1092,$L102))</f>
        <v/>
      </c>
      <c r="F102" s="16" t="str">
        <f aca="false">IF($L102="","",INDEX(Population!$L$2:$L$1092,$L102))</f>
        <v/>
      </c>
      <c r="G102" s="16" t="str">
        <f aca="false">IF($L102="","",INDEX(Population!$M$2:$M$1092,$L102))</f>
        <v/>
      </c>
      <c r="H102" s="27" t="str">
        <f aca="false">IF($L102="","",IF(Summary!$C$9="Random",INDEX(Population!$Q$2:$Q$1092,$L102),INDEX(Population!$S$2:$S$1092,$L102)))</f>
        <v/>
      </c>
      <c r="I102" s="12" t="str">
        <f aca="false">IF($L102="","",IF(Summary!$C$9="Random","Below Materiality – Random","Below Materiality – Highest n"))</f>
        <v/>
      </c>
      <c r="J102" s="12" t="str">
        <f aca="false">IF($L102="","",INDEX(Population!$N$2:$N$1092,$L102))</f>
        <v/>
      </c>
      <c r="K102" s="12" t="str">
        <f aca="false">IF($L102="","",INDEX(Population!$G$2:$G$1092,$L102)&amp;" / row "&amp;INDEX(Population!$H$2:$H$1092,$L102))</f>
        <v/>
      </c>
      <c r="L102" s="26" t="str">
        <f aca="false">IF(ROWS($L$5:L102)&lt;=N(Summary!$C$7),IFERROR(MATCH("Population 1|R|"&amp;ROWS($L$5:L102),Population!$V$2:$V$1092,0),""),"")</f>
        <v/>
      </c>
    </row>
    <row r="103" customFormat="false" ht="15" hidden="false" customHeight="false" outlineLevel="0" collapsed="false">
      <c r="A103" s="12" t="str">
        <f aca="false">IF($L103="","",INDEX(Population!$B$2:$B$1092,$L103)&amp;"")</f>
        <v/>
      </c>
      <c r="B103" s="12" t="str">
        <f aca="false">IF($L103="","",INDEX(Population!$C$2:$C$1092,$L103)&amp;"")</f>
        <v/>
      </c>
      <c r="C103" s="12" t="str">
        <f aca="false">IF($L103="","",INDEX(Population!$D$2:$D$1092,$L103)&amp;"")</f>
        <v/>
      </c>
      <c r="D103" s="12" t="str">
        <f aca="false">IF($L103="","",INDEX(Population!$E$2:$E$1092,$L103))</f>
        <v/>
      </c>
      <c r="E103" s="12" t="str">
        <f aca="false">IF($L103="","",INDEX(Population!$F$2:$F$1092,$L103))</f>
        <v/>
      </c>
      <c r="F103" s="16" t="str">
        <f aca="false">IF($L103="","",INDEX(Population!$L$2:$L$1092,$L103))</f>
        <v/>
      </c>
      <c r="G103" s="16" t="str">
        <f aca="false">IF($L103="","",INDEX(Population!$M$2:$M$1092,$L103))</f>
        <v/>
      </c>
      <c r="H103" s="27" t="str">
        <f aca="false">IF($L103="","",IF(Summary!$C$9="Random",INDEX(Population!$Q$2:$Q$1092,$L103),INDEX(Population!$S$2:$S$1092,$L103)))</f>
        <v/>
      </c>
      <c r="I103" s="12" t="str">
        <f aca="false">IF($L103="","",IF(Summary!$C$9="Random","Below Materiality – Random","Below Materiality – Highest n"))</f>
        <v/>
      </c>
      <c r="J103" s="12" t="str">
        <f aca="false">IF($L103="","",INDEX(Population!$N$2:$N$1092,$L103))</f>
        <v/>
      </c>
      <c r="K103" s="12" t="str">
        <f aca="false">IF($L103="","",INDEX(Population!$G$2:$G$1092,$L103)&amp;" / row "&amp;INDEX(Population!$H$2:$H$1092,$L103))</f>
        <v/>
      </c>
      <c r="L103" s="26" t="str">
        <f aca="false">IF(ROWS($L$5:L103)&lt;=N(Summary!$C$7),IFERROR(MATCH("Population 1|R|"&amp;ROWS($L$5:L103),Population!$V$2:$V$1092,0),""),"")</f>
        <v/>
      </c>
    </row>
    <row r="104" customFormat="false" ht="15" hidden="false" customHeight="false" outlineLevel="0" collapsed="false">
      <c r="A104" s="12" t="str">
        <f aca="false">IF($L104="","",INDEX(Population!$B$2:$B$1092,$L104)&amp;"")</f>
        <v/>
      </c>
      <c r="B104" s="12" t="str">
        <f aca="false">IF($L104="","",INDEX(Population!$C$2:$C$1092,$L104)&amp;"")</f>
        <v/>
      </c>
      <c r="C104" s="12" t="str">
        <f aca="false">IF($L104="","",INDEX(Population!$D$2:$D$1092,$L104)&amp;"")</f>
        <v/>
      </c>
      <c r="D104" s="12" t="str">
        <f aca="false">IF($L104="","",INDEX(Population!$E$2:$E$1092,$L104))</f>
        <v/>
      </c>
      <c r="E104" s="12" t="str">
        <f aca="false">IF($L104="","",INDEX(Population!$F$2:$F$1092,$L104))</f>
        <v/>
      </c>
      <c r="F104" s="16" t="str">
        <f aca="false">IF($L104="","",INDEX(Population!$L$2:$L$1092,$L104))</f>
        <v/>
      </c>
      <c r="G104" s="16" t="str">
        <f aca="false">IF($L104="","",INDEX(Population!$M$2:$M$1092,$L104))</f>
        <v/>
      </c>
      <c r="H104" s="27" t="str">
        <f aca="false">IF($L104="","",IF(Summary!$C$9="Random",INDEX(Population!$Q$2:$Q$1092,$L104),INDEX(Population!$S$2:$S$1092,$L104)))</f>
        <v/>
      </c>
      <c r="I104" s="12" t="str">
        <f aca="false">IF($L104="","",IF(Summary!$C$9="Random","Below Materiality – Random","Below Materiality – Highest n"))</f>
        <v/>
      </c>
      <c r="J104" s="12" t="str">
        <f aca="false">IF($L104="","",INDEX(Population!$N$2:$N$1092,$L104))</f>
        <v/>
      </c>
      <c r="K104" s="12" t="str">
        <f aca="false">IF($L104="","",INDEX(Population!$G$2:$G$1092,$L104)&amp;" / row "&amp;INDEX(Population!$H$2:$H$1092,$L104))</f>
        <v/>
      </c>
      <c r="L104" s="26" t="str">
        <f aca="false">IF(ROWS($L$5:L104)&lt;=N(Summary!$C$7),IFERROR(MATCH("Population 1|R|"&amp;ROWS($L$5:L104),Population!$V$2:$V$1092,0),""),"")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60"/>
    <col collapsed="false" customWidth="true" hidden="false" outlineLevel="0" max="7" min="6" style="0" width="17"/>
    <col collapsed="false" customWidth="true" hidden="false" outlineLevel="0" max="8" min="8" style="0" width="15"/>
    <col collapsed="false" customWidth="true" hidden="false" outlineLevel="0" max="9" min="9" style="0" width="26"/>
    <col collapsed="false" customWidth="true" hidden="false" outlineLevel="0" max="10" min="10" style="0" width="20"/>
    <col collapsed="false" customWidth="true" hidden="false" outlineLevel="0" max="11" min="11" style="0" width="40"/>
    <col collapsed="false" customWidth="true" hidden="false" outlineLevel="0" max="12" min="12" style="0" width="12"/>
  </cols>
  <sheetData>
    <row r="1" customFormat="false" ht="16.15" hidden="false" customHeight="false" outlineLevel="0" collapsed="false">
      <c r="A1" s="23" t="str">
        <f aca="false">"Excel 3 – "&amp;Summary!$D$12&amp;": Above Materiality"</f>
        <v>Excel 3 – AP Population (AP file: payables + supplier advances): Above Materiality</v>
      </c>
    </row>
    <row r="2" customFormat="false" ht="15" hidden="false" customHeight="false" outlineLevel="0" collapsed="false">
      <c r="A2" s="25" t="str">
        <f aca="false">"Items listed: "&amp;COUNT(L5:L154)&amp;"   |   Materiality: "&amp;TEXT(Summary!$C$5,"#,##0")</f>
        <v>Items listed: 4   |   Materiality: 10,000</v>
      </c>
    </row>
    <row r="4" customFormat="false" ht="31.5" hidden="false" customHeight="true" outlineLevel="0" collapsed="false">
      <c r="A4" s="11" t="s">
        <v>49</v>
      </c>
      <c r="B4" s="11" t="s">
        <v>50</v>
      </c>
      <c r="C4" s="11" t="s">
        <v>51</v>
      </c>
      <c r="D4" s="11" t="s">
        <v>52</v>
      </c>
      <c r="E4" s="11" t="s">
        <v>53</v>
      </c>
      <c r="F4" s="11" t="s">
        <v>2041</v>
      </c>
      <c r="G4" s="11" t="s">
        <v>60</v>
      </c>
      <c r="H4" s="11" t="s">
        <v>18</v>
      </c>
      <c r="I4" s="11" t="s">
        <v>62</v>
      </c>
      <c r="J4" s="11" t="s">
        <v>61</v>
      </c>
      <c r="K4" s="11" t="s">
        <v>2042</v>
      </c>
      <c r="L4" s="11" t="s">
        <v>2043</v>
      </c>
    </row>
    <row r="5" customFormat="false" ht="15" hidden="false" customHeight="false" outlineLevel="0" collapsed="false">
      <c r="A5" s="12" t="str">
        <f aca="false">IF($L5="","",INDEX(Population!$B$2:$B$1092,$L5)&amp;"")</f>
        <v/>
      </c>
      <c r="B5" s="12" t="str">
        <f aca="false">IF($L5="","",INDEX(Population!$C$2:$C$1092,$L5)&amp;"")</f>
        <v/>
      </c>
      <c r="C5" s="12" t="str">
        <f aca="false">IF($L5="","",INDEX(Population!$D$2:$D$1092,$L5)&amp;"")</f>
        <v/>
      </c>
      <c r="D5" s="12" t="str">
        <f aca="false">IF($L5="","",INDEX(Population!$E$2:$E$1092,$L5))</f>
        <v>HAN S LASER SMART EQUIPMENT GROUP CO.LTD [CHINA]</v>
      </c>
      <c r="E5" s="12" t="str">
        <f aca="false">IF($L5="","",INDEX(Population!$F$2:$F$1092,$L5))</f>
        <v>Party-wise closing balance (Opening 0.00; Debit 177,190.20; Credit 0.00)</v>
      </c>
      <c r="F5" s="16" t="n">
        <f aca="false">IF($L5="","",INDEX(Population!$L$2:$L$1092,$L5))</f>
        <v>177190.2</v>
      </c>
      <c r="G5" s="16" t="n">
        <f aca="false">IF($L5="","",INDEX(Population!$M$2:$M$1092,$L5))</f>
        <v>177190.2</v>
      </c>
      <c r="H5" s="15" t="n">
        <f aca="false">IF($L5="","",Summary!$C$5)</f>
        <v>10000</v>
      </c>
      <c r="I5" s="12" t="str">
        <f aca="false">IF($L5="","","Above Materiality")</f>
        <v>Above Materiality</v>
      </c>
      <c r="J5" s="12" t="str">
        <f aca="false">IF($L5="","",INDEX(Population!$N$2:$N$1092,$L5))</f>
        <v>Supplier Advances</v>
      </c>
      <c r="K5" s="12" t="str">
        <f aca="false">IF($L5="","",INDEX(Population!$G$2:$G$1092,$L5)&amp;" / row "&amp;INDEX(Population!$H$2:$H$1092,$L5))</f>
        <v>AP file / row 90</v>
      </c>
      <c r="L5" s="26" t="n">
        <f aca="false">IFERROR(MATCH("Population 2|A|"&amp;ROWS($L$5:L5),Population!$U$2:$U$1092,0),"")</f>
        <v>1</v>
      </c>
    </row>
    <row r="6" customFormat="false" ht="15" hidden="false" customHeight="false" outlineLevel="0" collapsed="false">
      <c r="A6" s="12" t="str">
        <f aca="false">IF($L6="","",INDEX(Population!$B$2:$B$1092,$L6)&amp;"")</f>
        <v/>
      </c>
      <c r="B6" s="12" t="str">
        <f aca="false">IF($L6="","",INDEX(Population!$C$2:$C$1092,$L6)&amp;"")</f>
        <v/>
      </c>
      <c r="C6" s="12" t="str">
        <f aca="false">IF($L6="","",INDEX(Population!$D$2:$D$1092,$L6)&amp;"")</f>
        <v/>
      </c>
      <c r="D6" s="12" t="str">
        <f aca="false">IF($L6="","",INDEX(Population!$E$2:$E$1092,$L6))</f>
        <v>SIGN CITY TRADING COMPANY</v>
      </c>
      <c r="E6" s="12" t="str">
        <f aca="false">IF($L6="","",INDEX(Population!$F$2:$F$1092,$L6))</f>
        <v>Party-wise closing balance (Opening 0.00; Debit 153,563.00; Credit 225,737.00)</v>
      </c>
      <c r="F6" s="16" t="n">
        <f aca="false">IF($L6="","",INDEX(Population!$L$2:$L$1092,$L6))</f>
        <v>-72174</v>
      </c>
      <c r="G6" s="16" t="n">
        <f aca="false">IF($L6="","",INDEX(Population!$M$2:$M$1092,$L6))</f>
        <v>72174</v>
      </c>
      <c r="H6" s="15" t="n">
        <f aca="false">IF($L6="","",Summary!$C$5)</f>
        <v>10000</v>
      </c>
      <c r="I6" s="12" t="str">
        <f aca="false">IF($L6="","","Above Materiality")</f>
        <v>Above Materiality</v>
      </c>
      <c r="J6" s="12" t="str">
        <f aca="false">IF($L6="","",INDEX(Population!$N$2:$N$1092,$L6))</f>
        <v>Accounts Payable</v>
      </c>
      <c r="K6" s="12" t="str">
        <f aca="false">IF($L6="","",INDEX(Population!$G$2:$G$1092,$L6)&amp;" / row "&amp;INDEX(Population!$H$2:$H$1092,$L6))</f>
        <v>AP file / row 161</v>
      </c>
      <c r="L6" s="26" t="n">
        <f aca="false">IFERROR(MATCH("Population 2|A|"&amp;ROWS($L$5:L6),Population!$U$2:$U$1092,0),"")</f>
        <v>4</v>
      </c>
    </row>
    <row r="7" customFormat="false" ht="15" hidden="false" customHeight="false" outlineLevel="0" collapsed="false">
      <c r="A7" s="12" t="str">
        <f aca="false">IF($L7="","",INDEX(Population!$B$2:$B$1092,$L7)&amp;"")</f>
        <v/>
      </c>
      <c r="B7" s="12" t="str">
        <f aca="false">IF($L7="","",INDEX(Population!$C$2:$C$1092,$L7)&amp;"")</f>
        <v/>
      </c>
      <c r="C7" s="12" t="str">
        <f aca="false">IF($L7="","",INDEX(Population!$D$2:$D$1092,$L7)&amp;"")</f>
        <v/>
      </c>
      <c r="D7" s="12" t="str">
        <f aca="false">IF($L7="","",INDEX(Population!$E$2:$E$1092,$L7))</f>
        <v>AL-HUWAIS TRADING CO.</v>
      </c>
      <c r="E7" s="12" t="str">
        <f aca="false">IF($L7="","",INDEX(Population!$F$2:$F$1092,$L7))</f>
        <v>Party-wise closing balance (Opening 0.00; Debit 165,044.55; Credit 198,831.55)</v>
      </c>
      <c r="F7" s="16" t="n">
        <f aca="false">IF($L7="","",INDEX(Population!$L$2:$L$1092,$L7))</f>
        <v>-33787</v>
      </c>
      <c r="G7" s="16" t="n">
        <f aca="false">IF($L7="","",INDEX(Population!$M$2:$M$1092,$L7))</f>
        <v>33787</v>
      </c>
      <c r="H7" s="15" t="n">
        <f aca="false">IF($L7="","",Summary!$C$5)</f>
        <v>10000</v>
      </c>
      <c r="I7" s="12" t="str">
        <f aca="false">IF($L7="","","Above Materiality")</f>
        <v>Above Materiality</v>
      </c>
      <c r="J7" s="12" t="str">
        <f aca="false">IF($L7="","",INDEX(Population!$N$2:$N$1092,$L7))</f>
        <v>Accounts Payable</v>
      </c>
      <c r="K7" s="12" t="str">
        <f aca="false">IF($L7="","",INDEX(Population!$G$2:$G$1092,$L7)&amp;" / row "&amp;INDEX(Population!$H$2:$H$1092,$L7))</f>
        <v>AP file / row 43</v>
      </c>
      <c r="L7" s="26" t="n">
        <f aca="false">IFERROR(MATCH("Population 2|A|"&amp;ROWS($L$5:L7),Population!$U$2:$U$1092,0),"")</f>
        <v>16</v>
      </c>
    </row>
    <row r="8" customFormat="false" ht="15" hidden="false" customHeight="false" outlineLevel="0" collapsed="false">
      <c r="A8" s="12" t="str">
        <f aca="false">IF($L8="","",INDEX(Population!$B$2:$B$1092,$L8)&amp;"")</f>
        <v/>
      </c>
      <c r="B8" s="12" t="str">
        <f aca="false">IF($L8="","",INDEX(Population!$C$2:$C$1092,$L8)&amp;"")</f>
        <v/>
      </c>
      <c r="C8" s="12" t="str">
        <f aca="false">IF($L8="","",INDEX(Population!$D$2:$D$1092,$L8)&amp;"")</f>
        <v/>
      </c>
      <c r="D8" s="12" t="str">
        <f aca="false">IF($L8="","",INDEX(Population!$E$2:$E$1092,$L8))</f>
        <v>SAUDI HIDAYATH COMPANY LTD</v>
      </c>
      <c r="E8" s="12" t="str">
        <f aca="false">IF($L8="","",INDEX(Population!$F$2:$F$1092,$L8))</f>
        <v>Party-wise closing balance (Opening 0.00; Debit 763,382.00; Credit 793,176.00)</v>
      </c>
      <c r="F8" s="16" t="n">
        <f aca="false">IF($L8="","",INDEX(Population!$L$2:$L$1092,$L8))</f>
        <v>-29794</v>
      </c>
      <c r="G8" s="16" t="n">
        <f aca="false">IF($L8="","",INDEX(Population!$M$2:$M$1092,$L8))</f>
        <v>29794</v>
      </c>
      <c r="H8" s="15" t="n">
        <f aca="false">IF($L8="","",Summary!$C$5)</f>
        <v>10000</v>
      </c>
      <c r="I8" s="12" t="str">
        <f aca="false">IF($L8="","","Above Materiality")</f>
        <v>Above Materiality</v>
      </c>
      <c r="J8" s="12" t="str">
        <f aca="false">IF($L8="","",INDEX(Population!$N$2:$N$1092,$L8))</f>
        <v>Accounts Payable</v>
      </c>
      <c r="K8" s="12" t="str">
        <f aca="false">IF($L8="","",INDEX(Population!$G$2:$G$1092,$L8)&amp;" / row "&amp;INDEX(Population!$H$2:$H$1092,$L8))</f>
        <v>AP file / row 157</v>
      </c>
      <c r="L8" s="26" t="n">
        <f aca="false">IFERROR(MATCH("Population 2|A|"&amp;ROWS($L$5:L8),Population!$U$2:$U$1092,0),"")</f>
        <v>19</v>
      </c>
    </row>
    <row r="9" customFormat="false" ht="15" hidden="false" customHeight="false" outlineLevel="0" collapsed="false">
      <c r="A9" s="12" t="str">
        <f aca="false">IF($L9="","",INDEX(Population!$B$2:$B$1092,$L9)&amp;"")</f>
        <v/>
      </c>
      <c r="B9" s="12" t="str">
        <f aca="false">IF($L9="","",INDEX(Population!$C$2:$C$1092,$L9)&amp;"")</f>
        <v/>
      </c>
      <c r="C9" s="12" t="str">
        <f aca="false">IF($L9="","",INDEX(Population!$D$2:$D$1092,$L9)&amp;"")</f>
        <v/>
      </c>
      <c r="D9" s="12" t="str">
        <f aca="false">IF($L9="","",INDEX(Population!$E$2:$E$1092,$L9))</f>
        <v/>
      </c>
      <c r="E9" s="12" t="str">
        <f aca="false">IF($L9="","",INDEX(Population!$F$2:$F$1092,$L9))</f>
        <v/>
      </c>
      <c r="F9" s="16" t="str">
        <f aca="false">IF($L9="","",INDEX(Population!$L$2:$L$1092,$L9))</f>
        <v/>
      </c>
      <c r="G9" s="16" t="str">
        <f aca="false">IF($L9="","",INDEX(Population!$M$2:$M$1092,$L9))</f>
        <v/>
      </c>
      <c r="H9" s="15" t="str">
        <f aca="false">IF($L9="","",Summary!$C$5)</f>
        <v/>
      </c>
      <c r="I9" s="12" t="str">
        <f aca="false">IF($L9="","","Above Materiality")</f>
        <v/>
      </c>
      <c r="J9" s="12" t="str">
        <f aca="false">IF($L9="","",INDEX(Population!$N$2:$N$1092,$L9))</f>
        <v/>
      </c>
      <c r="K9" s="12" t="str">
        <f aca="false">IF($L9="","",INDEX(Population!$G$2:$G$1092,$L9)&amp;" / row "&amp;INDEX(Population!$H$2:$H$1092,$L9))</f>
        <v/>
      </c>
      <c r="L9" s="26" t="str">
        <f aca="false">IFERROR(MATCH("Population 2|A|"&amp;ROWS($L$5:L9),Population!$U$2:$U$1092,0),"")</f>
        <v/>
      </c>
    </row>
    <row r="10" customFormat="false" ht="15" hidden="false" customHeight="false" outlineLevel="0" collapsed="false">
      <c r="A10" s="12" t="str">
        <f aca="false">IF($L10="","",INDEX(Population!$B$2:$B$1092,$L10)&amp;"")</f>
        <v/>
      </c>
      <c r="B10" s="12" t="str">
        <f aca="false">IF($L10="","",INDEX(Population!$C$2:$C$1092,$L10)&amp;"")</f>
        <v/>
      </c>
      <c r="C10" s="12" t="str">
        <f aca="false">IF($L10="","",INDEX(Population!$D$2:$D$1092,$L10)&amp;"")</f>
        <v/>
      </c>
      <c r="D10" s="12" t="str">
        <f aca="false">IF($L10="","",INDEX(Population!$E$2:$E$1092,$L10))</f>
        <v/>
      </c>
      <c r="E10" s="12" t="str">
        <f aca="false">IF($L10="","",INDEX(Population!$F$2:$F$1092,$L10))</f>
        <v/>
      </c>
      <c r="F10" s="16" t="str">
        <f aca="false">IF($L10="","",INDEX(Population!$L$2:$L$1092,$L10))</f>
        <v/>
      </c>
      <c r="G10" s="16" t="str">
        <f aca="false">IF($L10="","",INDEX(Population!$M$2:$M$1092,$L10))</f>
        <v/>
      </c>
      <c r="H10" s="15" t="str">
        <f aca="false">IF($L10="","",Summary!$C$5)</f>
        <v/>
      </c>
      <c r="I10" s="12" t="str">
        <f aca="false">IF($L10="","","Above Materiality")</f>
        <v/>
      </c>
      <c r="J10" s="12" t="str">
        <f aca="false">IF($L10="","",INDEX(Population!$N$2:$N$1092,$L10))</f>
        <v/>
      </c>
      <c r="K10" s="12" t="str">
        <f aca="false">IF($L10="","",INDEX(Population!$G$2:$G$1092,$L10)&amp;" / row "&amp;INDEX(Population!$H$2:$H$1092,$L10))</f>
        <v/>
      </c>
      <c r="L10" s="26" t="str">
        <f aca="false">IFERROR(MATCH("Population 2|A|"&amp;ROWS($L$5:L10),Population!$U$2:$U$1092,0),"")</f>
        <v/>
      </c>
    </row>
    <row r="11" customFormat="false" ht="15" hidden="false" customHeight="false" outlineLevel="0" collapsed="false">
      <c r="A11" s="12" t="str">
        <f aca="false">IF($L11="","",INDEX(Population!$B$2:$B$1092,$L11)&amp;"")</f>
        <v/>
      </c>
      <c r="B11" s="12" t="str">
        <f aca="false">IF($L11="","",INDEX(Population!$C$2:$C$1092,$L11)&amp;"")</f>
        <v/>
      </c>
      <c r="C11" s="12" t="str">
        <f aca="false">IF($L11="","",INDEX(Population!$D$2:$D$1092,$L11)&amp;"")</f>
        <v/>
      </c>
      <c r="D11" s="12" t="str">
        <f aca="false">IF($L11="","",INDEX(Population!$E$2:$E$1092,$L11))</f>
        <v/>
      </c>
      <c r="E11" s="12" t="str">
        <f aca="false">IF($L11="","",INDEX(Population!$F$2:$F$1092,$L11))</f>
        <v/>
      </c>
      <c r="F11" s="16" t="str">
        <f aca="false">IF($L11="","",INDEX(Population!$L$2:$L$1092,$L11))</f>
        <v/>
      </c>
      <c r="G11" s="16" t="str">
        <f aca="false">IF($L11="","",INDEX(Population!$M$2:$M$1092,$L11))</f>
        <v/>
      </c>
      <c r="H11" s="15" t="str">
        <f aca="false">IF($L11="","",Summary!$C$5)</f>
        <v/>
      </c>
      <c r="I11" s="12" t="str">
        <f aca="false">IF($L11="","","Above Materiality")</f>
        <v/>
      </c>
      <c r="J11" s="12" t="str">
        <f aca="false">IF($L11="","",INDEX(Population!$N$2:$N$1092,$L11))</f>
        <v/>
      </c>
      <c r="K11" s="12" t="str">
        <f aca="false">IF($L11="","",INDEX(Population!$G$2:$G$1092,$L11)&amp;" / row "&amp;INDEX(Population!$H$2:$H$1092,$L11))</f>
        <v/>
      </c>
      <c r="L11" s="26" t="str">
        <f aca="false">IFERROR(MATCH("Population 2|A|"&amp;ROWS($L$5:L11),Population!$U$2:$U$1092,0),"")</f>
        <v/>
      </c>
    </row>
    <row r="12" customFormat="false" ht="15" hidden="false" customHeight="false" outlineLevel="0" collapsed="false">
      <c r="A12" s="12" t="str">
        <f aca="false">IF($L12="","",INDEX(Population!$B$2:$B$1092,$L12)&amp;"")</f>
        <v/>
      </c>
      <c r="B12" s="12" t="str">
        <f aca="false">IF($L12="","",INDEX(Population!$C$2:$C$1092,$L12)&amp;"")</f>
        <v/>
      </c>
      <c r="C12" s="12" t="str">
        <f aca="false">IF($L12="","",INDEX(Population!$D$2:$D$1092,$L12)&amp;"")</f>
        <v/>
      </c>
      <c r="D12" s="12" t="str">
        <f aca="false">IF($L12="","",INDEX(Population!$E$2:$E$1092,$L12))</f>
        <v/>
      </c>
      <c r="E12" s="12" t="str">
        <f aca="false">IF($L12="","",INDEX(Population!$F$2:$F$1092,$L12))</f>
        <v/>
      </c>
      <c r="F12" s="16" t="str">
        <f aca="false">IF($L12="","",INDEX(Population!$L$2:$L$1092,$L12))</f>
        <v/>
      </c>
      <c r="G12" s="16" t="str">
        <f aca="false">IF($L12="","",INDEX(Population!$M$2:$M$1092,$L12))</f>
        <v/>
      </c>
      <c r="H12" s="15" t="str">
        <f aca="false">IF($L12="","",Summary!$C$5)</f>
        <v/>
      </c>
      <c r="I12" s="12" t="str">
        <f aca="false">IF($L12="","","Above Materiality")</f>
        <v/>
      </c>
      <c r="J12" s="12" t="str">
        <f aca="false">IF($L12="","",INDEX(Population!$N$2:$N$1092,$L12))</f>
        <v/>
      </c>
      <c r="K12" s="12" t="str">
        <f aca="false">IF($L12="","",INDEX(Population!$G$2:$G$1092,$L12)&amp;" / row "&amp;INDEX(Population!$H$2:$H$1092,$L12))</f>
        <v/>
      </c>
      <c r="L12" s="26" t="str">
        <f aca="false">IFERROR(MATCH("Population 2|A|"&amp;ROWS($L$5:L12),Population!$U$2:$U$1092,0),"")</f>
        <v/>
      </c>
    </row>
    <row r="13" customFormat="false" ht="15" hidden="false" customHeight="false" outlineLevel="0" collapsed="false">
      <c r="A13" s="12" t="str">
        <f aca="false">IF($L13="","",INDEX(Population!$B$2:$B$1092,$L13)&amp;"")</f>
        <v/>
      </c>
      <c r="B13" s="12" t="str">
        <f aca="false">IF($L13="","",INDEX(Population!$C$2:$C$1092,$L13)&amp;"")</f>
        <v/>
      </c>
      <c r="C13" s="12" t="str">
        <f aca="false">IF($L13="","",INDEX(Population!$D$2:$D$1092,$L13)&amp;"")</f>
        <v/>
      </c>
      <c r="D13" s="12" t="str">
        <f aca="false">IF($L13="","",INDEX(Population!$E$2:$E$1092,$L13))</f>
        <v/>
      </c>
      <c r="E13" s="12" t="str">
        <f aca="false">IF($L13="","",INDEX(Population!$F$2:$F$1092,$L13))</f>
        <v/>
      </c>
      <c r="F13" s="16" t="str">
        <f aca="false">IF($L13="","",INDEX(Population!$L$2:$L$1092,$L13))</f>
        <v/>
      </c>
      <c r="G13" s="16" t="str">
        <f aca="false">IF($L13="","",INDEX(Population!$M$2:$M$1092,$L13))</f>
        <v/>
      </c>
      <c r="H13" s="15" t="str">
        <f aca="false">IF($L13="","",Summary!$C$5)</f>
        <v/>
      </c>
      <c r="I13" s="12" t="str">
        <f aca="false">IF($L13="","","Above Materiality")</f>
        <v/>
      </c>
      <c r="J13" s="12" t="str">
        <f aca="false">IF($L13="","",INDEX(Population!$N$2:$N$1092,$L13))</f>
        <v/>
      </c>
      <c r="K13" s="12" t="str">
        <f aca="false">IF($L13="","",INDEX(Population!$G$2:$G$1092,$L13)&amp;" / row "&amp;INDEX(Population!$H$2:$H$1092,$L13))</f>
        <v/>
      </c>
      <c r="L13" s="26" t="str">
        <f aca="false">IFERROR(MATCH("Population 2|A|"&amp;ROWS($L$5:L13),Population!$U$2:$U$1092,0),"")</f>
        <v/>
      </c>
    </row>
    <row r="14" customFormat="false" ht="15" hidden="false" customHeight="false" outlineLevel="0" collapsed="false">
      <c r="A14" s="12" t="str">
        <f aca="false">IF($L14="","",INDEX(Population!$B$2:$B$1092,$L14)&amp;"")</f>
        <v/>
      </c>
      <c r="B14" s="12" t="str">
        <f aca="false">IF($L14="","",INDEX(Population!$C$2:$C$1092,$L14)&amp;"")</f>
        <v/>
      </c>
      <c r="C14" s="12" t="str">
        <f aca="false">IF($L14="","",INDEX(Population!$D$2:$D$1092,$L14)&amp;"")</f>
        <v/>
      </c>
      <c r="D14" s="12" t="str">
        <f aca="false">IF($L14="","",INDEX(Population!$E$2:$E$1092,$L14))</f>
        <v/>
      </c>
      <c r="E14" s="12" t="str">
        <f aca="false">IF($L14="","",INDEX(Population!$F$2:$F$1092,$L14))</f>
        <v/>
      </c>
      <c r="F14" s="16" t="str">
        <f aca="false">IF($L14="","",INDEX(Population!$L$2:$L$1092,$L14))</f>
        <v/>
      </c>
      <c r="G14" s="16" t="str">
        <f aca="false">IF($L14="","",INDEX(Population!$M$2:$M$1092,$L14))</f>
        <v/>
      </c>
      <c r="H14" s="15" t="str">
        <f aca="false">IF($L14="","",Summary!$C$5)</f>
        <v/>
      </c>
      <c r="I14" s="12" t="str">
        <f aca="false">IF($L14="","","Above Materiality")</f>
        <v/>
      </c>
      <c r="J14" s="12" t="str">
        <f aca="false">IF($L14="","",INDEX(Population!$N$2:$N$1092,$L14))</f>
        <v/>
      </c>
      <c r="K14" s="12" t="str">
        <f aca="false">IF($L14="","",INDEX(Population!$G$2:$G$1092,$L14)&amp;" / row "&amp;INDEX(Population!$H$2:$H$1092,$L14))</f>
        <v/>
      </c>
      <c r="L14" s="26" t="str">
        <f aca="false">IFERROR(MATCH("Population 2|A|"&amp;ROWS($L$5:L14),Population!$U$2:$U$1092,0),"")</f>
        <v/>
      </c>
    </row>
    <row r="15" customFormat="false" ht="15" hidden="false" customHeight="false" outlineLevel="0" collapsed="false">
      <c r="A15" s="12" t="str">
        <f aca="false">IF($L15="","",INDEX(Population!$B$2:$B$1092,$L15)&amp;"")</f>
        <v/>
      </c>
      <c r="B15" s="12" t="str">
        <f aca="false">IF($L15="","",INDEX(Population!$C$2:$C$1092,$L15)&amp;"")</f>
        <v/>
      </c>
      <c r="C15" s="12" t="str">
        <f aca="false">IF($L15="","",INDEX(Population!$D$2:$D$1092,$L15)&amp;"")</f>
        <v/>
      </c>
      <c r="D15" s="12" t="str">
        <f aca="false">IF($L15="","",INDEX(Population!$E$2:$E$1092,$L15))</f>
        <v/>
      </c>
      <c r="E15" s="12" t="str">
        <f aca="false">IF($L15="","",INDEX(Population!$F$2:$F$1092,$L15))</f>
        <v/>
      </c>
      <c r="F15" s="16" t="str">
        <f aca="false">IF($L15="","",INDEX(Population!$L$2:$L$1092,$L15))</f>
        <v/>
      </c>
      <c r="G15" s="16" t="str">
        <f aca="false">IF($L15="","",INDEX(Population!$M$2:$M$1092,$L15))</f>
        <v/>
      </c>
      <c r="H15" s="15" t="str">
        <f aca="false">IF($L15="","",Summary!$C$5)</f>
        <v/>
      </c>
      <c r="I15" s="12" t="str">
        <f aca="false">IF($L15="","","Above Materiality")</f>
        <v/>
      </c>
      <c r="J15" s="12" t="str">
        <f aca="false">IF($L15="","",INDEX(Population!$N$2:$N$1092,$L15))</f>
        <v/>
      </c>
      <c r="K15" s="12" t="str">
        <f aca="false">IF($L15="","",INDEX(Population!$G$2:$G$1092,$L15)&amp;" / row "&amp;INDEX(Population!$H$2:$H$1092,$L15))</f>
        <v/>
      </c>
      <c r="L15" s="26" t="str">
        <f aca="false">IFERROR(MATCH("Population 2|A|"&amp;ROWS($L$5:L15),Population!$U$2:$U$1092,0),"")</f>
        <v/>
      </c>
    </row>
    <row r="16" customFormat="false" ht="15" hidden="false" customHeight="false" outlineLevel="0" collapsed="false">
      <c r="A16" s="12" t="str">
        <f aca="false">IF($L16="","",INDEX(Population!$B$2:$B$1092,$L16)&amp;"")</f>
        <v/>
      </c>
      <c r="B16" s="12" t="str">
        <f aca="false">IF($L16="","",INDEX(Population!$C$2:$C$1092,$L16)&amp;"")</f>
        <v/>
      </c>
      <c r="C16" s="12" t="str">
        <f aca="false">IF($L16="","",INDEX(Population!$D$2:$D$1092,$L16)&amp;"")</f>
        <v/>
      </c>
      <c r="D16" s="12" t="str">
        <f aca="false">IF($L16="","",INDEX(Population!$E$2:$E$1092,$L16))</f>
        <v/>
      </c>
      <c r="E16" s="12" t="str">
        <f aca="false">IF($L16="","",INDEX(Population!$F$2:$F$1092,$L16))</f>
        <v/>
      </c>
      <c r="F16" s="16" t="str">
        <f aca="false">IF($L16="","",INDEX(Population!$L$2:$L$1092,$L16))</f>
        <v/>
      </c>
      <c r="G16" s="16" t="str">
        <f aca="false">IF($L16="","",INDEX(Population!$M$2:$M$1092,$L16))</f>
        <v/>
      </c>
      <c r="H16" s="15" t="str">
        <f aca="false">IF($L16="","",Summary!$C$5)</f>
        <v/>
      </c>
      <c r="I16" s="12" t="str">
        <f aca="false">IF($L16="","","Above Materiality")</f>
        <v/>
      </c>
      <c r="J16" s="12" t="str">
        <f aca="false">IF($L16="","",INDEX(Population!$N$2:$N$1092,$L16))</f>
        <v/>
      </c>
      <c r="K16" s="12" t="str">
        <f aca="false">IF($L16="","",INDEX(Population!$G$2:$G$1092,$L16)&amp;" / row "&amp;INDEX(Population!$H$2:$H$1092,$L16))</f>
        <v/>
      </c>
      <c r="L16" s="26" t="str">
        <f aca="false">IFERROR(MATCH("Population 2|A|"&amp;ROWS($L$5:L16),Population!$U$2:$U$1092,0),"")</f>
        <v/>
      </c>
    </row>
    <row r="17" customFormat="false" ht="15" hidden="false" customHeight="false" outlineLevel="0" collapsed="false">
      <c r="A17" s="12" t="str">
        <f aca="false">IF($L17="","",INDEX(Population!$B$2:$B$1092,$L17)&amp;"")</f>
        <v/>
      </c>
      <c r="B17" s="12" t="str">
        <f aca="false">IF($L17="","",INDEX(Population!$C$2:$C$1092,$L17)&amp;"")</f>
        <v/>
      </c>
      <c r="C17" s="12" t="str">
        <f aca="false">IF($L17="","",INDEX(Population!$D$2:$D$1092,$L17)&amp;"")</f>
        <v/>
      </c>
      <c r="D17" s="12" t="str">
        <f aca="false">IF($L17="","",INDEX(Population!$E$2:$E$1092,$L17))</f>
        <v/>
      </c>
      <c r="E17" s="12" t="str">
        <f aca="false">IF($L17="","",INDEX(Population!$F$2:$F$1092,$L17))</f>
        <v/>
      </c>
      <c r="F17" s="16" t="str">
        <f aca="false">IF($L17="","",INDEX(Population!$L$2:$L$1092,$L17))</f>
        <v/>
      </c>
      <c r="G17" s="16" t="str">
        <f aca="false">IF($L17="","",INDEX(Population!$M$2:$M$1092,$L17))</f>
        <v/>
      </c>
      <c r="H17" s="15" t="str">
        <f aca="false">IF($L17="","",Summary!$C$5)</f>
        <v/>
      </c>
      <c r="I17" s="12" t="str">
        <f aca="false">IF($L17="","","Above Materiality")</f>
        <v/>
      </c>
      <c r="J17" s="12" t="str">
        <f aca="false">IF($L17="","",INDEX(Population!$N$2:$N$1092,$L17))</f>
        <v/>
      </c>
      <c r="K17" s="12" t="str">
        <f aca="false">IF($L17="","",INDEX(Population!$G$2:$G$1092,$L17)&amp;" / row "&amp;INDEX(Population!$H$2:$H$1092,$L17))</f>
        <v/>
      </c>
      <c r="L17" s="26" t="str">
        <f aca="false">IFERROR(MATCH("Population 2|A|"&amp;ROWS($L$5:L17),Population!$U$2:$U$1092,0),"")</f>
        <v/>
      </c>
    </row>
    <row r="18" customFormat="false" ht="15" hidden="false" customHeight="false" outlineLevel="0" collapsed="false">
      <c r="A18" s="12" t="str">
        <f aca="false">IF($L18="","",INDEX(Population!$B$2:$B$1092,$L18)&amp;"")</f>
        <v/>
      </c>
      <c r="B18" s="12" t="str">
        <f aca="false">IF($L18="","",INDEX(Population!$C$2:$C$1092,$L18)&amp;"")</f>
        <v/>
      </c>
      <c r="C18" s="12" t="str">
        <f aca="false">IF($L18="","",INDEX(Population!$D$2:$D$1092,$L18)&amp;"")</f>
        <v/>
      </c>
      <c r="D18" s="12" t="str">
        <f aca="false">IF($L18="","",INDEX(Population!$E$2:$E$1092,$L18))</f>
        <v/>
      </c>
      <c r="E18" s="12" t="str">
        <f aca="false">IF($L18="","",INDEX(Population!$F$2:$F$1092,$L18))</f>
        <v/>
      </c>
      <c r="F18" s="16" t="str">
        <f aca="false">IF($L18="","",INDEX(Population!$L$2:$L$1092,$L18))</f>
        <v/>
      </c>
      <c r="G18" s="16" t="str">
        <f aca="false">IF($L18="","",INDEX(Population!$M$2:$M$1092,$L18))</f>
        <v/>
      </c>
      <c r="H18" s="15" t="str">
        <f aca="false">IF($L18="","",Summary!$C$5)</f>
        <v/>
      </c>
      <c r="I18" s="12" t="str">
        <f aca="false">IF($L18="","","Above Materiality")</f>
        <v/>
      </c>
      <c r="J18" s="12" t="str">
        <f aca="false">IF($L18="","",INDEX(Population!$N$2:$N$1092,$L18))</f>
        <v/>
      </c>
      <c r="K18" s="12" t="str">
        <f aca="false">IF($L18="","",INDEX(Population!$G$2:$G$1092,$L18)&amp;" / row "&amp;INDEX(Population!$H$2:$H$1092,$L18))</f>
        <v/>
      </c>
      <c r="L18" s="26" t="str">
        <f aca="false">IFERROR(MATCH("Population 2|A|"&amp;ROWS($L$5:L18),Population!$U$2:$U$1092,0),"")</f>
        <v/>
      </c>
    </row>
    <row r="19" customFormat="false" ht="15" hidden="false" customHeight="false" outlineLevel="0" collapsed="false">
      <c r="A19" s="12" t="str">
        <f aca="false">IF($L19="","",INDEX(Population!$B$2:$B$1092,$L19)&amp;"")</f>
        <v/>
      </c>
      <c r="B19" s="12" t="str">
        <f aca="false">IF($L19="","",INDEX(Population!$C$2:$C$1092,$L19)&amp;"")</f>
        <v/>
      </c>
      <c r="C19" s="12" t="str">
        <f aca="false">IF($L19="","",INDEX(Population!$D$2:$D$1092,$L19)&amp;"")</f>
        <v/>
      </c>
      <c r="D19" s="12" t="str">
        <f aca="false">IF($L19="","",INDEX(Population!$E$2:$E$1092,$L19))</f>
        <v/>
      </c>
      <c r="E19" s="12" t="str">
        <f aca="false">IF($L19="","",INDEX(Population!$F$2:$F$1092,$L19))</f>
        <v/>
      </c>
      <c r="F19" s="16" t="str">
        <f aca="false">IF($L19="","",INDEX(Population!$L$2:$L$1092,$L19))</f>
        <v/>
      </c>
      <c r="G19" s="16" t="str">
        <f aca="false">IF($L19="","",INDEX(Population!$M$2:$M$1092,$L19))</f>
        <v/>
      </c>
      <c r="H19" s="15" t="str">
        <f aca="false">IF($L19="","",Summary!$C$5)</f>
        <v/>
      </c>
      <c r="I19" s="12" t="str">
        <f aca="false">IF($L19="","","Above Materiality")</f>
        <v/>
      </c>
      <c r="J19" s="12" t="str">
        <f aca="false">IF($L19="","",INDEX(Population!$N$2:$N$1092,$L19))</f>
        <v/>
      </c>
      <c r="K19" s="12" t="str">
        <f aca="false">IF($L19="","",INDEX(Population!$G$2:$G$1092,$L19)&amp;" / row "&amp;INDEX(Population!$H$2:$H$1092,$L19))</f>
        <v/>
      </c>
      <c r="L19" s="26" t="str">
        <f aca="false">IFERROR(MATCH("Population 2|A|"&amp;ROWS($L$5:L19),Population!$U$2:$U$1092,0),"")</f>
        <v/>
      </c>
    </row>
    <row r="20" customFormat="false" ht="15" hidden="false" customHeight="false" outlineLevel="0" collapsed="false">
      <c r="A20" s="12" t="str">
        <f aca="false">IF($L20="","",INDEX(Population!$B$2:$B$1092,$L20)&amp;"")</f>
        <v/>
      </c>
      <c r="B20" s="12" t="str">
        <f aca="false">IF($L20="","",INDEX(Population!$C$2:$C$1092,$L20)&amp;"")</f>
        <v/>
      </c>
      <c r="C20" s="12" t="str">
        <f aca="false">IF($L20="","",INDEX(Population!$D$2:$D$1092,$L20)&amp;"")</f>
        <v/>
      </c>
      <c r="D20" s="12" t="str">
        <f aca="false">IF($L20="","",INDEX(Population!$E$2:$E$1092,$L20))</f>
        <v/>
      </c>
      <c r="E20" s="12" t="str">
        <f aca="false">IF($L20="","",INDEX(Population!$F$2:$F$1092,$L20))</f>
        <v/>
      </c>
      <c r="F20" s="16" t="str">
        <f aca="false">IF($L20="","",INDEX(Population!$L$2:$L$1092,$L20))</f>
        <v/>
      </c>
      <c r="G20" s="16" t="str">
        <f aca="false">IF($L20="","",INDEX(Population!$M$2:$M$1092,$L20))</f>
        <v/>
      </c>
      <c r="H20" s="15" t="str">
        <f aca="false">IF($L20="","",Summary!$C$5)</f>
        <v/>
      </c>
      <c r="I20" s="12" t="str">
        <f aca="false">IF($L20="","","Above Materiality")</f>
        <v/>
      </c>
      <c r="J20" s="12" t="str">
        <f aca="false">IF($L20="","",INDEX(Population!$N$2:$N$1092,$L20))</f>
        <v/>
      </c>
      <c r="K20" s="12" t="str">
        <f aca="false">IF($L20="","",INDEX(Population!$G$2:$G$1092,$L20)&amp;" / row "&amp;INDEX(Population!$H$2:$H$1092,$L20))</f>
        <v/>
      </c>
      <c r="L20" s="26" t="str">
        <f aca="false">IFERROR(MATCH("Population 2|A|"&amp;ROWS($L$5:L20),Population!$U$2:$U$1092,0),"")</f>
        <v/>
      </c>
    </row>
    <row r="21" customFormat="false" ht="15" hidden="false" customHeight="false" outlineLevel="0" collapsed="false">
      <c r="A21" s="12" t="str">
        <f aca="false">IF($L21="","",INDEX(Population!$B$2:$B$1092,$L21)&amp;"")</f>
        <v/>
      </c>
      <c r="B21" s="12" t="str">
        <f aca="false">IF($L21="","",INDEX(Population!$C$2:$C$1092,$L21)&amp;"")</f>
        <v/>
      </c>
      <c r="C21" s="12" t="str">
        <f aca="false">IF($L21="","",INDEX(Population!$D$2:$D$1092,$L21)&amp;"")</f>
        <v/>
      </c>
      <c r="D21" s="12" t="str">
        <f aca="false">IF($L21="","",INDEX(Population!$E$2:$E$1092,$L21))</f>
        <v/>
      </c>
      <c r="E21" s="12" t="str">
        <f aca="false">IF($L21="","",INDEX(Population!$F$2:$F$1092,$L21))</f>
        <v/>
      </c>
      <c r="F21" s="16" t="str">
        <f aca="false">IF($L21="","",INDEX(Population!$L$2:$L$1092,$L21))</f>
        <v/>
      </c>
      <c r="G21" s="16" t="str">
        <f aca="false">IF($L21="","",INDEX(Population!$M$2:$M$1092,$L21))</f>
        <v/>
      </c>
      <c r="H21" s="15" t="str">
        <f aca="false">IF($L21="","",Summary!$C$5)</f>
        <v/>
      </c>
      <c r="I21" s="12" t="str">
        <f aca="false">IF($L21="","","Above Materiality")</f>
        <v/>
      </c>
      <c r="J21" s="12" t="str">
        <f aca="false">IF($L21="","",INDEX(Population!$N$2:$N$1092,$L21))</f>
        <v/>
      </c>
      <c r="K21" s="12" t="str">
        <f aca="false">IF($L21="","",INDEX(Population!$G$2:$G$1092,$L21)&amp;" / row "&amp;INDEX(Population!$H$2:$H$1092,$L21))</f>
        <v/>
      </c>
      <c r="L21" s="26" t="str">
        <f aca="false">IFERROR(MATCH("Population 2|A|"&amp;ROWS($L$5:L21),Population!$U$2:$U$1092,0),"")</f>
        <v/>
      </c>
    </row>
    <row r="22" customFormat="false" ht="15" hidden="false" customHeight="false" outlineLevel="0" collapsed="false">
      <c r="A22" s="12" t="str">
        <f aca="false">IF($L22="","",INDEX(Population!$B$2:$B$1092,$L22)&amp;"")</f>
        <v/>
      </c>
      <c r="B22" s="12" t="str">
        <f aca="false">IF($L22="","",INDEX(Population!$C$2:$C$1092,$L22)&amp;"")</f>
        <v/>
      </c>
      <c r="C22" s="12" t="str">
        <f aca="false">IF($L22="","",INDEX(Population!$D$2:$D$1092,$L22)&amp;"")</f>
        <v/>
      </c>
      <c r="D22" s="12" t="str">
        <f aca="false">IF($L22="","",INDEX(Population!$E$2:$E$1092,$L22))</f>
        <v/>
      </c>
      <c r="E22" s="12" t="str">
        <f aca="false">IF($L22="","",INDEX(Population!$F$2:$F$1092,$L22))</f>
        <v/>
      </c>
      <c r="F22" s="16" t="str">
        <f aca="false">IF($L22="","",INDEX(Population!$L$2:$L$1092,$L22))</f>
        <v/>
      </c>
      <c r="G22" s="16" t="str">
        <f aca="false">IF($L22="","",INDEX(Population!$M$2:$M$1092,$L22))</f>
        <v/>
      </c>
      <c r="H22" s="15" t="str">
        <f aca="false">IF($L22="","",Summary!$C$5)</f>
        <v/>
      </c>
      <c r="I22" s="12" t="str">
        <f aca="false">IF($L22="","","Above Materiality")</f>
        <v/>
      </c>
      <c r="J22" s="12" t="str">
        <f aca="false">IF($L22="","",INDEX(Population!$N$2:$N$1092,$L22))</f>
        <v/>
      </c>
      <c r="K22" s="12" t="str">
        <f aca="false">IF($L22="","",INDEX(Population!$G$2:$G$1092,$L22)&amp;" / row "&amp;INDEX(Population!$H$2:$H$1092,$L22))</f>
        <v/>
      </c>
      <c r="L22" s="26" t="str">
        <f aca="false">IFERROR(MATCH("Population 2|A|"&amp;ROWS($L$5:L22),Population!$U$2:$U$1092,0),"")</f>
        <v/>
      </c>
    </row>
    <row r="23" customFormat="false" ht="15" hidden="false" customHeight="false" outlineLevel="0" collapsed="false">
      <c r="A23" s="12" t="str">
        <f aca="false">IF($L23="","",INDEX(Population!$B$2:$B$1092,$L23)&amp;"")</f>
        <v/>
      </c>
      <c r="B23" s="12" t="str">
        <f aca="false">IF($L23="","",INDEX(Population!$C$2:$C$1092,$L23)&amp;"")</f>
        <v/>
      </c>
      <c r="C23" s="12" t="str">
        <f aca="false">IF($L23="","",INDEX(Population!$D$2:$D$1092,$L23)&amp;"")</f>
        <v/>
      </c>
      <c r="D23" s="12" t="str">
        <f aca="false">IF($L23="","",INDEX(Population!$E$2:$E$1092,$L23))</f>
        <v/>
      </c>
      <c r="E23" s="12" t="str">
        <f aca="false">IF($L23="","",INDEX(Population!$F$2:$F$1092,$L23))</f>
        <v/>
      </c>
      <c r="F23" s="16" t="str">
        <f aca="false">IF($L23="","",INDEX(Population!$L$2:$L$1092,$L23))</f>
        <v/>
      </c>
      <c r="G23" s="16" t="str">
        <f aca="false">IF($L23="","",INDEX(Population!$M$2:$M$1092,$L23))</f>
        <v/>
      </c>
      <c r="H23" s="15" t="str">
        <f aca="false">IF($L23="","",Summary!$C$5)</f>
        <v/>
      </c>
      <c r="I23" s="12" t="str">
        <f aca="false">IF($L23="","","Above Materiality")</f>
        <v/>
      </c>
      <c r="J23" s="12" t="str">
        <f aca="false">IF($L23="","",INDEX(Population!$N$2:$N$1092,$L23))</f>
        <v/>
      </c>
      <c r="K23" s="12" t="str">
        <f aca="false">IF($L23="","",INDEX(Population!$G$2:$G$1092,$L23)&amp;" / row "&amp;INDEX(Population!$H$2:$H$1092,$L23))</f>
        <v/>
      </c>
      <c r="L23" s="26" t="str">
        <f aca="false">IFERROR(MATCH("Population 2|A|"&amp;ROWS($L$5:L23),Population!$U$2:$U$1092,0),"")</f>
        <v/>
      </c>
    </row>
    <row r="24" customFormat="false" ht="15" hidden="false" customHeight="false" outlineLevel="0" collapsed="false">
      <c r="A24" s="12" t="str">
        <f aca="false">IF($L24="","",INDEX(Population!$B$2:$B$1092,$L24)&amp;"")</f>
        <v/>
      </c>
      <c r="B24" s="12" t="str">
        <f aca="false">IF($L24="","",INDEX(Population!$C$2:$C$1092,$L24)&amp;"")</f>
        <v/>
      </c>
      <c r="C24" s="12" t="str">
        <f aca="false">IF($L24="","",INDEX(Population!$D$2:$D$1092,$L24)&amp;"")</f>
        <v/>
      </c>
      <c r="D24" s="12" t="str">
        <f aca="false">IF($L24="","",INDEX(Population!$E$2:$E$1092,$L24))</f>
        <v/>
      </c>
      <c r="E24" s="12" t="str">
        <f aca="false">IF($L24="","",INDEX(Population!$F$2:$F$1092,$L24))</f>
        <v/>
      </c>
      <c r="F24" s="16" t="str">
        <f aca="false">IF($L24="","",INDEX(Population!$L$2:$L$1092,$L24))</f>
        <v/>
      </c>
      <c r="G24" s="16" t="str">
        <f aca="false">IF($L24="","",INDEX(Population!$M$2:$M$1092,$L24))</f>
        <v/>
      </c>
      <c r="H24" s="15" t="str">
        <f aca="false">IF($L24="","",Summary!$C$5)</f>
        <v/>
      </c>
      <c r="I24" s="12" t="str">
        <f aca="false">IF($L24="","","Above Materiality")</f>
        <v/>
      </c>
      <c r="J24" s="12" t="str">
        <f aca="false">IF($L24="","",INDEX(Population!$N$2:$N$1092,$L24))</f>
        <v/>
      </c>
      <c r="K24" s="12" t="str">
        <f aca="false">IF($L24="","",INDEX(Population!$G$2:$G$1092,$L24)&amp;" / row "&amp;INDEX(Population!$H$2:$H$1092,$L24))</f>
        <v/>
      </c>
      <c r="L24" s="26" t="str">
        <f aca="false">IFERROR(MATCH("Population 2|A|"&amp;ROWS($L$5:L24),Population!$U$2:$U$1092,0),"")</f>
        <v/>
      </c>
    </row>
    <row r="25" customFormat="false" ht="15" hidden="false" customHeight="false" outlineLevel="0" collapsed="false">
      <c r="A25" s="12" t="str">
        <f aca="false">IF($L25="","",INDEX(Population!$B$2:$B$1092,$L25)&amp;"")</f>
        <v/>
      </c>
      <c r="B25" s="12" t="str">
        <f aca="false">IF($L25="","",INDEX(Population!$C$2:$C$1092,$L25)&amp;"")</f>
        <v/>
      </c>
      <c r="C25" s="12" t="str">
        <f aca="false">IF($L25="","",INDEX(Population!$D$2:$D$1092,$L25)&amp;"")</f>
        <v/>
      </c>
      <c r="D25" s="12" t="str">
        <f aca="false">IF($L25="","",INDEX(Population!$E$2:$E$1092,$L25))</f>
        <v/>
      </c>
      <c r="E25" s="12" t="str">
        <f aca="false">IF($L25="","",INDEX(Population!$F$2:$F$1092,$L25))</f>
        <v/>
      </c>
      <c r="F25" s="16" t="str">
        <f aca="false">IF($L25="","",INDEX(Population!$L$2:$L$1092,$L25))</f>
        <v/>
      </c>
      <c r="G25" s="16" t="str">
        <f aca="false">IF($L25="","",INDEX(Population!$M$2:$M$1092,$L25))</f>
        <v/>
      </c>
      <c r="H25" s="15" t="str">
        <f aca="false">IF($L25="","",Summary!$C$5)</f>
        <v/>
      </c>
      <c r="I25" s="12" t="str">
        <f aca="false">IF($L25="","","Above Materiality")</f>
        <v/>
      </c>
      <c r="J25" s="12" t="str">
        <f aca="false">IF($L25="","",INDEX(Population!$N$2:$N$1092,$L25))</f>
        <v/>
      </c>
      <c r="K25" s="12" t="str">
        <f aca="false">IF($L25="","",INDEX(Population!$G$2:$G$1092,$L25)&amp;" / row "&amp;INDEX(Population!$H$2:$H$1092,$L25))</f>
        <v/>
      </c>
      <c r="L25" s="26" t="str">
        <f aca="false">IFERROR(MATCH("Population 2|A|"&amp;ROWS($L$5:L25),Population!$U$2:$U$1092,0),"")</f>
        <v/>
      </c>
    </row>
    <row r="26" customFormat="false" ht="15" hidden="false" customHeight="false" outlineLevel="0" collapsed="false">
      <c r="A26" s="12" t="str">
        <f aca="false">IF($L26="","",INDEX(Population!$B$2:$B$1092,$L26)&amp;"")</f>
        <v/>
      </c>
      <c r="B26" s="12" t="str">
        <f aca="false">IF($L26="","",INDEX(Population!$C$2:$C$1092,$L26)&amp;"")</f>
        <v/>
      </c>
      <c r="C26" s="12" t="str">
        <f aca="false">IF($L26="","",INDEX(Population!$D$2:$D$1092,$L26)&amp;"")</f>
        <v/>
      </c>
      <c r="D26" s="12" t="str">
        <f aca="false">IF($L26="","",INDEX(Population!$E$2:$E$1092,$L26))</f>
        <v/>
      </c>
      <c r="E26" s="12" t="str">
        <f aca="false">IF($L26="","",INDEX(Population!$F$2:$F$1092,$L26))</f>
        <v/>
      </c>
      <c r="F26" s="16" t="str">
        <f aca="false">IF($L26="","",INDEX(Population!$L$2:$L$1092,$L26))</f>
        <v/>
      </c>
      <c r="G26" s="16" t="str">
        <f aca="false">IF($L26="","",INDEX(Population!$M$2:$M$1092,$L26))</f>
        <v/>
      </c>
      <c r="H26" s="15" t="str">
        <f aca="false">IF($L26="","",Summary!$C$5)</f>
        <v/>
      </c>
      <c r="I26" s="12" t="str">
        <f aca="false">IF($L26="","","Above Materiality")</f>
        <v/>
      </c>
      <c r="J26" s="12" t="str">
        <f aca="false">IF($L26="","",INDEX(Population!$N$2:$N$1092,$L26))</f>
        <v/>
      </c>
      <c r="K26" s="12" t="str">
        <f aca="false">IF($L26="","",INDEX(Population!$G$2:$G$1092,$L26)&amp;" / row "&amp;INDEX(Population!$H$2:$H$1092,$L26))</f>
        <v/>
      </c>
      <c r="L26" s="26" t="str">
        <f aca="false">IFERROR(MATCH("Population 2|A|"&amp;ROWS($L$5:L26),Population!$U$2:$U$1092,0),"")</f>
        <v/>
      </c>
    </row>
    <row r="27" customFormat="false" ht="15" hidden="false" customHeight="false" outlineLevel="0" collapsed="false">
      <c r="A27" s="12" t="str">
        <f aca="false">IF($L27="","",INDEX(Population!$B$2:$B$1092,$L27)&amp;"")</f>
        <v/>
      </c>
      <c r="B27" s="12" t="str">
        <f aca="false">IF($L27="","",INDEX(Population!$C$2:$C$1092,$L27)&amp;"")</f>
        <v/>
      </c>
      <c r="C27" s="12" t="str">
        <f aca="false">IF($L27="","",INDEX(Population!$D$2:$D$1092,$L27)&amp;"")</f>
        <v/>
      </c>
      <c r="D27" s="12" t="str">
        <f aca="false">IF($L27="","",INDEX(Population!$E$2:$E$1092,$L27))</f>
        <v/>
      </c>
      <c r="E27" s="12" t="str">
        <f aca="false">IF($L27="","",INDEX(Population!$F$2:$F$1092,$L27))</f>
        <v/>
      </c>
      <c r="F27" s="16" t="str">
        <f aca="false">IF($L27="","",INDEX(Population!$L$2:$L$1092,$L27))</f>
        <v/>
      </c>
      <c r="G27" s="16" t="str">
        <f aca="false">IF($L27="","",INDEX(Population!$M$2:$M$1092,$L27))</f>
        <v/>
      </c>
      <c r="H27" s="15" t="str">
        <f aca="false">IF($L27="","",Summary!$C$5)</f>
        <v/>
      </c>
      <c r="I27" s="12" t="str">
        <f aca="false">IF($L27="","","Above Materiality")</f>
        <v/>
      </c>
      <c r="J27" s="12" t="str">
        <f aca="false">IF($L27="","",INDEX(Population!$N$2:$N$1092,$L27))</f>
        <v/>
      </c>
      <c r="K27" s="12" t="str">
        <f aca="false">IF($L27="","",INDEX(Population!$G$2:$G$1092,$L27)&amp;" / row "&amp;INDEX(Population!$H$2:$H$1092,$L27))</f>
        <v/>
      </c>
      <c r="L27" s="26" t="str">
        <f aca="false">IFERROR(MATCH("Population 2|A|"&amp;ROWS($L$5:L27),Population!$U$2:$U$1092,0),"")</f>
        <v/>
      </c>
    </row>
    <row r="28" customFormat="false" ht="15" hidden="false" customHeight="false" outlineLevel="0" collapsed="false">
      <c r="A28" s="12" t="str">
        <f aca="false">IF($L28="","",INDEX(Population!$B$2:$B$1092,$L28)&amp;"")</f>
        <v/>
      </c>
      <c r="B28" s="12" t="str">
        <f aca="false">IF($L28="","",INDEX(Population!$C$2:$C$1092,$L28)&amp;"")</f>
        <v/>
      </c>
      <c r="C28" s="12" t="str">
        <f aca="false">IF($L28="","",INDEX(Population!$D$2:$D$1092,$L28)&amp;"")</f>
        <v/>
      </c>
      <c r="D28" s="12" t="str">
        <f aca="false">IF($L28="","",INDEX(Population!$E$2:$E$1092,$L28))</f>
        <v/>
      </c>
      <c r="E28" s="12" t="str">
        <f aca="false">IF($L28="","",INDEX(Population!$F$2:$F$1092,$L28))</f>
        <v/>
      </c>
      <c r="F28" s="16" t="str">
        <f aca="false">IF($L28="","",INDEX(Population!$L$2:$L$1092,$L28))</f>
        <v/>
      </c>
      <c r="G28" s="16" t="str">
        <f aca="false">IF($L28="","",INDEX(Population!$M$2:$M$1092,$L28))</f>
        <v/>
      </c>
      <c r="H28" s="15" t="str">
        <f aca="false">IF($L28="","",Summary!$C$5)</f>
        <v/>
      </c>
      <c r="I28" s="12" t="str">
        <f aca="false">IF($L28="","","Above Materiality")</f>
        <v/>
      </c>
      <c r="J28" s="12" t="str">
        <f aca="false">IF($L28="","",INDEX(Population!$N$2:$N$1092,$L28))</f>
        <v/>
      </c>
      <c r="K28" s="12" t="str">
        <f aca="false">IF($L28="","",INDEX(Population!$G$2:$G$1092,$L28)&amp;" / row "&amp;INDEX(Population!$H$2:$H$1092,$L28))</f>
        <v/>
      </c>
      <c r="L28" s="26" t="str">
        <f aca="false">IFERROR(MATCH("Population 2|A|"&amp;ROWS($L$5:L28),Population!$U$2:$U$1092,0),"")</f>
        <v/>
      </c>
    </row>
    <row r="29" customFormat="false" ht="15" hidden="false" customHeight="false" outlineLevel="0" collapsed="false">
      <c r="A29" s="12" t="str">
        <f aca="false">IF($L29="","",INDEX(Population!$B$2:$B$1092,$L29)&amp;"")</f>
        <v/>
      </c>
      <c r="B29" s="12" t="str">
        <f aca="false">IF($L29="","",INDEX(Population!$C$2:$C$1092,$L29)&amp;"")</f>
        <v/>
      </c>
      <c r="C29" s="12" t="str">
        <f aca="false">IF($L29="","",INDEX(Population!$D$2:$D$1092,$L29)&amp;"")</f>
        <v/>
      </c>
      <c r="D29" s="12" t="str">
        <f aca="false">IF($L29="","",INDEX(Population!$E$2:$E$1092,$L29))</f>
        <v/>
      </c>
      <c r="E29" s="12" t="str">
        <f aca="false">IF($L29="","",INDEX(Population!$F$2:$F$1092,$L29))</f>
        <v/>
      </c>
      <c r="F29" s="16" t="str">
        <f aca="false">IF($L29="","",INDEX(Population!$L$2:$L$1092,$L29))</f>
        <v/>
      </c>
      <c r="G29" s="16" t="str">
        <f aca="false">IF($L29="","",INDEX(Population!$M$2:$M$1092,$L29))</f>
        <v/>
      </c>
      <c r="H29" s="15" t="str">
        <f aca="false">IF($L29="","",Summary!$C$5)</f>
        <v/>
      </c>
      <c r="I29" s="12" t="str">
        <f aca="false">IF($L29="","","Above Materiality")</f>
        <v/>
      </c>
      <c r="J29" s="12" t="str">
        <f aca="false">IF($L29="","",INDEX(Population!$N$2:$N$1092,$L29))</f>
        <v/>
      </c>
      <c r="K29" s="12" t="str">
        <f aca="false">IF($L29="","",INDEX(Population!$G$2:$G$1092,$L29)&amp;" / row "&amp;INDEX(Population!$H$2:$H$1092,$L29))</f>
        <v/>
      </c>
      <c r="L29" s="26" t="str">
        <f aca="false">IFERROR(MATCH("Population 2|A|"&amp;ROWS($L$5:L29),Population!$U$2:$U$1092,0),"")</f>
        <v/>
      </c>
    </row>
    <row r="30" customFormat="false" ht="15" hidden="false" customHeight="false" outlineLevel="0" collapsed="false">
      <c r="A30" s="12" t="str">
        <f aca="false">IF($L30="","",INDEX(Population!$B$2:$B$1092,$L30)&amp;"")</f>
        <v/>
      </c>
      <c r="B30" s="12" t="str">
        <f aca="false">IF($L30="","",INDEX(Population!$C$2:$C$1092,$L30)&amp;"")</f>
        <v/>
      </c>
      <c r="C30" s="12" t="str">
        <f aca="false">IF($L30="","",INDEX(Population!$D$2:$D$1092,$L30)&amp;"")</f>
        <v/>
      </c>
      <c r="D30" s="12" t="str">
        <f aca="false">IF($L30="","",INDEX(Population!$E$2:$E$1092,$L30))</f>
        <v/>
      </c>
      <c r="E30" s="12" t="str">
        <f aca="false">IF($L30="","",INDEX(Population!$F$2:$F$1092,$L30))</f>
        <v/>
      </c>
      <c r="F30" s="16" t="str">
        <f aca="false">IF($L30="","",INDEX(Population!$L$2:$L$1092,$L30))</f>
        <v/>
      </c>
      <c r="G30" s="16" t="str">
        <f aca="false">IF($L30="","",INDEX(Population!$M$2:$M$1092,$L30))</f>
        <v/>
      </c>
      <c r="H30" s="15" t="str">
        <f aca="false">IF($L30="","",Summary!$C$5)</f>
        <v/>
      </c>
      <c r="I30" s="12" t="str">
        <f aca="false">IF($L30="","","Above Materiality")</f>
        <v/>
      </c>
      <c r="J30" s="12" t="str">
        <f aca="false">IF($L30="","",INDEX(Population!$N$2:$N$1092,$L30))</f>
        <v/>
      </c>
      <c r="K30" s="12" t="str">
        <f aca="false">IF($L30="","",INDEX(Population!$G$2:$G$1092,$L30)&amp;" / row "&amp;INDEX(Population!$H$2:$H$1092,$L30))</f>
        <v/>
      </c>
      <c r="L30" s="26" t="str">
        <f aca="false">IFERROR(MATCH("Population 2|A|"&amp;ROWS($L$5:L30),Population!$U$2:$U$1092,0),"")</f>
        <v/>
      </c>
    </row>
    <row r="31" customFormat="false" ht="15" hidden="false" customHeight="false" outlineLevel="0" collapsed="false">
      <c r="A31" s="12" t="str">
        <f aca="false">IF($L31="","",INDEX(Population!$B$2:$B$1092,$L31)&amp;"")</f>
        <v/>
      </c>
      <c r="B31" s="12" t="str">
        <f aca="false">IF($L31="","",INDEX(Population!$C$2:$C$1092,$L31)&amp;"")</f>
        <v/>
      </c>
      <c r="C31" s="12" t="str">
        <f aca="false">IF($L31="","",INDEX(Population!$D$2:$D$1092,$L31)&amp;"")</f>
        <v/>
      </c>
      <c r="D31" s="12" t="str">
        <f aca="false">IF($L31="","",INDEX(Population!$E$2:$E$1092,$L31))</f>
        <v/>
      </c>
      <c r="E31" s="12" t="str">
        <f aca="false">IF($L31="","",INDEX(Population!$F$2:$F$1092,$L31))</f>
        <v/>
      </c>
      <c r="F31" s="16" t="str">
        <f aca="false">IF($L31="","",INDEX(Population!$L$2:$L$1092,$L31))</f>
        <v/>
      </c>
      <c r="G31" s="16" t="str">
        <f aca="false">IF($L31="","",INDEX(Population!$M$2:$M$1092,$L31))</f>
        <v/>
      </c>
      <c r="H31" s="15" t="str">
        <f aca="false">IF($L31="","",Summary!$C$5)</f>
        <v/>
      </c>
      <c r="I31" s="12" t="str">
        <f aca="false">IF($L31="","","Above Materiality")</f>
        <v/>
      </c>
      <c r="J31" s="12" t="str">
        <f aca="false">IF($L31="","",INDEX(Population!$N$2:$N$1092,$L31))</f>
        <v/>
      </c>
      <c r="K31" s="12" t="str">
        <f aca="false">IF($L31="","",INDEX(Population!$G$2:$G$1092,$L31)&amp;" / row "&amp;INDEX(Population!$H$2:$H$1092,$L31))</f>
        <v/>
      </c>
      <c r="L31" s="26" t="str">
        <f aca="false">IFERROR(MATCH("Population 2|A|"&amp;ROWS($L$5:L31),Population!$U$2:$U$1092,0),"")</f>
        <v/>
      </c>
    </row>
    <row r="32" customFormat="false" ht="15" hidden="false" customHeight="false" outlineLevel="0" collapsed="false">
      <c r="A32" s="12" t="str">
        <f aca="false">IF($L32="","",INDEX(Population!$B$2:$B$1092,$L32)&amp;"")</f>
        <v/>
      </c>
      <c r="B32" s="12" t="str">
        <f aca="false">IF($L32="","",INDEX(Population!$C$2:$C$1092,$L32)&amp;"")</f>
        <v/>
      </c>
      <c r="C32" s="12" t="str">
        <f aca="false">IF($L32="","",INDEX(Population!$D$2:$D$1092,$L32)&amp;"")</f>
        <v/>
      </c>
      <c r="D32" s="12" t="str">
        <f aca="false">IF($L32="","",INDEX(Population!$E$2:$E$1092,$L32))</f>
        <v/>
      </c>
      <c r="E32" s="12" t="str">
        <f aca="false">IF($L32="","",INDEX(Population!$F$2:$F$1092,$L32))</f>
        <v/>
      </c>
      <c r="F32" s="16" t="str">
        <f aca="false">IF($L32="","",INDEX(Population!$L$2:$L$1092,$L32))</f>
        <v/>
      </c>
      <c r="G32" s="16" t="str">
        <f aca="false">IF($L32="","",INDEX(Population!$M$2:$M$1092,$L32))</f>
        <v/>
      </c>
      <c r="H32" s="15" t="str">
        <f aca="false">IF($L32="","",Summary!$C$5)</f>
        <v/>
      </c>
      <c r="I32" s="12" t="str">
        <f aca="false">IF($L32="","","Above Materiality")</f>
        <v/>
      </c>
      <c r="J32" s="12" t="str">
        <f aca="false">IF($L32="","",INDEX(Population!$N$2:$N$1092,$L32))</f>
        <v/>
      </c>
      <c r="K32" s="12" t="str">
        <f aca="false">IF($L32="","",INDEX(Population!$G$2:$G$1092,$L32)&amp;" / row "&amp;INDEX(Population!$H$2:$H$1092,$L32))</f>
        <v/>
      </c>
      <c r="L32" s="26" t="str">
        <f aca="false">IFERROR(MATCH("Population 2|A|"&amp;ROWS($L$5:L32),Population!$U$2:$U$1092,0),"")</f>
        <v/>
      </c>
    </row>
    <row r="33" customFormat="false" ht="15" hidden="false" customHeight="false" outlineLevel="0" collapsed="false">
      <c r="A33" s="12" t="str">
        <f aca="false">IF($L33="","",INDEX(Population!$B$2:$B$1092,$L33)&amp;"")</f>
        <v/>
      </c>
      <c r="B33" s="12" t="str">
        <f aca="false">IF($L33="","",INDEX(Population!$C$2:$C$1092,$L33)&amp;"")</f>
        <v/>
      </c>
      <c r="C33" s="12" t="str">
        <f aca="false">IF($L33="","",INDEX(Population!$D$2:$D$1092,$L33)&amp;"")</f>
        <v/>
      </c>
      <c r="D33" s="12" t="str">
        <f aca="false">IF($L33="","",INDEX(Population!$E$2:$E$1092,$L33))</f>
        <v/>
      </c>
      <c r="E33" s="12" t="str">
        <f aca="false">IF($L33="","",INDEX(Population!$F$2:$F$1092,$L33))</f>
        <v/>
      </c>
      <c r="F33" s="16" t="str">
        <f aca="false">IF($L33="","",INDEX(Population!$L$2:$L$1092,$L33))</f>
        <v/>
      </c>
      <c r="G33" s="16" t="str">
        <f aca="false">IF($L33="","",INDEX(Population!$M$2:$M$1092,$L33))</f>
        <v/>
      </c>
      <c r="H33" s="15" t="str">
        <f aca="false">IF($L33="","",Summary!$C$5)</f>
        <v/>
      </c>
      <c r="I33" s="12" t="str">
        <f aca="false">IF($L33="","","Above Materiality")</f>
        <v/>
      </c>
      <c r="J33" s="12" t="str">
        <f aca="false">IF($L33="","",INDEX(Population!$N$2:$N$1092,$L33))</f>
        <v/>
      </c>
      <c r="K33" s="12" t="str">
        <f aca="false">IF($L33="","",INDEX(Population!$G$2:$G$1092,$L33)&amp;" / row "&amp;INDEX(Population!$H$2:$H$1092,$L33))</f>
        <v/>
      </c>
      <c r="L33" s="26" t="str">
        <f aca="false">IFERROR(MATCH("Population 2|A|"&amp;ROWS($L$5:L33),Population!$U$2:$U$1092,0),"")</f>
        <v/>
      </c>
    </row>
    <row r="34" customFormat="false" ht="15" hidden="false" customHeight="false" outlineLevel="0" collapsed="false">
      <c r="A34" s="12" t="str">
        <f aca="false">IF($L34="","",INDEX(Population!$B$2:$B$1092,$L34)&amp;"")</f>
        <v/>
      </c>
      <c r="B34" s="12" t="str">
        <f aca="false">IF($L34="","",INDEX(Population!$C$2:$C$1092,$L34)&amp;"")</f>
        <v/>
      </c>
      <c r="C34" s="12" t="str">
        <f aca="false">IF($L34="","",INDEX(Population!$D$2:$D$1092,$L34)&amp;"")</f>
        <v/>
      </c>
      <c r="D34" s="12" t="str">
        <f aca="false">IF($L34="","",INDEX(Population!$E$2:$E$1092,$L34))</f>
        <v/>
      </c>
      <c r="E34" s="12" t="str">
        <f aca="false">IF($L34="","",INDEX(Population!$F$2:$F$1092,$L34))</f>
        <v/>
      </c>
      <c r="F34" s="16" t="str">
        <f aca="false">IF($L34="","",INDEX(Population!$L$2:$L$1092,$L34))</f>
        <v/>
      </c>
      <c r="G34" s="16" t="str">
        <f aca="false">IF($L34="","",INDEX(Population!$M$2:$M$1092,$L34))</f>
        <v/>
      </c>
      <c r="H34" s="15" t="str">
        <f aca="false">IF($L34="","",Summary!$C$5)</f>
        <v/>
      </c>
      <c r="I34" s="12" t="str">
        <f aca="false">IF($L34="","","Above Materiality")</f>
        <v/>
      </c>
      <c r="J34" s="12" t="str">
        <f aca="false">IF($L34="","",INDEX(Population!$N$2:$N$1092,$L34))</f>
        <v/>
      </c>
      <c r="K34" s="12" t="str">
        <f aca="false">IF($L34="","",INDEX(Population!$G$2:$G$1092,$L34)&amp;" / row "&amp;INDEX(Population!$H$2:$H$1092,$L34))</f>
        <v/>
      </c>
      <c r="L34" s="26" t="str">
        <f aca="false">IFERROR(MATCH("Population 2|A|"&amp;ROWS($L$5:L34),Population!$U$2:$U$1092,0),"")</f>
        <v/>
      </c>
    </row>
    <row r="35" customFormat="false" ht="15" hidden="false" customHeight="false" outlineLevel="0" collapsed="false">
      <c r="A35" s="12" t="str">
        <f aca="false">IF($L35="","",INDEX(Population!$B$2:$B$1092,$L35)&amp;"")</f>
        <v/>
      </c>
      <c r="B35" s="12" t="str">
        <f aca="false">IF($L35="","",INDEX(Population!$C$2:$C$1092,$L35)&amp;"")</f>
        <v/>
      </c>
      <c r="C35" s="12" t="str">
        <f aca="false">IF($L35="","",INDEX(Population!$D$2:$D$1092,$L35)&amp;"")</f>
        <v/>
      </c>
      <c r="D35" s="12" t="str">
        <f aca="false">IF($L35="","",INDEX(Population!$E$2:$E$1092,$L35))</f>
        <v/>
      </c>
      <c r="E35" s="12" t="str">
        <f aca="false">IF($L35="","",INDEX(Population!$F$2:$F$1092,$L35))</f>
        <v/>
      </c>
      <c r="F35" s="16" t="str">
        <f aca="false">IF($L35="","",INDEX(Population!$L$2:$L$1092,$L35))</f>
        <v/>
      </c>
      <c r="G35" s="16" t="str">
        <f aca="false">IF($L35="","",INDEX(Population!$M$2:$M$1092,$L35))</f>
        <v/>
      </c>
      <c r="H35" s="15" t="str">
        <f aca="false">IF($L35="","",Summary!$C$5)</f>
        <v/>
      </c>
      <c r="I35" s="12" t="str">
        <f aca="false">IF($L35="","","Above Materiality")</f>
        <v/>
      </c>
      <c r="J35" s="12" t="str">
        <f aca="false">IF($L35="","",INDEX(Population!$N$2:$N$1092,$L35))</f>
        <v/>
      </c>
      <c r="K35" s="12" t="str">
        <f aca="false">IF($L35="","",INDEX(Population!$G$2:$G$1092,$L35)&amp;" / row "&amp;INDEX(Population!$H$2:$H$1092,$L35))</f>
        <v/>
      </c>
      <c r="L35" s="26" t="str">
        <f aca="false">IFERROR(MATCH("Population 2|A|"&amp;ROWS($L$5:L35),Population!$U$2:$U$1092,0),"")</f>
        <v/>
      </c>
    </row>
    <row r="36" customFormat="false" ht="15" hidden="false" customHeight="false" outlineLevel="0" collapsed="false">
      <c r="A36" s="12" t="str">
        <f aca="false">IF($L36="","",INDEX(Population!$B$2:$B$1092,$L36)&amp;"")</f>
        <v/>
      </c>
      <c r="B36" s="12" t="str">
        <f aca="false">IF($L36="","",INDEX(Population!$C$2:$C$1092,$L36)&amp;"")</f>
        <v/>
      </c>
      <c r="C36" s="12" t="str">
        <f aca="false">IF($L36="","",INDEX(Population!$D$2:$D$1092,$L36)&amp;"")</f>
        <v/>
      </c>
      <c r="D36" s="12" t="str">
        <f aca="false">IF($L36="","",INDEX(Population!$E$2:$E$1092,$L36))</f>
        <v/>
      </c>
      <c r="E36" s="12" t="str">
        <f aca="false">IF($L36="","",INDEX(Population!$F$2:$F$1092,$L36))</f>
        <v/>
      </c>
      <c r="F36" s="16" t="str">
        <f aca="false">IF($L36="","",INDEX(Population!$L$2:$L$1092,$L36))</f>
        <v/>
      </c>
      <c r="G36" s="16" t="str">
        <f aca="false">IF($L36="","",INDEX(Population!$M$2:$M$1092,$L36))</f>
        <v/>
      </c>
      <c r="H36" s="15" t="str">
        <f aca="false">IF($L36="","",Summary!$C$5)</f>
        <v/>
      </c>
      <c r="I36" s="12" t="str">
        <f aca="false">IF($L36="","","Above Materiality")</f>
        <v/>
      </c>
      <c r="J36" s="12" t="str">
        <f aca="false">IF($L36="","",INDEX(Population!$N$2:$N$1092,$L36))</f>
        <v/>
      </c>
      <c r="K36" s="12" t="str">
        <f aca="false">IF($L36="","",INDEX(Population!$G$2:$G$1092,$L36)&amp;" / row "&amp;INDEX(Population!$H$2:$H$1092,$L36))</f>
        <v/>
      </c>
      <c r="L36" s="26" t="str">
        <f aca="false">IFERROR(MATCH("Population 2|A|"&amp;ROWS($L$5:L36),Population!$U$2:$U$1092,0),"")</f>
        <v/>
      </c>
    </row>
    <row r="37" customFormat="false" ht="15" hidden="false" customHeight="false" outlineLevel="0" collapsed="false">
      <c r="A37" s="12" t="str">
        <f aca="false">IF($L37="","",INDEX(Population!$B$2:$B$1092,$L37)&amp;"")</f>
        <v/>
      </c>
      <c r="B37" s="12" t="str">
        <f aca="false">IF($L37="","",INDEX(Population!$C$2:$C$1092,$L37)&amp;"")</f>
        <v/>
      </c>
      <c r="C37" s="12" t="str">
        <f aca="false">IF($L37="","",INDEX(Population!$D$2:$D$1092,$L37)&amp;"")</f>
        <v/>
      </c>
      <c r="D37" s="12" t="str">
        <f aca="false">IF($L37="","",INDEX(Population!$E$2:$E$1092,$L37))</f>
        <v/>
      </c>
      <c r="E37" s="12" t="str">
        <f aca="false">IF($L37="","",INDEX(Population!$F$2:$F$1092,$L37))</f>
        <v/>
      </c>
      <c r="F37" s="16" t="str">
        <f aca="false">IF($L37="","",INDEX(Population!$L$2:$L$1092,$L37))</f>
        <v/>
      </c>
      <c r="G37" s="16" t="str">
        <f aca="false">IF($L37="","",INDEX(Population!$M$2:$M$1092,$L37))</f>
        <v/>
      </c>
      <c r="H37" s="15" t="str">
        <f aca="false">IF($L37="","",Summary!$C$5)</f>
        <v/>
      </c>
      <c r="I37" s="12" t="str">
        <f aca="false">IF($L37="","","Above Materiality")</f>
        <v/>
      </c>
      <c r="J37" s="12" t="str">
        <f aca="false">IF($L37="","",INDEX(Population!$N$2:$N$1092,$L37))</f>
        <v/>
      </c>
      <c r="K37" s="12" t="str">
        <f aca="false">IF($L37="","",INDEX(Population!$G$2:$G$1092,$L37)&amp;" / row "&amp;INDEX(Population!$H$2:$H$1092,$L37))</f>
        <v/>
      </c>
      <c r="L37" s="26" t="str">
        <f aca="false">IFERROR(MATCH("Population 2|A|"&amp;ROWS($L$5:L37),Population!$U$2:$U$1092,0),"")</f>
        <v/>
      </c>
    </row>
    <row r="38" customFormat="false" ht="15" hidden="false" customHeight="false" outlineLevel="0" collapsed="false">
      <c r="A38" s="12" t="str">
        <f aca="false">IF($L38="","",INDEX(Population!$B$2:$B$1092,$L38)&amp;"")</f>
        <v/>
      </c>
      <c r="B38" s="12" t="str">
        <f aca="false">IF($L38="","",INDEX(Population!$C$2:$C$1092,$L38)&amp;"")</f>
        <v/>
      </c>
      <c r="C38" s="12" t="str">
        <f aca="false">IF($L38="","",INDEX(Population!$D$2:$D$1092,$L38)&amp;"")</f>
        <v/>
      </c>
      <c r="D38" s="12" t="str">
        <f aca="false">IF($L38="","",INDEX(Population!$E$2:$E$1092,$L38))</f>
        <v/>
      </c>
      <c r="E38" s="12" t="str">
        <f aca="false">IF($L38="","",INDEX(Population!$F$2:$F$1092,$L38))</f>
        <v/>
      </c>
      <c r="F38" s="16" t="str">
        <f aca="false">IF($L38="","",INDEX(Population!$L$2:$L$1092,$L38))</f>
        <v/>
      </c>
      <c r="G38" s="16" t="str">
        <f aca="false">IF($L38="","",INDEX(Population!$M$2:$M$1092,$L38))</f>
        <v/>
      </c>
      <c r="H38" s="15" t="str">
        <f aca="false">IF($L38="","",Summary!$C$5)</f>
        <v/>
      </c>
      <c r="I38" s="12" t="str">
        <f aca="false">IF($L38="","","Above Materiality")</f>
        <v/>
      </c>
      <c r="J38" s="12" t="str">
        <f aca="false">IF($L38="","",INDEX(Population!$N$2:$N$1092,$L38))</f>
        <v/>
      </c>
      <c r="K38" s="12" t="str">
        <f aca="false">IF($L38="","",INDEX(Population!$G$2:$G$1092,$L38)&amp;" / row "&amp;INDEX(Population!$H$2:$H$1092,$L38))</f>
        <v/>
      </c>
      <c r="L38" s="26" t="str">
        <f aca="false">IFERROR(MATCH("Population 2|A|"&amp;ROWS($L$5:L38),Population!$U$2:$U$1092,0),"")</f>
        <v/>
      </c>
    </row>
    <row r="39" customFormat="false" ht="15" hidden="false" customHeight="false" outlineLevel="0" collapsed="false">
      <c r="A39" s="12" t="str">
        <f aca="false">IF($L39="","",INDEX(Population!$B$2:$B$1092,$L39)&amp;"")</f>
        <v/>
      </c>
      <c r="B39" s="12" t="str">
        <f aca="false">IF($L39="","",INDEX(Population!$C$2:$C$1092,$L39)&amp;"")</f>
        <v/>
      </c>
      <c r="C39" s="12" t="str">
        <f aca="false">IF($L39="","",INDEX(Population!$D$2:$D$1092,$L39)&amp;"")</f>
        <v/>
      </c>
      <c r="D39" s="12" t="str">
        <f aca="false">IF($L39="","",INDEX(Population!$E$2:$E$1092,$L39))</f>
        <v/>
      </c>
      <c r="E39" s="12" t="str">
        <f aca="false">IF($L39="","",INDEX(Population!$F$2:$F$1092,$L39))</f>
        <v/>
      </c>
      <c r="F39" s="16" t="str">
        <f aca="false">IF($L39="","",INDEX(Population!$L$2:$L$1092,$L39))</f>
        <v/>
      </c>
      <c r="G39" s="16" t="str">
        <f aca="false">IF($L39="","",INDEX(Population!$M$2:$M$1092,$L39))</f>
        <v/>
      </c>
      <c r="H39" s="15" t="str">
        <f aca="false">IF($L39="","",Summary!$C$5)</f>
        <v/>
      </c>
      <c r="I39" s="12" t="str">
        <f aca="false">IF($L39="","","Above Materiality")</f>
        <v/>
      </c>
      <c r="J39" s="12" t="str">
        <f aca="false">IF($L39="","",INDEX(Population!$N$2:$N$1092,$L39))</f>
        <v/>
      </c>
      <c r="K39" s="12" t="str">
        <f aca="false">IF($L39="","",INDEX(Population!$G$2:$G$1092,$L39)&amp;" / row "&amp;INDEX(Population!$H$2:$H$1092,$L39))</f>
        <v/>
      </c>
      <c r="L39" s="26" t="str">
        <f aca="false">IFERROR(MATCH("Population 2|A|"&amp;ROWS($L$5:L39),Population!$U$2:$U$1092,0),"")</f>
        <v/>
      </c>
    </row>
    <row r="40" customFormat="false" ht="15" hidden="false" customHeight="false" outlineLevel="0" collapsed="false">
      <c r="A40" s="12" t="str">
        <f aca="false">IF($L40="","",INDEX(Population!$B$2:$B$1092,$L40)&amp;"")</f>
        <v/>
      </c>
      <c r="B40" s="12" t="str">
        <f aca="false">IF($L40="","",INDEX(Population!$C$2:$C$1092,$L40)&amp;"")</f>
        <v/>
      </c>
      <c r="C40" s="12" t="str">
        <f aca="false">IF($L40="","",INDEX(Population!$D$2:$D$1092,$L40)&amp;"")</f>
        <v/>
      </c>
      <c r="D40" s="12" t="str">
        <f aca="false">IF($L40="","",INDEX(Population!$E$2:$E$1092,$L40))</f>
        <v/>
      </c>
      <c r="E40" s="12" t="str">
        <f aca="false">IF($L40="","",INDEX(Population!$F$2:$F$1092,$L40))</f>
        <v/>
      </c>
      <c r="F40" s="16" t="str">
        <f aca="false">IF($L40="","",INDEX(Population!$L$2:$L$1092,$L40))</f>
        <v/>
      </c>
      <c r="G40" s="16" t="str">
        <f aca="false">IF($L40="","",INDEX(Population!$M$2:$M$1092,$L40))</f>
        <v/>
      </c>
      <c r="H40" s="15" t="str">
        <f aca="false">IF($L40="","",Summary!$C$5)</f>
        <v/>
      </c>
      <c r="I40" s="12" t="str">
        <f aca="false">IF($L40="","","Above Materiality")</f>
        <v/>
      </c>
      <c r="J40" s="12" t="str">
        <f aca="false">IF($L40="","",INDEX(Population!$N$2:$N$1092,$L40))</f>
        <v/>
      </c>
      <c r="K40" s="12" t="str">
        <f aca="false">IF($L40="","",INDEX(Population!$G$2:$G$1092,$L40)&amp;" / row "&amp;INDEX(Population!$H$2:$H$1092,$L40))</f>
        <v/>
      </c>
      <c r="L40" s="26" t="str">
        <f aca="false">IFERROR(MATCH("Population 2|A|"&amp;ROWS($L$5:L40),Population!$U$2:$U$1092,0),"")</f>
        <v/>
      </c>
    </row>
    <row r="41" customFormat="false" ht="15" hidden="false" customHeight="false" outlineLevel="0" collapsed="false">
      <c r="A41" s="12" t="str">
        <f aca="false">IF($L41="","",INDEX(Population!$B$2:$B$1092,$L41)&amp;"")</f>
        <v/>
      </c>
      <c r="B41" s="12" t="str">
        <f aca="false">IF($L41="","",INDEX(Population!$C$2:$C$1092,$L41)&amp;"")</f>
        <v/>
      </c>
      <c r="C41" s="12" t="str">
        <f aca="false">IF($L41="","",INDEX(Population!$D$2:$D$1092,$L41)&amp;"")</f>
        <v/>
      </c>
      <c r="D41" s="12" t="str">
        <f aca="false">IF($L41="","",INDEX(Population!$E$2:$E$1092,$L41))</f>
        <v/>
      </c>
      <c r="E41" s="12" t="str">
        <f aca="false">IF($L41="","",INDEX(Population!$F$2:$F$1092,$L41))</f>
        <v/>
      </c>
      <c r="F41" s="16" t="str">
        <f aca="false">IF($L41="","",INDEX(Population!$L$2:$L$1092,$L41))</f>
        <v/>
      </c>
      <c r="G41" s="16" t="str">
        <f aca="false">IF($L41="","",INDEX(Population!$M$2:$M$1092,$L41))</f>
        <v/>
      </c>
      <c r="H41" s="15" t="str">
        <f aca="false">IF($L41="","",Summary!$C$5)</f>
        <v/>
      </c>
      <c r="I41" s="12" t="str">
        <f aca="false">IF($L41="","","Above Materiality")</f>
        <v/>
      </c>
      <c r="J41" s="12" t="str">
        <f aca="false">IF($L41="","",INDEX(Population!$N$2:$N$1092,$L41))</f>
        <v/>
      </c>
      <c r="K41" s="12" t="str">
        <f aca="false">IF($L41="","",INDEX(Population!$G$2:$G$1092,$L41)&amp;" / row "&amp;INDEX(Population!$H$2:$H$1092,$L41))</f>
        <v/>
      </c>
      <c r="L41" s="26" t="str">
        <f aca="false">IFERROR(MATCH("Population 2|A|"&amp;ROWS($L$5:L41),Population!$U$2:$U$1092,0),"")</f>
        <v/>
      </c>
    </row>
    <row r="42" customFormat="false" ht="15" hidden="false" customHeight="false" outlineLevel="0" collapsed="false">
      <c r="A42" s="12" t="str">
        <f aca="false">IF($L42="","",INDEX(Population!$B$2:$B$1092,$L42)&amp;"")</f>
        <v/>
      </c>
      <c r="B42" s="12" t="str">
        <f aca="false">IF($L42="","",INDEX(Population!$C$2:$C$1092,$L42)&amp;"")</f>
        <v/>
      </c>
      <c r="C42" s="12" t="str">
        <f aca="false">IF($L42="","",INDEX(Population!$D$2:$D$1092,$L42)&amp;"")</f>
        <v/>
      </c>
      <c r="D42" s="12" t="str">
        <f aca="false">IF($L42="","",INDEX(Population!$E$2:$E$1092,$L42))</f>
        <v/>
      </c>
      <c r="E42" s="12" t="str">
        <f aca="false">IF($L42="","",INDEX(Population!$F$2:$F$1092,$L42))</f>
        <v/>
      </c>
      <c r="F42" s="16" t="str">
        <f aca="false">IF($L42="","",INDEX(Population!$L$2:$L$1092,$L42))</f>
        <v/>
      </c>
      <c r="G42" s="16" t="str">
        <f aca="false">IF($L42="","",INDEX(Population!$M$2:$M$1092,$L42))</f>
        <v/>
      </c>
      <c r="H42" s="15" t="str">
        <f aca="false">IF($L42="","",Summary!$C$5)</f>
        <v/>
      </c>
      <c r="I42" s="12" t="str">
        <f aca="false">IF($L42="","","Above Materiality")</f>
        <v/>
      </c>
      <c r="J42" s="12" t="str">
        <f aca="false">IF($L42="","",INDEX(Population!$N$2:$N$1092,$L42))</f>
        <v/>
      </c>
      <c r="K42" s="12" t="str">
        <f aca="false">IF($L42="","",INDEX(Population!$G$2:$G$1092,$L42)&amp;" / row "&amp;INDEX(Population!$H$2:$H$1092,$L42))</f>
        <v/>
      </c>
      <c r="L42" s="26" t="str">
        <f aca="false">IFERROR(MATCH("Population 2|A|"&amp;ROWS($L$5:L42),Population!$U$2:$U$1092,0),"")</f>
        <v/>
      </c>
    </row>
    <row r="43" customFormat="false" ht="15" hidden="false" customHeight="false" outlineLevel="0" collapsed="false">
      <c r="A43" s="12" t="str">
        <f aca="false">IF($L43="","",INDEX(Population!$B$2:$B$1092,$L43)&amp;"")</f>
        <v/>
      </c>
      <c r="B43" s="12" t="str">
        <f aca="false">IF($L43="","",INDEX(Population!$C$2:$C$1092,$L43)&amp;"")</f>
        <v/>
      </c>
      <c r="C43" s="12" t="str">
        <f aca="false">IF($L43="","",INDEX(Population!$D$2:$D$1092,$L43)&amp;"")</f>
        <v/>
      </c>
      <c r="D43" s="12" t="str">
        <f aca="false">IF($L43="","",INDEX(Population!$E$2:$E$1092,$L43))</f>
        <v/>
      </c>
      <c r="E43" s="12" t="str">
        <f aca="false">IF($L43="","",INDEX(Population!$F$2:$F$1092,$L43))</f>
        <v/>
      </c>
      <c r="F43" s="16" t="str">
        <f aca="false">IF($L43="","",INDEX(Population!$L$2:$L$1092,$L43))</f>
        <v/>
      </c>
      <c r="G43" s="16" t="str">
        <f aca="false">IF($L43="","",INDEX(Population!$M$2:$M$1092,$L43))</f>
        <v/>
      </c>
      <c r="H43" s="15" t="str">
        <f aca="false">IF($L43="","",Summary!$C$5)</f>
        <v/>
      </c>
      <c r="I43" s="12" t="str">
        <f aca="false">IF($L43="","","Above Materiality")</f>
        <v/>
      </c>
      <c r="J43" s="12" t="str">
        <f aca="false">IF($L43="","",INDEX(Population!$N$2:$N$1092,$L43))</f>
        <v/>
      </c>
      <c r="K43" s="12" t="str">
        <f aca="false">IF($L43="","",INDEX(Population!$G$2:$G$1092,$L43)&amp;" / row "&amp;INDEX(Population!$H$2:$H$1092,$L43))</f>
        <v/>
      </c>
      <c r="L43" s="26" t="str">
        <f aca="false">IFERROR(MATCH("Population 2|A|"&amp;ROWS($L$5:L43),Population!$U$2:$U$1092,0),"")</f>
        <v/>
      </c>
    </row>
    <row r="44" customFormat="false" ht="15" hidden="false" customHeight="false" outlineLevel="0" collapsed="false">
      <c r="A44" s="12" t="str">
        <f aca="false">IF($L44="","",INDEX(Population!$B$2:$B$1092,$L44)&amp;"")</f>
        <v/>
      </c>
      <c r="B44" s="12" t="str">
        <f aca="false">IF($L44="","",INDEX(Population!$C$2:$C$1092,$L44)&amp;"")</f>
        <v/>
      </c>
      <c r="C44" s="12" t="str">
        <f aca="false">IF($L44="","",INDEX(Population!$D$2:$D$1092,$L44)&amp;"")</f>
        <v/>
      </c>
      <c r="D44" s="12" t="str">
        <f aca="false">IF($L44="","",INDEX(Population!$E$2:$E$1092,$L44))</f>
        <v/>
      </c>
      <c r="E44" s="12" t="str">
        <f aca="false">IF($L44="","",INDEX(Population!$F$2:$F$1092,$L44))</f>
        <v/>
      </c>
      <c r="F44" s="16" t="str">
        <f aca="false">IF($L44="","",INDEX(Population!$L$2:$L$1092,$L44))</f>
        <v/>
      </c>
      <c r="G44" s="16" t="str">
        <f aca="false">IF($L44="","",INDEX(Population!$M$2:$M$1092,$L44))</f>
        <v/>
      </c>
      <c r="H44" s="15" t="str">
        <f aca="false">IF($L44="","",Summary!$C$5)</f>
        <v/>
      </c>
      <c r="I44" s="12" t="str">
        <f aca="false">IF($L44="","","Above Materiality")</f>
        <v/>
      </c>
      <c r="J44" s="12" t="str">
        <f aca="false">IF($L44="","",INDEX(Population!$N$2:$N$1092,$L44))</f>
        <v/>
      </c>
      <c r="K44" s="12" t="str">
        <f aca="false">IF($L44="","",INDEX(Population!$G$2:$G$1092,$L44)&amp;" / row "&amp;INDEX(Population!$H$2:$H$1092,$L44))</f>
        <v/>
      </c>
      <c r="L44" s="26" t="str">
        <f aca="false">IFERROR(MATCH("Population 2|A|"&amp;ROWS($L$5:L44),Population!$U$2:$U$1092,0),"")</f>
        <v/>
      </c>
    </row>
    <row r="45" customFormat="false" ht="15" hidden="false" customHeight="false" outlineLevel="0" collapsed="false">
      <c r="A45" s="12" t="str">
        <f aca="false">IF($L45="","",INDEX(Population!$B$2:$B$1092,$L45)&amp;"")</f>
        <v/>
      </c>
      <c r="B45" s="12" t="str">
        <f aca="false">IF($L45="","",INDEX(Population!$C$2:$C$1092,$L45)&amp;"")</f>
        <v/>
      </c>
      <c r="C45" s="12" t="str">
        <f aca="false">IF($L45="","",INDEX(Population!$D$2:$D$1092,$L45)&amp;"")</f>
        <v/>
      </c>
      <c r="D45" s="12" t="str">
        <f aca="false">IF($L45="","",INDEX(Population!$E$2:$E$1092,$L45))</f>
        <v/>
      </c>
      <c r="E45" s="12" t="str">
        <f aca="false">IF($L45="","",INDEX(Population!$F$2:$F$1092,$L45))</f>
        <v/>
      </c>
      <c r="F45" s="16" t="str">
        <f aca="false">IF($L45="","",INDEX(Population!$L$2:$L$1092,$L45))</f>
        <v/>
      </c>
      <c r="G45" s="16" t="str">
        <f aca="false">IF($L45="","",INDEX(Population!$M$2:$M$1092,$L45))</f>
        <v/>
      </c>
      <c r="H45" s="15" t="str">
        <f aca="false">IF($L45="","",Summary!$C$5)</f>
        <v/>
      </c>
      <c r="I45" s="12" t="str">
        <f aca="false">IF($L45="","","Above Materiality")</f>
        <v/>
      </c>
      <c r="J45" s="12" t="str">
        <f aca="false">IF($L45="","",INDEX(Population!$N$2:$N$1092,$L45))</f>
        <v/>
      </c>
      <c r="K45" s="12" t="str">
        <f aca="false">IF($L45="","",INDEX(Population!$G$2:$G$1092,$L45)&amp;" / row "&amp;INDEX(Population!$H$2:$H$1092,$L45))</f>
        <v/>
      </c>
      <c r="L45" s="26" t="str">
        <f aca="false">IFERROR(MATCH("Population 2|A|"&amp;ROWS($L$5:L45),Population!$U$2:$U$1092,0),"")</f>
        <v/>
      </c>
    </row>
    <row r="46" customFormat="false" ht="15" hidden="false" customHeight="false" outlineLevel="0" collapsed="false">
      <c r="A46" s="12" t="str">
        <f aca="false">IF($L46="","",INDEX(Population!$B$2:$B$1092,$L46)&amp;"")</f>
        <v/>
      </c>
      <c r="B46" s="12" t="str">
        <f aca="false">IF($L46="","",INDEX(Population!$C$2:$C$1092,$L46)&amp;"")</f>
        <v/>
      </c>
      <c r="C46" s="12" t="str">
        <f aca="false">IF($L46="","",INDEX(Population!$D$2:$D$1092,$L46)&amp;"")</f>
        <v/>
      </c>
      <c r="D46" s="12" t="str">
        <f aca="false">IF($L46="","",INDEX(Population!$E$2:$E$1092,$L46))</f>
        <v/>
      </c>
      <c r="E46" s="12" t="str">
        <f aca="false">IF($L46="","",INDEX(Population!$F$2:$F$1092,$L46))</f>
        <v/>
      </c>
      <c r="F46" s="16" t="str">
        <f aca="false">IF($L46="","",INDEX(Population!$L$2:$L$1092,$L46))</f>
        <v/>
      </c>
      <c r="G46" s="16" t="str">
        <f aca="false">IF($L46="","",INDEX(Population!$M$2:$M$1092,$L46))</f>
        <v/>
      </c>
      <c r="H46" s="15" t="str">
        <f aca="false">IF($L46="","",Summary!$C$5)</f>
        <v/>
      </c>
      <c r="I46" s="12" t="str">
        <f aca="false">IF($L46="","","Above Materiality")</f>
        <v/>
      </c>
      <c r="J46" s="12" t="str">
        <f aca="false">IF($L46="","",INDEX(Population!$N$2:$N$1092,$L46))</f>
        <v/>
      </c>
      <c r="K46" s="12" t="str">
        <f aca="false">IF($L46="","",INDEX(Population!$G$2:$G$1092,$L46)&amp;" / row "&amp;INDEX(Population!$H$2:$H$1092,$L46))</f>
        <v/>
      </c>
      <c r="L46" s="26" t="str">
        <f aca="false">IFERROR(MATCH("Population 2|A|"&amp;ROWS($L$5:L46),Population!$U$2:$U$1092,0),"")</f>
        <v/>
      </c>
    </row>
    <row r="47" customFormat="false" ht="15" hidden="false" customHeight="false" outlineLevel="0" collapsed="false">
      <c r="A47" s="12" t="str">
        <f aca="false">IF($L47="","",INDEX(Population!$B$2:$B$1092,$L47)&amp;"")</f>
        <v/>
      </c>
      <c r="B47" s="12" t="str">
        <f aca="false">IF($L47="","",INDEX(Population!$C$2:$C$1092,$L47)&amp;"")</f>
        <v/>
      </c>
      <c r="C47" s="12" t="str">
        <f aca="false">IF($L47="","",INDEX(Population!$D$2:$D$1092,$L47)&amp;"")</f>
        <v/>
      </c>
      <c r="D47" s="12" t="str">
        <f aca="false">IF($L47="","",INDEX(Population!$E$2:$E$1092,$L47))</f>
        <v/>
      </c>
      <c r="E47" s="12" t="str">
        <f aca="false">IF($L47="","",INDEX(Population!$F$2:$F$1092,$L47))</f>
        <v/>
      </c>
      <c r="F47" s="16" t="str">
        <f aca="false">IF($L47="","",INDEX(Population!$L$2:$L$1092,$L47))</f>
        <v/>
      </c>
      <c r="G47" s="16" t="str">
        <f aca="false">IF($L47="","",INDEX(Population!$M$2:$M$1092,$L47))</f>
        <v/>
      </c>
      <c r="H47" s="15" t="str">
        <f aca="false">IF($L47="","",Summary!$C$5)</f>
        <v/>
      </c>
      <c r="I47" s="12" t="str">
        <f aca="false">IF($L47="","","Above Materiality")</f>
        <v/>
      </c>
      <c r="J47" s="12" t="str">
        <f aca="false">IF($L47="","",INDEX(Population!$N$2:$N$1092,$L47))</f>
        <v/>
      </c>
      <c r="K47" s="12" t="str">
        <f aca="false">IF($L47="","",INDEX(Population!$G$2:$G$1092,$L47)&amp;" / row "&amp;INDEX(Population!$H$2:$H$1092,$L47))</f>
        <v/>
      </c>
      <c r="L47" s="26" t="str">
        <f aca="false">IFERROR(MATCH("Population 2|A|"&amp;ROWS($L$5:L47),Population!$U$2:$U$1092,0),"")</f>
        <v/>
      </c>
    </row>
    <row r="48" customFormat="false" ht="15" hidden="false" customHeight="false" outlineLevel="0" collapsed="false">
      <c r="A48" s="12" t="str">
        <f aca="false">IF($L48="","",INDEX(Population!$B$2:$B$1092,$L48)&amp;"")</f>
        <v/>
      </c>
      <c r="B48" s="12" t="str">
        <f aca="false">IF($L48="","",INDEX(Population!$C$2:$C$1092,$L48)&amp;"")</f>
        <v/>
      </c>
      <c r="C48" s="12" t="str">
        <f aca="false">IF($L48="","",INDEX(Population!$D$2:$D$1092,$L48)&amp;"")</f>
        <v/>
      </c>
      <c r="D48" s="12" t="str">
        <f aca="false">IF($L48="","",INDEX(Population!$E$2:$E$1092,$L48))</f>
        <v/>
      </c>
      <c r="E48" s="12" t="str">
        <f aca="false">IF($L48="","",INDEX(Population!$F$2:$F$1092,$L48))</f>
        <v/>
      </c>
      <c r="F48" s="16" t="str">
        <f aca="false">IF($L48="","",INDEX(Population!$L$2:$L$1092,$L48))</f>
        <v/>
      </c>
      <c r="G48" s="16" t="str">
        <f aca="false">IF($L48="","",INDEX(Population!$M$2:$M$1092,$L48))</f>
        <v/>
      </c>
      <c r="H48" s="15" t="str">
        <f aca="false">IF($L48="","",Summary!$C$5)</f>
        <v/>
      </c>
      <c r="I48" s="12" t="str">
        <f aca="false">IF($L48="","","Above Materiality")</f>
        <v/>
      </c>
      <c r="J48" s="12" t="str">
        <f aca="false">IF($L48="","",INDEX(Population!$N$2:$N$1092,$L48))</f>
        <v/>
      </c>
      <c r="K48" s="12" t="str">
        <f aca="false">IF($L48="","",INDEX(Population!$G$2:$G$1092,$L48)&amp;" / row "&amp;INDEX(Population!$H$2:$H$1092,$L48))</f>
        <v/>
      </c>
      <c r="L48" s="26" t="str">
        <f aca="false">IFERROR(MATCH("Population 2|A|"&amp;ROWS($L$5:L48),Population!$U$2:$U$1092,0),"")</f>
        <v/>
      </c>
    </row>
    <row r="49" customFormat="false" ht="15" hidden="false" customHeight="false" outlineLevel="0" collapsed="false">
      <c r="A49" s="12" t="str">
        <f aca="false">IF($L49="","",INDEX(Population!$B$2:$B$1092,$L49)&amp;"")</f>
        <v/>
      </c>
      <c r="B49" s="12" t="str">
        <f aca="false">IF($L49="","",INDEX(Population!$C$2:$C$1092,$L49)&amp;"")</f>
        <v/>
      </c>
      <c r="C49" s="12" t="str">
        <f aca="false">IF($L49="","",INDEX(Population!$D$2:$D$1092,$L49)&amp;"")</f>
        <v/>
      </c>
      <c r="D49" s="12" t="str">
        <f aca="false">IF($L49="","",INDEX(Population!$E$2:$E$1092,$L49))</f>
        <v/>
      </c>
      <c r="E49" s="12" t="str">
        <f aca="false">IF($L49="","",INDEX(Population!$F$2:$F$1092,$L49))</f>
        <v/>
      </c>
      <c r="F49" s="16" t="str">
        <f aca="false">IF($L49="","",INDEX(Population!$L$2:$L$1092,$L49))</f>
        <v/>
      </c>
      <c r="G49" s="16" t="str">
        <f aca="false">IF($L49="","",INDEX(Population!$M$2:$M$1092,$L49))</f>
        <v/>
      </c>
      <c r="H49" s="15" t="str">
        <f aca="false">IF($L49="","",Summary!$C$5)</f>
        <v/>
      </c>
      <c r="I49" s="12" t="str">
        <f aca="false">IF($L49="","","Above Materiality")</f>
        <v/>
      </c>
      <c r="J49" s="12" t="str">
        <f aca="false">IF($L49="","",INDEX(Population!$N$2:$N$1092,$L49))</f>
        <v/>
      </c>
      <c r="K49" s="12" t="str">
        <f aca="false">IF($L49="","",INDEX(Population!$G$2:$G$1092,$L49)&amp;" / row "&amp;INDEX(Population!$H$2:$H$1092,$L49))</f>
        <v/>
      </c>
      <c r="L49" s="26" t="str">
        <f aca="false">IFERROR(MATCH("Population 2|A|"&amp;ROWS($L$5:L49),Population!$U$2:$U$1092,0),"")</f>
        <v/>
      </c>
    </row>
    <row r="50" customFormat="false" ht="15" hidden="false" customHeight="false" outlineLevel="0" collapsed="false">
      <c r="A50" s="12" t="str">
        <f aca="false">IF($L50="","",INDEX(Population!$B$2:$B$1092,$L50)&amp;"")</f>
        <v/>
      </c>
      <c r="B50" s="12" t="str">
        <f aca="false">IF($L50="","",INDEX(Population!$C$2:$C$1092,$L50)&amp;"")</f>
        <v/>
      </c>
      <c r="C50" s="12" t="str">
        <f aca="false">IF($L50="","",INDEX(Population!$D$2:$D$1092,$L50)&amp;"")</f>
        <v/>
      </c>
      <c r="D50" s="12" t="str">
        <f aca="false">IF($L50="","",INDEX(Population!$E$2:$E$1092,$L50))</f>
        <v/>
      </c>
      <c r="E50" s="12" t="str">
        <f aca="false">IF($L50="","",INDEX(Population!$F$2:$F$1092,$L50))</f>
        <v/>
      </c>
      <c r="F50" s="16" t="str">
        <f aca="false">IF($L50="","",INDEX(Population!$L$2:$L$1092,$L50))</f>
        <v/>
      </c>
      <c r="G50" s="16" t="str">
        <f aca="false">IF($L50="","",INDEX(Population!$M$2:$M$1092,$L50))</f>
        <v/>
      </c>
      <c r="H50" s="15" t="str">
        <f aca="false">IF($L50="","",Summary!$C$5)</f>
        <v/>
      </c>
      <c r="I50" s="12" t="str">
        <f aca="false">IF($L50="","","Above Materiality")</f>
        <v/>
      </c>
      <c r="J50" s="12" t="str">
        <f aca="false">IF($L50="","",INDEX(Population!$N$2:$N$1092,$L50))</f>
        <v/>
      </c>
      <c r="K50" s="12" t="str">
        <f aca="false">IF($L50="","",INDEX(Population!$G$2:$G$1092,$L50)&amp;" / row "&amp;INDEX(Population!$H$2:$H$1092,$L50))</f>
        <v/>
      </c>
      <c r="L50" s="26" t="str">
        <f aca="false">IFERROR(MATCH("Population 2|A|"&amp;ROWS($L$5:L50),Population!$U$2:$U$1092,0),"")</f>
        <v/>
      </c>
    </row>
    <row r="51" customFormat="false" ht="15" hidden="false" customHeight="false" outlineLevel="0" collapsed="false">
      <c r="A51" s="12" t="str">
        <f aca="false">IF($L51="","",INDEX(Population!$B$2:$B$1092,$L51)&amp;"")</f>
        <v/>
      </c>
      <c r="B51" s="12" t="str">
        <f aca="false">IF($L51="","",INDEX(Population!$C$2:$C$1092,$L51)&amp;"")</f>
        <v/>
      </c>
      <c r="C51" s="12" t="str">
        <f aca="false">IF($L51="","",INDEX(Population!$D$2:$D$1092,$L51)&amp;"")</f>
        <v/>
      </c>
      <c r="D51" s="12" t="str">
        <f aca="false">IF($L51="","",INDEX(Population!$E$2:$E$1092,$L51))</f>
        <v/>
      </c>
      <c r="E51" s="12" t="str">
        <f aca="false">IF($L51="","",INDEX(Population!$F$2:$F$1092,$L51))</f>
        <v/>
      </c>
      <c r="F51" s="16" t="str">
        <f aca="false">IF($L51="","",INDEX(Population!$L$2:$L$1092,$L51))</f>
        <v/>
      </c>
      <c r="G51" s="16" t="str">
        <f aca="false">IF($L51="","",INDEX(Population!$M$2:$M$1092,$L51))</f>
        <v/>
      </c>
      <c r="H51" s="15" t="str">
        <f aca="false">IF($L51="","",Summary!$C$5)</f>
        <v/>
      </c>
      <c r="I51" s="12" t="str">
        <f aca="false">IF($L51="","","Above Materiality")</f>
        <v/>
      </c>
      <c r="J51" s="12" t="str">
        <f aca="false">IF($L51="","",INDEX(Population!$N$2:$N$1092,$L51))</f>
        <v/>
      </c>
      <c r="K51" s="12" t="str">
        <f aca="false">IF($L51="","",INDEX(Population!$G$2:$G$1092,$L51)&amp;" / row "&amp;INDEX(Population!$H$2:$H$1092,$L51))</f>
        <v/>
      </c>
      <c r="L51" s="26" t="str">
        <f aca="false">IFERROR(MATCH("Population 2|A|"&amp;ROWS($L$5:L51),Population!$U$2:$U$1092,0),"")</f>
        <v/>
      </c>
    </row>
    <row r="52" customFormat="false" ht="15" hidden="false" customHeight="false" outlineLevel="0" collapsed="false">
      <c r="A52" s="12" t="str">
        <f aca="false">IF($L52="","",INDEX(Population!$B$2:$B$1092,$L52)&amp;"")</f>
        <v/>
      </c>
      <c r="B52" s="12" t="str">
        <f aca="false">IF($L52="","",INDEX(Population!$C$2:$C$1092,$L52)&amp;"")</f>
        <v/>
      </c>
      <c r="C52" s="12" t="str">
        <f aca="false">IF($L52="","",INDEX(Population!$D$2:$D$1092,$L52)&amp;"")</f>
        <v/>
      </c>
      <c r="D52" s="12" t="str">
        <f aca="false">IF($L52="","",INDEX(Population!$E$2:$E$1092,$L52))</f>
        <v/>
      </c>
      <c r="E52" s="12" t="str">
        <f aca="false">IF($L52="","",INDEX(Population!$F$2:$F$1092,$L52))</f>
        <v/>
      </c>
      <c r="F52" s="16" t="str">
        <f aca="false">IF($L52="","",INDEX(Population!$L$2:$L$1092,$L52))</f>
        <v/>
      </c>
      <c r="G52" s="16" t="str">
        <f aca="false">IF($L52="","",INDEX(Population!$M$2:$M$1092,$L52))</f>
        <v/>
      </c>
      <c r="H52" s="15" t="str">
        <f aca="false">IF($L52="","",Summary!$C$5)</f>
        <v/>
      </c>
      <c r="I52" s="12" t="str">
        <f aca="false">IF($L52="","","Above Materiality")</f>
        <v/>
      </c>
      <c r="J52" s="12" t="str">
        <f aca="false">IF($L52="","",INDEX(Population!$N$2:$N$1092,$L52))</f>
        <v/>
      </c>
      <c r="K52" s="12" t="str">
        <f aca="false">IF($L52="","",INDEX(Population!$G$2:$G$1092,$L52)&amp;" / row "&amp;INDEX(Population!$H$2:$H$1092,$L52))</f>
        <v/>
      </c>
      <c r="L52" s="26" t="str">
        <f aca="false">IFERROR(MATCH("Population 2|A|"&amp;ROWS($L$5:L52),Population!$U$2:$U$1092,0),"")</f>
        <v/>
      </c>
    </row>
    <row r="53" customFormat="false" ht="15" hidden="false" customHeight="false" outlineLevel="0" collapsed="false">
      <c r="A53" s="12" t="str">
        <f aca="false">IF($L53="","",INDEX(Population!$B$2:$B$1092,$L53)&amp;"")</f>
        <v/>
      </c>
      <c r="B53" s="12" t="str">
        <f aca="false">IF($L53="","",INDEX(Population!$C$2:$C$1092,$L53)&amp;"")</f>
        <v/>
      </c>
      <c r="C53" s="12" t="str">
        <f aca="false">IF($L53="","",INDEX(Population!$D$2:$D$1092,$L53)&amp;"")</f>
        <v/>
      </c>
      <c r="D53" s="12" t="str">
        <f aca="false">IF($L53="","",INDEX(Population!$E$2:$E$1092,$L53))</f>
        <v/>
      </c>
      <c r="E53" s="12" t="str">
        <f aca="false">IF($L53="","",INDEX(Population!$F$2:$F$1092,$L53))</f>
        <v/>
      </c>
      <c r="F53" s="16" t="str">
        <f aca="false">IF($L53="","",INDEX(Population!$L$2:$L$1092,$L53))</f>
        <v/>
      </c>
      <c r="G53" s="16" t="str">
        <f aca="false">IF($L53="","",INDEX(Population!$M$2:$M$1092,$L53))</f>
        <v/>
      </c>
      <c r="H53" s="15" t="str">
        <f aca="false">IF($L53="","",Summary!$C$5)</f>
        <v/>
      </c>
      <c r="I53" s="12" t="str">
        <f aca="false">IF($L53="","","Above Materiality")</f>
        <v/>
      </c>
      <c r="J53" s="12" t="str">
        <f aca="false">IF($L53="","",INDEX(Population!$N$2:$N$1092,$L53))</f>
        <v/>
      </c>
      <c r="K53" s="12" t="str">
        <f aca="false">IF($L53="","",INDEX(Population!$G$2:$G$1092,$L53)&amp;" / row "&amp;INDEX(Population!$H$2:$H$1092,$L53))</f>
        <v/>
      </c>
      <c r="L53" s="26" t="str">
        <f aca="false">IFERROR(MATCH("Population 2|A|"&amp;ROWS($L$5:L53),Population!$U$2:$U$1092,0),"")</f>
        <v/>
      </c>
    </row>
    <row r="54" customFormat="false" ht="15" hidden="false" customHeight="false" outlineLevel="0" collapsed="false">
      <c r="A54" s="12" t="str">
        <f aca="false">IF($L54="","",INDEX(Population!$B$2:$B$1092,$L54)&amp;"")</f>
        <v/>
      </c>
      <c r="B54" s="12" t="str">
        <f aca="false">IF($L54="","",INDEX(Population!$C$2:$C$1092,$L54)&amp;"")</f>
        <v/>
      </c>
      <c r="C54" s="12" t="str">
        <f aca="false">IF($L54="","",INDEX(Population!$D$2:$D$1092,$L54)&amp;"")</f>
        <v/>
      </c>
      <c r="D54" s="12" t="str">
        <f aca="false">IF($L54="","",INDEX(Population!$E$2:$E$1092,$L54))</f>
        <v/>
      </c>
      <c r="E54" s="12" t="str">
        <f aca="false">IF($L54="","",INDEX(Population!$F$2:$F$1092,$L54))</f>
        <v/>
      </c>
      <c r="F54" s="16" t="str">
        <f aca="false">IF($L54="","",INDEX(Population!$L$2:$L$1092,$L54))</f>
        <v/>
      </c>
      <c r="G54" s="16" t="str">
        <f aca="false">IF($L54="","",INDEX(Population!$M$2:$M$1092,$L54))</f>
        <v/>
      </c>
      <c r="H54" s="15" t="str">
        <f aca="false">IF($L54="","",Summary!$C$5)</f>
        <v/>
      </c>
      <c r="I54" s="12" t="str">
        <f aca="false">IF($L54="","","Above Materiality")</f>
        <v/>
      </c>
      <c r="J54" s="12" t="str">
        <f aca="false">IF($L54="","",INDEX(Population!$N$2:$N$1092,$L54))</f>
        <v/>
      </c>
      <c r="K54" s="12" t="str">
        <f aca="false">IF($L54="","",INDEX(Population!$G$2:$G$1092,$L54)&amp;" / row "&amp;INDEX(Population!$H$2:$H$1092,$L54))</f>
        <v/>
      </c>
      <c r="L54" s="26" t="str">
        <f aca="false">IFERROR(MATCH("Population 2|A|"&amp;ROWS($L$5:L54),Population!$U$2:$U$1092,0),"")</f>
        <v/>
      </c>
    </row>
    <row r="55" customFormat="false" ht="15" hidden="false" customHeight="false" outlineLevel="0" collapsed="false">
      <c r="A55" s="12" t="str">
        <f aca="false">IF($L55="","",INDEX(Population!$B$2:$B$1092,$L55)&amp;"")</f>
        <v/>
      </c>
      <c r="B55" s="12" t="str">
        <f aca="false">IF($L55="","",INDEX(Population!$C$2:$C$1092,$L55)&amp;"")</f>
        <v/>
      </c>
      <c r="C55" s="12" t="str">
        <f aca="false">IF($L55="","",INDEX(Population!$D$2:$D$1092,$L55)&amp;"")</f>
        <v/>
      </c>
      <c r="D55" s="12" t="str">
        <f aca="false">IF($L55="","",INDEX(Population!$E$2:$E$1092,$L55))</f>
        <v/>
      </c>
      <c r="E55" s="12" t="str">
        <f aca="false">IF($L55="","",INDEX(Population!$F$2:$F$1092,$L55))</f>
        <v/>
      </c>
      <c r="F55" s="16" t="str">
        <f aca="false">IF($L55="","",INDEX(Population!$L$2:$L$1092,$L55))</f>
        <v/>
      </c>
      <c r="G55" s="16" t="str">
        <f aca="false">IF($L55="","",INDEX(Population!$M$2:$M$1092,$L55))</f>
        <v/>
      </c>
      <c r="H55" s="15" t="str">
        <f aca="false">IF($L55="","",Summary!$C$5)</f>
        <v/>
      </c>
      <c r="I55" s="12" t="str">
        <f aca="false">IF($L55="","","Above Materiality")</f>
        <v/>
      </c>
      <c r="J55" s="12" t="str">
        <f aca="false">IF($L55="","",INDEX(Population!$N$2:$N$1092,$L55))</f>
        <v/>
      </c>
      <c r="K55" s="12" t="str">
        <f aca="false">IF($L55="","",INDEX(Population!$G$2:$G$1092,$L55)&amp;" / row "&amp;INDEX(Population!$H$2:$H$1092,$L55))</f>
        <v/>
      </c>
      <c r="L55" s="26" t="str">
        <f aca="false">IFERROR(MATCH("Population 2|A|"&amp;ROWS($L$5:L55),Population!$U$2:$U$1092,0),"")</f>
        <v/>
      </c>
    </row>
    <row r="56" customFormat="false" ht="15" hidden="false" customHeight="false" outlineLevel="0" collapsed="false">
      <c r="A56" s="12" t="str">
        <f aca="false">IF($L56="","",INDEX(Population!$B$2:$B$1092,$L56)&amp;"")</f>
        <v/>
      </c>
      <c r="B56" s="12" t="str">
        <f aca="false">IF($L56="","",INDEX(Population!$C$2:$C$1092,$L56)&amp;"")</f>
        <v/>
      </c>
      <c r="C56" s="12" t="str">
        <f aca="false">IF($L56="","",INDEX(Population!$D$2:$D$1092,$L56)&amp;"")</f>
        <v/>
      </c>
      <c r="D56" s="12" t="str">
        <f aca="false">IF($L56="","",INDEX(Population!$E$2:$E$1092,$L56))</f>
        <v/>
      </c>
      <c r="E56" s="12" t="str">
        <f aca="false">IF($L56="","",INDEX(Population!$F$2:$F$1092,$L56))</f>
        <v/>
      </c>
      <c r="F56" s="16" t="str">
        <f aca="false">IF($L56="","",INDEX(Population!$L$2:$L$1092,$L56))</f>
        <v/>
      </c>
      <c r="G56" s="16" t="str">
        <f aca="false">IF($L56="","",INDEX(Population!$M$2:$M$1092,$L56))</f>
        <v/>
      </c>
      <c r="H56" s="15" t="str">
        <f aca="false">IF($L56="","",Summary!$C$5)</f>
        <v/>
      </c>
      <c r="I56" s="12" t="str">
        <f aca="false">IF($L56="","","Above Materiality")</f>
        <v/>
      </c>
      <c r="J56" s="12" t="str">
        <f aca="false">IF($L56="","",INDEX(Population!$N$2:$N$1092,$L56))</f>
        <v/>
      </c>
      <c r="K56" s="12" t="str">
        <f aca="false">IF($L56="","",INDEX(Population!$G$2:$G$1092,$L56)&amp;" / row "&amp;INDEX(Population!$H$2:$H$1092,$L56))</f>
        <v/>
      </c>
      <c r="L56" s="26" t="str">
        <f aca="false">IFERROR(MATCH("Population 2|A|"&amp;ROWS($L$5:L56),Population!$U$2:$U$1092,0),"")</f>
        <v/>
      </c>
    </row>
    <row r="57" customFormat="false" ht="15" hidden="false" customHeight="false" outlineLevel="0" collapsed="false">
      <c r="A57" s="12" t="str">
        <f aca="false">IF($L57="","",INDEX(Population!$B$2:$B$1092,$L57)&amp;"")</f>
        <v/>
      </c>
      <c r="B57" s="12" t="str">
        <f aca="false">IF($L57="","",INDEX(Population!$C$2:$C$1092,$L57)&amp;"")</f>
        <v/>
      </c>
      <c r="C57" s="12" t="str">
        <f aca="false">IF($L57="","",INDEX(Population!$D$2:$D$1092,$L57)&amp;"")</f>
        <v/>
      </c>
      <c r="D57" s="12" t="str">
        <f aca="false">IF($L57="","",INDEX(Population!$E$2:$E$1092,$L57))</f>
        <v/>
      </c>
      <c r="E57" s="12" t="str">
        <f aca="false">IF($L57="","",INDEX(Population!$F$2:$F$1092,$L57))</f>
        <v/>
      </c>
      <c r="F57" s="16" t="str">
        <f aca="false">IF($L57="","",INDEX(Population!$L$2:$L$1092,$L57))</f>
        <v/>
      </c>
      <c r="G57" s="16" t="str">
        <f aca="false">IF($L57="","",INDEX(Population!$M$2:$M$1092,$L57))</f>
        <v/>
      </c>
      <c r="H57" s="15" t="str">
        <f aca="false">IF($L57="","",Summary!$C$5)</f>
        <v/>
      </c>
      <c r="I57" s="12" t="str">
        <f aca="false">IF($L57="","","Above Materiality")</f>
        <v/>
      </c>
      <c r="J57" s="12" t="str">
        <f aca="false">IF($L57="","",INDEX(Population!$N$2:$N$1092,$L57))</f>
        <v/>
      </c>
      <c r="K57" s="12" t="str">
        <f aca="false">IF($L57="","",INDEX(Population!$G$2:$G$1092,$L57)&amp;" / row "&amp;INDEX(Population!$H$2:$H$1092,$L57))</f>
        <v/>
      </c>
      <c r="L57" s="26" t="str">
        <f aca="false">IFERROR(MATCH("Population 2|A|"&amp;ROWS($L$5:L57),Population!$U$2:$U$1092,0),"")</f>
        <v/>
      </c>
    </row>
    <row r="58" customFormat="false" ht="15" hidden="false" customHeight="false" outlineLevel="0" collapsed="false">
      <c r="A58" s="12" t="str">
        <f aca="false">IF($L58="","",INDEX(Population!$B$2:$B$1092,$L58)&amp;"")</f>
        <v/>
      </c>
      <c r="B58" s="12" t="str">
        <f aca="false">IF($L58="","",INDEX(Population!$C$2:$C$1092,$L58)&amp;"")</f>
        <v/>
      </c>
      <c r="C58" s="12" t="str">
        <f aca="false">IF($L58="","",INDEX(Population!$D$2:$D$1092,$L58)&amp;"")</f>
        <v/>
      </c>
      <c r="D58" s="12" t="str">
        <f aca="false">IF($L58="","",INDEX(Population!$E$2:$E$1092,$L58))</f>
        <v/>
      </c>
      <c r="E58" s="12" t="str">
        <f aca="false">IF($L58="","",INDEX(Population!$F$2:$F$1092,$L58))</f>
        <v/>
      </c>
      <c r="F58" s="16" t="str">
        <f aca="false">IF($L58="","",INDEX(Population!$L$2:$L$1092,$L58))</f>
        <v/>
      </c>
      <c r="G58" s="16" t="str">
        <f aca="false">IF($L58="","",INDEX(Population!$M$2:$M$1092,$L58))</f>
        <v/>
      </c>
      <c r="H58" s="15" t="str">
        <f aca="false">IF($L58="","",Summary!$C$5)</f>
        <v/>
      </c>
      <c r="I58" s="12" t="str">
        <f aca="false">IF($L58="","","Above Materiality")</f>
        <v/>
      </c>
      <c r="J58" s="12" t="str">
        <f aca="false">IF($L58="","",INDEX(Population!$N$2:$N$1092,$L58))</f>
        <v/>
      </c>
      <c r="K58" s="12" t="str">
        <f aca="false">IF($L58="","",INDEX(Population!$G$2:$G$1092,$L58)&amp;" / row "&amp;INDEX(Population!$H$2:$H$1092,$L58))</f>
        <v/>
      </c>
      <c r="L58" s="26" t="str">
        <f aca="false">IFERROR(MATCH("Population 2|A|"&amp;ROWS($L$5:L58),Population!$U$2:$U$1092,0),"")</f>
        <v/>
      </c>
    </row>
    <row r="59" customFormat="false" ht="15" hidden="false" customHeight="false" outlineLevel="0" collapsed="false">
      <c r="A59" s="12" t="str">
        <f aca="false">IF($L59="","",INDEX(Population!$B$2:$B$1092,$L59)&amp;"")</f>
        <v/>
      </c>
      <c r="B59" s="12" t="str">
        <f aca="false">IF($L59="","",INDEX(Population!$C$2:$C$1092,$L59)&amp;"")</f>
        <v/>
      </c>
      <c r="C59" s="12" t="str">
        <f aca="false">IF($L59="","",INDEX(Population!$D$2:$D$1092,$L59)&amp;"")</f>
        <v/>
      </c>
      <c r="D59" s="12" t="str">
        <f aca="false">IF($L59="","",INDEX(Population!$E$2:$E$1092,$L59))</f>
        <v/>
      </c>
      <c r="E59" s="12" t="str">
        <f aca="false">IF($L59="","",INDEX(Population!$F$2:$F$1092,$L59))</f>
        <v/>
      </c>
      <c r="F59" s="16" t="str">
        <f aca="false">IF($L59="","",INDEX(Population!$L$2:$L$1092,$L59))</f>
        <v/>
      </c>
      <c r="G59" s="16" t="str">
        <f aca="false">IF($L59="","",INDEX(Population!$M$2:$M$1092,$L59))</f>
        <v/>
      </c>
      <c r="H59" s="15" t="str">
        <f aca="false">IF($L59="","",Summary!$C$5)</f>
        <v/>
      </c>
      <c r="I59" s="12" t="str">
        <f aca="false">IF($L59="","","Above Materiality")</f>
        <v/>
      </c>
      <c r="J59" s="12" t="str">
        <f aca="false">IF($L59="","",INDEX(Population!$N$2:$N$1092,$L59))</f>
        <v/>
      </c>
      <c r="K59" s="12" t="str">
        <f aca="false">IF($L59="","",INDEX(Population!$G$2:$G$1092,$L59)&amp;" / row "&amp;INDEX(Population!$H$2:$H$1092,$L59))</f>
        <v/>
      </c>
      <c r="L59" s="26" t="str">
        <f aca="false">IFERROR(MATCH("Population 2|A|"&amp;ROWS($L$5:L59),Population!$U$2:$U$1092,0),"")</f>
        <v/>
      </c>
    </row>
    <row r="60" customFormat="false" ht="15" hidden="false" customHeight="false" outlineLevel="0" collapsed="false">
      <c r="A60" s="12" t="str">
        <f aca="false">IF($L60="","",INDEX(Population!$B$2:$B$1092,$L60)&amp;"")</f>
        <v/>
      </c>
      <c r="B60" s="12" t="str">
        <f aca="false">IF($L60="","",INDEX(Population!$C$2:$C$1092,$L60)&amp;"")</f>
        <v/>
      </c>
      <c r="C60" s="12" t="str">
        <f aca="false">IF($L60="","",INDEX(Population!$D$2:$D$1092,$L60)&amp;"")</f>
        <v/>
      </c>
      <c r="D60" s="12" t="str">
        <f aca="false">IF($L60="","",INDEX(Population!$E$2:$E$1092,$L60))</f>
        <v/>
      </c>
      <c r="E60" s="12" t="str">
        <f aca="false">IF($L60="","",INDEX(Population!$F$2:$F$1092,$L60))</f>
        <v/>
      </c>
      <c r="F60" s="16" t="str">
        <f aca="false">IF($L60="","",INDEX(Population!$L$2:$L$1092,$L60))</f>
        <v/>
      </c>
      <c r="G60" s="16" t="str">
        <f aca="false">IF($L60="","",INDEX(Population!$M$2:$M$1092,$L60))</f>
        <v/>
      </c>
      <c r="H60" s="15" t="str">
        <f aca="false">IF($L60="","",Summary!$C$5)</f>
        <v/>
      </c>
      <c r="I60" s="12" t="str">
        <f aca="false">IF($L60="","","Above Materiality")</f>
        <v/>
      </c>
      <c r="J60" s="12" t="str">
        <f aca="false">IF($L60="","",INDEX(Population!$N$2:$N$1092,$L60))</f>
        <v/>
      </c>
      <c r="K60" s="12" t="str">
        <f aca="false">IF($L60="","",INDEX(Population!$G$2:$G$1092,$L60)&amp;" / row "&amp;INDEX(Population!$H$2:$H$1092,$L60))</f>
        <v/>
      </c>
      <c r="L60" s="26" t="str">
        <f aca="false">IFERROR(MATCH("Population 2|A|"&amp;ROWS($L$5:L60),Population!$U$2:$U$1092,0),"")</f>
        <v/>
      </c>
    </row>
    <row r="61" customFormat="false" ht="15" hidden="false" customHeight="false" outlineLevel="0" collapsed="false">
      <c r="A61" s="12" t="str">
        <f aca="false">IF($L61="","",INDEX(Population!$B$2:$B$1092,$L61)&amp;"")</f>
        <v/>
      </c>
      <c r="B61" s="12" t="str">
        <f aca="false">IF($L61="","",INDEX(Population!$C$2:$C$1092,$L61)&amp;"")</f>
        <v/>
      </c>
      <c r="C61" s="12" t="str">
        <f aca="false">IF($L61="","",INDEX(Population!$D$2:$D$1092,$L61)&amp;"")</f>
        <v/>
      </c>
      <c r="D61" s="12" t="str">
        <f aca="false">IF($L61="","",INDEX(Population!$E$2:$E$1092,$L61))</f>
        <v/>
      </c>
      <c r="E61" s="12" t="str">
        <f aca="false">IF($L61="","",INDEX(Population!$F$2:$F$1092,$L61))</f>
        <v/>
      </c>
      <c r="F61" s="16" t="str">
        <f aca="false">IF($L61="","",INDEX(Population!$L$2:$L$1092,$L61))</f>
        <v/>
      </c>
      <c r="G61" s="16" t="str">
        <f aca="false">IF($L61="","",INDEX(Population!$M$2:$M$1092,$L61))</f>
        <v/>
      </c>
      <c r="H61" s="15" t="str">
        <f aca="false">IF($L61="","",Summary!$C$5)</f>
        <v/>
      </c>
      <c r="I61" s="12" t="str">
        <f aca="false">IF($L61="","","Above Materiality")</f>
        <v/>
      </c>
      <c r="J61" s="12" t="str">
        <f aca="false">IF($L61="","",INDEX(Population!$N$2:$N$1092,$L61))</f>
        <v/>
      </c>
      <c r="K61" s="12" t="str">
        <f aca="false">IF($L61="","",INDEX(Population!$G$2:$G$1092,$L61)&amp;" / row "&amp;INDEX(Population!$H$2:$H$1092,$L61))</f>
        <v/>
      </c>
      <c r="L61" s="26" t="str">
        <f aca="false">IFERROR(MATCH("Population 2|A|"&amp;ROWS($L$5:L61),Population!$U$2:$U$1092,0),"")</f>
        <v/>
      </c>
    </row>
    <row r="62" customFormat="false" ht="15" hidden="false" customHeight="false" outlineLevel="0" collapsed="false">
      <c r="A62" s="12" t="str">
        <f aca="false">IF($L62="","",INDEX(Population!$B$2:$B$1092,$L62)&amp;"")</f>
        <v/>
      </c>
      <c r="B62" s="12" t="str">
        <f aca="false">IF($L62="","",INDEX(Population!$C$2:$C$1092,$L62)&amp;"")</f>
        <v/>
      </c>
      <c r="C62" s="12" t="str">
        <f aca="false">IF($L62="","",INDEX(Population!$D$2:$D$1092,$L62)&amp;"")</f>
        <v/>
      </c>
      <c r="D62" s="12" t="str">
        <f aca="false">IF($L62="","",INDEX(Population!$E$2:$E$1092,$L62))</f>
        <v/>
      </c>
      <c r="E62" s="12" t="str">
        <f aca="false">IF($L62="","",INDEX(Population!$F$2:$F$1092,$L62))</f>
        <v/>
      </c>
      <c r="F62" s="16" t="str">
        <f aca="false">IF($L62="","",INDEX(Population!$L$2:$L$1092,$L62))</f>
        <v/>
      </c>
      <c r="G62" s="16" t="str">
        <f aca="false">IF($L62="","",INDEX(Population!$M$2:$M$1092,$L62))</f>
        <v/>
      </c>
      <c r="H62" s="15" t="str">
        <f aca="false">IF($L62="","",Summary!$C$5)</f>
        <v/>
      </c>
      <c r="I62" s="12" t="str">
        <f aca="false">IF($L62="","","Above Materiality")</f>
        <v/>
      </c>
      <c r="J62" s="12" t="str">
        <f aca="false">IF($L62="","",INDEX(Population!$N$2:$N$1092,$L62))</f>
        <v/>
      </c>
      <c r="K62" s="12" t="str">
        <f aca="false">IF($L62="","",INDEX(Population!$G$2:$G$1092,$L62)&amp;" / row "&amp;INDEX(Population!$H$2:$H$1092,$L62))</f>
        <v/>
      </c>
      <c r="L62" s="26" t="str">
        <f aca="false">IFERROR(MATCH("Population 2|A|"&amp;ROWS($L$5:L62),Population!$U$2:$U$1092,0),"")</f>
        <v/>
      </c>
    </row>
    <row r="63" customFormat="false" ht="15" hidden="false" customHeight="false" outlineLevel="0" collapsed="false">
      <c r="A63" s="12" t="str">
        <f aca="false">IF($L63="","",INDEX(Population!$B$2:$B$1092,$L63)&amp;"")</f>
        <v/>
      </c>
      <c r="B63" s="12" t="str">
        <f aca="false">IF($L63="","",INDEX(Population!$C$2:$C$1092,$L63)&amp;"")</f>
        <v/>
      </c>
      <c r="C63" s="12" t="str">
        <f aca="false">IF($L63="","",INDEX(Population!$D$2:$D$1092,$L63)&amp;"")</f>
        <v/>
      </c>
      <c r="D63" s="12" t="str">
        <f aca="false">IF($L63="","",INDEX(Population!$E$2:$E$1092,$L63))</f>
        <v/>
      </c>
      <c r="E63" s="12" t="str">
        <f aca="false">IF($L63="","",INDEX(Population!$F$2:$F$1092,$L63))</f>
        <v/>
      </c>
      <c r="F63" s="16" t="str">
        <f aca="false">IF($L63="","",INDEX(Population!$L$2:$L$1092,$L63))</f>
        <v/>
      </c>
      <c r="G63" s="16" t="str">
        <f aca="false">IF($L63="","",INDEX(Population!$M$2:$M$1092,$L63))</f>
        <v/>
      </c>
      <c r="H63" s="15" t="str">
        <f aca="false">IF($L63="","",Summary!$C$5)</f>
        <v/>
      </c>
      <c r="I63" s="12" t="str">
        <f aca="false">IF($L63="","","Above Materiality")</f>
        <v/>
      </c>
      <c r="J63" s="12" t="str">
        <f aca="false">IF($L63="","",INDEX(Population!$N$2:$N$1092,$L63))</f>
        <v/>
      </c>
      <c r="K63" s="12" t="str">
        <f aca="false">IF($L63="","",INDEX(Population!$G$2:$G$1092,$L63)&amp;" / row "&amp;INDEX(Population!$H$2:$H$1092,$L63))</f>
        <v/>
      </c>
      <c r="L63" s="26" t="str">
        <f aca="false">IFERROR(MATCH("Population 2|A|"&amp;ROWS($L$5:L63),Population!$U$2:$U$1092,0),"")</f>
        <v/>
      </c>
    </row>
    <row r="64" customFormat="false" ht="15" hidden="false" customHeight="false" outlineLevel="0" collapsed="false">
      <c r="A64" s="12" t="str">
        <f aca="false">IF($L64="","",INDEX(Population!$B$2:$B$1092,$L64)&amp;"")</f>
        <v/>
      </c>
      <c r="B64" s="12" t="str">
        <f aca="false">IF($L64="","",INDEX(Population!$C$2:$C$1092,$L64)&amp;"")</f>
        <v/>
      </c>
      <c r="C64" s="12" t="str">
        <f aca="false">IF($L64="","",INDEX(Population!$D$2:$D$1092,$L64)&amp;"")</f>
        <v/>
      </c>
      <c r="D64" s="12" t="str">
        <f aca="false">IF($L64="","",INDEX(Population!$E$2:$E$1092,$L64))</f>
        <v/>
      </c>
      <c r="E64" s="12" t="str">
        <f aca="false">IF($L64="","",INDEX(Population!$F$2:$F$1092,$L64))</f>
        <v/>
      </c>
      <c r="F64" s="16" t="str">
        <f aca="false">IF($L64="","",INDEX(Population!$L$2:$L$1092,$L64))</f>
        <v/>
      </c>
      <c r="G64" s="16" t="str">
        <f aca="false">IF($L64="","",INDEX(Population!$M$2:$M$1092,$L64))</f>
        <v/>
      </c>
      <c r="H64" s="15" t="str">
        <f aca="false">IF($L64="","",Summary!$C$5)</f>
        <v/>
      </c>
      <c r="I64" s="12" t="str">
        <f aca="false">IF($L64="","","Above Materiality")</f>
        <v/>
      </c>
      <c r="J64" s="12" t="str">
        <f aca="false">IF($L64="","",INDEX(Population!$N$2:$N$1092,$L64))</f>
        <v/>
      </c>
      <c r="K64" s="12" t="str">
        <f aca="false">IF($L64="","",INDEX(Population!$G$2:$G$1092,$L64)&amp;" / row "&amp;INDEX(Population!$H$2:$H$1092,$L64))</f>
        <v/>
      </c>
      <c r="L64" s="26" t="str">
        <f aca="false">IFERROR(MATCH("Population 2|A|"&amp;ROWS($L$5:L64),Population!$U$2:$U$1092,0),"")</f>
        <v/>
      </c>
    </row>
    <row r="65" customFormat="false" ht="15" hidden="false" customHeight="false" outlineLevel="0" collapsed="false">
      <c r="A65" s="12" t="str">
        <f aca="false">IF($L65="","",INDEX(Population!$B$2:$B$1092,$L65)&amp;"")</f>
        <v/>
      </c>
      <c r="B65" s="12" t="str">
        <f aca="false">IF($L65="","",INDEX(Population!$C$2:$C$1092,$L65)&amp;"")</f>
        <v/>
      </c>
      <c r="C65" s="12" t="str">
        <f aca="false">IF($L65="","",INDEX(Population!$D$2:$D$1092,$L65)&amp;"")</f>
        <v/>
      </c>
      <c r="D65" s="12" t="str">
        <f aca="false">IF($L65="","",INDEX(Population!$E$2:$E$1092,$L65))</f>
        <v/>
      </c>
      <c r="E65" s="12" t="str">
        <f aca="false">IF($L65="","",INDEX(Population!$F$2:$F$1092,$L65))</f>
        <v/>
      </c>
      <c r="F65" s="16" t="str">
        <f aca="false">IF($L65="","",INDEX(Population!$L$2:$L$1092,$L65))</f>
        <v/>
      </c>
      <c r="G65" s="16" t="str">
        <f aca="false">IF($L65="","",INDEX(Population!$M$2:$M$1092,$L65))</f>
        <v/>
      </c>
      <c r="H65" s="15" t="str">
        <f aca="false">IF($L65="","",Summary!$C$5)</f>
        <v/>
      </c>
      <c r="I65" s="12" t="str">
        <f aca="false">IF($L65="","","Above Materiality")</f>
        <v/>
      </c>
      <c r="J65" s="12" t="str">
        <f aca="false">IF($L65="","",INDEX(Population!$N$2:$N$1092,$L65))</f>
        <v/>
      </c>
      <c r="K65" s="12" t="str">
        <f aca="false">IF($L65="","",INDEX(Population!$G$2:$G$1092,$L65)&amp;" / row "&amp;INDEX(Population!$H$2:$H$1092,$L65))</f>
        <v/>
      </c>
      <c r="L65" s="26" t="str">
        <f aca="false">IFERROR(MATCH("Population 2|A|"&amp;ROWS($L$5:L65),Population!$U$2:$U$1092,0),"")</f>
        <v/>
      </c>
    </row>
    <row r="66" customFormat="false" ht="15" hidden="false" customHeight="false" outlineLevel="0" collapsed="false">
      <c r="A66" s="12" t="str">
        <f aca="false">IF($L66="","",INDEX(Population!$B$2:$B$1092,$L66)&amp;"")</f>
        <v/>
      </c>
      <c r="B66" s="12" t="str">
        <f aca="false">IF($L66="","",INDEX(Population!$C$2:$C$1092,$L66)&amp;"")</f>
        <v/>
      </c>
      <c r="C66" s="12" t="str">
        <f aca="false">IF($L66="","",INDEX(Population!$D$2:$D$1092,$L66)&amp;"")</f>
        <v/>
      </c>
      <c r="D66" s="12" t="str">
        <f aca="false">IF($L66="","",INDEX(Population!$E$2:$E$1092,$L66))</f>
        <v/>
      </c>
      <c r="E66" s="12" t="str">
        <f aca="false">IF($L66="","",INDEX(Population!$F$2:$F$1092,$L66))</f>
        <v/>
      </c>
      <c r="F66" s="16" t="str">
        <f aca="false">IF($L66="","",INDEX(Population!$L$2:$L$1092,$L66))</f>
        <v/>
      </c>
      <c r="G66" s="16" t="str">
        <f aca="false">IF($L66="","",INDEX(Population!$M$2:$M$1092,$L66))</f>
        <v/>
      </c>
      <c r="H66" s="15" t="str">
        <f aca="false">IF($L66="","",Summary!$C$5)</f>
        <v/>
      </c>
      <c r="I66" s="12" t="str">
        <f aca="false">IF($L66="","","Above Materiality")</f>
        <v/>
      </c>
      <c r="J66" s="12" t="str">
        <f aca="false">IF($L66="","",INDEX(Population!$N$2:$N$1092,$L66))</f>
        <v/>
      </c>
      <c r="K66" s="12" t="str">
        <f aca="false">IF($L66="","",INDEX(Population!$G$2:$G$1092,$L66)&amp;" / row "&amp;INDEX(Population!$H$2:$H$1092,$L66))</f>
        <v/>
      </c>
      <c r="L66" s="26" t="str">
        <f aca="false">IFERROR(MATCH("Population 2|A|"&amp;ROWS($L$5:L66),Population!$U$2:$U$1092,0),"")</f>
        <v/>
      </c>
    </row>
    <row r="67" customFormat="false" ht="15" hidden="false" customHeight="false" outlineLevel="0" collapsed="false">
      <c r="A67" s="12" t="str">
        <f aca="false">IF($L67="","",INDEX(Population!$B$2:$B$1092,$L67)&amp;"")</f>
        <v/>
      </c>
      <c r="B67" s="12" t="str">
        <f aca="false">IF($L67="","",INDEX(Population!$C$2:$C$1092,$L67)&amp;"")</f>
        <v/>
      </c>
      <c r="C67" s="12" t="str">
        <f aca="false">IF($L67="","",INDEX(Population!$D$2:$D$1092,$L67)&amp;"")</f>
        <v/>
      </c>
      <c r="D67" s="12" t="str">
        <f aca="false">IF($L67="","",INDEX(Population!$E$2:$E$1092,$L67))</f>
        <v/>
      </c>
      <c r="E67" s="12" t="str">
        <f aca="false">IF($L67="","",INDEX(Population!$F$2:$F$1092,$L67))</f>
        <v/>
      </c>
      <c r="F67" s="16" t="str">
        <f aca="false">IF($L67="","",INDEX(Population!$L$2:$L$1092,$L67))</f>
        <v/>
      </c>
      <c r="G67" s="16" t="str">
        <f aca="false">IF($L67="","",INDEX(Population!$M$2:$M$1092,$L67))</f>
        <v/>
      </c>
      <c r="H67" s="15" t="str">
        <f aca="false">IF($L67="","",Summary!$C$5)</f>
        <v/>
      </c>
      <c r="I67" s="12" t="str">
        <f aca="false">IF($L67="","","Above Materiality")</f>
        <v/>
      </c>
      <c r="J67" s="12" t="str">
        <f aca="false">IF($L67="","",INDEX(Population!$N$2:$N$1092,$L67))</f>
        <v/>
      </c>
      <c r="K67" s="12" t="str">
        <f aca="false">IF($L67="","",INDEX(Population!$G$2:$G$1092,$L67)&amp;" / row "&amp;INDEX(Population!$H$2:$H$1092,$L67))</f>
        <v/>
      </c>
      <c r="L67" s="26" t="str">
        <f aca="false">IFERROR(MATCH("Population 2|A|"&amp;ROWS($L$5:L67),Population!$U$2:$U$1092,0),"")</f>
        <v/>
      </c>
    </row>
    <row r="68" customFormat="false" ht="15" hidden="false" customHeight="false" outlineLevel="0" collapsed="false">
      <c r="A68" s="12" t="str">
        <f aca="false">IF($L68="","",INDEX(Population!$B$2:$B$1092,$L68)&amp;"")</f>
        <v/>
      </c>
      <c r="B68" s="12" t="str">
        <f aca="false">IF($L68="","",INDEX(Population!$C$2:$C$1092,$L68)&amp;"")</f>
        <v/>
      </c>
      <c r="C68" s="12" t="str">
        <f aca="false">IF($L68="","",INDEX(Population!$D$2:$D$1092,$L68)&amp;"")</f>
        <v/>
      </c>
      <c r="D68" s="12" t="str">
        <f aca="false">IF($L68="","",INDEX(Population!$E$2:$E$1092,$L68))</f>
        <v/>
      </c>
      <c r="E68" s="12" t="str">
        <f aca="false">IF($L68="","",INDEX(Population!$F$2:$F$1092,$L68))</f>
        <v/>
      </c>
      <c r="F68" s="16" t="str">
        <f aca="false">IF($L68="","",INDEX(Population!$L$2:$L$1092,$L68))</f>
        <v/>
      </c>
      <c r="G68" s="16" t="str">
        <f aca="false">IF($L68="","",INDEX(Population!$M$2:$M$1092,$L68))</f>
        <v/>
      </c>
      <c r="H68" s="15" t="str">
        <f aca="false">IF($L68="","",Summary!$C$5)</f>
        <v/>
      </c>
      <c r="I68" s="12" t="str">
        <f aca="false">IF($L68="","","Above Materiality")</f>
        <v/>
      </c>
      <c r="J68" s="12" t="str">
        <f aca="false">IF($L68="","",INDEX(Population!$N$2:$N$1092,$L68))</f>
        <v/>
      </c>
      <c r="K68" s="12" t="str">
        <f aca="false">IF($L68="","",INDEX(Population!$G$2:$G$1092,$L68)&amp;" / row "&amp;INDEX(Population!$H$2:$H$1092,$L68))</f>
        <v/>
      </c>
      <c r="L68" s="26" t="str">
        <f aca="false">IFERROR(MATCH("Population 2|A|"&amp;ROWS($L$5:L68),Population!$U$2:$U$1092,0),"")</f>
        <v/>
      </c>
    </row>
    <row r="69" customFormat="false" ht="15" hidden="false" customHeight="false" outlineLevel="0" collapsed="false">
      <c r="A69" s="12" t="str">
        <f aca="false">IF($L69="","",INDEX(Population!$B$2:$B$1092,$L69)&amp;"")</f>
        <v/>
      </c>
      <c r="B69" s="12" t="str">
        <f aca="false">IF($L69="","",INDEX(Population!$C$2:$C$1092,$L69)&amp;"")</f>
        <v/>
      </c>
      <c r="C69" s="12" t="str">
        <f aca="false">IF($L69="","",INDEX(Population!$D$2:$D$1092,$L69)&amp;"")</f>
        <v/>
      </c>
      <c r="D69" s="12" t="str">
        <f aca="false">IF($L69="","",INDEX(Population!$E$2:$E$1092,$L69))</f>
        <v/>
      </c>
      <c r="E69" s="12" t="str">
        <f aca="false">IF($L69="","",INDEX(Population!$F$2:$F$1092,$L69))</f>
        <v/>
      </c>
      <c r="F69" s="16" t="str">
        <f aca="false">IF($L69="","",INDEX(Population!$L$2:$L$1092,$L69))</f>
        <v/>
      </c>
      <c r="G69" s="16" t="str">
        <f aca="false">IF($L69="","",INDEX(Population!$M$2:$M$1092,$L69))</f>
        <v/>
      </c>
      <c r="H69" s="15" t="str">
        <f aca="false">IF($L69="","",Summary!$C$5)</f>
        <v/>
      </c>
      <c r="I69" s="12" t="str">
        <f aca="false">IF($L69="","","Above Materiality")</f>
        <v/>
      </c>
      <c r="J69" s="12" t="str">
        <f aca="false">IF($L69="","",INDEX(Population!$N$2:$N$1092,$L69))</f>
        <v/>
      </c>
      <c r="K69" s="12" t="str">
        <f aca="false">IF($L69="","",INDEX(Population!$G$2:$G$1092,$L69)&amp;" / row "&amp;INDEX(Population!$H$2:$H$1092,$L69))</f>
        <v/>
      </c>
      <c r="L69" s="26" t="str">
        <f aca="false">IFERROR(MATCH("Population 2|A|"&amp;ROWS($L$5:L69),Population!$U$2:$U$1092,0),"")</f>
        <v/>
      </c>
    </row>
    <row r="70" customFormat="false" ht="15" hidden="false" customHeight="false" outlineLevel="0" collapsed="false">
      <c r="A70" s="12" t="str">
        <f aca="false">IF($L70="","",INDEX(Population!$B$2:$B$1092,$L70)&amp;"")</f>
        <v/>
      </c>
      <c r="B70" s="12" t="str">
        <f aca="false">IF($L70="","",INDEX(Population!$C$2:$C$1092,$L70)&amp;"")</f>
        <v/>
      </c>
      <c r="C70" s="12" t="str">
        <f aca="false">IF($L70="","",INDEX(Population!$D$2:$D$1092,$L70)&amp;"")</f>
        <v/>
      </c>
      <c r="D70" s="12" t="str">
        <f aca="false">IF($L70="","",INDEX(Population!$E$2:$E$1092,$L70))</f>
        <v/>
      </c>
      <c r="E70" s="12" t="str">
        <f aca="false">IF($L70="","",INDEX(Population!$F$2:$F$1092,$L70))</f>
        <v/>
      </c>
      <c r="F70" s="16" t="str">
        <f aca="false">IF($L70="","",INDEX(Population!$L$2:$L$1092,$L70))</f>
        <v/>
      </c>
      <c r="G70" s="16" t="str">
        <f aca="false">IF($L70="","",INDEX(Population!$M$2:$M$1092,$L70))</f>
        <v/>
      </c>
      <c r="H70" s="15" t="str">
        <f aca="false">IF($L70="","",Summary!$C$5)</f>
        <v/>
      </c>
      <c r="I70" s="12" t="str">
        <f aca="false">IF($L70="","","Above Materiality")</f>
        <v/>
      </c>
      <c r="J70" s="12" t="str">
        <f aca="false">IF($L70="","",INDEX(Population!$N$2:$N$1092,$L70))</f>
        <v/>
      </c>
      <c r="K70" s="12" t="str">
        <f aca="false">IF($L70="","",INDEX(Population!$G$2:$G$1092,$L70)&amp;" / row "&amp;INDEX(Population!$H$2:$H$1092,$L70))</f>
        <v/>
      </c>
      <c r="L70" s="26" t="str">
        <f aca="false">IFERROR(MATCH("Population 2|A|"&amp;ROWS($L$5:L70),Population!$U$2:$U$1092,0),"")</f>
        <v/>
      </c>
    </row>
    <row r="71" customFormat="false" ht="15" hidden="false" customHeight="false" outlineLevel="0" collapsed="false">
      <c r="A71" s="12" t="str">
        <f aca="false">IF($L71="","",INDEX(Population!$B$2:$B$1092,$L71)&amp;"")</f>
        <v/>
      </c>
      <c r="B71" s="12" t="str">
        <f aca="false">IF($L71="","",INDEX(Population!$C$2:$C$1092,$L71)&amp;"")</f>
        <v/>
      </c>
      <c r="C71" s="12" t="str">
        <f aca="false">IF($L71="","",INDEX(Population!$D$2:$D$1092,$L71)&amp;"")</f>
        <v/>
      </c>
      <c r="D71" s="12" t="str">
        <f aca="false">IF($L71="","",INDEX(Population!$E$2:$E$1092,$L71))</f>
        <v/>
      </c>
      <c r="E71" s="12" t="str">
        <f aca="false">IF($L71="","",INDEX(Population!$F$2:$F$1092,$L71))</f>
        <v/>
      </c>
      <c r="F71" s="16" t="str">
        <f aca="false">IF($L71="","",INDEX(Population!$L$2:$L$1092,$L71))</f>
        <v/>
      </c>
      <c r="G71" s="16" t="str">
        <f aca="false">IF($L71="","",INDEX(Population!$M$2:$M$1092,$L71))</f>
        <v/>
      </c>
      <c r="H71" s="15" t="str">
        <f aca="false">IF($L71="","",Summary!$C$5)</f>
        <v/>
      </c>
      <c r="I71" s="12" t="str">
        <f aca="false">IF($L71="","","Above Materiality")</f>
        <v/>
      </c>
      <c r="J71" s="12" t="str">
        <f aca="false">IF($L71="","",INDEX(Population!$N$2:$N$1092,$L71))</f>
        <v/>
      </c>
      <c r="K71" s="12" t="str">
        <f aca="false">IF($L71="","",INDEX(Population!$G$2:$G$1092,$L71)&amp;" / row "&amp;INDEX(Population!$H$2:$H$1092,$L71))</f>
        <v/>
      </c>
      <c r="L71" s="26" t="str">
        <f aca="false">IFERROR(MATCH("Population 2|A|"&amp;ROWS($L$5:L71),Population!$U$2:$U$1092,0),"")</f>
        <v/>
      </c>
    </row>
    <row r="72" customFormat="false" ht="15" hidden="false" customHeight="false" outlineLevel="0" collapsed="false">
      <c r="A72" s="12" t="str">
        <f aca="false">IF($L72="","",INDEX(Population!$B$2:$B$1092,$L72)&amp;"")</f>
        <v/>
      </c>
      <c r="B72" s="12" t="str">
        <f aca="false">IF($L72="","",INDEX(Population!$C$2:$C$1092,$L72)&amp;"")</f>
        <v/>
      </c>
      <c r="C72" s="12" t="str">
        <f aca="false">IF($L72="","",INDEX(Population!$D$2:$D$1092,$L72)&amp;"")</f>
        <v/>
      </c>
      <c r="D72" s="12" t="str">
        <f aca="false">IF($L72="","",INDEX(Population!$E$2:$E$1092,$L72))</f>
        <v/>
      </c>
      <c r="E72" s="12" t="str">
        <f aca="false">IF($L72="","",INDEX(Population!$F$2:$F$1092,$L72))</f>
        <v/>
      </c>
      <c r="F72" s="16" t="str">
        <f aca="false">IF($L72="","",INDEX(Population!$L$2:$L$1092,$L72))</f>
        <v/>
      </c>
      <c r="G72" s="16" t="str">
        <f aca="false">IF($L72="","",INDEX(Population!$M$2:$M$1092,$L72))</f>
        <v/>
      </c>
      <c r="H72" s="15" t="str">
        <f aca="false">IF($L72="","",Summary!$C$5)</f>
        <v/>
      </c>
      <c r="I72" s="12" t="str">
        <f aca="false">IF($L72="","","Above Materiality")</f>
        <v/>
      </c>
      <c r="J72" s="12" t="str">
        <f aca="false">IF($L72="","",INDEX(Population!$N$2:$N$1092,$L72))</f>
        <v/>
      </c>
      <c r="K72" s="12" t="str">
        <f aca="false">IF($L72="","",INDEX(Population!$G$2:$G$1092,$L72)&amp;" / row "&amp;INDEX(Population!$H$2:$H$1092,$L72))</f>
        <v/>
      </c>
      <c r="L72" s="26" t="str">
        <f aca="false">IFERROR(MATCH("Population 2|A|"&amp;ROWS($L$5:L72),Population!$U$2:$U$1092,0),"")</f>
        <v/>
      </c>
    </row>
    <row r="73" customFormat="false" ht="15" hidden="false" customHeight="false" outlineLevel="0" collapsed="false">
      <c r="A73" s="12" t="str">
        <f aca="false">IF($L73="","",INDEX(Population!$B$2:$B$1092,$L73)&amp;"")</f>
        <v/>
      </c>
      <c r="B73" s="12" t="str">
        <f aca="false">IF($L73="","",INDEX(Population!$C$2:$C$1092,$L73)&amp;"")</f>
        <v/>
      </c>
      <c r="C73" s="12" t="str">
        <f aca="false">IF($L73="","",INDEX(Population!$D$2:$D$1092,$L73)&amp;"")</f>
        <v/>
      </c>
      <c r="D73" s="12" t="str">
        <f aca="false">IF($L73="","",INDEX(Population!$E$2:$E$1092,$L73))</f>
        <v/>
      </c>
      <c r="E73" s="12" t="str">
        <f aca="false">IF($L73="","",INDEX(Population!$F$2:$F$1092,$L73))</f>
        <v/>
      </c>
      <c r="F73" s="16" t="str">
        <f aca="false">IF($L73="","",INDEX(Population!$L$2:$L$1092,$L73))</f>
        <v/>
      </c>
      <c r="G73" s="16" t="str">
        <f aca="false">IF($L73="","",INDEX(Population!$M$2:$M$1092,$L73))</f>
        <v/>
      </c>
      <c r="H73" s="15" t="str">
        <f aca="false">IF($L73="","",Summary!$C$5)</f>
        <v/>
      </c>
      <c r="I73" s="12" t="str">
        <f aca="false">IF($L73="","","Above Materiality")</f>
        <v/>
      </c>
      <c r="J73" s="12" t="str">
        <f aca="false">IF($L73="","",INDEX(Population!$N$2:$N$1092,$L73))</f>
        <v/>
      </c>
      <c r="K73" s="12" t="str">
        <f aca="false">IF($L73="","",INDEX(Population!$G$2:$G$1092,$L73)&amp;" / row "&amp;INDEX(Population!$H$2:$H$1092,$L73))</f>
        <v/>
      </c>
      <c r="L73" s="26" t="str">
        <f aca="false">IFERROR(MATCH("Population 2|A|"&amp;ROWS($L$5:L73),Population!$U$2:$U$1092,0),"")</f>
        <v/>
      </c>
    </row>
    <row r="74" customFormat="false" ht="15" hidden="false" customHeight="false" outlineLevel="0" collapsed="false">
      <c r="A74" s="12" t="str">
        <f aca="false">IF($L74="","",INDEX(Population!$B$2:$B$1092,$L74)&amp;"")</f>
        <v/>
      </c>
      <c r="B74" s="12" t="str">
        <f aca="false">IF($L74="","",INDEX(Population!$C$2:$C$1092,$L74)&amp;"")</f>
        <v/>
      </c>
      <c r="C74" s="12" t="str">
        <f aca="false">IF($L74="","",INDEX(Population!$D$2:$D$1092,$L74)&amp;"")</f>
        <v/>
      </c>
      <c r="D74" s="12" t="str">
        <f aca="false">IF($L74="","",INDEX(Population!$E$2:$E$1092,$L74))</f>
        <v/>
      </c>
      <c r="E74" s="12" t="str">
        <f aca="false">IF($L74="","",INDEX(Population!$F$2:$F$1092,$L74))</f>
        <v/>
      </c>
      <c r="F74" s="16" t="str">
        <f aca="false">IF($L74="","",INDEX(Population!$L$2:$L$1092,$L74))</f>
        <v/>
      </c>
      <c r="G74" s="16" t="str">
        <f aca="false">IF($L74="","",INDEX(Population!$M$2:$M$1092,$L74))</f>
        <v/>
      </c>
      <c r="H74" s="15" t="str">
        <f aca="false">IF($L74="","",Summary!$C$5)</f>
        <v/>
      </c>
      <c r="I74" s="12" t="str">
        <f aca="false">IF($L74="","","Above Materiality")</f>
        <v/>
      </c>
      <c r="J74" s="12" t="str">
        <f aca="false">IF($L74="","",INDEX(Population!$N$2:$N$1092,$L74))</f>
        <v/>
      </c>
      <c r="K74" s="12" t="str">
        <f aca="false">IF($L74="","",INDEX(Population!$G$2:$G$1092,$L74)&amp;" / row "&amp;INDEX(Population!$H$2:$H$1092,$L74))</f>
        <v/>
      </c>
      <c r="L74" s="26" t="str">
        <f aca="false">IFERROR(MATCH("Population 2|A|"&amp;ROWS($L$5:L74),Population!$U$2:$U$1092,0),"")</f>
        <v/>
      </c>
    </row>
    <row r="75" customFormat="false" ht="15" hidden="false" customHeight="false" outlineLevel="0" collapsed="false">
      <c r="A75" s="12" t="str">
        <f aca="false">IF($L75="","",INDEX(Population!$B$2:$B$1092,$L75)&amp;"")</f>
        <v/>
      </c>
      <c r="B75" s="12" t="str">
        <f aca="false">IF($L75="","",INDEX(Population!$C$2:$C$1092,$L75)&amp;"")</f>
        <v/>
      </c>
      <c r="C75" s="12" t="str">
        <f aca="false">IF($L75="","",INDEX(Population!$D$2:$D$1092,$L75)&amp;"")</f>
        <v/>
      </c>
      <c r="D75" s="12" t="str">
        <f aca="false">IF($L75="","",INDEX(Population!$E$2:$E$1092,$L75))</f>
        <v/>
      </c>
      <c r="E75" s="12" t="str">
        <f aca="false">IF($L75="","",INDEX(Population!$F$2:$F$1092,$L75))</f>
        <v/>
      </c>
      <c r="F75" s="16" t="str">
        <f aca="false">IF($L75="","",INDEX(Population!$L$2:$L$1092,$L75))</f>
        <v/>
      </c>
      <c r="G75" s="16" t="str">
        <f aca="false">IF($L75="","",INDEX(Population!$M$2:$M$1092,$L75))</f>
        <v/>
      </c>
      <c r="H75" s="15" t="str">
        <f aca="false">IF($L75="","",Summary!$C$5)</f>
        <v/>
      </c>
      <c r="I75" s="12" t="str">
        <f aca="false">IF($L75="","","Above Materiality")</f>
        <v/>
      </c>
      <c r="J75" s="12" t="str">
        <f aca="false">IF($L75="","",INDEX(Population!$N$2:$N$1092,$L75))</f>
        <v/>
      </c>
      <c r="K75" s="12" t="str">
        <f aca="false">IF($L75="","",INDEX(Population!$G$2:$G$1092,$L75)&amp;" / row "&amp;INDEX(Population!$H$2:$H$1092,$L75))</f>
        <v/>
      </c>
      <c r="L75" s="26" t="str">
        <f aca="false">IFERROR(MATCH("Population 2|A|"&amp;ROWS($L$5:L75),Population!$U$2:$U$1092,0),"")</f>
        <v/>
      </c>
    </row>
    <row r="76" customFormat="false" ht="15" hidden="false" customHeight="false" outlineLevel="0" collapsed="false">
      <c r="A76" s="12" t="str">
        <f aca="false">IF($L76="","",INDEX(Population!$B$2:$B$1092,$L76)&amp;"")</f>
        <v/>
      </c>
      <c r="B76" s="12" t="str">
        <f aca="false">IF($L76="","",INDEX(Population!$C$2:$C$1092,$L76)&amp;"")</f>
        <v/>
      </c>
      <c r="C76" s="12" t="str">
        <f aca="false">IF($L76="","",INDEX(Population!$D$2:$D$1092,$L76)&amp;"")</f>
        <v/>
      </c>
      <c r="D76" s="12" t="str">
        <f aca="false">IF($L76="","",INDEX(Population!$E$2:$E$1092,$L76))</f>
        <v/>
      </c>
      <c r="E76" s="12" t="str">
        <f aca="false">IF($L76="","",INDEX(Population!$F$2:$F$1092,$L76))</f>
        <v/>
      </c>
      <c r="F76" s="16" t="str">
        <f aca="false">IF($L76="","",INDEX(Population!$L$2:$L$1092,$L76))</f>
        <v/>
      </c>
      <c r="G76" s="16" t="str">
        <f aca="false">IF($L76="","",INDEX(Population!$M$2:$M$1092,$L76))</f>
        <v/>
      </c>
      <c r="H76" s="15" t="str">
        <f aca="false">IF($L76="","",Summary!$C$5)</f>
        <v/>
      </c>
      <c r="I76" s="12" t="str">
        <f aca="false">IF($L76="","","Above Materiality")</f>
        <v/>
      </c>
      <c r="J76" s="12" t="str">
        <f aca="false">IF($L76="","",INDEX(Population!$N$2:$N$1092,$L76))</f>
        <v/>
      </c>
      <c r="K76" s="12" t="str">
        <f aca="false">IF($L76="","",INDEX(Population!$G$2:$G$1092,$L76)&amp;" / row "&amp;INDEX(Population!$H$2:$H$1092,$L76))</f>
        <v/>
      </c>
      <c r="L76" s="26" t="str">
        <f aca="false">IFERROR(MATCH("Population 2|A|"&amp;ROWS($L$5:L76),Population!$U$2:$U$1092,0),"")</f>
        <v/>
      </c>
    </row>
    <row r="77" customFormat="false" ht="15" hidden="false" customHeight="false" outlineLevel="0" collapsed="false">
      <c r="A77" s="12" t="str">
        <f aca="false">IF($L77="","",INDEX(Population!$B$2:$B$1092,$L77)&amp;"")</f>
        <v/>
      </c>
      <c r="B77" s="12" t="str">
        <f aca="false">IF($L77="","",INDEX(Population!$C$2:$C$1092,$L77)&amp;"")</f>
        <v/>
      </c>
      <c r="C77" s="12" t="str">
        <f aca="false">IF($L77="","",INDEX(Population!$D$2:$D$1092,$L77)&amp;"")</f>
        <v/>
      </c>
      <c r="D77" s="12" t="str">
        <f aca="false">IF($L77="","",INDEX(Population!$E$2:$E$1092,$L77))</f>
        <v/>
      </c>
      <c r="E77" s="12" t="str">
        <f aca="false">IF($L77="","",INDEX(Population!$F$2:$F$1092,$L77))</f>
        <v/>
      </c>
      <c r="F77" s="16" t="str">
        <f aca="false">IF($L77="","",INDEX(Population!$L$2:$L$1092,$L77))</f>
        <v/>
      </c>
      <c r="G77" s="16" t="str">
        <f aca="false">IF($L77="","",INDEX(Population!$M$2:$M$1092,$L77))</f>
        <v/>
      </c>
      <c r="H77" s="15" t="str">
        <f aca="false">IF($L77="","",Summary!$C$5)</f>
        <v/>
      </c>
      <c r="I77" s="12" t="str">
        <f aca="false">IF($L77="","","Above Materiality")</f>
        <v/>
      </c>
      <c r="J77" s="12" t="str">
        <f aca="false">IF($L77="","",INDEX(Population!$N$2:$N$1092,$L77))</f>
        <v/>
      </c>
      <c r="K77" s="12" t="str">
        <f aca="false">IF($L77="","",INDEX(Population!$G$2:$G$1092,$L77)&amp;" / row "&amp;INDEX(Population!$H$2:$H$1092,$L77))</f>
        <v/>
      </c>
      <c r="L77" s="26" t="str">
        <f aca="false">IFERROR(MATCH("Population 2|A|"&amp;ROWS($L$5:L77),Population!$U$2:$U$1092,0),"")</f>
        <v/>
      </c>
    </row>
    <row r="78" customFormat="false" ht="15" hidden="false" customHeight="false" outlineLevel="0" collapsed="false">
      <c r="A78" s="12" t="str">
        <f aca="false">IF($L78="","",INDEX(Population!$B$2:$B$1092,$L78)&amp;"")</f>
        <v/>
      </c>
      <c r="B78" s="12" t="str">
        <f aca="false">IF($L78="","",INDEX(Population!$C$2:$C$1092,$L78)&amp;"")</f>
        <v/>
      </c>
      <c r="C78" s="12" t="str">
        <f aca="false">IF($L78="","",INDEX(Population!$D$2:$D$1092,$L78)&amp;"")</f>
        <v/>
      </c>
      <c r="D78" s="12" t="str">
        <f aca="false">IF($L78="","",INDEX(Population!$E$2:$E$1092,$L78))</f>
        <v/>
      </c>
      <c r="E78" s="12" t="str">
        <f aca="false">IF($L78="","",INDEX(Population!$F$2:$F$1092,$L78))</f>
        <v/>
      </c>
      <c r="F78" s="16" t="str">
        <f aca="false">IF($L78="","",INDEX(Population!$L$2:$L$1092,$L78))</f>
        <v/>
      </c>
      <c r="G78" s="16" t="str">
        <f aca="false">IF($L78="","",INDEX(Population!$M$2:$M$1092,$L78))</f>
        <v/>
      </c>
      <c r="H78" s="15" t="str">
        <f aca="false">IF($L78="","",Summary!$C$5)</f>
        <v/>
      </c>
      <c r="I78" s="12" t="str">
        <f aca="false">IF($L78="","","Above Materiality")</f>
        <v/>
      </c>
      <c r="J78" s="12" t="str">
        <f aca="false">IF($L78="","",INDEX(Population!$N$2:$N$1092,$L78))</f>
        <v/>
      </c>
      <c r="K78" s="12" t="str">
        <f aca="false">IF($L78="","",INDEX(Population!$G$2:$G$1092,$L78)&amp;" / row "&amp;INDEX(Population!$H$2:$H$1092,$L78))</f>
        <v/>
      </c>
      <c r="L78" s="26" t="str">
        <f aca="false">IFERROR(MATCH("Population 2|A|"&amp;ROWS($L$5:L78),Population!$U$2:$U$1092,0),"")</f>
        <v/>
      </c>
    </row>
    <row r="79" customFormat="false" ht="15" hidden="false" customHeight="false" outlineLevel="0" collapsed="false">
      <c r="A79" s="12" t="str">
        <f aca="false">IF($L79="","",INDEX(Population!$B$2:$B$1092,$L79)&amp;"")</f>
        <v/>
      </c>
      <c r="B79" s="12" t="str">
        <f aca="false">IF($L79="","",INDEX(Population!$C$2:$C$1092,$L79)&amp;"")</f>
        <v/>
      </c>
      <c r="C79" s="12" t="str">
        <f aca="false">IF($L79="","",INDEX(Population!$D$2:$D$1092,$L79)&amp;"")</f>
        <v/>
      </c>
      <c r="D79" s="12" t="str">
        <f aca="false">IF($L79="","",INDEX(Population!$E$2:$E$1092,$L79))</f>
        <v/>
      </c>
      <c r="E79" s="12" t="str">
        <f aca="false">IF($L79="","",INDEX(Population!$F$2:$F$1092,$L79))</f>
        <v/>
      </c>
      <c r="F79" s="16" t="str">
        <f aca="false">IF($L79="","",INDEX(Population!$L$2:$L$1092,$L79))</f>
        <v/>
      </c>
      <c r="G79" s="16" t="str">
        <f aca="false">IF($L79="","",INDEX(Population!$M$2:$M$1092,$L79))</f>
        <v/>
      </c>
      <c r="H79" s="15" t="str">
        <f aca="false">IF($L79="","",Summary!$C$5)</f>
        <v/>
      </c>
      <c r="I79" s="12" t="str">
        <f aca="false">IF($L79="","","Above Materiality")</f>
        <v/>
      </c>
      <c r="J79" s="12" t="str">
        <f aca="false">IF($L79="","",INDEX(Population!$N$2:$N$1092,$L79))</f>
        <v/>
      </c>
      <c r="K79" s="12" t="str">
        <f aca="false">IF($L79="","",INDEX(Population!$G$2:$G$1092,$L79)&amp;" / row "&amp;INDEX(Population!$H$2:$H$1092,$L79))</f>
        <v/>
      </c>
      <c r="L79" s="26" t="str">
        <f aca="false">IFERROR(MATCH("Population 2|A|"&amp;ROWS($L$5:L79),Population!$U$2:$U$1092,0),"")</f>
        <v/>
      </c>
    </row>
    <row r="80" customFormat="false" ht="15" hidden="false" customHeight="false" outlineLevel="0" collapsed="false">
      <c r="A80" s="12" t="str">
        <f aca="false">IF($L80="","",INDEX(Population!$B$2:$B$1092,$L80)&amp;"")</f>
        <v/>
      </c>
      <c r="B80" s="12" t="str">
        <f aca="false">IF($L80="","",INDEX(Population!$C$2:$C$1092,$L80)&amp;"")</f>
        <v/>
      </c>
      <c r="C80" s="12" t="str">
        <f aca="false">IF($L80="","",INDEX(Population!$D$2:$D$1092,$L80)&amp;"")</f>
        <v/>
      </c>
      <c r="D80" s="12" t="str">
        <f aca="false">IF($L80="","",INDEX(Population!$E$2:$E$1092,$L80))</f>
        <v/>
      </c>
      <c r="E80" s="12" t="str">
        <f aca="false">IF($L80="","",INDEX(Population!$F$2:$F$1092,$L80))</f>
        <v/>
      </c>
      <c r="F80" s="16" t="str">
        <f aca="false">IF($L80="","",INDEX(Population!$L$2:$L$1092,$L80))</f>
        <v/>
      </c>
      <c r="G80" s="16" t="str">
        <f aca="false">IF($L80="","",INDEX(Population!$M$2:$M$1092,$L80))</f>
        <v/>
      </c>
      <c r="H80" s="15" t="str">
        <f aca="false">IF($L80="","",Summary!$C$5)</f>
        <v/>
      </c>
      <c r="I80" s="12" t="str">
        <f aca="false">IF($L80="","","Above Materiality")</f>
        <v/>
      </c>
      <c r="J80" s="12" t="str">
        <f aca="false">IF($L80="","",INDEX(Population!$N$2:$N$1092,$L80))</f>
        <v/>
      </c>
      <c r="K80" s="12" t="str">
        <f aca="false">IF($L80="","",INDEX(Population!$G$2:$G$1092,$L80)&amp;" / row "&amp;INDEX(Population!$H$2:$H$1092,$L80))</f>
        <v/>
      </c>
      <c r="L80" s="26" t="str">
        <f aca="false">IFERROR(MATCH("Population 2|A|"&amp;ROWS($L$5:L80),Population!$U$2:$U$1092,0),"")</f>
        <v/>
      </c>
    </row>
    <row r="81" customFormat="false" ht="15" hidden="false" customHeight="false" outlineLevel="0" collapsed="false">
      <c r="A81" s="12" t="str">
        <f aca="false">IF($L81="","",INDEX(Population!$B$2:$B$1092,$L81)&amp;"")</f>
        <v/>
      </c>
      <c r="B81" s="12" t="str">
        <f aca="false">IF($L81="","",INDEX(Population!$C$2:$C$1092,$L81)&amp;"")</f>
        <v/>
      </c>
      <c r="C81" s="12" t="str">
        <f aca="false">IF($L81="","",INDEX(Population!$D$2:$D$1092,$L81)&amp;"")</f>
        <v/>
      </c>
      <c r="D81" s="12" t="str">
        <f aca="false">IF($L81="","",INDEX(Population!$E$2:$E$1092,$L81))</f>
        <v/>
      </c>
      <c r="E81" s="12" t="str">
        <f aca="false">IF($L81="","",INDEX(Population!$F$2:$F$1092,$L81))</f>
        <v/>
      </c>
      <c r="F81" s="16" t="str">
        <f aca="false">IF($L81="","",INDEX(Population!$L$2:$L$1092,$L81))</f>
        <v/>
      </c>
      <c r="G81" s="16" t="str">
        <f aca="false">IF($L81="","",INDEX(Population!$M$2:$M$1092,$L81))</f>
        <v/>
      </c>
      <c r="H81" s="15" t="str">
        <f aca="false">IF($L81="","",Summary!$C$5)</f>
        <v/>
      </c>
      <c r="I81" s="12" t="str">
        <f aca="false">IF($L81="","","Above Materiality")</f>
        <v/>
      </c>
      <c r="J81" s="12" t="str">
        <f aca="false">IF($L81="","",INDEX(Population!$N$2:$N$1092,$L81))</f>
        <v/>
      </c>
      <c r="K81" s="12" t="str">
        <f aca="false">IF($L81="","",INDEX(Population!$G$2:$G$1092,$L81)&amp;" / row "&amp;INDEX(Population!$H$2:$H$1092,$L81))</f>
        <v/>
      </c>
      <c r="L81" s="26" t="str">
        <f aca="false">IFERROR(MATCH("Population 2|A|"&amp;ROWS($L$5:L81),Population!$U$2:$U$1092,0),"")</f>
        <v/>
      </c>
    </row>
    <row r="82" customFormat="false" ht="15" hidden="false" customHeight="false" outlineLevel="0" collapsed="false">
      <c r="A82" s="12" t="str">
        <f aca="false">IF($L82="","",INDEX(Population!$B$2:$B$1092,$L82)&amp;"")</f>
        <v/>
      </c>
      <c r="B82" s="12" t="str">
        <f aca="false">IF($L82="","",INDEX(Population!$C$2:$C$1092,$L82)&amp;"")</f>
        <v/>
      </c>
      <c r="C82" s="12" t="str">
        <f aca="false">IF($L82="","",INDEX(Population!$D$2:$D$1092,$L82)&amp;"")</f>
        <v/>
      </c>
      <c r="D82" s="12" t="str">
        <f aca="false">IF($L82="","",INDEX(Population!$E$2:$E$1092,$L82))</f>
        <v/>
      </c>
      <c r="E82" s="12" t="str">
        <f aca="false">IF($L82="","",INDEX(Population!$F$2:$F$1092,$L82))</f>
        <v/>
      </c>
      <c r="F82" s="16" t="str">
        <f aca="false">IF($L82="","",INDEX(Population!$L$2:$L$1092,$L82))</f>
        <v/>
      </c>
      <c r="G82" s="16" t="str">
        <f aca="false">IF($L82="","",INDEX(Population!$M$2:$M$1092,$L82))</f>
        <v/>
      </c>
      <c r="H82" s="15" t="str">
        <f aca="false">IF($L82="","",Summary!$C$5)</f>
        <v/>
      </c>
      <c r="I82" s="12" t="str">
        <f aca="false">IF($L82="","","Above Materiality")</f>
        <v/>
      </c>
      <c r="J82" s="12" t="str">
        <f aca="false">IF($L82="","",INDEX(Population!$N$2:$N$1092,$L82))</f>
        <v/>
      </c>
      <c r="K82" s="12" t="str">
        <f aca="false">IF($L82="","",INDEX(Population!$G$2:$G$1092,$L82)&amp;" / row "&amp;INDEX(Population!$H$2:$H$1092,$L82))</f>
        <v/>
      </c>
      <c r="L82" s="26" t="str">
        <f aca="false">IFERROR(MATCH("Population 2|A|"&amp;ROWS($L$5:L82),Population!$U$2:$U$1092,0),"")</f>
        <v/>
      </c>
    </row>
    <row r="83" customFormat="false" ht="15" hidden="false" customHeight="false" outlineLevel="0" collapsed="false">
      <c r="A83" s="12" t="str">
        <f aca="false">IF($L83="","",INDEX(Population!$B$2:$B$1092,$L83)&amp;"")</f>
        <v/>
      </c>
      <c r="B83" s="12" t="str">
        <f aca="false">IF($L83="","",INDEX(Population!$C$2:$C$1092,$L83)&amp;"")</f>
        <v/>
      </c>
      <c r="C83" s="12" t="str">
        <f aca="false">IF($L83="","",INDEX(Population!$D$2:$D$1092,$L83)&amp;"")</f>
        <v/>
      </c>
      <c r="D83" s="12" t="str">
        <f aca="false">IF($L83="","",INDEX(Population!$E$2:$E$1092,$L83))</f>
        <v/>
      </c>
      <c r="E83" s="12" t="str">
        <f aca="false">IF($L83="","",INDEX(Population!$F$2:$F$1092,$L83))</f>
        <v/>
      </c>
      <c r="F83" s="16" t="str">
        <f aca="false">IF($L83="","",INDEX(Population!$L$2:$L$1092,$L83))</f>
        <v/>
      </c>
      <c r="G83" s="16" t="str">
        <f aca="false">IF($L83="","",INDEX(Population!$M$2:$M$1092,$L83))</f>
        <v/>
      </c>
      <c r="H83" s="15" t="str">
        <f aca="false">IF($L83="","",Summary!$C$5)</f>
        <v/>
      </c>
      <c r="I83" s="12" t="str">
        <f aca="false">IF($L83="","","Above Materiality")</f>
        <v/>
      </c>
      <c r="J83" s="12" t="str">
        <f aca="false">IF($L83="","",INDEX(Population!$N$2:$N$1092,$L83))</f>
        <v/>
      </c>
      <c r="K83" s="12" t="str">
        <f aca="false">IF($L83="","",INDEX(Population!$G$2:$G$1092,$L83)&amp;" / row "&amp;INDEX(Population!$H$2:$H$1092,$L83))</f>
        <v/>
      </c>
      <c r="L83" s="26" t="str">
        <f aca="false">IFERROR(MATCH("Population 2|A|"&amp;ROWS($L$5:L83),Population!$U$2:$U$1092,0),"")</f>
        <v/>
      </c>
    </row>
    <row r="84" customFormat="false" ht="15" hidden="false" customHeight="false" outlineLevel="0" collapsed="false">
      <c r="A84" s="12" t="str">
        <f aca="false">IF($L84="","",INDEX(Population!$B$2:$B$1092,$L84)&amp;"")</f>
        <v/>
      </c>
      <c r="B84" s="12" t="str">
        <f aca="false">IF($L84="","",INDEX(Population!$C$2:$C$1092,$L84)&amp;"")</f>
        <v/>
      </c>
      <c r="C84" s="12" t="str">
        <f aca="false">IF($L84="","",INDEX(Population!$D$2:$D$1092,$L84)&amp;"")</f>
        <v/>
      </c>
      <c r="D84" s="12" t="str">
        <f aca="false">IF($L84="","",INDEX(Population!$E$2:$E$1092,$L84))</f>
        <v/>
      </c>
      <c r="E84" s="12" t="str">
        <f aca="false">IF($L84="","",INDEX(Population!$F$2:$F$1092,$L84))</f>
        <v/>
      </c>
      <c r="F84" s="16" t="str">
        <f aca="false">IF($L84="","",INDEX(Population!$L$2:$L$1092,$L84))</f>
        <v/>
      </c>
      <c r="G84" s="16" t="str">
        <f aca="false">IF($L84="","",INDEX(Population!$M$2:$M$1092,$L84))</f>
        <v/>
      </c>
      <c r="H84" s="15" t="str">
        <f aca="false">IF($L84="","",Summary!$C$5)</f>
        <v/>
      </c>
      <c r="I84" s="12" t="str">
        <f aca="false">IF($L84="","","Above Materiality")</f>
        <v/>
      </c>
      <c r="J84" s="12" t="str">
        <f aca="false">IF($L84="","",INDEX(Population!$N$2:$N$1092,$L84))</f>
        <v/>
      </c>
      <c r="K84" s="12" t="str">
        <f aca="false">IF($L84="","",INDEX(Population!$G$2:$G$1092,$L84)&amp;" / row "&amp;INDEX(Population!$H$2:$H$1092,$L84))</f>
        <v/>
      </c>
      <c r="L84" s="26" t="str">
        <f aca="false">IFERROR(MATCH("Population 2|A|"&amp;ROWS($L$5:L84),Population!$U$2:$U$1092,0),"")</f>
        <v/>
      </c>
    </row>
    <row r="85" customFormat="false" ht="15" hidden="false" customHeight="false" outlineLevel="0" collapsed="false">
      <c r="A85" s="12" t="str">
        <f aca="false">IF($L85="","",INDEX(Population!$B$2:$B$1092,$L85)&amp;"")</f>
        <v/>
      </c>
      <c r="B85" s="12" t="str">
        <f aca="false">IF($L85="","",INDEX(Population!$C$2:$C$1092,$L85)&amp;"")</f>
        <v/>
      </c>
      <c r="C85" s="12" t="str">
        <f aca="false">IF($L85="","",INDEX(Population!$D$2:$D$1092,$L85)&amp;"")</f>
        <v/>
      </c>
      <c r="D85" s="12" t="str">
        <f aca="false">IF($L85="","",INDEX(Population!$E$2:$E$1092,$L85))</f>
        <v/>
      </c>
      <c r="E85" s="12" t="str">
        <f aca="false">IF($L85="","",INDEX(Population!$F$2:$F$1092,$L85))</f>
        <v/>
      </c>
      <c r="F85" s="16" t="str">
        <f aca="false">IF($L85="","",INDEX(Population!$L$2:$L$1092,$L85))</f>
        <v/>
      </c>
      <c r="G85" s="16" t="str">
        <f aca="false">IF($L85="","",INDEX(Population!$M$2:$M$1092,$L85))</f>
        <v/>
      </c>
      <c r="H85" s="15" t="str">
        <f aca="false">IF($L85="","",Summary!$C$5)</f>
        <v/>
      </c>
      <c r="I85" s="12" t="str">
        <f aca="false">IF($L85="","","Above Materiality")</f>
        <v/>
      </c>
      <c r="J85" s="12" t="str">
        <f aca="false">IF($L85="","",INDEX(Population!$N$2:$N$1092,$L85))</f>
        <v/>
      </c>
      <c r="K85" s="12" t="str">
        <f aca="false">IF($L85="","",INDEX(Population!$G$2:$G$1092,$L85)&amp;" / row "&amp;INDEX(Population!$H$2:$H$1092,$L85))</f>
        <v/>
      </c>
      <c r="L85" s="26" t="str">
        <f aca="false">IFERROR(MATCH("Population 2|A|"&amp;ROWS($L$5:L85),Population!$U$2:$U$1092,0),"")</f>
        <v/>
      </c>
    </row>
    <row r="86" customFormat="false" ht="15" hidden="false" customHeight="false" outlineLevel="0" collapsed="false">
      <c r="A86" s="12" t="str">
        <f aca="false">IF($L86="","",INDEX(Population!$B$2:$B$1092,$L86)&amp;"")</f>
        <v/>
      </c>
      <c r="B86" s="12" t="str">
        <f aca="false">IF($L86="","",INDEX(Population!$C$2:$C$1092,$L86)&amp;"")</f>
        <v/>
      </c>
      <c r="C86" s="12" t="str">
        <f aca="false">IF($L86="","",INDEX(Population!$D$2:$D$1092,$L86)&amp;"")</f>
        <v/>
      </c>
      <c r="D86" s="12" t="str">
        <f aca="false">IF($L86="","",INDEX(Population!$E$2:$E$1092,$L86))</f>
        <v/>
      </c>
      <c r="E86" s="12" t="str">
        <f aca="false">IF($L86="","",INDEX(Population!$F$2:$F$1092,$L86))</f>
        <v/>
      </c>
      <c r="F86" s="16" t="str">
        <f aca="false">IF($L86="","",INDEX(Population!$L$2:$L$1092,$L86))</f>
        <v/>
      </c>
      <c r="G86" s="16" t="str">
        <f aca="false">IF($L86="","",INDEX(Population!$M$2:$M$1092,$L86))</f>
        <v/>
      </c>
      <c r="H86" s="15" t="str">
        <f aca="false">IF($L86="","",Summary!$C$5)</f>
        <v/>
      </c>
      <c r="I86" s="12" t="str">
        <f aca="false">IF($L86="","","Above Materiality")</f>
        <v/>
      </c>
      <c r="J86" s="12" t="str">
        <f aca="false">IF($L86="","",INDEX(Population!$N$2:$N$1092,$L86))</f>
        <v/>
      </c>
      <c r="K86" s="12" t="str">
        <f aca="false">IF($L86="","",INDEX(Population!$G$2:$G$1092,$L86)&amp;" / row "&amp;INDEX(Population!$H$2:$H$1092,$L86))</f>
        <v/>
      </c>
      <c r="L86" s="26" t="str">
        <f aca="false">IFERROR(MATCH("Population 2|A|"&amp;ROWS($L$5:L86),Population!$U$2:$U$1092,0),"")</f>
        <v/>
      </c>
    </row>
    <row r="87" customFormat="false" ht="15" hidden="false" customHeight="false" outlineLevel="0" collapsed="false">
      <c r="A87" s="12" t="str">
        <f aca="false">IF($L87="","",INDEX(Population!$B$2:$B$1092,$L87)&amp;"")</f>
        <v/>
      </c>
      <c r="B87" s="12" t="str">
        <f aca="false">IF($L87="","",INDEX(Population!$C$2:$C$1092,$L87)&amp;"")</f>
        <v/>
      </c>
      <c r="C87" s="12" t="str">
        <f aca="false">IF($L87="","",INDEX(Population!$D$2:$D$1092,$L87)&amp;"")</f>
        <v/>
      </c>
      <c r="D87" s="12" t="str">
        <f aca="false">IF($L87="","",INDEX(Population!$E$2:$E$1092,$L87))</f>
        <v/>
      </c>
      <c r="E87" s="12" t="str">
        <f aca="false">IF($L87="","",INDEX(Population!$F$2:$F$1092,$L87))</f>
        <v/>
      </c>
      <c r="F87" s="16" t="str">
        <f aca="false">IF($L87="","",INDEX(Population!$L$2:$L$1092,$L87))</f>
        <v/>
      </c>
      <c r="G87" s="16" t="str">
        <f aca="false">IF($L87="","",INDEX(Population!$M$2:$M$1092,$L87))</f>
        <v/>
      </c>
      <c r="H87" s="15" t="str">
        <f aca="false">IF($L87="","",Summary!$C$5)</f>
        <v/>
      </c>
      <c r="I87" s="12" t="str">
        <f aca="false">IF($L87="","","Above Materiality")</f>
        <v/>
      </c>
      <c r="J87" s="12" t="str">
        <f aca="false">IF($L87="","",INDEX(Population!$N$2:$N$1092,$L87))</f>
        <v/>
      </c>
      <c r="K87" s="12" t="str">
        <f aca="false">IF($L87="","",INDEX(Population!$G$2:$G$1092,$L87)&amp;" / row "&amp;INDEX(Population!$H$2:$H$1092,$L87))</f>
        <v/>
      </c>
      <c r="L87" s="26" t="str">
        <f aca="false">IFERROR(MATCH("Population 2|A|"&amp;ROWS($L$5:L87),Population!$U$2:$U$1092,0),"")</f>
        <v/>
      </c>
    </row>
    <row r="88" customFormat="false" ht="15" hidden="false" customHeight="false" outlineLevel="0" collapsed="false">
      <c r="A88" s="12" t="str">
        <f aca="false">IF($L88="","",INDEX(Population!$B$2:$B$1092,$L88)&amp;"")</f>
        <v/>
      </c>
      <c r="B88" s="12" t="str">
        <f aca="false">IF($L88="","",INDEX(Population!$C$2:$C$1092,$L88)&amp;"")</f>
        <v/>
      </c>
      <c r="C88" s="12" t="str">
        <f aca="false">IF($L88="","",INDEX(Population!$D$2:$D$1092,$L88)&amp;"")</f>
        <v/>
      </c>
      <c r="D88" s="12" t="str">
        <f aca="false">IF($L88="","",INDEX(Population!$E$2:$E$1092,$L88))</f>
        <v/>
      </c>
      <c r="E88" s="12" t="str">
        <f aca="false">IF($L88="","",INDEX(Population!$F$2:$F$1092,$L88))</f>
        <v/>
      </c>
      <c r="F88" s="16" t="str">
        <f aca="false">IF($L88="","",INDEX(Population!$L$2:$L$1092,$L88))</f>
        <v/>
      </c>
      <c r="G88" s="16" t="str">
        <f aca="false">IF($L88="","",INDEX(Population!$M$2:$M$1092,$L88))</f>
        <v/>
      </c>
      <c r="H88" s="15" t="str">
        <f aca="false">IF($L88="","",Summary!$C$5)</f>
        <v/>
      </c>
      <c r="I88" s="12" t="str">
        <f aca="false">IF($L88="","","Above Materiality")</f>
        <v/>
      </c>
      <c r="J88" s="12" t="str">
        <f aca="false">IF($L88="","",INDEX(Population!$N$2:$N$1092,$L88))</f>
        <v/>
      </c>
      <c r="K88" s="12" t="str">
        <f aca="false">IF($L88="","",INDEX(Population!$G$2:$G$1092,$L88)&amp;" / row "&amp;INDEX(Population!$H$2:$H$1092,$L88))</f>
        <v/>
      </c>
      <c r="L88" s="26" t="str">
        <f aca="false">IFERROR(MATCH("Population 2|A|"&amp;ROWS($L$5:L88),Population!$U$2:$U$1092,0),"")</f>
        <v/>
      </c>
    </row>
    <row r="89" customFormat="false" ht="15" hidden="false" customHeight="false" outlineLevel="0" collapsed="false">
      <c r="A89" s="12" t="str">
        <f aca="false">IF($L89="","",INDEX(Population!$B$2:$B$1092,$L89)&amp;"")</f>
        <v/>
      </c>
      <c r="B89" s="12" t="str">
        <f aca="false">IF($L89="","",INDEX(Population!$C$2:$C$1092,$L89)&amp;"")</f>
        <v/>
      </c>
      <c r="C89" s="12" t="str">
        <f aca="false">IF($L89="","",INDEX(Population!$D$2:$D$1092,$L89)&amp;"")</f>
        <v/>
      </c>
      <c r="D89" s="12" t="str">
        <f aca="false">IF($L89="","",INDEX(Population!$E$2:$E$1092,$L89))</f>
        <v/>
      </c>
      <c r="E89" s="12" t="str">
        <f aca="false">IF($L89="","",INDEX(Population!$F$2:$F$1092,$L89))</f>
        <v/>
      </c>
      <c r="F89" s="16" t="str">
        <f aca="false">IF($L89="","",INDEX(Population!$L$2:$L$1092,$L89))</f>
        <v/>
      </c>
      <c r="G89" s="16" t="str">
        <f aca="false">IF($L89="","",INDEX(Population!$M$2:$M$1092,$L89))</f>
        <v/>
      </c>
      <c r="H89" s="15" t="str">
        <f aca="false">IF($L89="","",Summary!$C$5)</f>
        <v/>
      </c>
      <c r="I89" s="12" t="str">
        <f aca="false">IF($L89="","","Above Materiality")</f>
        <v/>
      </c>
      <c r="J89" s="12" t="str">
        <f aca="false">IF($L89="","",INDEX(Population!$N$2:$N$1092,$L89))</f>
        <v/>
      </c>
      <c r="K89" s="12" t="str">
        <f aca="false">IF($L89="","",INDEX(Population!$G$2:$G$1092,$L89)&amp;" / row "&amp;INDEX(Population!$H$2:$H$1092,$L89))</f>
        <v/>
      </c>
      <c r="L89" s="26" t="str">
        <f aca="false">IFERROR(MATCH("Population 2|A|"&amp;ROWS($L$5:L89),Population!$U$2:$U$1092,0),"")</f>
        <v/>
      </c>
    </row>
    <row r="90" customFormat="false" ht="15" hidden="false" customHeight="false" outlineLevel="0" collapsed="false">
      <c r="A90" s="12" t="str">
        <f aca="false">IF($L90="","",INDEX(Population!$B$2:$B$1092,$L90)&amp;"")</f>
        <v/>
      </c>
      <c r="B90" s="12" t="str">
        <f aca="false">IF($L90="","",INDEX(Population!$C$2:$C$1092,$L90)&amp;"")</f>
        <v/>
      </c>
      <c r="C90" s="12" t="str">
        <f aca="false">IF($L90="","",INDEX(Population!$D$2:$D$1092,$L90)&amp;"")</f>
        <v/>
      </c>
      <c r="D90" s="12" t="str">
        <f aca="false">IF($L90="","",INDEX(Population!$E$2:$E$1092,$L90))</f>
        <v/>
      </c>
      <c r="E90" s="12" t="str">
        <f aca="false">IF($L90="","",INDEX(Population!$F$2:$F$1092,$L90))</f>
        <v/>
      </c>
      <c r="F90" s="16" t="str">
        <f aca="false">IF($L90="","",INDEX(Population!$L$2:$L$1092,$L90))</f>
        <v/>
      </c>
      <c r="G90" s="16" t="str">
        <f aca="false">IF($L90="","",INDEX(Population!$M$2:$M$1092,$L90))</f>
        <v/>
      </c>
      <c r="H90" s="15" t="str">
        <f aca="false">IF($L90="","",Summary!$C$5)</f>
        <v/>
      </c>
      <c r="I90" s="12" t="str">
        <f aca="false">IF($L90="","","Above Materiality")</f>
        <v/>
      </c>
      <c r="J90" s="12" t="str">
        <f aca="false">IF($L90="","",INDEX(Population!$N$2:$N$1092,$L90))</f>
        <v/>
      </c>
      <c r="K90" s="12" t="str">
        <f aca="false">IF($L90="","",INDEX(Population!$G$2:$G$1092,$L90)&amp;" / row "&amp;INDEX(Population!$H$2:$H$1092,$L90))</f>
        <v/>
      </c>
      <c r="L90" s="26" t="str">
        <f aca="false">IFERROR(MATCH("Population 2|A|"&amp;ROWS($L$5:L90),Population!$U$2:$U$1092,0),"")</f>
        <v/>
      </c>
    </row>
    <row r="91" customFormat="false" ht="15" hidden="false" customHeight="false" outlineLevel="0" collapsed="false">
      <c r="A91" s="12" t="str">
        <f aca="false">IF($L91="","",INDEX(Population!$B$2:$B$1092,$L91)&amp;"")</f>
        <v/>
      </c>
      <c r="B91" s="12" t="str">
        <f aca="false">IF($L91="","",INDEX(Population!$C$2:$C$1092,$L91)&amp;"")</f>
        <v/>
      </c>
      <c r="C91" s="12" t="str">
        <f aca="false">IF($L91="","",INDEX(Population!$D$2:$D$1092,$L91)&amp;"")</f>
        <v/>
      </c>
      <c r="D91" s="12" t="str">
        <f aca="false">IF($L91="","",INDEX(Population!$E$2:$E$1092,$L91))</f>
        <v/>
      </c>
      <c r="E91" s="12" t="str">
        <f aca="false">IF($L91="","",INDEX(Population!$F$2:$F$1092,$L91))</f>
        <v/>
      </c>
      <c r="F91" s="16" t="str">
        <f aca="false">IF($L91="","",INDEX(Population!$L$2:$L$1092,$L91))</f>
        <v/>
      </c>
      <c r="G91" s="16" t="str">
        <f aca="false">IF($L91="","",INDEX(Population!$M$2:$M$1092,$L91))</f>
        <v/>
      </c>
      <c r="H91" s="15" t="str">
        <f aca="false">IF($L91="","",Summary!$C$5)</f>
        <v/>
      </c>
      <c r="I91" s="12" t="str">
        <f aca="false">IF($L91="","","Above Materiality")</f>
        <v/>
      </c>
      <c r="J91" s="12" t="str">
        <f aca="false">IF($L91="","",INDEX(Population!$N$2:$N$1092,$L91))</f>
        <v/>
      </c>
      <c r="K91" s="12" t="str">
        <f aca="false">IF($L91="","",INDEX(Population!$G$2:$G$1092,$L91)&amp;" / row "&amp;INDEX(Population!$H$2:$H$1092,$L91))</f>
        <v/>
      </c>
      <c r="L91" s="26" t="str">
        <f aca="false">IFERROR(MATCH("Population 2|A|"&amp;ROWS($L$5:L91),Population!$U$2:$U$1092,0),"")</f>
        <v/>
      </c>
    </row>
    <row r="92" customFormat="false" ht="15" hidden="false" customHeight="false" outlineLevel="0" collapsed="false">
      <c r="A92" s="12" t="str">
        <f aca="false">IF($L92="","",INDEX(Population!$B$2:$B$1092,$L92)&amp;"")</f>
        <v/>
      </c>
      <c r="B92" s="12" t="str">
        <f aca="false">IF($L92="","",INDEX(Population!$C$2:$C$1092,$L92)&amp;"")</f>
        <v/>
      </c>
      <c r="C92" s="12" t="str">
        <f aca="false">IF($L92="","",INDEX(Population!$D$2:$D$1092,$L92)&amp;"")</f>
        <v/>
      </c>
      <c r="D92" s="12" t="str">
        <f aca="false">IF($L92="","",INDEX(Population!$E$2:$E$1092,$L92))</f>
        <v/>
      </c>
      <c r="E92" s="12" t="str">
        <f aca="false">IF($L92="","",INDEX(Population!$F$2:$F$1092,$L92))</f>
        <v/>
      </c>
      <c r="F92" s="16" t="str">
        <f aca="false">IF($L92="","",INDEX(Population!$L$2:$L$1092,$L92))</f>
        <v/>
      </c>
      <c r="G92" s="16" t="str">
        <f aca="false">IF($L92="","",INDEX(Population!$M$2:$M$1092,$L92))</f>
        <v/>
      </c>
      <c r="H92" s="15" t="str">
        <f aca="false">IF($L92="","",Summary!$C$5)</f>
        <v/>
      </c>
      <c r="I92" s="12" t="str">
        <f aca="false">IF($L92="","","Above Materiality")</f>
        <v/>
      </c>
      <c r="J92" s="12" t="str">
        <f aca="false">IF($L92="","",INDEX(Population!$N$2:$N$1092,$L92))</f>
        <v/>
      </c>
      <c r="K92" s="12" t="str">
        <f aca="false">IF($L92="","",INDEX(Population!$G$2:$G$1092,$L92)&amp;" / row "&amp;INDEX(Population!$H$2:$H$1092,$L92))</f>
        <v/>
      </c>
      <c r="L92" s="26" t="str">
        <f aca="false">IFERROR(MATCH("Population 2|A|"&amp;ROWS($L$5:L92),Population!$U$2:$U$1092,0),"")</f>
        <v/>
      </c>
    </row>
    <row r="93" customFormat="false" ht="15" hidden="false" customHeight="false" outlineLevel="0" collapsed="false">
      <c r="A93" s="12" t="str">
        <f aca="false">IF($L93="","",INDEX(Population!$B$2:$B$1092,$L93)&amp;"")</f>
        <v/>
      </c>
      <c r="B93" s="12" t="str">
        <f aca="false">IF($L93="","",INDEX(Population!$C$2:$C$1092,$L93)&amp;"")</f>
        <v/>
      </c>
      <c r="C93" s="12" t="str">
        <f aca="false">IF($L93="","",INDEX(Population!$D$2:$D$1092,$L93)&amp;"")</f>
        <v/>
      </c>
      <c r="D93" s="12" t="str">
        <f aca="false">IF($L93="","",INDEX(Population!$E$2:$E$1092,$L93))</f>
        <v/>
      </c>
      <c r="E93" s="12" t="str">
        <f aca="false">IF($L93="","",INDEX(Population!$F$2:$F$1092,$L93))</f>
        <v/>
      </c>
      <c r="F93" s="16" t="str">
        <f aca="false">IF($L93="","",INDEX(Population!$L$2:$L$1092,$L93))</f>
        <v/>
      </c>
      <c r="G93" s="16" t="str">
        <f aca="false">IF($L93="","",INDEX(Population!$M$2:$M$1092,$L93))</f>
        <v/>
      </c>
      <c r="H93" s="15" t="str">
        <f aca="false">IF($L93="","",Summary!$C$5)</f>
        <v/>
      </c>
      <c r="I93" s="12" t="str">
        <f aca="false">IF($L93="","","Above Materiality")</f>
        <v/>
      </c>
      <c r="J93" s="12" t="str">
        <f aca="false">IF($L93="","",INDEX(Population!$N$2:$N$1092,$L93))</f>
        <v/>
      </c>
      <c r="K93" s="12" t="str">
        <f aca="false">IF($L93="","",INDEX(Population!$G$2:$G$1092,$L93)&amp;" / row "&amp;INDEX(Population!$H$2:$H$1092,$L93))</f>
        <v/>
      </c>
      <c r="L93" s="26" t="str">
        <f aca="false">IFERROR(MATCH("Population 2|A|"&amp;ROWS($L$5:L93),Population!$U$2:$U$1092,0),"")</f>
        <v/>
      </c>
    </row>
    <row r="94" customFormat="false" ht="15" hidden="false" customHeight="false" outlineLevel="0" collapsed="false">
      <c r="A94" s="12" t="str">
        <f aca="false">IF($L94="","",INDEX(Population!$B$2:$B$1092,$L94)&amp;"")</f>
        <v/>
      </c>
      <c r="B94" s="12" t="str">
        <f aca="false">IF($L94="","",INDEX(Population!$C$2:$C$1092,$L94)&amp;"")</f>
        <v/>
      </c>
      <c r="C94" s="12" t="str">
        <f aca="false">IF($L94="","",INDEX(Population!$D$2:$D$1092,$L94)&amp;"")</f>
        <v/>
      </c>
      <c r="D94" s="12" t="str">
        <f aca="false">IF($L94="","",INDEX(Population!$E$2:$E$1092,$L94))</f>
        <v/>
      </c>
      <c r="E94" s="12" t="str">
        <f aca="false">IF($L94="","",INDEX(Population!$F$2:$F$1092,$L94))</f>
        <v/>
      </c>
      <c r="F94" s="16" t="str">
        <f aca="false">IF($L94="","",INDEX(Population!$L$2:$L$1092,$L94))</f>
        <v/>
      </c>
      <c r="G94" s="16" t="str">
        <f aca="false">IF($L94="","",INDEX(Population!$M$2:$M$1092,$L94))</f>
        <v/>
      </c>
      <c r="H94" s="15" t="str">
        <f aca="false">IF($L94="","",Summary!$C$5)</f>
        <v/>
      </c>
      <c r="I94" s="12" t="str">
        <f aca="false">IF($L94="","","Above Materiality")</f>
        <v/>
      </c>
      <c r="J94" s="12" t="str">
        <f aca="false">IF($L94="","",INDEX(Population!$N$2:$N$1092,$L94))</f>
        <v/>
      </c>
      <c r="K94" s="12" t="str">
        <f aca="false">IF($L94="","",INDEX(Population!$G$2:$G$1092,$L94)&amp;" / row "&amp;INDEX(Population!$H$2:$H$1092,$L94))</f>
        <v/>
      </c>
      <c r="L94" s="26" t="str">
        <f aca="false">IFERROR(MATCH("Population 2|A|"&amp;ROWS($L$5:L94),Population!$U$2:$U$1092,0),"")</f>
        <v/>
      </c>
    </row>
    <row r="95" customFormat="false" ht="15" hidden="false" customHeight="false" outlineLevel="0" collapsed="false">
      <c r="A95" s="12" t="str">
        <f aca="false">IF($L95="","",INDEX(Population!$B$2:$B$1092,$L95)&amp;"")</f>
        <v/>
      </c>
      <c r="B95" s="12" t="str">
        <f aca="false">IF($L95="","",INDEX(Population!$C$2:$C$1092,$L95)&amp;"")</f>
        <v/>
      </c>
      <c r="C95" s="12" t="str">
        <f aca="false">IF($L95="","",INDEX(Population!$D$2:$D$1092,$L95)&amp;"")</f>
        <v/>
      </c>
      <c r="D95" s="12" t="str">
        <f aca="false">IF($L95="","",INDEX(Population!$E$2:$E$1092,$L95))</f>
        <v/>
      </c>
      <c r="E95" s="12" t="str">
        <f aca="false">IF($L95="","",INDEX(Population!$F$2:$F$1092,$L95))</f>
        <v/>
      </c>
      <c r="F95" s="16" t="str">
        <f aca="false">IF($L95="","",INDEX(Population!$L$2:$L$1092,$L95))</f>
        <v/>
      </c>
      <c r="G95" s="16" t="str">
        <f aca="false">IF($L95="","",INDEX(Population!$M$2:$M$1092,$L95))</f>
        <v/>
      </c>
      <c r="H95" s="15" t="str">
        <f aca="false">IF($L95="","",Summary!$C$5)</f>
        <v/>
      </c>
      <c r="I95" s="12" t="str">
        <f aca="false">IF($L95="","","Above Materiality")</f>
        <v/>
      </c>
      <c r="J95" s="12" t="str">
        <f aca="false">IF($L95="","",INDEX(Population!$N$2:$N$1092,$L95))</f>
        <v/>
      </c>
      <c r="K95" s="12" t="str">
        <f aca="false">IF($L95="","",INDEX(Population!$G$2:$G$1092,$L95)&amp;" / row "&amp;INDEX(Population!$H$2:$H$1092,$L95))</f>
        <v/>
      </c>
      <c r="L95" s="26" t="str">
        <f aca="false">IFERROR(MATCH("Population 2|A|"&amp;ROWS($L$5:L95),Population!$U$2:$U$1092,0),"")</f>
        <v/>
      </c>
    </row>
    <row r="96" customFormat="false" ht="15" hidden="false" customHeight="false" outlineLevel="0" collapsed="false">
      <c r="A96" s="12" t="str">
        <f aca="false">IF($L96="","",INDEX(Population!$B$2:$B$1092,$L96)&amp;"")</f>
        <v/>
      </c>
      <c r="B96" s="12" t="str">
        <f aca="false">IF($L96="","",INDEX(Population!$C$2:$C$1092,$L96)&amp;"")</f>
        <v/>
      </c>
      <c r="C96" s="12" t="str">
        <f aca="false">IF($L96="","",INDEX(Population!$D$2:$D$1092,$L96)&amp;"")</f>
        <v/>
      </c>
      <c r="D96" s="12" t="str">
        <f aca="false">IF($L96="","",INDEX(Population!$E$2:$E$1092,$L96))</f>
        <v/>
      </c>
      <c r="E96" s="12" t="str">
        <f aca="false">IF($L96="","",INDEX(Population!$F$2:$F$1092,$L96))</f>
        <v/>
      </c>
      <c r="F96" s="16" t="str">
        <f aca="false">IF($L96="","",INDEX(Population!$L$2:$L$1092,$L96))</f>
        <v/>
      </c>
      <c r="G96" s="16" t="str">
        <f aca="false">IF($L96="","",INDEX(Population!$M$2:$M$1092,$L96))</f>
        <v/>
      </c>
      <c r="H96" s="15" t="str">
        <f aca="false">IF($L96="","",Summary!$C$5)</f>
        <v/>
      </c>
      <c r="I96" s="12" t="str">
        <f aca="false">IF($L96="","","Above Materiality")</f>
        <v/>
      </c>
      <c r="J96" s="12" t="str">
        <f aca="false">IF($L96="","",INDEX(Population!$N$2:$N$1092,$L96))</f>
        <v/>
      </c>
      <c r="K96" s="12" t="str">
        <f aca="false">IF($L96="","",INDEX(Population!$G$2:$G$1092,$L96)&amp;" / row "&amp;INDEX(Population!$H$2:$H$1092,$L96))</f>
        <v/>
      </c>
      <c r="L96" s="26" t="str">
        <f aca="false">IFERROR(MATCH("Population 2|A|"&amp;ROWS($L$5:L96),Population!$U$2:$U$1092,0),"")</f>
        <v/>
      </c>
    </row>
    <row r="97" customFormat="false" ht="15" hidden="false" customHeight="false" outlineLevel="0" collapsed="false">
      <c r="A97" s="12" t="str">
        <f aca="false">IF($L97="","",INDEX(Population!$B$2:$B$1092,$L97)&amp;"")</f>
        <v/>
      </c>
      <c r="B97" s="12" t="str">
        <f aca="false">IF($L97="","",INDEX(Population!$C$2:$C$1092,$L97)&amp;"")</f>
        <v/>
      </c>
      <c r="C97" s="12" t="str">
        <f aca="false">IF($L97="","",INDEX(Population!$D$2:$D$1092,$L97)&amp;"")</f>
        <v/>
      </c>
      <c r="D97" s="12" t="str">
        <f aca="false">IF($L97="","",INDEX(Population!$E$2:$E$1092,$L97))</f>
        <v/>
      </c>
      <c r="E97" s="12" t="str">
        <f aca="false">IF($L97="","",INDEX(Population!$F$2:$F$1092,$L97))</f>
        <v/>
      </c>
      <c r="F97" s="16" t="str">
        <f aca="false">IF($L97="","",INDEX(Population!$L$2:$L$1092,$L97))</f>
        <v/>
      </c>
      <c r="G97" s="16" t="str">
        <f aca="false">IF($L97="","",INDEX(Population!$M$2:$M$1092,$L97))</f>
        <v/>
      </c>
      <c r="H97" s="15" t="str">
        <f aca="false">IF($L97="","",Summary!$C$5)</f>
        <v/>
      </c>
      <c r="I97" s="12" t="str">
        <f aca="false">IF($L97="","","Above Materiality")</f>
        <v/>
      </c>
      <c r="J97" s="12" t="str">
        <f aca="false">IF($L97="","",INDEX(Population!$N$2:$N$1092,$L97))</f>
        <v/>
      </c>
      <c r="K97" s="12" t="str">
        <f aca="false">IF($L97="","",INDEX(Population!$G$2:$G$1092,$L97)&amp;" / row "&amp;INDEX(Population!$H$2:$H$1092,$L97))</f>
        <v/>
      </c>
      <c r="L97" s="26" t="str">
        <f aca="false">IFERROR(MATCH("Population 2|A|"&amp;ROWS($L$5:L97),Population!$U$2:$U$1092,0),"")</f>
        <v/>
      </c>
    </row>
    <row r="98" customFormat="false" ht="15" hidden="false" customHeight="false" outlineLevel="0" collapsed="false">
      <c r="A98" s="12" t="str">
        <f aca="false">IF($L98="","",INDEX(Population!$B$2:$B$1092,$L98)&amp;"")</f>
        <v/>
      </c>
      <c r="B98" s="12" t="str">
        <f aca="false">IF($L98="","",INDEX(Population!$C$2:$C$1092,$L98)&amp;"")</f>
        <v/>
      </c>
      <c r="C98" s="12" t="str">
        <f aca="false">IF($L98="","",INDEX(Population!$D$2:$D$1092,$L98)&amp;"")</f>
        <v/>
      </c>
      <c r="D98" s="12" t="str">
        <f aca="false">IF($L98="","",INDEX(Population!$E$2:$E$1092,$L98))</f>
        <v/>
      </c>
      <c r="E98" s="12" t="str">
        <f aca="false">IF($L98="","",INDEX(Population!$F$2:$F$1092,$L98))</f>
        <v/>
      </c>
      <c r="F98" s="16" t="str">
        <f aca="false">IF($L98="","",INDEX(Population!$L$2:$L$1092,$L98))</f>
        <v/>
      </c>
      <c r="G98" s="16" t="str">
        <f aca="false">IF($L98="","",INDEX(Population!$M$2:$M$1092,$L98))</f>
        <v/>
      </c>
      <c r="H98" s="15" t="str">
        <f aca="false">IF($L98="","",Summary!$C$5)</f>
        <v/>
      </c>
      <c r="I98" s="12" t="str">
        <f aca="false">IF($L98="","","Above Materiality")</f>
        <v/>
      </c>
      <c r="J98" s="12" t="str">
        <f aca="false">IF($L98="","",INDEX(Population!$N$2:$N$1092,$L98))</f>
        <v/>
      </c>
      <c r="K98" s="12" t="str">
        <f aca="false">IF($L98="","",INDEX(Population!$G$2:$G$1092,$L98)&amp;" / row "&amp;INDEX(Population!$H$2:$H$1092,$L98))</f>
        <v/>
      </c>
      <c r="L98" s="26" t="str">
        <f aca="false">IFERROR(MATCH("Population 2|A|"&amp;ROWS($L$5:L98),Population!$U$2:$U$1092,0),"")</f>
        <v/>
      </c>
    </row>
    <row r="99" customFormat="false" ht="15" hidden="false" customHeight="false" outlineLevel="0" collapsed="false">
      <c r="A99" s="12" t="str">
        <f aca="false">IF($L99="","",INDEX(Population!$B$2:$B$1092,$L99)&amp;"")</f>
        <v/>
      </c>
      <c r="B99" s="12" t="str">
        <f aca="false">IF($L99="","",INDEX(Population!$C$2:$C$1092,$L99)&amp;"")</f>
        <v/>
      </c>
      <c r="C99" s="12" t="str">
        <f aca="false">IF($L99="","",INDEX(Population!$D$2:$D$1092,$L99)&amp;"")</f>
        <v/>
      </c>
      <c r="D99" s="12" t="str">
        <f aca="false">IF($L99="","",INDEX(Population!$E$2:$E$1092,$L99))</f>
        <v/>
      </c>
      <c r="E99" s="12" t="str">
        <f aca="false">IF($L99="","",INDEX(Population!$F$2:$F$1092,$L99))</f>
        <v/>
      </c>
      <c r="F99" s="16" t="str">
        <f aca="false">IF($L99="","",INDEX(Population!$L$2:$L$1092,$L99))</f>
        <v/>
      </c>
      <c r="G99" s="16" t="str">
        <f aca="false">IF($L99="","",INDEX(Population!$M$2:$M$1092,$L99))</f>
        <v/>
      </c>
      <c r="H99" s="15" t="str">
        <f aca="false">IF($L99="","",Summary!$C$5)</f>
        <v/>
      </c>
      <c r="I99" s="12" t="str">
        <f aca="false">IF($L99="","","Above Materiality")</f>
        <v/>
      </c>
      <c r="J99" s="12" t="str">
        <f aca="false">IF($L99="","",INDEX(Population!$N$2:$N$1092,$L99))</f>
        <v/>
      </c>
      <c r="K99" s="12" t="str">
        <f aca="false">IF($L99="","",INDEX(Population!$G$2:$G$1092,$L99)&amp;" / row "&amp;INDEX(Population!$H$2:$H$1092,$L99))</f>
        <v/>
      </c>
      <c r="L99" s="26" t="str">
        <f aca="false">IFERROR(MATCH("Population 2|A|"&amp;ROWS($L$5:L99),Population!$U$2:$U$1092,0),"")</f>
        <v/>
      </c>
    </row>
    <row r="100" customFormat="false" ht="15" hidden="false" customHeight="false" outlineLevel="0" collapsed="false">
      <c r="A100" s="12" t="str">
        <f aca="false">IF($L100="","",INDEX(Population!$B$2:$B$1092,$L100)&amp;"")</f>
        <v/>
      </c>
      <c r="B100" s="12" t="str">
        <f aca="false">IF($L100="","",INDEX(Population!$C$2:$C$1092,$L100)&amp;"")</f>
        <v/>
      </c>
      <c r="C100" s="12" t="str">
        <f aca="false">IF($L100="","",INDEX(Population!$D$2:$D$1092,$L100)&amp;"")</f>
        <v/>
      </c>
      <c r="D100" s="12" t="str">
        <f aca="false">IF($L100="","",INDEX(Population!$E$2:$E$1092,$L100))</f>
        <v/>
      </c>
      <c r="E100" s="12" t="str">
        <f aca="false">IF($L100="","",INDEX(Population!$F$2:$F$1092,$L100))</f>
        <v/>
      </c>
      <c r="F100" s="16" t="str">
        <f aca="false">IF($L100="","",INDEX(Population!$L$2:$L$1092,$L100))</f>
        <v/>
      </c>
      <c r="G100" s="16" t="str">
        <f aca="false">IF($L100="","",INDEX(Population!$M$2:$M$1092,$L100))</f>
        <v/>
      </c>
      <c r="H100" s="15" t="str">
        <f aca="false">IF($L100="","",Summary!$C$5)</f>
        <v/>
      </c>
      <c r="I100" s="12" t="str">
        <f aca="false">IF($L100="","","Above Materiality")</f>
        <v/>
      </c>
      <c r="J100" s="12" t="str">
        <f aca="false">IF($L100="","",INDEX(Population!$N$2:$N$1092,$L100))</f>
        <v/>
      </c>
      <c r="K100" s="12" t="str">
        <f aca="false">IF($L100="","",INDEX(Population!$G$2:$G$1092,$L100)&amp;" / row "&amp;INDEX(Population!$H$2:$H$1092,$L100))</f>
        <v/>
      </c>
      <c r="L100" s="26" t="str">
        <f aca="false">IFERROR(MATCH("Population 2|A|"&amp;ROWS($L$5:L100),Population!$U$2:$U$1092,0),"")</f>
        <v/>
      </c>
    </row>
    <row r="101" customFormat="false" ht="15" hidden="false" customHeight="false" outlineLevel="0" collapsed="false">
      <c r="A101" s="12" t="str">
        <f aca="false">IF($L101="","",INDEX(Population!$B$2:$B$1092,$L101)&amp;"")</f>
        <v/>
      </c>
      <c r="B101" s="12" t="str">
        <f aca="false">IF($L101="","",INDEX(Population!$C$2:$C$1092,$L101)&amp;"")</f>
        <v/>
      </c>
      <c r="C101" s="12" t="str">
        <f aca="false">IF($L101="","",INDEX(Population!$D$2:$D$1092,$L101)&amp;"")</f>
        <v/>
      </c>
      <c r="D101" s="12" t="str">
        <f aca="false">IF($L101="","",INDEX(Population!$E$2:$E$1092,$L101))</f>
        <v/>
      </c>
      <c r="E101" s="12" t="str">
        <f aca="false">IF($L101="","",INDEX(Population!$F$2:$F$1092,$L101))</f>
        <v/>
      </c>
      <c r="F101" s="16" t="str">
        <f aca="false">IF($L101="","",INDEX(Population!$L$2:$L$1092,$L101))</f>
        <v/>
      </c>
      <c r="G101" s="16" t="str">
        <f aca="false">IF($L101="","",INDEX(Population!$M$2:$M$1092,$L101))</f>
        <v/>
      </c>
      <c r="H101" s="15" t="str">
        <f aca="false">IF($L101="","",Summary!$C$5)</f>
        <v/>
      </c>
      <c r="I101" s="12" t="str">
        <f aca="false">IF($L101="","","Above Materiality")</f>
        <v/>
      </c>
      <c r="J101" s="12" t="str">
        <f aca="false">IF($L101="","",INDEX(Population!$N$2:$N$1092,$L101))</f>
        <v/>
      </c>
      <c r="K101" s="12" t="str">
        <f aca="false">IF($L101="","",INDEX(Population!$G$2:$G$1092,$L101)&amp;" / row "&amp;INDEX(Population!$H$2:$H$1092,$L101))</f>
        <v/>
      </c>
      <c r="L101" s="26" t="str">
        <f aca="false">IFERROR(MATCH("Population 2|A|"&amp;ROWS($L$5:L101),Population!$U$2:$U$1092,0),"")</f>
        <v/>
      </c>
    </row>
    <row r="102" customFormat="false" ht="15" hidden="false" customHeight="false" outlineLevel="0" collapsed="false">
      <c r="A102" s="12" t="str">
        <f aca="false">IF($L102="","",INDEX(Population!$B$2:$B$1092,$L102)&amp;"")</f>
        <v/>
      </c>
      <c r="B102" s="12" t="str">
        <f aca="false">IF($L102="","",INDEX(Population!$C$2:$C$1092,$L102)&amp;"")</f>
        <v/>
      </c>
      <c r="C102" s="12" t="str">
        <f aca="false">IF($L102="","",INDEX(Population!$D$2:$D$1092,$L102)&amp;"")</f>
        <v/>
      </c>
      <c r="D102" s="12" t="str">
        <f aca="false">IF($L102="","",INDEX(Population!$E$2:$E$1092,$L102))</f>
        <v/>
      </c>
      <c r="E102" s="12" t="str">
        <f aca="false">IF($L102="","",INDEX(Population!$F$2:$F$1092,$L102))</f>
        <v/>
      </c>
      <c r="F102" s="16" t="str">
        <f aca="false">IF($L102="","",INDEX(Population!$L$2:$L$1092,$L102))</f>
        <v/>
      </c>
      <c r="G102" s="16" t="str">
        <f aca="false">IF($L102="","",INDEX(Population!$M$2:$M$1092,$L102))</f>
        <v/>
      </c>
      <c r="H102" s="15" t="str">
        <f aca="false">IF($L102="","",Summary!$C$5)</f>
        <v/>
      </c>
      <c r="I102" s="12" t="str">
        <f aca="false">IF($L102="","","Above Materiality")</f>
        <v/>
      </c>
      <c r="J102" s="12" t="str">
        <f aca="false">IF($L102="","",INDEX(Population!$N$2:$N$1092,$L102))</f>
        <v/>
      </c>
      <c r="K102" s="12" t="str">
        <f aca="false">IF($L102="","",INDEX(Population!$G$2:$G$1092,$L102)&amp;" / row "&amp;INDEX(Population!$H$2:$H$1092,$L102))</f>
        <v/>
      </c>
      <c r="L102" s="26" t="str">
        <f aca="false">IFERROR(MATCH("Population 2|A|"&amp;ROWS($L$5:L102),Population!$U$2:$U$1092,0),"")</f>
        <v/>
      </c>
    </row>
    <row r="103" customFormat="false" ht="15" hidden="false" customHeight="false" outlineLevel="0" collapsed="false">
      <c r="A103" s="12" t="str">
        <f aca="false">IF($L103="","",INDEX(Population!$B$2:$B$1092,$L103)&amp;"")</f>
        <v/>
      </c>
      <c r="B103" s="12" t="str">
        <f aca="false">IF($L103="","",INDEX(Population!$C$2:$C$1092,$L103)&amp;"")</f>
        <v/>
      </c>
      <c r="C103" s="12" t="str">
        <f aca="false">IF($L103="","",INDEX(Population!$D$2:$D$1092,$L103)&amp;"")</f>
        <v/>
      </c>
      <c r="D103" s="12" t="str">
        <f aca="false">IF($L103="","",INDEX(Population!$E$2:$E$1092,$L103))</f>
        <v/>
      </c>
      <c r="E103" s="12" t="str">
        <f aca="false">IF($L103="","",INDEX(Population!$F$2:$F$1092,$L103))</f>
        <v/>
      </c>
      <c r="F103" s="16" t="str">
        <f aca="false">IF($L103="","",INDEX(Population!$L$2:$L$1092,$L103))</f>
        <v/>
      </c>
      <c r="G103" s="16" t="str">
        <f aca="false">IF($L103="","",INDEX(Population!$M$2:$M$1092,$L103))</f>
        <v/>
      </c>
      <c r="H103" s="15" t="str">
        <f aca="false">IF($L103="","",Summary!$C$5)</f>
        <v/>
      </c>
      <c r="I103" s="12" t="str">
        <f aca="false">IF($L103="","","Above Materiality")</f>
        <v/>
      </c>
      <c r="J103" s="12" t="str">
        <f aca="false">IF($L103="","",INDEX(Population!$N$2:$N$1092,$L103))</f>
        <v/>
      </c>
      <c r="K103" s="12" t="str">
        <f aca="false">IF($L103="","",INDEX(Population!$G$2:$G$1092,$L103)&amp;" / row "&amp;INDEX(Population!$H$2:$H$1092,$L103))</f>
        <v/>
      </c>
      <c r="L103" s="26" t="str">
        <f aca="false">IFERROR(MATCH("Population 2|A|"&amp;ROWS($L$5:L103),Population!$U$2:$U$1092,0),"")</f>
        <v/>
      </c>
    </row>
    <row r="104" customFormat="false" ht="15" hidden="false" customHeight="false" outlineLevel="0" collapsed="false">
      <c r="A104" s="12" t="str">
        <f aca="false">IF($L104="","",INDEX(Population!$B$2:$B$1092,$L104)&amp;"")</f>
        <v/>
      </c>
      <c r="B104" s="12" t="str">
        <f aca="false">IF($L104="","",INDEX(Population!$C$2:$C$1092,$L104)&amp;"")</f>
        <v/>
      </c>
      <c r="C104" s="12" t="str">
        <f aca="false">IF($L104="","",INDEX(Population!$D$2:$D$1092,$L104)&amp;"")</f>
        <v/>
      </c>
      <c r="D104" s="12" t="str">
        <f aca="false">IF($L104="","",INDEX(Population!$E$2:$E$1092,$L104))</f>
        <v/>
      </c>
      <c r="E104" s="12" t="str">
        <f aca="false">IF($L104="","",INDEX(Population!$F$2:$F$1092,$L104))</f>
        <v/>
      </c>
      <c r="F104" s="16" t="str">
        <f aca="false">IF($L104="","",INDEX(Population!$L$2:$L$1092,$L104))</f>
        <v/>
      </c>
      <c r="G104" s="16" t="str">
        <f aca="false">IF($L104="","",INDEX(Population!$M$2:$M$1092,$L104))</f>
        <v/>
      </c>
      <c r="H104" s="15" t="str">
        <f aca="false">IF($L104="","",Summary!$C$5)</f>
        <v/>
      </c>
      <c r="I104" s="12" t="str">
        <f aca="false">IF($L104="","","Above Materiality")</f>
        <v/>
      </c>
      <c r="J104" s="12" t="str">
        <f aca="false">IF($L104="","",INDEX(Population!$N$2:$N$1092,$L104))</f>
        <v/>
      </c>
      <c r="K104" s="12" t="str">
        <f aca="false">IF($L104="","",INDEX(Population!$G$2:$G$1092,$L104)&amp;" / row "&amp;INDEX(Population!$H$2:$H$1092,$L104))</f>
        <v/>
      </c>
      <c r="L104" s="26" t="str">
        <f aca="false">IFERROR(MATCH("Population 2|A|"&amp;ROWS($L$5:L104),Population!$U$2:$U$1092,0),"")</f>
        <v/>
      </c>
    </row>
    <row r="105" customFormat="false" ht="15" hidden="false" customHeight="false" outlineLevel="0" collapsed="false">
      <c r="A105" s="12" t="str">
        <f aca="false">IF($L105="","",INDEX(Population!$B$2:$B$1092,$L105)&amp;"")</f>
        <v/>
      </c>
      <c r="B105" s="12" t="str">
        <f aca="false">IF($L105="","",INDEX(Population!$C$2:$C$1092,$L105)&amp;"")</f>
        <v/>
      </c>
      <c r="C105" s="12" t="str">
        <f aca="false">IF($L105="","",INDEX(Population!$D$2:$D$1092,$L105)&amp;"")</f>
        <v/>
      </c>
      <c r="D105" s="12" t="str">
        <f aca="false">IF($L105="","",INDEX(Population!$E$2:$E$1092,$L105))</f>
        <v/>
      </c>
      <c r="E105" s="12" t="str">
        <f aca="false">IF($L105="","",INDEX(Population!$F$2:$F$1092,$L105))</f>
        <v/>
      </c>
      <c r="F105" s="16" t="str">
        <f aca="false">IF($L105="","",INDEX(Population!$L$2:$L$1092,$L105))</f>
        <v/>
      </c>
      <c r="G105" s="16" t="str">
        <f aca="false">IF($L105="","",INDEX(Population!$M$2:$M$1092,$L105))</f>
        <v/>
      </c>
      <c r="H105" s="15" t="str">
        <f aca="false">IF($L105="","",Summary!$C$5)</f>
        <v/>
      </c>
      <c r="I105" s="12" t="str">
        <f aca="false">IF($L105="","","Above Materiality")</f>
        <v/>
      </c>
      <c r="J105" s="12" t="str">
        <f aca="false">IF($L105="","",INDEX(Population!$N$2:$N$1092,$L105))</f>
        <v/>
      </c>
      <c r="K105" s="12" t="str">
        <f aca="false">IF($L105="","",INDEX(Population!$G$2:$G$1092,$L105)&amp;" / row "&amp;INDEX(Population!$H$2:$H$1092,$L105))</f>
        <v/>
      </c>
      <c r="L105" s="26" t="str">
        <f aca="false">IFERROR(MATCH("Population 2|A|"&amp;ROWS($L$5:L105),Population!$U$2:$U$1092,0),"")</f>
        <v/>
      </c>
    </row>
    <row r="106" customFormat="false" ht="15" hidden="false" customHeight="false" outlineLevel="0" collapsed="false">
      <c r="A106" s="12" t="str">
        <f aca="false">IF($L106="","",INDEX(Population!$B$2:$B$1092,$L106)&amp;"")</f>
        <v/>
      </c>
      <c r="B106" s="12" t="str">
        <f aca="false">IF($L106="","",INDEX(Population!$C$2:$C$1092,$L106)&amp;"")</f>
        <v/>
      </c>
      <c r="C106" s="12" t="str">
        <f aca="false">IF($L106="","",INDEX(Population!$D$2:$D$1092,$L106)&amp;"")</f>
        <v/>
      </c>
      <c r="D106" s="12" t="str">
        <f aca="false">IF($L106="","",INDEX(Population!$E$2:$E$1092,$L106))</f>
        <v/>
      </c>
      <c r="E106" s="12" t="str">
        <f aca="false">IF($L106="","",INDEX(Population!$F$2:$F$1092,$L106))</f>
        <v/>
      </c>
      <c r="F106" s="16" t="str">
        <f aca="false">IF($L106="","",INDEX(Population!$L$2:$L$1092,$L106))</f>
        <v/>
      </c>
      <c r="G106" s="16" t="str">
        <f aca="false">IF($L106="","",INDEX(Population!$M$2:$M$1092,$L106))</f>
        <v/>
      </c>
      <c r="H106" s="15" t="str">
        <f aca="false">IF($L106="","",Summary!$C$5)</f>
        <v/>
      </c>
      <c r="I106" s="12" t="str">
        <f aca="false">IF($L106="","","Above Materiality")</f>
        <v/>
      </c>
      <c r="J106" s="12" t="str">
        <f aca="false">IF($L106="","",INDEX(Population!$N$2:$N$1092,$L106))</f>
        <v/>
      </c>
      <c r="K106" s="12" t="str">
        <f aca="false">IF($L106="","",INDEX(Population!$G$2:$G$1092,$L106)&amp;" / row "&amp;INDEX(Population!$H$2:$H$1092,$L106))</f>
        <v/>
      </c>
      <c r="L106" s="26" t="str">
        <f aca="false">IFERROR(MATCH("Population 2|A|"&amp;ROWS($L$5:L106),Population!$U$2:$U$1092,0),"")</f>
        <v/>
      </c>
    </row>
    <row r="107" customFormat="false" ht="15" hidden="false" customHeight="false" outlineLevel="0" collapsed="false">
      <c r="A107" s="12" t="str">
        <f aca="false">IF($L107="","",INDEX(Population!$B$2:$B$1092,$L107)&amp;"")</f>
        <v/>
      </c>
      <c r="B107" s="12" t="str">
        <f aca="false">IF($L107="","",INDEX(Population!$C$2:$C$1092,$L107)&amp;"")</f>
        <v/>
      </c>
      <c r="C107" s="12" t="str">
        <f aca="false">IF($L107="","",INDEX(Population!$D$2:$D$1092,$L107)&amp;"")</f>
        <v/>
      </c>
      <c r="D107" s="12" t="str">
        <f aca="false">IF($L107="","",INDEX(Population!$E$2:$E$1092,$L107))</f>
        <v/>
      </c>
      <c r="E107" s="12" t="str">
        <f aca="false">IF($L107="","",INDEX(Population!$F$2:$F$1092,$L107))</f>
        <v/>
      </c>
      <c r="F107" s="16" t="str">
        <f aca="false">IF($L107="","",INDEX(Population!$L$2:$L$1092,$L107))</f>
        <v/>
      </c>
      <c r="G107" s="16" t="str">
        <f aca="false">IF($L107="","",INDEX(Population!$M$2:$M$1092,$L107))</f>
        <v/>
      </c>
      <c r="H107" s="15" t="str">
        <f aca="false">IF($L107="","",Summary!$C$5)</f>
        <v/>
      </c>
      <c r="I107" s="12" t="str">
        <f aca="false">IF($L107="","","Above Materiality")</f>
        <v/>
      </c>
      <c r="J107" s="12" t="str">
        <f aca="false">IF($L107="","",INDEX(Population!$N$2:$N$1092,$L107))</f>
        <v/>
      </c>
      <c r="K107" s="12" t="str">
        <f aca="false">IF($L107="","",INDEX(Population!$G$2:$G$1092,$L107)&amp;" / row "&amp;INDEX(Population!$H$2:$H$1092,$L107))</f>
        <v/>
      </c>
      <c r="L107" s="26" t="str">
        <f aca="false">IFERROR(MATCH("Population 2|A|"&amp;ROWS($L$5:L107),Population!$U$2:$U$1092,0),"")</f>
        <v/>
      </c>
    </row>
    <row r="108" customFormat="false" ht="15" hidden="false" customHeight="false" outlineLevel="0" collapsed="false">
      <c r="A108" s="12" t="str">
        <f aca="false">IF($L108="","",INDEX(Population!$B$2:$B$1092,$L108)&amp;"")</f>
        <v/>
      </c>
      <c r="B108" s="12" t="str">
        <f aca="false">IF($L108="","",INDEX(Population!$C$2:$C$1092,$L108)&amp;"")</f>
        <v/>
      </c>
      <c r="C108" s="12" t="str">
        <f aca="false">IF($L108="","",INDEX(Population!$D$2:$D$1092,$L108)&amp;"")</f>
        <v/>
      </c>
      <c r="D108" s="12" t="str">
        <f aca="false">IF($L108="","",INDEX(Population!$E$2:$E$1092,$L108))</f>
        <v/>
      </c>
      <c r="E108" s="12" t="str">
        <f aca="false">IF($L108="","",INDEX(Population!$F$2:$F$1092,$L108))</f>
        <v/>
      </c>
      <c r="F108" s="16" t="str">
        <f aca="false">IF($L108="","",INDEX(Population!$L$2:$L$1092,$L108))</f>
        <v/>
      </c>
      <c r="G108" s="16" t="str">
        <f aca="false">IF($L108="","",INDEX(Population!$M$2:$M$1092,$L108))</f>
        <v/>
      </c>
      <c r="H108" s="15" t="str">
        <f aca="false">IF($L108="","",Summary!$C$5)</f>
        <v/>
      </c>
      <c r="I108" s="12" t="str">
        <f aca="false">IF($L108="","","Above Materiality")</f>
        <v/>
      </c>
      <c r="J108" s="12" t="str">
        <f aca="false">IF($L108="","",INDEX(Population!$N$2:$N$1092,$L108))</f>
        <v/>
      </c>
      <c r="K108" s="12" t="str">
        <f aca="false">IF($L108="","",INDEX(Population!$G$2:$G$1092,$L108)&amp;" / row "&amp;INDEX(Population!$H$2:$H$1092,$L108))</f>
        <v/>
      </c>
      <c r="L108" s="26" t="str">
        <f aca="false">IFERROR(MATCH("Population 2|A|"&amp;ROWS($L$5:L108),Population!$U$2:$U$1092,0),"")</f>
        <v/>
      </c>
    </row>
    <row r="109" customFormat="false" ht="15" hidden="false" customHeight="false" outlineLevel="0" collapsed="false">
      <c r="A109" s="12" t="str">
        <f aca="false">IF($L109="","",INDEX(Population!$B$2:$B$1092,$L109)&amp;"")</f>
        <v/>
      </c>
      <c r="B109" s="12" t="str">
        <f aca="false">IF($L109="","",INDEX(Population!$C$2:$C$1092,$L109)&amp;"")</f>
        <v/>
      </c>
      <c r="C109" s="12" t="str">
        <f aca="false">IF($L109="","",INDEX(Population!$D$2:$D$1092,$L109)&amp;"")</f>
        <v/>
      </c>
      <c r="D109" s="12" t="str">
        <f aca="false">IF($L109="","",INDEX(Population!$E$2:$E$1092,$L109))</f>
        <v/>
      </c>
      <c r="E109" s="12" t="str">
        <f aca="false">IF($L109="","",INDEX(Population!$F$2:$F$1092,$L109))</f>
        <v/>
      </c>
      <c r="F109" s="16" t="str">
        <f aca="false">IF($L109="","",INDEX(Population!$L$2:$L$1092,$L109))</f>
        <v/>
      </c>
      <c r="G109" s="16" t="str">
        <f aca="false">IF($L109="","",INDEX(Population!$M$2:$M$1092,$L109))</f>
        <v/>
      </c>
      <c r="H109" s="15" t="str">
        <f aca="false">IF($L109="","",Summary!$C$5)</f>
        <v/>
      </c>
      <c r="I109" s="12" t="str">
        <f aca="false">IF($L109="","","Above Materiality")</f>
        <v/>
      </c>
      <c r="J109" s="12" t="str">
        <f aca="false">IF($L109="","",INDEX(Population!$N$2:$N$1092,$L109))</f>
        <v/>
      </c>
      <c r="K109" s="12" t="str">
        <f aca="false">IF($L109="","",INDEX(Population!$G$2:$G$1092,$L109)&amp;" / row "&amp;INDEX(Population!$H$2:$H$1092,$L109))</f>
        <v/>
      </c>
      <c r="L109" s="26" t="str">
        <f aca="false">IFERROR(MATCH("Population 2|A|"&amp;ROWS($L$5:L109),Population!$U$2:$U$1092,0),"")</f>
        <v/>
      </c>
    </row>
    <row r="110" customFormat="false" ht="15" hidden="false" customHeight="false" outlineLevel="0" collapsed="false">
      <c r="A110" s="12" t="str">
        <f aca="false">IF($L110="","",INDEX(Population!$B$2:$B$1092,$L110)&amp;"")</f>
        <v/>
      </c>
      <c r="B110" s="12" t="str">
        <f aca="false">IF($L110="","",INDEX(Population!$C$2:$C$1092,$L110)&amp;"")</f>
        <v/>
      </c>
      <c r="C110" s="12" t="str">
        <f aca="false">IF($L110="","",INDEX(Population!$D$2:$D$1092,$L110)&amp;"")</f>
        <v/>
      </c>
      <c r="D110" s="12" t="str">
        <f aca="false">IF($L110="","",INDEX(Population!$E$2:$E$1092,$L110))</f>
        <v/>
      </c>
      <c r="E110" s="12" t="str">
        <f aca="false">IF($L110="","",INDEX(Population!$F$2:$F$1092,$L110))</f>
        <v/>
      </c>
      <c r="F110" s="16" t="str">
        <f aca="false">IF($L110="","",INDEX(Population!$L$2:$L$1092,$L110))</f>
        <v/>
      </c>
      <c r="G110" s="16" t="str">
        <f aca="false">IF($L110="","",INDEX(Population!$M$2:$M$1092,$L110))</f>
        <v/>
      </c>
      <c r="H110" s="15" t="str">
        <f aca="false">IF($L110="","",Summary!$C$5)</f>
        <v/>
      </c>
      <c r="I110" s="12" t="str">
        <f aca="false">IF($L110="","","Above Materiality")</f>
        <v/>
      </c>
      <c r="J110" s="12" t="str">
        <f aca="false">IF($L110="","",INDEX(Population!$N$2:$N$1092,$L110))</f>
        <v/>
      </c>
      <c r="K110" s="12" t="str">
        <f aca="false">IF($L110="","",INDEX(Population!$G$2:$G$1092,$L110)&amp;" / row "&amp;INDEX(Population!$H$2:$H$1092,$L110))</f>
        <v/>
      </c>
      <c r="L110" s="26" t="str">
        <f aca="false">IFERROR(MATCH("Population 2|A|"&amp;ROWS($L$5:L110),Population!$U$2:$U$1092,0),"")</f>
        <v/>
      </c>
    </row>
    <row r="111" customFormat="false" ht="15" hidden="false" customHeight="false" outlineLevel="0" collapsed="false">
      <c r="A111" s="12" t="str">
        <f aca="false">IF($L111="","",INDEX(Population!$B$2:$B$1092,$L111)&amp;"")</f>
        <v/>
      </c>
      <c r="B111" s="12" t="str">
        <f aca="false">IF($L111="","",INDEX(Population!$C$2:$C$1092,$L111)&amp;"")</f>
        <v/>
      </c>
      <c r="C111" s="12" t="str">
        <f aca="false">IF($L111="","",INDEX(Population!$D$2:$D$1092,$L111)&amp;"")</f>
        <v/>
      </c>
      <c r="D111" s="12" t="str">
        <f aca="false">IF($L111="","",INDEX(Population!$E$2:$E$1092,$L111))</f>
        <v/>
      </c>
      <c r="E111" s="12" t="str">
        <f aca="false">IF($L111="","",INDEX(Population!$F$2:$F$1092,$L111))</f>
        <v/>
      </c>
      <c r="F111" s="16" t="str">
        <f aca="false">IF($L111="","",INDEX(Population!$L$2:$L$1092,$L111))</f>
        <v/>
      </c>
      <c r="G111" s="16" t="str">
        <f aca="false">IF($L111="","",INDEX(Population!$M$2:$M$1092,$L111))</f>
        <v/>
      </c>
      <c r="H111" s="15" t="str">
        <f aca="false">IF($L111="","",Summary!$C$5)</f>
        <v/>
      </c>
      <c r="I111" s="12" t="str">
        <f aca="false">IF($L111="","","Above Materiality")</f>
        <v/>
      </c>
      <c r="J111" s="12" t="str">
        <f aca="false">IF($L111="","",INDEX(Population!$N$2:$N$1092,$L111))</f>
        <v/>
      </c>
      <c r="K111" s="12" t="str">
        <f aca="false">IF($L111="","",INDEX(Population!$G$2:$G$1092,$L111)&amp;" / row "&amp;INDEX(Population!$H$2:$H$1092,$L111))</f>
        <v/>
      </c>
      <c r="L111" s="26" t="str">
        <f aca="false">IFERROR(MATCH("Population 2|A|"&amp;ROWS($L$5:L111),Population!$U$2:$U$1092,0),"")</f>
        <v/>
      </c>
    </row>
    <row r="112" customFormat="false" ht="15" hidden="false" customHeight="false" outlineLevel="0" collapsed="false">
      <c r="A112" s="12" t="str">
        <f aca="false">IF($L112="","",INDEX(Population!$B$2:$B$1092,$L112)&amp;"")</f>
        <v/>
      </c>
      <c r="B112" s="12" t="str">
        <f aca="false">IF($L112="","",INDEX(Population!$C$2:$C$1092,$L112)&amp;"")</f>
        <v/>
      </c>
      <c r="C112" s="12" t="str">
        <f aca="false">IF($L112="","",INDEX(Population!$D$2:$D$1092,$L112)&amp;"")</f>
        <v/>
      </c>
      <c r="D112" s="12" t="str">
        <f aca="false">IF($L112="","",INDEX(Population!$E$2:$E$1092,$L112))</f>
        <v/>
      </c>
      <c r="E112" s="12" t="str">
        <f aca="false">IF($L112="","",INDEX(Population!$F$2:$F$1092,$L112))</f>
        <v/>
      </c>
      <c r="F112" s="16" t="str">
        <f aca="false">IF($L112="","",INDEX(Population!$L$2:$L$1092,$L112))</f>
        <v/>
      </c>
      <c r="G112" s="16" t="str">
        <f aca="false">IF($L112="","",INDEX(Population!$M$2:$M$1092,$L112))</f>
        <v/>
      </c>
      <c r="H112" s="15" t="str">
        <f aca="false">IF($L112="","",Summary!$C$5)</f>
        <v/>
      </c>
      <c r="I112" s="12" t="str">
        <f aca="false">IF($L112="","","Above Materiality")</f>
        <v/>
      </c>
      <c r="J112" s="12" t="str">
        <f aca="false">IF($L112="","",INDEX(Population!$N$2:$N$1092,$L112))</f>
        <v/>
      </c>
      <c r="K112" s="12" t="str">
        <f aca="false">IF($L112="","",INDEX(Population!$G$2:$G$1092,$L112)&amp;" / row "&amp;INDEX(Population!$H$2:$H$1092,$L112))</f>
        <v/>
      </c>
      <c r="L112" s="26" t="str">
        <f aca="false">IFERROR(MATCH("Population 2|A|"&amp;ROWS($L$5:L112),Population!$U$2:$U$1092,0),"")</f>
        <v/>
      </c>
    </row>
    <row r="113" customFormat="false" ht="15" hidden="false" customHeight="false" outlineLevel="0" collapsed="false">
      <c r="A113" s="12" t="str">
        <f aca="false">IF($L113="","",INDEX(Population!$B$2:$B$1092,$L113)&amp;"")</f>
        <v/>
      </c>
      <c r="B113" s="12" t="str">
        <f aca="false">IF($L113="","",INDEX(Population!$C$2:$C$1092,$L113)&amp;"")</f>
        <v/>
      </c>
      <c r="C113" s="12" t="str">
        <f aca="false">IF($L113="","",INDEX(Population!$D$2:$D$1092,$L113)&amp;"")</f>
        <v/>
      </c>
      <c r="D113" s="12" t="str">
        <f aca="false">IF($L113="","",INDEX(Population!$E$2:$E$1092,$L113))</f>
        <v/>
      </c>
      <c r="E113" s="12" t="str">
        <f aca="false">IF($L113="","",INDEX(Population!$F$2:$F$1092,$L113))</f>
        <v/>
      </c>
      <c r="F113" s="16" t="str">
        <f aca="false">IF($L113="","",INDEX(Population!$L$2:$L$1092,$L113))</f>
        <v/>
      </c>
      <c r="G113" s="16" t="str">
        <f aca="false">IF($L113="","",INDEX(Population!$M$2:$M$1092,$L113))</f>
        <v/>
      </c>
      <c r="H113" s="15" t="str">
        <f aca="false">IF($L113="","",Summary!$C$5)</f>
        <v/>
      </c>
      <c r="I113" s="12" t="str">
        <f aca="false">IF($L113="","","Above Materiality")</f>
        <v/>
      </c>
      <c r="J113" s="12" t="str">
        <f aca="false">IF($L113="","",INDEX(Population!$N$2:$N$1092,$L113))</f>
        <v/>
      </c>
      <c r="K113" s="12" t="str">
        <f aca="false">IF($L113="","",INDEX(Population!$G$2:$G$1092,$L113)&amp;" / row "&amp;INDEX(Population!$H$2:$H$1092,$L113))</f>
        <v/>
      </c>
      <c r="L113" s="26" t="str">
        <f aca="false">IFERROR(MATCH("Population 2|A|"&amp;ROWS($L$5:L113),Population!$U$2:$U$1092,0),"")</f>
        <v/>
      </c>
    </row>
    <row r="114" customFormat="false" ht="15" hidden="false" customHeight="false" outlineLevel="0" collapsed="false">
      <c r="A114" s="12" t="str">
        <f aca="false">IF($L114="","",INDEX(Population!$B$2:$B$1092,$L114)&amp;"")</f>
        <v/>
      </c>
      <c r="B114" s="12" t="str">
        <f aca="false">IF($L114="","",INDEX(Population!$C$2:$C$1092,$L114)&amp;"")</f>
        <v/>
      </c>
      <c r="C114" s="12" t="str">
        <f aca="false">IF($L114="","",INDEX(Population!$D$2:$D$1092,$L114)&amp;"")</f>
        <v/>
      </c>
      <c r="D114" s="12" t="str">
        <f aca="false">IF($L114="","",INDEX(Population!$E$2:$E$1092,$L114))</f>
        <v/>
      </c>
      <c r="E114" s="12" t="str">
        <f aca="false">IF($L114="","",INDEX(Population!$F$2:$F$1092,$L114))</f>
        <v/>
      </c>
      <c r="F114" s="16" t="str">
        <f aca="false">IF($L114="","",INDEX(Population!$L$2:$L$1092,$L114))</f>
        <v/>
      </c>
      <c r="G114" s="16" t="str">
        <f aca="false">IF($L114="","",INDEX(Population!$M$2:$M$1092,$L114))</f>
        <v/>
      </c>
      <c r="H114" s="15" t="str">
        <f aca="false">IF($L114="","",Summary!$C$5)</f>
        <v/>
      </c>
      <c r="I114" s="12" t="str">
        <f aca="false">IF($L114="","","Above Materiality")</f>
        <v/>
      </c>
      <c r="J114" s="12" t="str">
        <f aca="false">IF($L114="","",INDEX(Population!$N$2:$N$1092,$L114))</f>
        <v/>
      </c>
      <c r="K114" s="12" t="str">
        <f aca="false">IF($L114="","",INDEX(Population!$G$2:$G$1092,$L114)&amp;" / row "&amp;INDEX(Population!$H$2:$H$1092,$L114))</f>
        <v/>
      </c>
      <c r="L114" s="26" t="str">
        <f aca="false">IFERROR(MATCH("Population 2|A|"&amp;ROWS($L$5:L114),Population!$U$2:$U$1092,0),"")</f>
        <v/>
      </c>
    </row>
    <row r="115" customFormat="false" ht="15" hidden="false" customHeight="false" outlineLevel="0" collapsed="false">
      <c r="A115" s="12" t="str">
        <f aca="false">IF($L115="","",INDEX(Population!$B$2:$B$1092,$L115)&amp;"")</f>
        <v/>
      </c>
      <c r="B115" s="12" t="str">
        <f aca="false">IF($L115="","",INDEX(Population!$C$2:$C$1092,$L115)&amp;"")</f>
        <v/>
      </c>
      <c r="C115" s="12" t="str">
        <f aca="false">IF($L115="","",INDEX(Population!$D$2:$D$1092,$L115)&amp;"")</f>
        <v/>
      </c>
      <c r="D115" s="12" t="str">
        <f aca="false">IF($L115="","",INDEX(Population!$E$2:$E$1092,$L115))</f>
        <v/>
      </c>
      <c r="E115" s="12" t="str">
        <f aca="false">IF($L115="","",INDEX(Population!$F$2:$F$1092,$L115))</f>
        <v/>
      </c>
      <c r="F115" s="16" t="str">
        <f aca="false">IF($L115="","",INDEX(Population!$L$2:$L$1092,$L115))</f>
        <v/>
      </c>
      <c r="G115" s="16" t="str">
        <f aca="false">IF($L115="","",INDEX(Population!$M$2:$M$1092,$L115))</f>
        <v/>
      </c>
      <c r="H115" s="15" t="str">
        <f aca="false">IF($L115="","",Summary!$C$5)</f>
        <v/>
      </c>
      <c r="I115" s="12" t="str">
        <f aca="false">IF($L115="","","Above Materiality")</f>
        <v/>
      </c>
      <c r="J115" s="12" t="str">
        <f aca="false">IF($L115="","",INDEX(Population!$N$2:$N$1092,$L115))</f>
        <v/>
      </c>
      <c r="K115" s="12" t="str">
        <f aca="false">IF($L115="","",INDEX(Population!$G$2:$G$1092,$L115)&amp;" / row "&amp;INDEX(Population!$H$2:$H$1092,$L115))</f>
        <v/>
      </c>
      <c r="L115" s="26" t="str">
        <f aca="false">IFERROR(MATCH("Population 2|A|"&amp;ROWS($L$5:L115),Population!$U$2:$U$1092,0),"")</f>
        <v/>
      </c>
    </row>
    <row r="116" customFormat="false" ht="15" hidden="false" customHeight="false" outlineLevel="0" collapsed="false">
      <c r="A116" s="12" t="str">
        <f aca="false">IF($L116="","",INDEX(Population!$B$2:$B$1092,$L116)&amp;"")</f>
        <v/>
      </c>
      <c r="B116" s="12" t="str">
        <f aca="false">IF($L116="","",INDEX(Population!$C$2:$C$1092,$L116)&amp;"")</f>
        <v/>
      </c>
      <c r="C116" s="12" t="str">
        <f aca="false">IF($L116="","",INDEX(Population!$D$2:$D$1092,$L116)&amp;"")</f>
        <v/>
      </c>
      <c r="D116" s="12" t="str">
        <f aca="false">IF($L116="","",INDEX(Population!$E$2:$E$1092,$L116))</f>
        <v/>
      </c>
      <c r="E116" s="12" t="str">
        <f aca="false">IF($L116="","",INDEX(Population!$F$2:$F$1092,$L116))</f>
        <v/>
      </c>
      <c r="F116" s="16" t="str">
        <f aca="false">IF($L116="","",INDEX(Population!$L$2:$L$1092,$L116))</f>
        <v/>
      </c>
      <c r="G116" s="16" t="str">
        <f aca="false">IF($L116="","",INDEX(Population!$M$2:$M$1092,$L116))</f>
        <v/>
      </c>
      <c r="H116" s="15" t="str">
        <f aca="false">IF($L116="","",Summary!$C$5)</f>
        <v/>
      </c>
      <c r="I116" s="12" t="str">
        <f aca="false">IF($L116="","","Above Materiality")</f>
        <v/>
      </c>
      <c r="J116" s="12" t="str">
        <f aca="false">IF($L116="","",INDEX(Population!$N$2:$N$1092,$L116))</f>
        <v/>
      </c>
      <c r="K116" s="12" t="str">
        <f aca="false">IF($L116="","",INDEX(Population!$G$2:$G$1092,$L116)&amp;" / row "&amp;INDEX(Population!$H$2:$H$1092,$L116))</f>
        <v/>
      </c>
      <c r="L116" s="26" t="str">
        <f aca="false">IFERROR(MATCH("Population 2|A|"&amp;ROWS($L$5:L116),Population!$U$2:$U$1092,0),"")</f>
        <v/>
      </c>
    </row>
    <row r="117" customFormat="false" ht="15" hidden="false" customHeight="false" outlineLevel="0" collapsed="false">
      <c r="A117" s="12" t="str">
        <f aca="false">IF($L117="","",INDEX(Population!$B$2:$B$1092,$L117)&amp;"")</f>
        <v/>
      </c>
      <c r="B117" s="12" t="str">
        <f aca="false">IF($L117="","",INDEX(Population!$C$2:$C$1092,$L117)&amp;"")</f>
        <v/>
      </c>
      <c r="C117" s="12" t="str">
        <f aca="false">IF($L117="","",INDEX(Population!$D$2:$D$1092,$L117)&amp;"")</f>
        <v/>
      </c>
      <c r="D117" s="12" t="str">
        <f aca="false">IF($L117="","",INDEX(Population!$E$2:$E$1092,$L117))</f>
        <v/>
      </c>
      <c r="E117" s="12" t="str">
        <f aca="false">IF($L117="","",INDEX(Population!$F$2:$F$1092,$L117))</f>
        <v/>
      </c>
      <c r="F117" s="16" t="str">
        <f aca="false">IF($L117="","",INDEX(Population!$L$2:$L$1092,$L117))</f>
        <v/>
      </c>
      <c r="G117" s="16" t="str">
        <f aca="false">IF($L117="","",INDEX(Population!$M$2:$M$1092,$L117))</f>
        <v/>
      </c>
      <c r="H117" s="15" t="str">
        <f aca="false">IF($L117="","",Summary!$C$5)</f>
        <v/>
      </c>
      <c r="I117" s="12" t="str">
        <f aca="false">IF($L117="","","Above Materiality")</f>
        <v/>
      </c>
      <c r="J117" s="12" t="str">
        <f aca="false">IF($L117="","",INDEX(Population!$N$2:$N$1092,$L117))</f>
        <v/>
      </c>
      <c r="K117" s="12" t="str">
        <f aca="false">IF($L117="","",INDEX(Population!$G$2:$G$1092,$L117)&amp;" / row "&amp;INDEX(Population!$H$2:$H$1092,$L117))</f>
        <v/>
      </c>
      <c r="L117" s="26" t="str">
        <f aca="false">IFERROR(MATCH("Population 2|A|"&amp;ROWS($L$5:L117),Population!$U$2:$U$1092,0),"")</f>
        <v/>
      </c>
    </row>
    <row r="118" customFormat="false" ht="15" hidden="false" customHeight="false" outlineLevel="0" collapsed="false">
      <c r="A118" s="12" t="str">
        <f aca="false">IF($L118="","",INDEX(Population!$B$2:$B$1092,$L118)&amp;"")</f>
        <v/>
      </c>
      <c r="B118" s="12" t="str">
        <f aca="false">IF($L118="","",INDEX(Population!$C$2:$C$1092,$L118)&amp;"")</f>
        <v/>
      </c>
      <c r="C118" s="12" t="str">
        <f aca="false">IF($L118="","",INDEX(Population!$D$2:$D$1092,$L118)&amp;"")</f>
        <v/>
      </c>
      <c r="D118" s="12" t="str">
        <f aca="false">IF($L118="","",INDEX(Population!$E$2:$E$1092,$L118))</f>
        <v/>
      </c>
      <c r="E118" s="12" t="str">
        <f aca="false">IF($L118="","",INDEX(Population!$F$2:$F$1092,$L118))</f>
        <v/>
      </c>
      <c r="F118" s="16" t="str">
        <f aca="false">IF($L118="","",INDEX(Population!$L$2:$L$1092,$L118))</f>
        <v/>
      </c>
      <c r="G118" s="16" t="str">
        <f aca="false">IF($L118="","",INDEX(Population!$M$2:$M$1092,$L118))</f>
        <v/>
      </c>
      <c r="H118" s="15" t="str">
        <f aca="false">IF($L118="","",Summary!$C$5)</f>
        <v/>
      </c>
      <c r="I118" s="12" t="str">
        <f aca="false">IF($L118="","","Above Materiality")</f>
        <v/>
      </c>
      <c r="J118" s="12" t="str">
        <f aca="false">IF($L118="","",INDEX(Population!$N$2:$N$1092,$L118))</f>
        <v/>
      </c>
      <c r="K118" s="12" t="str">
        <f aca="false">IF($L118="","",INDEX(Population!$G$2:$G$1092,$L118)&amp;" / row "&amp;INDEX(Population!$H$2:$H$1092,$L118))</f>
        <v/>
      </c>
      <c r="L118" s="26" t="str">
        <f aca="false">IFERROR(MATCH("Population 2|A|"&amp;ROWS($L$5:L118),Population!$U$2:$U$1092,0),"")</f>
        <v/>
      </c>
    </row>
    <row r="119" customFormat="false" ht="15" hidden="false" customHeight="false" outlineLevel="0" collapsed="false">
      <c r="A119" s="12" t="str">
        <f aca="false">IF($L119="","",INDEX(Population!$B$2:$B$1092,$L119)&amp;"")</f>
        <v/>
      </c>
      <c r="B119" s="12" t="str">
        <f aca="false">IF($L119="","",INDEX(Population!$C$2:$C$1092,$L119)&amp;"")</f>
        <v/>
      </c>
      <c r="C119" s="12" t="str">
        <f aca="false">IF($L119="","",INDEX(Population!$D$2:$D$1092,$L119)&amp;"")</f>
        <v/>
      </c>
      <c r="D119" s="12" t="str">
        <f aca="false">IF($L119="","",INDEX(Population!$E$2:$E$1092,$L119))</f>
        <v/>
      </c>
      <c r="E119" s="12" t="str">
        <f aca="false">IF($L119="","",INDEX(Population!$F$2:$F$1092,$L119))</f>
        <v/>
      </c>
      <c r="F119" s="16" t="str">
        <f aca="false">IF($L119="","",INDEX(Population!$L$2:$L$1092,$L119))</f>
        <v/>
      </c>
      <c r="G119" s="16" t="str">
        <f aca="false">IF($L119="","",INDEX(Population!$M$2:$M$1092,$L119))</f>
        <v/>
      </c>
      <c r="H119" s="15" t="str">
        <f aca="false">IF($L119="","",Summary!$C$5)</f>
        <v/>
      </c>
      <c r="I119" s="12" t="str">
        <f aca="false">IF($L119="","","Above Materiality")</f>
        <v/>
      </c>
      <c r="J119" s="12" t="str">
        <f aca="false">IF($L119="","",INDEX(Population!$N$2:$N$1092,$L119))</f>
        <v/>
      </c>
      <c r="K119" s="12" t="str">
        <f aca="false">IF($L119="","",INDEX(Population!$G$2:$G$1092,$L119)&amp;" / row "&amp;INDEX(Population!$H$2:$H$1092,$L119))</f>
        <v/>
      </c>
      <c r="L119" s="26" t="str">
        <f aca="false">IFERROR(MATCH("Population 2|A|"&amp;ROWS($L$5:L119),Population!$U$2:$U$1092,0),"")</f>
        <v/>
      </c>
    </row>
    <row r="120" customFormat="false" ht="15" hidden="false" customHeight="false" outlineLevel="0" collapsed="false">
      <c r="A120" s="12" t="str">
        <f aca="false">IF($L120="","",INDEX(Population!$B$2:$B$1092,$L120)&amp;"")</f>
        <v/>
      </c>
      <c r="B120" s="12" t="str">
        <f aca="false">IF($L120="","",INDEX(Population!$C$2:$C$1092,$L120)&amp;"")</f>
        <v/>
      </c>
      <c r="C120" s="12" t="str">
        <f aca="false">IF($L120="","",INDEX(Population!$D$2:$D$1092,$L120)&amp;"")</f>
        <v/>
      </c>
      <c r="D120" s="12" t="str">
        <f aca="false">IF($L120="","",INDEX(Population!$E$2:$E$1092,$L120))</f>
        <v/>
      </c>
      <c r="E120" s="12" t="str">
        <f aca="false">IF($L120="","",INDEX(Population!$F$2:$F$1092,$L120))</f>
        <v/>
      </c>
      <c r="F120" s="16" t="str">
        <f aca="false">IF($L120="","",INDEX(Population!$L$2:$L$1092,$L120))</f>
        <v/>
      </c>
      <c r="G120" s="16" t="str">
        <f aca="false">IF($L120="","",INDEX(Population!$M$2:$M$1092,$L120))</f>
        <v/>
      </c>
      <c r="H120" s="15" t="str">
        <f aca="false">IF($L120="","",Summary!$C$5)</f>
        <v/>
      </c>
      <c r="I120" s="12" t="str">
        <f aca="false">IF($L120="","","Above Materiality")</f>
        <v/>
      </c>
      <c r="J120" s="12" t="str">
        <f aca="false">IF($L120="","",INDEX(Population!$N$2:$N$1092,$L120))</f>
        <v/>
      </c>
      <c r="K120" s="12" t="str">
        <f aca="false">IF($L120="","",INDEX(Population!$G$2:$G$1092,$L120)&amp;" / row "&amp;INDEX(Population!$H$2:$H$1092,$L120))</f>
        <v/>
      </c>
      <c r="L120" s="26" t="str">
        <f aca="false">IFERROR(MATCH("Population 2|A|"&amp;ROWS($L$5:L120),Population!$U$2:$U$1092,0),"")</f>
        <v/>
      </c>
    </row>
    <row r="121" customFormat="false" ht="15" hidden="false" customHeight="false" outlineLevel="0" collapsed="false">
      <c r="A121" s="12" t="str">
        <f aca="false">IF($L121="","",INDEX(Population!$B$2:$B$1092,$L121)&amp;"")</f>
        <v/>
      </c>
      <c r="B121" s="12" t="str">
        <f aca="false">IF($L121="","",INDEX(Population!$C$2:$C$1092,$L121)&amp;"")</f>
        <v/>
      </c>
      <c r="C121" s="12" t="str">
        <f aca="false">IF($L121="","",INDEX(Population!$D$2:$D$1092,$L121)&amp;"")</f>
        <v/>
      </c>
      <c r="D121" s="12" t="str">
        <f aca="false">IF($L121="","",INDEX(Population!$E$2:$E$1092,$L121))</f>
        <v/>
      </c>
      <c r="E121" s="12" t="str">
        <f aca="false">IF($L121="","",INDEX(Population!$F$2:$F$1092,$L121))</f>
        <v/>
      </c>
      <c r="F121" s="16" t="str">
        <f aca="false">IF($L121="","",INDEX(Population!$L$2:$L$1092,$L121))</f>
        <v/>
      </c>
      <c r="G121" s="16" t="str">
        <f aca="false">IF($L121="","",INDEX(Population!$M$2:$M$1092,$L121))</f>
        <v/>
      </c>
      <c r="H121" s="15" t="str">
        <f aca="false">IF($L121="","",Summary!$C$5)</f>
        <v/>
      </c>
      <c r="I121" s="12" t="str">
        <f aca="false">IF($L121="","","Above Materiality")</f>
        <v/>
      </c>
      <c r="J121" s="12" t="str">
        <f aca="false">IF($L121="","",INDEX(Population!$N$2:$N$1092,$L121))</f>
        <v/>
      </c>
      <c r="K121" s="12" t="str">
        <f aca="false">IF($L121="","",INDEX(Population!$G$2:$G$1092,$L121)&amp;" / row "&amp;INDEX(Population!$H$2:$H$1092,$L121))</f>
        <v/>
      </c>
      <c r="L121" s="26" t="str">
        <f aca="false">IFERROR(MATCH("Population 2|A|"&amp;ROWS($L$5:L121),Population!$U$2:$U$1092,0),"")</f>
        <v/>
      </c>
    </row>
    <row r="122" customFormat="false" ht="15" hidden="false" customHeight="false" outlineLevel="0" collapsed="false">
      <c r="A122" s="12" t="str">
        <f aca="false">IF($L122="","",INDEX(Population!$B$2:$B$1092,$L122)&amp;"")</f>
        <v/>
      </c>
      <c r="B122" s="12" t="str">
        <f aca="false">IF($L122="","",INDEX(Population!$C$2:$C$1092,$L122)&amp;"")</f>
        <v/>
      </c>
      <c r="C122" s="12" t="str">
        <f aca="false">IF($L122="","",INDEX(Population!$D$2:$D$1092,$L122)&amp;"")</f>
        <v/>
      </c>
      <c r="D122" s="12" t="str">
        <f aca="false">IF($L122="","",INDEX(Population!$E$2:$E$1092,$L122))</f>
        <v/>
      </c>
      <c r="E122" s="12" t="str">
        <f aca="false">IF($L122="","",INDEX(Population!$F$2:$F$1092,$L122))</f>
        <v/>
      </c>
      <c r="F122" s="16" t="str">
        <f aca="false">IF($L122="","",INDEX(Population!$L$2:$L$1092,$L122))</f>
        <v/>
      </c>
      <c r="G122" s="16" t="str">
        <f aca="false">IF($L122="","",INDEX(Population!$M$2:$M$1092,$L122))</f>
        <v/>
      </c>
      <c r="H122" s="15" t="str">
        <f aca="false">IF($L122="","",Summary!$C$5)</f>
        <v/>
      </c>
      <c r="I122" s="12" t="str">
        <f aca="false">IF($L122="","","Above Materiality")</f>
        <v/>
      </c>
      <c r="J122" s="12" t="str">
        <f aca="false">IF($L122="","",INDEX(Population!$N$2:$N$1092,$L122))</f>
        <v/>
      </c>
      <c r="K122" s="12" t="str">
        <f aca="false">IF($L122="","",INDEX(Population!$G$2:$G$1092,$L122)&amp;" / row "&amp;INDEX(Population!$H$2:$H$1092,$L122))</f>
        <v/>
      </c>
      <c r="L122" s="26" t="str">
        <f aca="false">IFERROR(MATCH("Population 2|A|"&amp;ROWS($L$5:L122),Population!$U$2:$U$1092,0),"")</f>
        <v/>
      </c>
    </row>
    <row r="123" customFormat="false" ht="15" hidden="false" customHeight="false" outlineLevel="0" collapsed="false">
      <c r="A123" s="12" t="str">
        <f aca="false">IF($L123="","",INDEX(Population!$B$2:$B$1092,$L123)&amp;"")</f>
        <v/>
      </c>
      <c r="B123" s="12" t="str">
        <f aca="false">IF($L123="","",INDEX(Population!$C$2:$C$1092,$L123)&amp;"")</f>
        <v/>
      </c>
      <c r="C123" s="12" t="str">
        <f aca="false">IF($L123="","",INDEX(Population!$D$2:$D$1092,$L123)&amp;"")</f>
        <v/>
      </c>
      <c r="D123" s="12" t="str">
        <f aca="false">IF($L123="","",INDEX(Population!$E$2:$E$1092,$L123))</f>
        <v/>
      </c>
      <c r="E123" s="12" t="str">
        <f aca="false">IF($L123="","",INDEX(Population!$F$2:$F$1092,$L123))</f>
        <v/>
      </c>
      <c r="F123" s="16" t="str">
        <f aca="false">IF($L123="","",INDEX(Population!$L$2:$L$1092,$L123))</f>
        <v/>
      </c>
      <c r="G123" s="16" t="str">
        <f aca="false">IF($L123="","",INDEX(Population!$M$2:$M$1092,$L123))</f>
        <v/>
      </c>
      <c r="H123" s="15" t="str">
        <f aca="false">IF($L123="","",Summary!$C$5)</f>
        <v/>
      </c>
      <c r="I123" s="12" t="str">
        <f aca="false">IF($L123="","","Above Materiality")</f>
        <v/>
      </c>
      <c r="J123" s="12" t="str">
        <f aca="false">IF($L123="","",INDEX(Population!$N$2:$N$1092,$L123))</f>
        <v/>
      </c>
      <c r="K123" s="12" t="str">
        <f aca="false">IF($L123="","",INDEX(Population!$G$2:$G$1092,$L123)&amp;" / row "&amp;INDEX(Population!$H$2:$H$1092,$L123))</f>
        <v/>
      </c>
      <c r="L123" s="26" t="str">
        <f aca="false">IFERROR(MATCH("Population 2|A|"&amp;ROWS($L$5:L123),Population!$U$2:$U$1092,0),"")</f>
        <v/>
      </c>
    </row>
    <row r="124" customFormat="false" ht="15" hidden="false" customHeight="false" outlineLevel="0" collapsed="false">
      <c r="A124" s="12" t="str">
        <f aca="false">IF($L124="","",INDEX(Population!$B$2:$B$1092,$L124)&amp;"")</f>
        <v/>
      </c>
      <c r="B124" s="12" t="str">
        <f aca="false">IF($L124="","",INDEX(Population!$C$2:$C$1092,$L124)&amp;"")</f>
        <v/>
      </c>
      <c r="C124" s="12" t="str">
        <f aca="false">IF($L124="","",INDEX(Population!$D$2:$D$1092,$L124)&amp;"")</f>
        <v/>
      </c>
      <c r="D124" s="12" t="str">
        <f aca="false">IF($L124="","",INDEX(Population!$E$2:$E$1092,$L124))</f>
        <v/>
      </c>
      <c r="E124" s="12" t="str">
        <f aca="false">IF($L124="","",INDEX(Population!$F$2:$F$1092,$L124))</f>
        <v/>
      </c>
      <c r="F124" s="16" t="str">
        <f aca="false">IF($L124="","",INDEX(Population!$L$2:$L$1092,$L124))</f>
        <v/>
      </c>
      <c r="G124" s="16" t="str">
        <f aca="false">IF($L124="","",INDEX(Population!$M$2:$M$1092,$L124))</f>
        <v/>
      </c>
      <c r="H124" s="15" t="str">
        <f aca="false">IF($L124="","",Summary!$C$5)</f>
        <v/>
      </c>
      <c r="I124" s="12" t="str">
        <f aca="false">IF($L124="","","Above Materiality")</f>
        <v/>
      </c>
      <c r="J124" s="12" t="str">
        <f aca="false">IF($L124="","",INDEX(Population!$N$2:$N$1092,$L124))</f>
        <v/>
      </c>
      <c r="K124" s="12" t="str">
        <f aca="false">IF($L124="","",INDEX(Population!$G$2:$G$1092,$L124)&amp;" / row "&amp;INDEX(Population!$H$2:$H$1092,$L124))</f>
        <v/>
      </c>
      <c r="L124" s="26" t="str">
        <f aca="false">IFERROR(MATCH("Population 2|A|"&amp;ROWS($L$5:L124),Population!$U$2:$U$1092,0),"")</f>
        <v/>
      </c>
    </row>
    <row r="125" customFormat="false" ht="15" hidden="false" customHeight="false" outlineLevel="0" collapsed="false">
      <c r="A125" s="12" t="str">
        <f aca="false">IF($L125="","",INDEX(Population!$B$2:$B$1092,$L125)&amp;"")</f>
        <v/>
      </c>
      <c r="B125" s="12" t="str">
        <f aca="false">IF($L125="","",INDEX(Population!$C$2:$C$1092,$L125)&amp;"")</f>
        <v/>
      </c>
      <c r="C125" s="12" t="str">
        <f aca="false">IF($L125="","",INDEX(Population!$D$2:$D$1092,$L125)&amp;"")</f>
        <v/>
      </c>
      <c r="D125" s="12" t="str">
        <f aca="false">IF($L125="","",INDEX(Population!$E$2:$E$1092,$L125))</f>
        <v/>
      </c>
      <c r="E125" s="12" t="str">
        <f aca="false">IF($L125="","",INDEX(Population!$F$2:$F$1092,$L125))</f>
        <v/>
      </c>
      <c r="F125" s="16" t="str">
        <f aca="false">IF($L125="","",INDEX(Population!$L$2:$L$1092,$L125))</f>
        <v/>
      </c>
      <c r="G125" s="16" t="str">
        <f aca="false">IF($L125="","",INDEX(Population!$M$2:$M$1092,$L125))</f>
        <v/>
      </c>
      <c r="H125" s="15" t="str">
        <f aca="false">IF($L125="","",Summary!$C$5)</f>
        <v/>
      </c>
      <c r="I125" s="12" t="str">
        <f aca="false">IF($L125="","","Above Materiality")</f>
        <v/>
      </c>
      <c r="J125" s="12" t="str">
        <f aca="false">IF($L125="","",INDEX(Population!$N$2:$N$1092,$L125))</f>
        <v/>
      </c>
      <c r="K125" s="12" t="str">
        <f aca="false">IF($L125="","",INDEX(Population!$G$2:$G$1092,$L125)&amp;" / row "&amp;INDEX(Population!$H$2:$H$1092,$L125))</f>
        <v/>
      </c>
      <c r="L125" s="26" t="str">
        <f aca="false">IFERROR(MATCH("Population 2|A|"&amp;ROWS($L$5:L125),Population!$U$2:$U$1092,0),"")</f>
        <v/>
      </c>
    </row>
    <row r="126" customFormat="false" ht="15" hidden="false" customHeight="false" outlineLevel="0" collapsed="false">
      <c r="A126" s="12" t="str">
        <f aca="false">IF($L126="","",INDEX(Population!$B$2:$B$1092,$L126)&amp;"")</f>
        <v/>
      </c>
      <c r="B126" s="12" t="str">
        <f aca="false">IF($L126="","",INDEX(Population!$C$2:$C$1092,$L126)&amp;"")</f>
        <v/>
      </c>
      <c r="C126" s="12" t="str">
        <f aca="false">IF($L126="","",INDEX(Population!$D$2:$D$1092,$L126)&amp;"")</f>
        <v/>
      </c>
      <c r="D126" s="12" t="str">
        <f aca="false">IF($L126="","",INDEX(Population!$E$2:$E$1092,$L126))</f>
        <v/>
      </c>
      <c r="E126" s="12" t="str">
        <f aca="false">IF($L126="","",INDEX(Population!$F$2:$F$1092,$L126))</f>
        <v/>
      </c>
      <c r="F126" s="16" t="str">
        <f aca="false">IF($L126="","",INDEX(Population!$L$2:$L$1092,$L126))</f>
        <v/>
      </c>
      <c r="G126" s="16" t="str">
        <f aca="false">IF($L126="","",INDEX(Population!$M$2:$M$1092,$L126))</f>
        <v/>
      </c>
      <c r="H126" s="15" t="str">
        <f aca="false">IF($L126="","",Summary!$C$5)</f>
        <v/>
      </c>
      <c r="I126" s="12" t="str">
        <f aca="false">IF($L126="","","Above Materiality")</f>
        <v/>
      </c>
      <c r="J126" s="12" t="str">
        <f aca="false">IF($L126="","",INDEX(Population!$N$2:$N$1092,$L126))</f>
        <v/>
      </c>
      <c r="K126" s="12" t="str">
        <f aca="false">IF($L126="","",INDEX(Population!$G$2:$G$1092,$L126)&amp;" / row "&amp;INDEX(Population!$H$2:$H$1092,$L126))</f>
        <v/>
      </c>
      <c r="L126" s="26" t="str">
        <f aca="false">IFERROR(MATCH("Population 2|A|"&amp;ROWS($L$5:L126),Population!$U$2:$U$1092,0),"")</f>
        <v/>
      </c>
    </row>
    <row r="127" customFormat="false" ht="15" hidden="false" customHeight="false" outlineLevel="0" collapsed="false">
      <c r="A127" s="12" t="str">
        <f aca="false">IF($L127="","",INDEX(Population!$B$2:$B$1092,$L127)&amp;"")</f>
        <v/>
      </c>
      <c r="B127" s="12" t="str">
        <f aca="false">IF($L127="","",INDEX(Population!$C$2:$C$1092,$L127)&amp;"")</f>
        <v/>
      </c>
      <c r="C127" s="12" t="str">
        <f aca="false">IF($L127="","",INDEX(Population!$D$2:$D$1092,$L127)&amp;"")</f>
        <v/>
      </c>
      <c r="D127" s="12" t="str">
        <f aca="false">IF($L127="","",INDEX(Population!$E$2:$E$1092,$L127))</f>
        <v/>
      </c>
      <c r="E127" s="12" t="str">
        <f aca="false">IF($L127="","",INDEX(Population!$F$2:$F$1092,$L127))</f>
        <v/>
      </c>
      <c r="F127" s="16" t="str">
        <f aca="false">IF($L127="","",INDEX(Population!$L$2:$L$1092,$L127))</f>
        <v/>
      </c>
      <c r="G127" s="16" t="str">
        <f aca="false">IF($L127="","",INDEX(Population!$M$2:$M$1092,$L127))</f>
        <v/>
      </c>
      <c r="H127" s="15" t="str">
        <f aca="false">IF($L127="","",Summary!$C$5)</f>
        <v/>
      </c>
      <c r="I127" s="12" t="str">
        <f aca="false">IF($L127="","","Above Materiality")</f>
        <v/>
      </c>
      <c r="J127" s="12" t="str">
        <f aca="false">IF($L127="","",INDEX(Population!$N$2:$N$1092,$L127))</f>
        <v/>
      </c>
      <c r="K127" s="12" t="str">
        <f aca="false">IF($L127="","",INDEX(Population!$G$2:$G$1092,$L127)&amp;" / row "&amp;INDEX(Population!$H$2:$H$1092,$L127))</f>
        <v/>
      </c>
      <c r="L127" s="26" t="str">
        <f aca="false">IFERROR(MATCH("Population 2|A|"&amp;ROWS($L$5:L127),Population!$U$2:$U$1092,0),"")</f>
        <v/>
      </c>
    </row>
    <row r="128" customFormat="false" ht="15" hidden="false" customHeight="false" outlineLevel="0" collapsed="false">
      <c r="A128" s="12" t="str">
        <f aca="false">IF($L128="","",INDEX(Population!$B$2:$B$1092,$L128)&amp;"")</f>
        <v/>
      </c>
      <c r="B128" s="12" t="str">
        <f aca="false">IF($L128="","",INDEX(Population!$C$2:$C$1092,$L128)&amp;"")</f>
        <v/>
      </c>
      <c r="C128" s="12" t="str">
        <f aca="false">IF($L128="","",INDEX(Population!$D$2:$D$1092,$L128)&amp;"")</f>
        <v/>
      </c>
      <c r="D128" s="12" t="str">
        <f aca="false">IF($L128="","",INDEX(Population!$E$2:$E$1092,$L128))</f>
        <v/>
      </c>
      <c r="E128" s="12" t="str">
        <f aca="false">IF($L128="","",INDEX(Population!$F$2:$F$1092,$L128))</f>
        <v/>
      </c>
      <c r="F128" s="16" t="str">
        <f aca="false">IF($L128="","",INDEX(Population!$L$2:$L$1092,$L128))</f>
        <v/>
      </c>
      <c r="G128" s="16" t="str">
        <f aca="false">IF($L128="","",INDEX(Population!$M$2:$M$1092,$L128))</f>
        <v/>
      </c>
      <c r="H128" s="15" t="str">
        <f aca="false">IF($L128="","",Summary!$C$5)</f>
        <v/>
      </c>
      <c r="I128" s="12" t="str">
        <f aca="false">IF($L128="","","Above Materiality")</f>
        <v/>
      </c>
      <c r="J128" s="12" t="str">
        <f aca="false">IF($L128="","",INDEX(Population!$N$2:$N$1092,$L128))</f>
        <v/>
      </c>
      <c r="K128" s="12" t="str">
        <f aca="false">IF($L128="","",INDEX(Population!$G$2:$G$1092,$L128)&amp;" / row "&amp;INDEX(Population!$H$2:$H$1092,$L128))</f>
        <v/>
      </c>
      <c r="L128" s="26" t="str">
        <f aca="false">IFERROR(MATCH("Population 2|A|"&amp;ROWS($L$5:L128),Population!$U$2:$U$1092,0),"")</f>
        <v/>
      </c>
    </row>
    <row r="129" customFormat="false" ht="15" hidden="false" customHeight="false" outlineLevel="0" collapsed="false">
      <c r="A129" s="12" t="str">
        <f aca="false">IF($L129="","",INDEX(Population!$B$2:$B$1092,$L129)&amp;"")</f>
        <v/>
      </c>
      <c r="B129" s="12" t="str">
        <f aca="false">IF($L129="","",INDEX(Population!$C$2:$C$1092,$L129)&amp;"")</f>
        <v/>
      </c>
      <c r="C129" s="12" t="str">
        <f aca="false">IF($L129="","",INDEX(Population!$D$2:$D$1092,$L129)&amp;"")</f>
        <v/>
      </c>
      <c r="D129" s="12" t="str">
        <f aca="false">IF($L129="","",INDEX(Population!$E$2:$E$1092,$L129))</f>
        <v/>
      </c>
      <c r="E129" s="12" t="str">
        <f aca="false">IF($L129="","",INDEX(Population!$F$2:$F$1092,$L129))</f>
        <v/>
      </c>
      <c r="F129" s="16" t="str">
        <f aca="false">IF($L129="","",INDEX(Population!$L$2:$L$1092,$L129))</f>
        <v/>
      </c>
      <c r="G129" s="16" t="str">
        <f aca="false">IF($L129="","",INDEX(Population!$M$2:$M$1092,$L129))</f>
        <v/>
      </c>
      <c r="H129" s="15" t="str">
        <f aca="false">IF($L129="","",Summary!$C$5)</f>
        <v/>
      </c>
      <c r="I129" s="12" t="str">
        <f aca="false">IF($L129="","","Above Materiality")</f>
        <v/>
      </c>
      <c r="J129" s="12" t="str">
        <f aca="false">IF($L129="","",INDEX(Population!$N$2:$N$1092,$L129))</f>
        <v/>
      </c>
      <c r="K129" s="12" t="str">
        <f aca="false">IF($L129="","",INDEX(Population!$G$2:$G$1092,$L129)&amp;" / row "&amp;INDEX(Population!$H$2:$H$1092,$L129))</f>
        <v/>
      </c>
      <c r="L129" s="26" t="str">
        <f aca="false">IFERROR(MATCH("Population 2|A|"&amp;ROWS($L$5:L129),Population!$U$2:$U$1092,0),"")</f>
        <v/>
      </c>
    </row>
    <row r="130" customFormat="false" ht="15" hidden="false" customHeight="false" outlineLevel="0" collapsed="false">
      <c r="A130" s="12" t="str">
        <f aca="false">IF($L130="","",INDEX(Population!$B$2:$B$1092,$L130)&amp;"")</f>
        <v/>
      </c>
      <c r="B130" s="12" t="str">
        <f aca="false">IF($L130="","",INDEX(Population!$C$2:$C$1092,$L130)&amp;"")</f>
        <v/>
      </c>
      <c r="C130" s="12" t="str">
        <f aca="false">IF($L130="","",INDEX(Population!$D$2:$D$1092,$L130)&amp;"")</f>
        <v/>
      </c>
      <c r="D130" s="12" t="str">
        <f aca="false">IF($L130="","",INDEX(Population!$E$2:$E$1092,$L130))</f>
        <v/>
      </c>
      <c r="E130" s="12" t="str">
        <f aca="false">IF($L130="","",INDEX(Population!$F$2:$F$1092,$L130))</f>
        <v/>
      </c>
      <c r="F130" s="16" t="str">
        <f aca="false">IF($L130="","",INDEX(Population!$L$2:$L$1092,$L130))</f>
        <v/>
      </c>
      <c r="G130" s="16" t="str">
        <f aca="false">IF($L130="","",INDEX(Population!$M$2:$M$1092,$L130))</f>
        <v/>
      </c>
      <c r="H130" s="15" t="str">
        <f aca="false">IF($L130="","",Summary!$C$5)</f>
        <v/>
      </c>
      <c r="I130" s="12" t="str">
        <f aca="false">IF($L130="","","Above Materiality")</f>
        <v/>
      </c>
      <c r="J130" s="12" t="str">
        <f aca="false">IF($L130="","",INDEX(Population!$N$2:$N$1092,$L130))</f>
        <v/>
      </c>
      <c r="K130" s="12" t="str">
        <f aca="false">IF($L130="","",INDEX(Population!$G$2:$G$1092,$L130)&amp;" / row "&amp;INDEX(Population!$H$2:$H$1092,$L130))</f>
        <v/>
      </c>
      <c r="L130" s="26" t="str">
        <f aca="false">IFERROR(MATCH("Population 2|A|"&amp;ROWS($L$5:L130),Population!$U$2:$U$1092,0),"")</f>
        <v/>
      </c>
    </row>
    <row r="131" customFormat="false" ht="15" hidden="false" customHeight="false" outlineLevel="0" collapsed="false">
      <c r="A131" s="12" t="str">
        <f aca="false">IF($L131="","",INDEX(Population!$B$2:$B$1092,$L131)&amp;"")</f>
        <v/>
      </c>
      <c r="B131" s="12" t="str">
        <f aca="false">IF($L131="","",INDEX(Population!$C$2:$C$1092,$L131)&amp;"")</f>
        <v/>
      </c>
      <c r="C131" s="12" t="str">
        <f aca="false">IF($L131="","",INDEX(Population!$D$2:$D$1092,$L131)&amp;"")</f>
        <v/>
      </c>
      <c r="D131" s="12" t="str">
        <f aca="false">IF($L131="","",INDEX(Population!$E$2:$E$1092,$L131))</f>
        <v/>
      </c>
      <c r="E131" s="12" t="str">
        <f aca="false">IF($L131="","",INDEX(Population!$F$2:$F$1092,$L131))</f>
        <v/>
      </c>
      <c r="F131" s="16" t="str">
        <f aca="false">IF($L131="","",INDEX(Population!$L$2:$L$1092,$L131))</f>
        <v/>
      </c>
      <c r="G131" s="16" t="str">
        <f aca="false">IF($L131="","",INDEX(Population!$M$2:$M$1092,$L131))</f>
        <v/>
      </c>
      <c r="H131" s="15" t="str">
        <f aca="false">IF($L131="","",Summary!$C$5)</f>
        <v/>
      </c>
      <c r="I131" s="12" t="str">
        <f aca="false">IF($L131="","","Above Materiality")</f>
        <v/>
      </c>
      <c r="J131" s="12" t="str">
        <f aca="false">IF($L131="","",INDEX(Population!$N$2:$N$1092,$L131))</f>
        <v/>
      </c>
      <c r="K131" s="12" t="str">
        <f aca="false">IF($L131="","",INDEX(Population!$G$2:$G$1092,$L131)&amp;" / row "&amp;INDEX(Population!$H$2:$H$1092,$L131))</f>
        <v/>
      </c>
      <c r="L131" s="26" t="str">
        <f aca="false">IFERROR(MATCH("Population 2|A|"&amp;ROWS($L$5:L131),Population!$U$2:$U$1092,0),"")</f>
        <v/>
      </c>
    </row>
    <row r="132" customFormat="false" ht="15" hidden="false" customHeight="false" outlineLevel="0" collapsed="false">
      <c r="A132" s="12" t="str">
        <f aca="false">IF($L132="","",INDEX(Population!$B$2:$B$1092,$L132)&amp;"")</f>
        <v/>
      </c>
      <c r="B132" s="12" t="str">
        <f aca="false">IF($L132="","",INDEX(Population!$C$2:$C$1092,$L132)&amp;"")</f>
        <v/>
      </c>
      <c r="C132" s="12" t="str">
        <f aca="false">IF($L132="","",INDEX(Population!$D$2:$D$1092,$L132)&amp;"")</f>
        <v/>
      </c>
      <c r="D132" s="12" t="str">
        <f aca="false">IF($L132="","",INDEX(Population!$E$2:$E$1092,$L132))</f>
        <v/>
      </c>
      <c r="E132" s="12" t="str">
        <f aca="false">IF($L132="","",INDEX(Population!$F$2:$F$1092,$L132))</f>
        <v/>
      </c>
      <c r="F132" s="16" t="str">
        <f aca="false">IF($L132="","",INDEX(Population!$L$2:$L$1092,$L132))</f>
        <v/>
      </c>
      <c r="G132" s="16" t="str">
        <f aca="false">IF($L132="","",INDEX(Population!$M$2:$M$1092,$L132))</f>
        <v/>
      </c>
      <c r="H132" s="15" t="str">
        <f aca="false">IF($L132="","",Summary!$C$5)</f>
        <v/>
      </c>
      <c r="I132" s="12" t="str">
        <f aca="false">IF($L132="","","Above Materiality")</f>
        <v/>
      </c>
      <c r="J132" s="12" t="str">
        <f aca="false">IF($L132="","",INDEX(Population!$N$2:$N$1092,$L132))</f>
        <v/>
      </c>
      <c r="K132" s="12" t="str">
        <f aca="false">IF($L132="","",INDEX(Population!$G$2:$G$1092,$L132)&amp;" / row "&amp;INDEX(Population!$H$2:$H$1092,$L132))</f>
        <v/>
      </c>
      <c r="L132" s="26" t="str">
        <f aca="false">IFERROR(MATCH("Population 2|A|"&amp;ROWS($L$5:L132),Population!$U$2:$U$1092,0),"")</f>
        <v/>
      </c>
    </row>
    <row r="133" customFormat="false" ht="15" hidden="false" customHeight="false" outlineLevel="0" collapsed="false">
      <c r="A133" s="12" t="str">
        <f aca="false">IF($L133="","",INDEX(Population!$B$2:$B$1092,$L133)&amp;"")</f>
        <v/>
      </c>
      <c r="B133" s="12" t="str">
        <f aca="false">IF($L133="","",INDEX(Population!$C$2:$C$1092,$L133)&amp;"")</f>
        <v/>
      </c>
      <c r="C133" s="12" t="str">
        <f aca="false">IF($L133="","",INDEX(Population!$D$2:$D$1092,$L133)&amp;"")</f>
        <v/>
      </c>
      <c r="D133" s="12" t="str">
        <f aca="false">IF($L133="","",INDEX(Population!$E$2:$E$1092,$L133))</f>
        <v/>
      </c>
      <c r="E133" s="12" t="str">
        <f aca="false">IF($L133="","",INDEX(Population!$F$2:$F$1092,$L133))</f>
        <v/>
      </c>
      <c r="F133" s="16" t="str">
        <f aca="false">IF($L133="","",INDEX(Population!$L$2:$L$1092,$L133))</f>
        <v/>
      </c>
      <c r="G133" s="16" t="str">
        <f aca="false">IF($L133="","",INDEX(Population!$M$2:$M$1092,$L133))</f>
        <v/>
      </c>
      <c r="H133" s="15" t="str">
        <f aca="false">IF($L133="","",Summary!$C$5)</f>
        <v/>
      </c>
      <c r="I133" s="12" t="str">
        <f aca="false">IF($L133="","","Above Materiality")</f>
        <v/>
      </c>
      <c r="J133" s="12" t="str">
        <f aca="false">IF($L133="","",INDEX(Population!$N$2:$N$1092,$L133))</f>
        <v/>
      </c>
      <c r="K133" s="12" t="str">
        <f aca="false">IF($L133="","",INDEX(Population!$G$2:$G$1092,$L133)&amp;" / row "&amp;INDEX(Population!$H$2:$H$1092,$L133))</f>
        <v/>
      </c>
      <c r="L133" s="26" t="str">
        <f aca="false">IFERROR(MATCH("Population 2|A|"&amp;ROWS($L$5:L133),Population!$U$2:$U$1092,0),"")</f>
        <v/>
      </c>
    </row>
    <row r="134" customFormat="false" ht="15" hidden="false" customHeight="false" outlineLevel="0" collapsed="false">
      <c r="A134" s="12" t="str">
        <f aca="false">IF($L134="","",INDEX(Population!$B$2:$B$1092,$L134)&amp;"")</f>
        <v/>
      </c>
      <c r="B134" s="12" t="str">
        <f aca="false">IF($L134="","",INDEX(Population!$C$2:$C$1092,$L134)&amp;"")</f>
        <v/>
      </c>
      <c r="C134" s="12" t="str">
        <f aca="false">IF($L134="","",INDEX(Population!$D$2:$D$1092,$L134)&amp;"")</f>
        <v/>
      </c>
      <c r="D134" s="12" t="str">
        <f aca="false">IF($L134="","",INDEX(Population!$E$2:$E$1092,$L134))</f>
        <v/>
      </c>
      <c r="E134" s="12" t="str">
        <f aca="false">IF($L134="","",INDEX(Population!$F$2:$F$1092,$L134))</f>
        <v/>
      </c>
      <c r="F134" s="16" t="str">
        <f aca="false">IF($L134="","",INDEX(Population!$L$2:$L$1092,$L134))</f>
        <v/>
      </c>
      <c r="G134" s="16" t="str">
        <f aca="false">IF($L134="","",INDEX(Population!$M$2:$M$1092,$L134))</f>
        <v/>
      </c>
      <c r="H134" s="15" t="str">
        <f aca="false">IF($L134="","",Summary!$C$5)</f>
        <v/>
      </c>
      <c r="I134" s="12" t="str">
        <f aca="false">IF($L134="","","Above Materiality")</f>
        <v/>
      </c>
      <c r="J134" s="12" t="str">
        <f aca="false">IF($L134="","",INDEX(Population!$N$2:$N$1092,$L134))</f>
        <v/>
      </c>
      <c r="K134" s="12" t="str">
        <f aca="false">IF($L134="","",INDEX(Population!$G$2:$G$1092,$L134)&amp;" / row "&amp;INDEX(Population!$H$2:$H$1092,$L134))</f>
        <v/>
      </c>
      <c r="L134" s="26" t="str">
        <f aca="false">IFERROR(MATCH("Population 2|A|"&amp;ROWS($L$5:L134),Population!$U$2:$U$1092,0),"")</f>
        <v/>
      </c>
    </row>
    <row r="135" customFormat="false" ht="15" hidden="false" customHeight="false" outlineLevel="0" collapsed="false">
      <c r="A135" s="12" t="str">
        <f aca="false">IF($L135="","",INDEX(Population!$B$2:$B$1092,$L135)&amp;"")</f>
        <v/>
      </c>
      <c r="B135" s="12" t="str">
        <f aca="false">IF($L135="","",INDEX(Population!$C$2:$C$1092,$L135)&amp;"")</f>
        <v/>
      </c>
      <c r="C135" s="12" t="str">
        <f aca="false">IF($L135="","",INDEX(Population!$D$2:$D$1092,$L135)&amp;"")</f>
        <v/>
      </c>
      <c r="D135" s="12" t="str">
        <f aca="false">IF($L135="","",INDEX(Population!$E$2:$E$1092,$L135))</f>
        <v/>
      </c>
      <c r="E135" s="12" t="str">
        <f aca="false">IF($L135="","",INDEX(Population!$F$2:$F$1092,$L135))</f>
        <v/>
      </c>
      <c r="F135" s="16" t="str">
        <f aca="false">IF($L135="","",INDEX(Population!$L$2:$L$1092,$L135))</f>
        <v/>
      </c>
      <c r="G135" s="16" t="str">
        <f aca="false">IF($L135="","",INDEX(Population!$M$2:$M$1092,$L135))</f>
        <v/>
      </c>
      <c r="H135" s="15" t="str">
        <f aca="false">IF($L135="","",Summary!$C$5)</f>
        <v/>
      </c>
      <c r="I135" s="12" t="str">
        <f aca="false">IF($L135="","","Above Materiality")</f>
        <v/>
      </c>
      <c r="J135" s="12" t="str">
        <f aca="false">IF($L135="","",INDEX(Population!$N$2:$N$1092,$L135))</f>
        <v/>
      </c>
      <c r="K135" s="12" t="str">
        <f aca="false">IF($L135="","",INDEX(Population!$G$2:$G$1092,$L135)&amp;" / row "&amp;INDEX(Population!$H$2:$H$1092,$L135))</f>
        <v/>
      </c>
      <c r="L135" s="26" t="str">
        <f aca="false">IFERROR(MATCH("Population 2|A|"&amp;ROWS($L$5:L135),Population!$U$2:$U$1092,0),"")</f>
        <v/>
      </c>
    </row>
    <row r="136" customFormat="false" ht="15" hidden="false" customHeight="false" outlineLevel="0" collapsed="false">
      <c r="A136" s="12" t="str">
        <f aca="false">IF($L136="","",INDEX(Population!$B$2:$B$1092,$L136)&amp;"")</f>
        <v/>
      </c>
      <c r="B136" s="12" t="str">
        <f aca="false">IF($L136="","",INDEX(Population!$C$2:$C$1092,$L136)&amp;"")</f>
        <v/>
      </c>
      <c r="C136" s="12" t="str">
        <f aca="false">IF($L136="","",INDEX(Population!$D$2:$D$1092,$L136)&amp;"")</f>
        <v/>
      </c>
      <c r="D136" s="12" t="str">
        <f aca="false">IF($L136="","",INDEX(Population!$E$2:$E$1092,$L136))</f>
        <v/>
      </c>
      <c r="E136" s="12" t="str">
        <f aca="false">IF($L136="","",INDEX(Population!$F$2:$F$1092,$L136))</f>
        <v/>
      </c>
      <c r="F136" s="16" t="str">
        <f aca="false">IF($L136="","",INDEX(Population!$L$2:$L$1092,$L136))</f>
        <v/>
      </c>
      <c r="G136" s="16" t="str">
        <f aca="false">IF($L136="","",INDEX(Population!$M$2:$M$1092,$L136))</f>
        <v/>
      </c>
      <c r="H136" s="15" t="str">
        <f aca="false">IF($L136="","",Summary!$C$5)</f>
        <v/>
      </c>
      <c r="I136" s="12" t="str">
        <f aca="false">IF($L136="","","Above Materiality")</f>
        <v/>
      </c>
      <c r="J136" s="12" t="str">
        <f aca="false">IF($L136="","",INDEX(Population!$N$2:$N$1092,$L136))</f>
        <v/>
      </c>
      <c r="K136" s="12" t="str">
        <f aca="false">IF($L136="","",INDEX(Population!$G$2:$G$1092,$L136)&amp;" / row "&amp;INDEX(Population!$H$2:$H$1092,$L136))</f>
        <v/>
      </c>
      <c r="L136" s="26" t="str">
        <f aca="false">IFERROR(MATCH("Population 2|A|"&amp;ROWS($L$5:L136),Population!$U$2:$U$1092,0),"")</f>
        <v/>
      </c>
    </row>
    <row r="137" customFormat="false" ht="15" hidden="false" customHeight="false" outlineLevel="0" collapsed="false">
      <c r="A137" s="12" t="str">
        <f aca="false">IF($L137="","",INDEX(Population!$B$2:$B$1092,$L137)&amp;"")</f>
        <v/>
      </c>
      <c r="B137" s="12" t="str">
        <f aca="false">IF($L137="","",INDEX(Population!$C$2:$C$1092,$L137)&amp;"")</f>
        <v/>
      </c>
      <c r="C137" s="12" t="str">
        <f aca="false">IF($L137="","",INDEX(Population!$D$2:$D$1092,$L137)&amp;"")</f>
        <v/>
      </c>
      <c r="D137" s="12" t="str">
        <f aca="false">IF($L137="","",INDEX(Population!$E$2:$E$1092,$L137))</f>
        <v/>
      </c>
      <c r="E137" s="12" t="str">
        <f aca="false">IF($L137="","",INDEX(Population!$F$2:$F$1092,$L137))</f>
        <v/>
      </c>
      <c r="F137" s="16" t="str">
        <f aca="false">IF($L137="","",INDEX(Population!$L$2:$L$1092,$L137))</f>
        <v/>
      </c>
      <c r="G137" s="16" t="str">
        <f aca="false">IF($L137="","",INDEX(Population!$M$2:$M$1092,$L137))</f>
        <v/>
      </c>
      <c r="H137" s="15" t="str">
        <f aca="false">IF($L137="","",Summary!$C$5)</f>
        <v/>
      </c>
      <c r="I137" s="12" t="str">
        <f aca="false">IF($L137="","","Above Materiality")</f>
        <v/>
      </c>
      <c r="J137" s="12" t="str">
        <f aca="false">IF($L137="","",INDEX(Population!$N$2:$N$1092,$L137))</f>
        <v/>
      </c>
      <c r="K137" s="12" t="str">
        <f aca="false">IF($L137="","",INDEX(Population!$G$2:$G$1092,$L137)&amp;" / row "&amp;INDEX(Population!$H$2:$H$1092,$L137))</f>
        <v/>
      </c>
      <c r="L137" s="26" t="str">
        <f aca="false">IFERROR(MATCH("Population 2|A|"&amp;ROWS($L$5:L137),Population!$U$2:$U$1092,0),"")</f>
        <v/>
      </c>
    </row>
    <row r="138" customFormat="false" ht="15" hidden="false" customHeight="false" outlineLevel="0" collapsed="false">
      <c r="A138" s="12" t="str">
        <f aca="false">IF($L138="","",INDEX(Population!$B$2:$B$1092,$L138)&amp;"")</f>
        <v/>
      </c>
      <c r="B138" s="12" t="str">
        <f aca="false">IF($L138="","",INDEX(Population!$C$2:$C$1092,$L138)&amp;"")</f>
        <v/>
      </c>
      <c r="C138" s="12" t="str">
        <f aca="false">IF($L138="","",INDEX(Population!$D$2:$D$1092,$L138)&amp;"")</f>
        <v/>
      </c>
      <c r="D138" s="12" t="str">
        <f aca="false">IF($L138="","",INDEX(Population!$E$2:$E$1092,$L138))</f>
        <v/>
      </c>
      <c r="E138" s="12" t="str">
        <f aca="false">IF($L138="","",INDEX(Population!$F$2:$F$1092,$L138))</f>
        <v/>
      </c>
      <c r="F138" s="16" t="str">
        <f aca="false">IF($L138="","",INDEX(Population!$L$2:$L$1092,$L138))</f>
        <v/>
      </c>
      <c r="G138" s="16" t="str">
        <f aca="false">IF($L138="","",INDEX(Population!$M$2:$M$1092,$L138))</f>
        <v/>
      </c>
      <c r="H138" s="15" t="str">
        <f aca="false">IF($L138="","",Summary!$C$5)</f>
        <v/>
      </c>
      <c r="I138" s="12" t="str">
        <f aca="false">IF($L138="","","Above Materiality")</f>
        <v/>
      </c>
      <c r="J138" s="12" t="str">
        <f aca="false">IF($L138="","",INDEX(Population!$N$2:$N$1092,$L138))</f>
        <v/>
      </c>
      <c r="K138" s="12" t="str">
        <f aca="false">IF($L138="","",INDEX(Population!$G$2:$G$1092,$L138)&amp;" / row "&amp;INDEX(Population!$H$2:$H$1092,$L138))</f>
        <v/>
      </c>
      <c r="L138" s="26" t="str">
        <f aca="false">IFERROR(MATCH("Population 2|A|"&amp;ROWS($L$5:L138),Population!$U$2:$U$1092,0),"")</f>
        <v/>
      </c>
    </row>
    <row r="139" customFormat="false" ht="15" hidden="false" customHeight="false" outlineLevel="0" collapsed="false">
      <c r="A139" s="12" t="str">
        <f aca="false">IF($L139="","",INDEX(Population!$B$2:$B$1092,$L139)&amp;"")</f>
        <v/>
      </c>
      <c r="B139" s="12" t="str">
        <f aca="false">IF($L139="","",INDEX(Population!$C$2:$C$1092,$L139)&amp;"")</f>
        <v/>
      </c>
      <c r="C139" s="12" t="str">
        <f aca="false">IF($L139="","",INDEX(Population!$D$2:$D$1092,$L139)&amp;"")</f>
        <v/>
      </c>
      <c r="D139" s="12" t="str">
        <f aca="false">IF($L139="","",INDEX(Population!$E$2:$E$1092,$L139))</f>
        <v/>
      </c>
      <c r="E139" s="12" t="str">
        <f aca="false">IF($L139="","",INDEX(Population!$F$2:$F$1092,$L139))</f>
        <v/>
      </c>
      <c r="F139" s="16" t="str">
        <f aca="false">IF($L139="","",INDEX(Population!$L$2:$L$1092,$L139))</f>
        <v/>
      </c>
      <c r="G139" s="16" t="str">
        <f aca="false">IF($L139="","",INDEX(Population!$M$2:$M$1092,$L139))</f>
        <v/>
      </c>
      <c r="H139" s="15" t="str">
        <f aca="false">IF($L139="","",Summary!$C$5)</f>
        <v/>
      </c>
      <c r="I139" s="12" t="str">
        <f aca="false">IF($L139="","","Above Materiality")</f>
        <v/>
      </c>
      <c r="J139" s="12" t="str">
        <f aca="false">IF($L139="","",INDEX(Population!$N$2:$N$1092,$L139))</f>
        <v/>
      </c>
      <c r="K139" s="12" t="str">
        <f aca="false">IF($L139="","",INDEX(Population!$G$2:$G$1092,$L139)&amp;" / row "&amp;INDEX(Population!$H$2:$H$1092,$L139))</f>
        <v/>
      </c>
      <c r="L139" s="26" t="str">
        <f aca="false">IFERROR(MATCH("Population 2|A|"&amp;ROWS($L$5:L139),Population!$U$2:$U$1092,0),"")</f>
        <v/>
      </c>
    </row>
    <row r="140" customFormat="false" ht="15" hidden="false" customHeight="false" outlineLevel="0" collapsed="false">
      <c r="A140" s="12" t="str">
        <f aca="false">IF($L140="","",INDEX(Population!$B$2:$B$1092,$L140)&amp;"")</f>
        <v/>
      </c>
      <c r="B140" s="12" t="str">
        <f aca="false">IF($L140="","",INDEX(Population!$C$2:$C$1092,$L140)&amp;"")</f>
        <v/>
      </c>
      <c r="C140" s="12" t="str">
        <f aca="false">IF($L140="","",INDEX(Population!$D$2:$D$1092,$L140)&amp;"")</f>
        <v/>
      </c>
      <c r="D140" s="12" t="str">
        <f aca="false">IF($L140="","",INDEX(Population!$E$2:$E$1092,$L140))</f>
        <v/>
      </c>
      <c r="E140" s="12" t="str">
        <f aca="false">IF($L140="","",INDEX(Population!$F$2:$F$1092,$L140))</f>
        <v/>
      </c>
      <c r="F140" s="16" t="str">
        <f aca="false">IF($L140="","",INDEX(Population!$L$2:$L$1092,$L140))</f>
        <v/>
      </c>
      <c r="G140" s="16" t="str">
        <f aca="false">IF($L140="","",INDEX(Population!$M$2:$M$1092,$L140))</f>
        <v/>
      </c>
      <c r="H140" s="15" t="str">
        <f aca="false">IF($L140="","",Summary!$C$5)</f>
        <v/>
      </c>
      <c r="I140" s="12" t="str">
        <f aca="false">IF($L140="","","Above Materiality")</f>
        <v/>
      </c>
      <c r="J140" s="12" t="str">
        <f aca="false">IF($L140="","",INDEX(Population!$N$2:$N$1092,$L140))</f>
        <v/>
      </c>
      <c r="K140" s="12" t="str">
        <f aca="false">IF($L140="","",INDEX(Population!$G$2:$G$1092,$L140)&amp;" / row "&amp;INDEX(Population!$H$2:$H$1092,$L140))</f>
        <v/>
      </c>
      <c r="L140" s="26" t="str">
        <f aca="false">IFERROR(MATCH("Population 2|A|"&amp;ROWS($L$5:L140),Population!$U$2:$U$1092,0),"")</f>
        <v/>
      </c>
    </row>
    <row r="141" customFormat="false" ht="15" hidden="false" customHeight="false" outlineLevel="0" collapsed="false">
      <c r="A141" s="12" t="str">
        <f aca="false">IF($L141="","",INDEX(Population!$B$2:$B$1092,$L141)&amp;"")</f>
        <v/>
      </c>
      <c r="B141" s="12" t="str">
        <f aca="false">IF($L141="","",INDEX(Population!$C$2:$C$1092,$L141)&amp;"")</f>
        <v/>
      </c>
      <c r="C141" s="12" t="str">
        <f aca="false">IF($L141="","",INDEX(Population!$D$2:$D$1092,$L141)&amp;"")</f>
        <v/>
      </c>
      <c r="D141" s="12" t="str">
        <f aca="false">IF($L141="","",INDEX(Population!$E$2:$E$1092,$L141))</f>
        <v/>
      </c>
      <c r="E141" s="12" t="str">
        <f aca="false">IF($L141="","",INDEX(Population!$F$2:$F$1092,$L141))</f>
        <v/>
      </c>
      <c r="F141" s="16" t="str">
        <f aca="false">IF($L141="","",INDEX(Population!$L$2:$L$1092,$L141))</f>
        <v/>
      </c>
      <c r="G141" s="16" t="str">
        <f aca="false">IF($L141="","",INDEX(Population!$M$2:$M$1092,$L141))</f>
        <v/>
      </c>
      <c r="H141" s="15" t="str">
        <f aca="false">IF($L141="","",Summary!$C$5)</f>
        <v/>
      </c>
      <c r="I141" s="12" t="str">
        <f aca="false">IF($L141="","","Above Materiality")</f>
        <v/>
      </c>
      <c r="J141" s="12" t="str">
        <f aca="false">IF($L141="","",INDEX(Population!$N$2:$N$1092,$L141))</f>
        <v/>
      </c>
      <c r="K141" s="12" t="str">
        <f aca="false">IF($L141="","",INDEX(Population!$G$2:$G$1092,$L141)&amp;" / row "&amp;INDEX(Population!$H$2:$H$1092,$L141))</f>
        <v/>
      </c>
      <c r="L141" s="26" t="str">
        <f aca="false">IFERROR(MATCH("Population 2|A|"&amp;ROWS($L$5:L141),Population!$U$2:$U$1092,0),"")</f>
        <v/>
      </c>
    </row>
    <row r="142" customFormat="false" ht="15" hidden="false" customHeight="false" outlineLevel="0" collapsed="false">
      <c r="A142" s="12" t="str">
        <f aca="false">IF($L142="","",INDEX(Population!$B$2:$B$1092,$L142)&amp;"")</f>
        <v/>
      </c>
      <c r="B142" s="12" t="str">
        <f aca="false">IF($L142="","",INDEX(Population!$C$2:$C$1092,$L142)&amp;"")</f>
        <v/>
      </c>
      <c r="C142" s="12" t="str">
        <f aca="false">IF($L142="","",INDEX(Population!$D$2:$D$1092,$L142)&amp;"")</f>
        <v/>
      </c>
      <c r="D142" s="12" t="str">
        <f aca="false">IF($L142="","",INDEX(Population!$E$2:$E$1092,$L142))</f>
        <v/>
      </c>
      <c r="E142" s="12" t="str">
        <f aca="false">IF($L142="","",INDEX(Population!$F$2:$F$1092,$L142))</f>
        <v/>
      </c>
      <c r="F142" s="16" t="str">
        <f aca="false">IF($L142="","",INDEX(Population!$L$2:$L$1092,$L142))</f>
        <v/>
      </c>
      <c r="G142" s="16" t="str">
        <f aca="false">IF($L142="","",INDEX(Population!$M$2:$M$1092,$L142))</f>
        <v/>
      </c>
      <c r="H142" s="15" t="str">
        <f aca="false">IF($L142="","",Summary!$C$5)</f>
        <v/>
      </c>
      <c r="I142" s="12" t="str">
        <f aca="false">IF($L142="","","Above Materiality")</f>
        <v/>
      </c>
      <c r="J142" s="12" t="str">
        <f aca="false">IF($L142="","",INDEX(Population!$N$2:$N$1092,$L142))</f>
        <v/>
      </c>
      <c r="K142" s="12" t="str">
        <f aca="false">IF($L142="","",INDEX(Population!$G$2:$G$1092,$L142)&amp;" / row "&amp;INDEX(Population!$H$2:$H$1092,$L142))</f>
        <v/>
      </c>
      <c r="L142" s="26" t="str">
        <f aca="false">IFERROR(MATCH("Population 2|A|"&amp;ROWS($L$5:L142),Population!$U$2:$U$1092,0),"")</f>
        <v/>
      </c>
    </row>
    <row r="143" customFormat="false" ht="15" hidden="false" customHeight="false" outlineLevel="0" collapsed="false">
      <c r="A143" s="12" t="str">
        <f aca="false">IF($L143="","",INDEX(Population!$B$2:$B$1092,$L143)&amp;"")</f>
        <v/>
      </c>
      <c r="B143" s="12" t="str">
        <f aca="false">IF($L143="","",INDEX(Population!$C$2:$C$1092,$L143)&amp;"")</f>
        <v/>
      </c>
      <c r="C143" s="12" t="str">
        <f aca="false">IF($L143="","",INDEX(Population!$D$2:$D$1092,$L143)&amp;"")</f>
        <v/>
      </c>
      <c r="D143" s="12" t="str">
        <f aca="false">IF($L143="","",INDEX(Population!$E$2:$E$1092,$L143))</f>
        <v/>
      </c>
      <c r="E143" s="12" t="str">
        <f aca="false">IF($L143="","",INDEX(Population!$F$2:$F$1092,$L143))</f>
        <v/>
      </c>
      <c r="F143" s="16" t="str">
        <f aca="false">IF($L143="","",INDEX(Population!$L$2:$L$1092,$L143))</f>
        <v/>
      </c>
      <c r="G143" s="16" t="str">
        <f aca="false">IF($L143="","",INDEX(Population!$M$2:$M$1092,$L143))</f>
        <v/>
      </c>
      <c r="H143" s="15" t="str">
        <f aca="false">IF($L143="","",Summary!$C$5)</f>
        <v/>
      </c>
      <c r="I143" s="12" t="str">
        <f aca="false">IF($L143="","","Above Materiality")</f>
        <v/>
      </c>
      <c r="J143" s="12" t="str">
        <f aca="false">IF($L143="","",INDEX(Population!$N$2:$N$1092,$L143))</f>
        <v/>
      </c>
      <c r="K143" s="12" t="str">
        <f aca="false">IF($L143="","",INDEX(Population!$G$2:$G$1092,$L143)&amp;" / row "&amp;INDEX(Population!$H$2:$H$1092,$L143))</f>
        <v/>
      </c>
      <c r="L143" s="26" t="str">
        <f aca="false">IFERROR(MATCH("Population 2|A|"&amp;ROWS($L$5:L143),Population!$U$2:$U$1092,0),"")</f>
        <v/>
      </c>
    </row>
    <row r="144" customFormat="false" ht="15" hidden="false" customHeight="false" outlineLevel="0" collapsed="false">
      <c r="A144" s="12" t="str">
        <f aca="false">IF($L144="","",INDEX(Population!$B$2:$B$1092,$L144)&amp;"")</f>
        <v/>
      </c>
      <c r="B144" s="12" t="str">
        <f aca="false">IF($L144="","",INDEX(Population!$C$2:$C$1092,$L144)&amp;"")</f>
        <v/>
      </c>
      <c r="C144" s="12" t="str">
        <f aca="false">IF($L144="","",INDEX(Population!$D$2:$D$1092,$L144)&amp;"")</f>
        <v/>
      </c>
      <c r="D144" s="12" t="str">
        <f aca="false">IF($L144="","",INDEX(Population!$E$2:$E$1092,$L144))</f>
        <v/>
      </c>
      <c r="E144" s="12" t="str">
        <f aca="false">IF($L144="","",INDEX(Population!$F$2:$F$1092,$L144))</f>
        <v/>
      </c>
      <c r="F144" s="16" t="str">
        <f aca="false">IF($L144="","",INDEX(Population!$L$2:$L$1092,$L144))</f>
        <v/>
      </c>
      <c r="G144" s="16" t="str">
        <f aca="false">IF($L144="","",INDEX(Population!$M$2:$M$1092,$L144))</f>
        <v/>
      </c>
      <c r="H144" s="15" t="str">
        <f aca="false">IF($L144="","",Summary!$C$5)</f>
        <v/>
      </c>
      <c r="I144" s="12" t="str">
        <f aca="false">IF($L144="","","Above Materiality")</f>
        <v/>
      </c>
      <c r="J144" s="12" t="str">
        <f aca="false">IF($L144="","",INDEX(Population!$N$2:$N$1092,$L144))</f>
        <v/>
      </c>
      <c r="K144" s="12" t="str">
        <f aca="false">IF($L144="","",INDEX(Population!$G$2:$G$1092,$L144)&amp;" / row "&amp;INDEX(Population!$H$2:$H$1092,$L144))</f>
        <v/>
      </c>
      <c r="L144" s="26" t="str">
        <f aca="false">IFERROR(MATCH("Population 2|A|"&amp;ROWS($L$5:L144),Population!$U$2:$U$1092,0),"")</f>
        <v/>
      </c>
    </row>
    <row r="145" customFormat="false" ht="15" hidden="false" customHeight="false" outlineLevel="0" collapsed="false">
      <c r="A145" s="12" t="str">
        <f aca="false">IF($L145="","",INDEX(Population!$B$2:$B$1092,$L145)&amp;"")</f>
        <v/>
      </c>
      <c r="B145" s="12" t="str">
        <f aca="false">IF($L145="","",INDEX(Population!$C$2:$C$1092,$L145)&amp;"")</f>
        <v/>
      </c>
      <c r="C145" s="12" t="str">
        <f aca="false">IF($L145="","",INDEX(Population!$D$2:$D$1092,$L145)&amp;"")</f>
        <v/>
      </c>
      <c r="D145" s="12" t="str">
        <f aca="false">IF($L145="","",INDEX(Population!$E$2:$E$1092,$L145))</f>
        <v/>
      </c>
      <c r="E145" s="12" t="str">
        <f aca="false">IF($L145="","",INDEX(Population!$F$2:$F$1092,$L145))</f>
        <v/>
      </c>
      <c r="F145" s="16" t="str">
        <f aca="false">IF($L145="","",INDEX(Population!$L$2:$L$1092,$L145))</f>
        <v/>
      </c>
      <c r="G145" s="16" t="str">
        <f aca="false">IF($L145="","",INDEX(Population!$M$2:$M$1092,$L145))</f>
        <v/>
      </c>
      <c r="H145" s="15" t="str">
        <f aca="false">IF($L145="","",Summary!$C$5)</f>
        <v/>
      </c>
      <c r="I145" s="12" t="str">
        <f aca="false">IF($L145="","","Above Materiality")</f>
        <v/>
      </c>
      <c r="J145" s="12" t="str">
        <f aca="false">IF($L145="","",INDEX(Population!$N$2:$N$1092,$L145))</f>
        <v/>
      </c>
      <c r="K145" s="12" t="str">
        <f aca="false">IF($L145="","",INDEX(Population!$G$2:$G$1092,$L145)&amp;" / row "&amp;INDEX(Population!$H$2:$H$1092,$L145))</f>
        <v/>
      </c>
      <c r="L145" s="26" t="str">
        <f aca="false">IFERROR(MATCH("Population 2|A|"&amp;ROWS($L$5:L145),Population!$U$2:$U$1092,0),"")</f>
        <v/>
      </c>
    </row>
    <row r="146" customFormat="false" ht="15" hidden="false" customHeight="false" outlineLevel="0" collapsed="false">
      <c r="A146" s="12" t="str">
        <f aca="false">IF($L146="","",INDEX(Population!$B$2:$B$1092,$L146)&amp;"")</f>
        <v/>
      </c>
      <c r="B146" s="12" t="str">
        <f aca="false">IF($L146="","",INDEX(Population!$C$2:$C$1092,$L146)&amp;"")</f>
        <v/>
      </c>
      <c r="C146" s="12" t="str">
        <f aca="false">IF($L146="","",INDEX(Population!$D$2:$D$1092,$L146)&amp;"")</f>
        <v/>
      </c>
      <c r="D146" s="12" t="str">
        <f aca="false">IF($L146="","",INDEX(Population!$E$2:$E$1092,$L146))</f>
        <v/>
      </c>
      <c r="E146" s="12" t="str">
        <f aca="false">IF($L146="","",INDEX(Population!$F$2:$F$1092,$L146))</f>
        <v/>
      </c>
      <c r="F146" s="16" t="str">
        <f aca="false">IF($L146="","",INDEX(Population!$L$2:$L$1092,$L146))</f>
        <v/>
      </c>
      <c r="G146" s="16" t="str">
        <f aca="false">IF($L146="","",INDEX(Population!$M$2:$M$1092,$L146))</f>
        <v/>
      </c>
      <c r="H146" s="15" t="str">
        <f aca="false">IF($L146="","",Summary!$C$5)</f>
        <v/>
      </c>
      <c r="I146" s="12" t="str">
        <f aca="false">IF($L146="","","Above Materiality")</f>
        <v/>
      </c>
      <c r="J146" s="12" t="str">
        <f aca="false">IF($L146="","",INDEX(Population!$N$2:$N$1092,$L146))</f>
        <v/>
      </c>
      <c r="K146" s="12" t="str">
        <f aca="false">IF($L146="","",INDEX(Population!$G$2:$G$1092,$L146)&amp;" / row "&amp;INDEX(Population!$H$2:$H$1092,$L146))</f>
        <v/>
      </c>
      <c r="L146" s="26" t="str">
        <f aca="false">IFERROR(MATCH("Population 2|A|"&amp;ROWS($L$5:L146),Population!$U$2:$U$1092,0),"")</f>
        <v/>
      </c>
    </row>
    <row r="147" customFormat="false" ht="15" hidden="false" customHeight="false" outlineLevel="0" collapsed="false">
      <c r="A147" s="12" t="str">
        <f aca="false">IF($L147="","",INDEX(Population!$B$2:$B$1092,$L147)&amp;"")</f>
        <v/>
      </c>
      <c r="B147" s="12" t="str">
        <f aca="false">IF($L147="","",INDEX(Population!$C$2:$C$1092,$L147)&amp;"")</f>
        <v/>
      </c>
      <c r="C147" s="12" t="str">
        <f aca="false">IF($L147="","",INDEX(Population!$D$2:$D$1092,$L147)&amp;"")</f>
        <v/>
      </c>
      <c r="D147" s="12" t="str">
        <f aca="false">IF($L147="","",INDEX(Population!$E$2:$E$1092,$L147))</f>
        <v/>
      </c>
      <c r="E147" s="12" t="str">
        <f aca="false">IF($L147="","",INDEX(Population!$F$2:$F$1092,$L147))</f>
        <v/>
      </c>
      <c r="F147" s="16" t="str">
        <f aca="false">IF($L147="","",INDEX(Population!$L$2:$L$1092,$L147))</f>
        <v/>
      </c>
      <c r="G147" s="16" t="str">
        <f aca="false">IF($L147="","",INDEX(Population!$M$2:$M$1092,$L147))</f>
        <v/>
      </c>
      <c r="H147" s="15" t="str">
        <f aca="false">IF($L147="","",Summary!$C$5)</f>
        <v/>
      </c>
      <c r="I147" s="12" t="str">
        <f aca="false">IF($L147="","","Above Materiality")</f>
        <v/>
      </c>
      <c r="J147" s="12" t="str">
        <f aca="false">IF($L147="","",INDEX(Population!$N$2:$N$1092,$L147))</f>
        <v/>
      </c>
      <c r="K147" s="12" t="str">
        <f aca="false">IF($L147="","",INDEX(Population!$G$2:$G$1092,$L147)&amp;" / row "&amp;INDEX(Population!$H$2:$H$1092,$L147))</f>
        <v/>
      </c>
      <c r="L147" s="26" t="str">
        <f aca="false">IFERROR(MATCH("Population 2|A|"&amp;ROWS($L$5:L147),Population!$U$2:$U$1092,0),"")</f>
        <v/>
      </c>
    </row>
    <row r="148" customFormat="false" ht="15" hidden="false" customHeight="false" outlineLevel="0" collapsed="false">
      <c r="A148" s="12" t="str">
        <f aca="false">IF($L148="","",INDEX(Population!$B$2:$B$1092,$L148)&amp;"")</f>
        <v/>
      </c>
      <c r="B148" s="12" t="str">
        <f aca="false">IF($L148="","",INDEX(Population!$C$2:$C$1092,$L148)&amp;"")</f>
        <v/>
      </c>
      <c r="C148" s="12" t="str">
        <f aca="false">IF($L148="","",INDEX(Population!$D$2:$D$1092,$L148)&amp;"")</f>
        <v/>
      </c>
      <c r="D148" s="12" t="str">
        <f aca="false">IF($L148="","",INDEX(Population!$E$2:$E$1092,$L148))</f>
        <v/>
      </c>
      <c r="E148" s="12" t="str">
        <f aca="false">IF($L148="","",INDEX(Population!$F$2:$F$1092,$L148))</f>
        <v/>
      </c>
      <c r="F148" s="16" t="str">
        <f aca="false">IF($L148="","",INDEX(Population!$L$2:$L$1092,$L148))</f>
        <v/>
      </c>
      <c r="G148" s="16" t="str">
        <f aca="false">IF($L148="","",INDEX(Population!$M$2:$M$1092,$L148))</f>
        <v/>
      </c>
      <c r="H148" s="15" t="str">
        <f aca="false">IF($L148="","",Summary!$C$5)</f>
        <v/>
      </c>
      <c r="I148" s="12" t="str">
        <f aca="false">IF($L148="","","Above Materiality")</f>
        <v/>
      </c>
      <c r="J148" s="12" t="str">
        <f aca="false">IF($L148="","",INDEX(Population!$N$2:$N$1092,$L148))</f>
        <v/>
      </c>
      <c r="K148" s="12" t="str">
        <f aca="false">IF($L148="","",INDEX(Population!$G$2:$G$1092,$L148)&amp;" / row "&amp;INDEX(Population!$H$2:$H$1092,$L148))</f>
        <v/>
      </c>
      <c r="L148" s="26" t="str">
        <f aca="false">IFERROR(MATCH("Population 2|A|"&amp;ROWS($L$5:L148),Population!$U$2:$U$1092,0),"")</f>
        <v/>
      </c>
    </row>
    <row r="149" customFormat="false" ht="15" hidden="false" customHeight="false" outlineLevel="0" collapsed="false">
      <c r="A149" s="12" t="str">
        <f aca="false">IF($L149="","",INDEX(Population!$B$2:$B$1092,$L149)&amp;"")</f>
        <v/>
      </c>
      <c r="B149" s="12" t="str">
        <f aca="false">IF($L149="","",INDEX(Population!$C$2:$C$1092,$L149)&amp;"")</f>
        <v/>
      </c>
      <c r="C149" s="12" t="str">
        <f aca="false">IF($L149="","",INDEX(Population!$D$2:$D$1092,$L149)&amp;"")</f>
        <v/>
      </c>
      <c r="D149" s="12" t="str">
        <f aca="false">IF($L149="","",INDEX(Population!$E$2:$E$1092,$L149))</f>
        <v/>
      </c>
      <c r="E149" s="12" t="str">
        <f aca="false">IF($L149="","",INDEX(Population!$F$2:$F$1092,$L149))</f>
        <v/>
      </c>
      <c r="F149" s="16" t="str">
        <f aca="false">IF($L149="","",INDEX(Population!$L$2:$L$1092,$L149))</f>
        <v/>
      </c>
      <c r="G149" s="16" t="str">
        <f aca="false">IF($L149="","",INDEX(Population!$M$2:$M$1092,$L149))</f>
        <v/>
      </c>
      <c r="H149" s="15" t="str">
        <f aca="false">IF($L149="","",Summary!$C$5)</f>
        <v/>
      </c>
      <c r="I149" s="12" t="str">
        <f aca="false">IF($L149="","","Above Materiality")</f>
        <v/>
      </c>
      <c r="J149" s="12" t="str">
        <f aca="false">IF($L149="","",INDEX(Population!$N$2:$N$1092,$L149))</f>
        <v/>
      </c>
      <c r="K149" s="12" t="str">
        <f aca="false">IF($L149="","",INDEX(Population!$G$2:$G$1092,$L149)&amp;" / row "&amp;INDEX(Population!$H$2:$H$1092,$L149))</f>
        <v/>
      </c>
      <c r="L149" s="26" t="str">
        <f aca="false">IFERROR(MATCH("Population 2|A|"&amp;ROWS($L$5:L149),Population!$U$2:$U$1092,0),"")</f>
        <v/>
      </c>
    </row>
    <row r="150" customFormat="false" ht="15" hidden="false" customHeight="false" outlineLevel="0" collapsed="false">
      <c r="A150" s="12" t="str">
        <f aca="false">IF($L150="","",INDEX(Population!$B$2:$B$1092,$L150)&amp;"")</f>
        <v/>
      </c>
      <c r="B150" s="12" t="str">
        <f aca="false">IF($L150="","",INDEX(Population!$C$2:$C$1092,$L150)&amp;"")</f>
        <v/>
      </c>
      <c r="C150" s="12" t="str">
        <f aca="false">IF($L150="","",INDEX(Population!$D$2:$D$1092,$L150)&amp;"")</f>
        <v/>
      </c>
      <c r="D150" s="12" t="str">
        <f aca="false">IF($L150="","",INDEX(Population!$E$2:$E$1092,$L150))</f>
        <v/>
      </c>
      <c r="E150" s="12" t="str">
        <f aca="false">IF($L150="","",INDEX(Population!$F$2:$F$1092,$L150))</f>
        <v/>
      </c>
      <c r="F150" s="16" t="str">
        <f aca="false">IF($L150="","",INDEX(Population!$L$2:$L$1092,$L150))</f>
        <v/>
      </c>
      <c r="G150" s="16" t="str">
        <f aca="false">IF($L150="","",INDEX(Population!$M$2:$M$1092,$L150))</f>
        <v/>
      </c>
      <c r="H150" s="15" t="str">
        <f aca="false">IF($L150="","",Summary!$C$5)</f>
        <v/>
      </c>
      <c r="I150" s="12" t="str">
        <f aca="false">IF($L150="","","Above Materiality")</f>
        <v/>
      </c>
      <c r="J150" s="12" t="str">
        <f aca="false">IF($L150="","",INDEX(Population!$N$2:$N$1092,$L150))</f>
        <v/>
      </c>
      <c r="K150" s="12" t="str">
        <f aca="false">IF($L150="","",INDEX(Population!$G$2:$G$1092,$L150)&amp;" / row "&amp;INDEX(Population!$H$2:$H$1092,$L150))</f>
        <v/>
      </c>
      <c r="L150" s="26" t="str">
        <f aca="false">IFERROR(MATCH("Population 2|A|"&amp;ROWS($L$5:L150),Population!$U$2:$U$1092,0),"")</f>
        <v/>
      </c>
    </row>
    <row r="151" customFormat="false" ht="15" hidden="false" customHeight="false" outlineLevel="0" collapsed="false">
      <c r="A151" s="12" t="str">
        <f aca="false">IF($L151="","",INDEX(Population!$B$2:$B$1092,$L151)&amp;"")</f>
        <v/>
      </c>
      <c r="B151" s="12" t="str">
        <f aca="false">IF($L151="","",INDEX(Population!$C$2:$C$1092,$L151)&amp;"")</f>
        <v/>
      </c>
      <c r="C151" s="12" t="str">
        <f aca="false">IF($L151="","",INDEX(Population!$D$2:$D$1092,$L151)&amp;"")</f>
        <v/>
      </c>
      <c r="D151" s="12" t="str">
        <f aca="false">IF($L151="","",INDEX(Population!$E$2:$E$1092,$L151))</f>
        <v/>
      </c>
      <c r="E151" s="12" t="str">
        <f aca="false">IF($L151="","",INDEX(Population!$F$2:$F$1092,$L151))</f>
        <v/>
      </c>
      <c r="F151" s="16" t="str">
        <f aca="false">IF($L151="","",INDEX(Population!$L$2:$L$1092,$L151))</f>
        <v/>
      </c>
      <c r="G151" s="16" t="str">
        <f aca="false">IF($L151="","",INDEX(Population!$M$2:$M$1092,$L151))</f>
        <v/>
      </c>
      <c r="H151" s="15" t="str">
        <f aca="false">IF($L151="","",Summary!$C$5)</f>
        <v/>
      </c>
      <c r="I151" s="12" t="str">
        <f aca="false">IF($L151="","","Above Materiality")</f>
        <v/>
      </c>
      <c r="J151" s="12" t="str">
        <f aca="false">IF($L151="","",INDEX(Population!$N$2:$N$1092,$L151))</f>
        <v/>
      </c>
      <c r="K151" s="12" t="str">
        <f aca="false">IF($L151="","",INDEX(Population!$G$2:$G$1092,$L151)&amp;" / row "&amp;INDEX(Population!$H$2:$H$1092,$L151))</f>
        <v/>
      </c>
      <c r="L151" s="26" t="str">
        <f aca="false">IFERROR(MATCH("Population 2|A|"&amp;ROWS($L$5:L151),Population!$U$2:$U$1092,0),"")</f>
        <v/>
      </c>
    </row>
    <row r="152" customFormat="false" ht="15" hidden="false" customHeight="false" outlineLevel="0" collapsed="false">
      <c r="A152" s="12" t="str">
        <f aca="false">IF($L152="","",INDEX(Population!$B$2:$B$1092,$L152)&amp;"")</f>
        <v/>
      </c>
      <c r="B152" s="12" t="str">
        <f aca="false">IF($L152="","",INDEX(Population!$C$2:$C$1092,$L152)&amp;"")</f>
        <v/>
      </c>
      <c r="C152" s="12" t="str">
        <f aca="false">IF($L152="","",INDEX(Population!$D$2:$D$1092,$L152)&amp;"")</f>
        <v/>
      </c>
      <c r="D152" s="12" t="str">
        <f aca="false">IF($L152="","",INDEX(Population!$E$2:$E$1092,$L152))</f>
        <v/>
      </c>
      <c r="E152" s="12" t="str">
        <f aca="false">IF($L152="","",INDEX(Population!$F$2:$F$1092,$L152))</f>
        <v/>
      </c>
      <c r="F152" s="16" t="str">
        <f aca="false">IF($L152="","",INDEX(Population!$L$2:$L$1092,$L152))</f>
        <v/>
      </c>
      <c r="G152" s="16" t="str">
        <f aca="false">IF($L152="","",INDEX(Population!$M$2:$M$1092,$L152))</f>
        <v/>
      </c>
      <c r="H152" s="15" t="str">
        <f aca="false">IF($L152="","",Summary!$C$5)</f>
        <v/>
      </c>
      <c r="I152" s="12" t="str">
        <f aca="false">IF($L152="","","Above Materiality")</f>
        <v/>
      </c>
      <c r="J152" s="12" t="str">
        <f aca="false">IF($L152="","",INDEX(Population!$N$2:$N$1092,$L152))</f>
        <v/>
      </c>
      <c r="K152" s="12" t="str">
        <f aca="false">IF($L152="","",INDEX(Population!$G$2:$G$1092,$L152)&amp;" / row "&amp;INDEX(Population!$H$2:$H$1092,$L152))</f>
        <v/>
      </c>
      <c r="L152" s="26" t="str">
        <f aca="false">IFERROR(MATCH("Population 2|A|"&amp;ROWS($L$5:L152),Population!$U$2:$U$1092,0),"")</f>
        <v/>
      </c>
    </row>
    <row r="153" customFormat="false" ht="15" hidden="false" customHeight="false" outlineLevel="0" collapsed="false">
      <c r="A153" s="12" t="str">
        <f aca="false">IF($L153="","",INDEX(Population!$B$2:$B$1092,$L153)&amp;"")</f>
        <v/>
      </c>
      <c r="B153" s="12" t="str">
        <f aca="false">IF($L153="","",INDEX(Population!$C$2:$C$1092,$L153)&amp;"")</f>
        <v/>
      </c>
      <c r="C153" s="12" t="str">
        <f aca="false">IF($L153="","",INDEX(Population!$D$2:$D$1092,$L153)&amp;"")</f>
        <v/>
      </c>
      <c r="D153" s="12" t="str">
        <f aca="false">IF($L153="","",INDEX(Population!$E$2:$E$1092,$L153))</f>
        <v/>
      </c>
      <c r="E153" s="12" t="str">
        <f aca="false">IF($L153="","",INDEX(Population!$F$2:$F$1092,$L153))</f>
        <v/>
      </c>
      <c r="F153" s="16" t="str">
        <f aca="false">IF($L153="","",INDEX(Population!$L$2:$L$1092,$L153))</f>
        <v/>
      </c>
      <c r="G153" s="16" t="str">
        <f aca="false">IF($L153="","",INDEX(Population!$M$2:$M$1092,$L153))</f>
        <v/>
      </c>
      <c r="H153" s="15" t="str">
        <f aca="false">IF($L153="","",Summary!$C$5)</f>
        <v/>
      </c>
      <c r="I153" s="12" t="str">
        <f aca="false">IF($L153="","","Above Materiality")</f>
        <v/>
      </c>
      <c r="J153" s="12" t="str">
        <f aca="false">IF($L153="","",INDEX(Population!$N$2:$N$1092,$L153))</f>
        <v/>
      </c>
      <c r="K153" s="12" t="str">
        <f aca="false">IF($L153="","",INDEX(Population!$G$2:$G$1092,$L153)&amp;" / row "&amp;INDEX(Population!$H$2:$H$1092,$L153))</f>
        <v/>
      </c>
      <c r="L153" s="26" t="str">
        <f aca="false">IFERROR(MATCH("Population 2|A|"&amp;ROWS($L$5:L153),Population!$U$2:$U$1092,0),"")</f>
        <v/>
      </c>
    </row>
    <row r="154" customFormat="false" ht="15" hidden="false" customHeight="false" outlineLevel="0" collapsed="false">
      <c r="A154" s="12" t="str">
        <f aca="false">IF($L154="","",INDEX(Population!$B$2:$B$1092,$L154)&amp;"")</f>
        <v/>
      </c>
      <c r="B154" s="12" t="str">
        <f aca="false">IF($L154="","",INDEX(Population!$C$2:$C$1092,$L154)&amp;"")</f>
        <v/>
      </c>
      <c r="C154" s="12" t="str">
        <f aca="false">IF($L154="","",INDEX(Population!$D$2:$D$1092,$L154)&amp;"")</f>
        <v/>
      </c>
      <c r="D154" s="12" t="str">
        <f aca="false">IF($L154="","",INDEX(Population!$E$2:$E$1092,$L154))</f>
        <v/>
      </c>
      <c r="E154" s="12" t="str">
        <f aca="false">IF($L154="","",INDEX(Population!$F$2:$F$1092,$L154))</f>
        <v/>
      </c>
      <c r="F154" s="16" t="str">
        <f aca="false">IF($L154="","",INDEX(Population!$L$2:$L$1092,$L154))</f>
        <v/>
      </c>
      <c r="G154" s="16" t="str">
        <f aca="false">IF($L154="","",INDEX(Population!$M$2:$M$1092,$L154))</f>
        <v/>
      </c>
      <c r="H154" s="15" t="str">
        <f aca="false">IF($L154="","",Summary!$C$5)</f>
        <v/>
      </c>
      <c r="I154" s="12" t="str">
        <f aca="false">IF($L154="","","Above Materiality")</f>
        <v/>
      </c>
      <c r="J154" s="12" t="str">
        <f aca="false">IF($L154="","",INDEX(Population!$N$2:$N$1092,$L154))</f>
        <v/>
      </c>
      <c r="K154" s="12" t="str">
        <f aca="false">IF($L154="","",INDEX(Population!$G$2:$G$1092,$L154)&amp;" / row "&amp;INDEX(Population!$H$2:$H$1092,$L154))</f>
        <v/>
      </c>
      <c r="L154" s="26" t="str">
        <f aca="false">IFERROR(MATCH("Population 2|A|"&amp;ROWS($L$5:L154),Population!$U$2:$U$1092,0),"")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60"/>
    <col collapsed="false" customWidth="true" hidden="false" outlineLevel="0" max="7" min="6" style="0" width="17"/>
    <col collapsed="false" customWidth="true" hidden="false" outlineLevel="0" max="8" min="8" style="0" width="15"/>
    <col collapsed="false" customWidth="true" hidden="false" outlineLevel="0" max="9" min="9" style="0" width="26"/>
    <col collapsed="false" customWidth="true" hidden="false" outlineLevel="0" max="10" min="10" style="0" width="20"/>
    <col collapsed="false" customWidth="true" hidden="false" outlineLevel="0" max="11" min="11" style="0" width="40"/>
    <col collapsed="false" customWidth="true" hidden="false" outlineLevel="0" max="12" min="12" style="0" width="12"/>
  </cols>
  <sheetData>
    <row r="1" customFormat="false" ht="16.15" hidden="false" customHeight="false" outlineLevel="0" collapsed="false">
      <c r="A1" s="23" t="str">
        <f aca="false">"Excel 4 – "&amp;Summary!$D$12&amp;": Below Materiality Sample"</f>
        <v>Excel 4 – AP Population (AP file: payables + supplier advances): Below Materiality Sample</v>
      </c>
    </row>
    <row r="2" customFormat="false" ht="15" hidden="false" customHeight="false" outlineLevel="0" collapsed="false">
      <c r="A2" s="25" t="str">
        <f aca="false">"Items listed: "&amp;COUNT(L5:L104)&amp;"   |   Materiality: "&amp;TEXT(Summary!$C$5,"#,##0")&amp;"   |   Method: "&amp;Summary!$C$9&amp;"   |   Confidence factor: "&amp;Summary!$C$6&amp;"   |   n required: "&amp;Summary!$C$8</f>
        <v>Items listed: 1   |   Materiality: 10,000   |   Method: Highest value   |   Confidence factor: 0.5   |   n required: 1</v>
      </c>
    </row>
    <row r="4" customFormat="false" ht="31.5" hidden="false" customHeight="true" outlineLevel="0" collapsed="false">
      <c r="A4" s="11" t="s">
        <v>49</v>
      </c>
      <c r="B4" s="11" t="s">
        <v>50</v>
      </c>
      <c r="C4" s="11" t="s">
        <v>51</v>
      </c>
      <c r="D4" s="11" t="s">
        <v>52</v>
      </c>
      <c r="E4" s="11" t="s">
        <v>53</v>
      </c>
      <c r="F4" s="11" t="s">
        <v>2041</v>
      </c>
      <c r="G4" s="11" t="s">
        <v>60</v>
      </c>
      <c r="H4" s="11" t="str">
        <f aca="false">IF(Summary!$C$9="Random","Random Number","Selection Rank (1 = highest value)")</f>
        <v>Selection Rank (1 = highest value)</v>
      </c>
      <c r="I4" s="11" t="s">
        <v>62</v>
      </c>
      <c r="J4" s="11" t="s">
        <v>61</v>
      </c>
      <c r="K4" s="11" t="s">
        <v>2042</v>
      </c>
      <c r="L4" s="11" t="s">
        <v>2043</v>
      </c>
    </row>
    <row r="5" customFormat="false" ht="15" hidden="false" customHeight="false" outlineLevel="0" collapsed="false">
      <c r="A5" s="12" t="str">
        <f aca="false">IF($L5="","",INDEX(Population!$B$2:$B$1092,$L5)&amp;"")</f>
        <v/>
      </c>
      <c r="B5" s="12" t="str">
        <f aca="false">IF($L5="","",INDEX(Population!$C$2:$C$1092,$L5)&amp;"")</f>
        <v/>
      </c>
      <c r="C5" s="12" t="str">
        <f aca="false">IF($L5="","",INDEX(Population!$D$2:$D$1092,$L5)&amp;"")</f>
        <v/>
      </c>
      <c r="D5" s="12" t="str">
        <f aca="false">IF($L5="","",INDEX(Population!$E$2:$E$1092,$L5))</f>
        <v>CREATIVE MAKE IT PERFECT</v>
      </c>
      <c r="E5" s="12" t="str">
        <f aca="false">IF($L5="","",INDEX(Population!$F$2:$F$1092,$L5))</f>
        <v>Party-wise closing balance (Opening 0.00; Debit 0.00; Credit 4,657.50)</v>
      </c>
      <c r="F5" s="16" t="n">
        <f aca="false">IF($L5="","",INDEX(Population!$L$2:$L$1092,$L5))</f>
        <v>-4657.5</v>
      </c>
      <c r="G5" s="16" t="n">
        <f aca="false">IF($L5="","",INDEX(Population!$M$2:$M$1092,$L5))</f>
        <v>4657.5</v>
      </c>
      <c r="H5" s="27" t="n">
        <f aca="false">IF($L5="","",IF(Summary!$C$9="Random",INDEX(Population!$Q$2:$Q$1092,$L5),INDEX(Population!$S$2:$S$1092,$L5)))</f>
        <v>1</v>
      </c>
      <c r="I5" s="12" t="str">
        <f aca="false">IF($L5="","",IF(Summary!$C$9="Random","Below Materiality – Random","Below Materiality – Highest n"))</f>
        <v>Below Materiality – Highest n</v>
      </c>
      <c r="J5" s="12" t="str">
        <f aca="false">IF($L5="","",INDEX(Population!$N$2:$N$1092,$L5))</f>
        <v>Accounts Payable</v>
      </c>
      <c r="K5" s="12" t="str">
        <f aca="false">IF($L5="","",INDEX(Population!$G$2:$G$1092,$L5)&amp;" / row "&amp;INDEX(Population!$H$2:$H$1092,$L5))</f>
        <v>AP file / row 67</v>
      </c>
      <c r="L5" s="26" t="n">
        <f aca="false">IF(ROWS($L$5:L5)&lt;=N(Summary!$C$8),IFERROR(MATCH("Population 2|R|"&amp;ROWS($L$5:L5),Population!$V$2:$V$1092,0),""),"")</f>
        <v>59</v>
      </c>
    </row>
    <row r="6" customFormat="false" ht="15" hidden="false" customHeight="false" outlineLevel="0" collapsed="false">
      <c r="A6" s="12" t="str">
        <f aca="false">IF($L6="","",INDEX(Population!$B$2:$B$1092,$L6)&amp;"")</f>
        <v/>
      </c>
      <c r="B6" s="12" t="str">
        <f aca="false">IF($L6="","",INDEX(Population!$C$2:$C$1092,$L6)&amp;"")</f>
        <v/>
      </c>
      <c r="C6" s="12" t="str">
        <f aca="false">IF($L6="","",INDEX(Population!$D$2:$D$1092,$L6)&amp;"")</f>
        <v/>
      </c>
      <c r="D6" s="12" t="str">
        <f aca="false">IF($L6="","",INDEX(Population!$E$2:$E$1092,$L6))</f>
        <v/>
      </c>
      <c r="E6" s="12" t="str">
        <f aca="false">IF($L6="","",INDEX(Population!$F$2:$F$1092,$L6))</f>
        <v/>
      </c>
      <c r="F6" s="16" t="str">
        <f aca="false">IF($L6="","",INDEX(Population!$L$2:$L$1092,$L6))</f>
        <v/>
      </c>
      <c r="G6" s="16" t="str">
        <f aca="false">IF($L6="","",INDEX(Population!$M$2:$M$1092,$L6))</f>
        <v/>
      </c>
      <c r="H6" s="27" t="str">
        <f aca="false">IF($L6="","",IF(Summary!$C$9="Random",INDEX(Population!$Q$2:$Q$1092,$L6),INDEX(Population!$S$2:$S$1092,$L6)))</f>
        <v/>
      </c>
      <c r="I6" s="12" t="str">
        <f aca="false">IF($L6="","",IF(Summary!$C$9="Random","Below Materiality – Random","Below Materiality – Highest n"))</f>
        <v/>
      </c>
      <c r="J6" s="12" t="str">
        <f aca="false">IF($L6="","",INDEX(Population!$N$2:$N$1092,$L6))</f>
        <v/>
      </c>
      <c r="K6" s="12" t="str">
        <f aca="false">IF($L6="","",INDEX(Population!$G$2:$G$1092,$L6)&amp;" / row "&amp;INDEX(Population!$H$2:$H$1092,$L6))</f>
        <v/>
      </c>
      <c r="L6" s="26" t="str">
        <f aca="false">IF(ROWS($L$5:L6)&lt;=N(Summary!$C$8),IFERROR(MATCH("Population 2|R|"&amp;ROWS($L$5:L6),Population!$V$2:$V$1092,0),""),"")</f>
        <v/>
      </c>
    </row>
    <row r="7" customFormat="false" ht="15" hidden="false" customHeight="false" outlineLevel="0" collapsed="false">
      <c r="A7" s="12" t="str">
        <f aca="false">IF($L7="","",INDEX(Population!$B$2:$B$1092,$L7)&amp;"")</f>
        <v/>
      </c>
      <c r="B7" s="12" t="str">
        <f aca="false">IF($L7="","",INDEX(Population!$C$2:$C$1092,$L7)&amp;"")</f>
        <v/>
      </c>
      <c r="C7" s="12" t="str">
        <f aca="false">IF($L7="","",INDEX(Population!$D$2:$D$1092,$L7)&amp;"")</f>
        <v/>
      </c>
      <c r="D7" s="12" t="str">
        <f aca="false">IF($L7="","",INDEX(Population!$E$2:$E$1092,$L7))</f>
        <v/>
      </c>
      <c r="E7" s="12" t="str">
        <f aca="false">IF($L7="","",INDEX(Population!$F$2:$F$1092,$L7))</f>
        <v/>
      </c>
      <c r="F7" s="16" t="str">
        <f aca="false">IF($L7="","",INDEX(Population!$L$2:$L$1092,$L7))</f>
        <v/>
      </c>
      <c r="G7" s="16" t="str">
        <f aca="false">IF($L7="","",INDEX(Population!$M$2:$M$1092,$L7))</f>
        <v/>
      </c>
      <c r="H7" s="27" t="str">
        <f aca="false">IF($L7="","",IF(Summary!$C$9="Random",INDEX(Population!$Q$2:$Q$1092,$L7),INDEX(Population!$S$2:$S$1092,$L7)))</f>
        <v/>
      </c>
      <c r="I7" s="12" t="str">
        <f aca="false">IF($L7="","",IF(Summary!$C$9="Random","Below Materiality – Random","Below Materiality – Highest n"))</f>
        <v/>
      </c>
      <c r="J7" s="12" t="str">
        <f aca="false">IF($L7="","",INDEX(Population!$N$2:$N$1092,$L7))</f>
        <v/>
      </c>
      <c r="K7" s="12" t="str">
        <f aca="false">IF($L7="","",INDEX(Population!$G$2:$G$1092,$L7)&amp;" / row "&amp;INDEX(Population!$H$2:$H$1092,$L7))</f>
        <v/>
      </c>
      <c r="L7" s="26" t="str">
        <f aca="false">IF(ROWS($L$5:L7)&lt;=N(Summary!$C$8),IFERROR(MATCH("Population 2|R|"&amp;ROWS($L$5:L7),Population!$V$2:$V$1092,0),""),"")</f>
        <v/>
      </c>
    </row>
    <row r="8" customFormat="false" ht="15" hidden="false" customHeight="false" outlineLevel="0" collapsed="false">
      <c r="A8" s="12" t="str">
        <f aca="false">IF($L8="","",INDEX(Population!$B$2:$B$1092,$L8)&amp;"")</f>
        <v/>
      </c>
      <c r="B8" s="12" t="str">
        <f aca="false">IF($L8="","",INDEX(Population!$C$2:$C$1092,$L8)&amp;"")</f>
        <v/>
      </c>
      <c r="C8" s="12" t="str">
        <f aca="false">IF($L8="","",INDEX(Population!$D$2:$D$1092,$L8)&amp;"")</f>
        <v/>
      </c>
      <c r="D8" s="12" t="str">
        <f aca="false">IF($L8="","",INDEX(Population!$E$2:$E$1092,$L8))</f>
        <v/>
      </c>
      <c r="E8" s="12" t="str">
        <f aca="false">IF($L8="","",INDEX(Population!$F$2:$F$1092,$L8))</f>
        <v/>
      </c>
      <c r="F8" s="16" t="str">
        <f aca="false">IF($L8="","",INDEX(Population!$L$2:$L$1092,$L8))</f>
        <v/>
      </c>
      <c r="G8" s="16" t="str">
        <f aca="false">IF($L8="","",INDEX(Population!$M$2:$M$1092,$L8))</f>
        <v/>
      </c>
      <c r="H8" s="27" t="str">
        <f aca="false">IF($L8="","",IF(Summary!$C$9="Random",INDEX(Population!$Q$2:$Q$1092,$L8),INDEX(Population!$S$2:$S$1092,$L8)))</f>
        <v/>
      </c>
      <c r="I8" s="12" t="str">
        <f aca="false">IF($L8="","",IF(Summary!$C$9="Random","Below Materiality – Random","Below Materiality – Highest n"))</f>
        <v/>
      </c>
      <c r="J8" s="12" t="str">
        <f aca="false">IF($L8="","",INDEX(Population!$N$2:$N$1092,$L8))</f>
        <v/>
      </c>
      <c r="K8" s="12" t="str">
        <f aca="false">IF($L8="","",INDEX(Population!$G$2:$G$1092,$L8)&amp;" / row "&amp;INDEX(Population!$H$2:$H$1092,$L8))</f>
        <v/>
      </c>
      <c r="L8" s="26" t="str">
        <f aca="false">IF(ROWS($L$5:L8)&lt;=N(Summary!$C$8),IFERROR(MATCH("Population 2|R|"&amp;ROWS($L$5:L8),Population!$V$2:$V$1092,0),""),"")</f>
        <v/>
      </c>
    </row>
    <row r="9" customFormat="false" ht="15" hidden="false" customHeight="false" outlineLevel="0" collapsed="false">
      <c r="A9" s="12" t="str">
        <f aca="false">IF($L9="","",INDEX(Population!$B$2:$B$1092,$L9)&amp;"")</f>
        <v/>
      </c>
      <c r="B9" s="12" t="str">
        <f aca="false">IF($L9="","",INDEX(Population!$C$2:$C$1092,$L9)&amp;"")</f>
        <v/>
      </c>
      <c r="C9" s="12" t="str">
        <f aca="false">IF($L9="","",INDEX(Population!$D$2:$D$1092,$L9)&amp;"")</f>
        <v/>
      </c>
      <c r="D9" s="12" t="str">
        <f aca="false">IF($L9="","",INDEX(Population!$E$2:$E$1092,$L9))</f>
        <v/>
      </c>
      <c r="E9" s="12" t="str">
        <f aca="false">IF($L9="","",INDEX(Population!$F$2:$F$1092,$L9))</f>
        <v/>
      </c>
      <c r="F9" s="16" t="str">
        <f aca="false">IF($L9="","",INDEX(Population!$L$2:$L$1092,$L9))</f>
        <v/>
      </c>
      <c r="G9" s="16" t="str">
        <f aca="false">IF($L9="","",INDEX(Population!$M$2:$M$1092,$L9))</f>
        <v/>
      </c>
      <c r="H9" s="27" t="str">
        <f aca="false">IF($L9="","",IF(Summary!$C$9="Random",INDEX(Population!$Q$2:$Q$1092,$L9),INDEX(Population!$S$2:$S$1092,$L9)))</f>
        <v/>
      </c>
      <c r="I9" s="12" t="str">
        <f aca="false">IF($L9="","",IF(Summary!$C$9="Random","Below Materiality – Random","Below Materiality – Highest n"))</f>
        <v/>
      </c>
      <c r="J9" s="12" t="str">
        <f aca="false">IF($L9="","",INDEX(Population!$N$2:$N$1092,$L9))</f>
        <v/>
      </c>
      <c r="K9" s="12" t="str">
        <f aca="false">IF($L9="","",INDEX(Population!$G$2:$G$1092,$L9)&amp;" / row "&amp;INDEX(Population!$H$2:$H$1092,$L9))</f>
        <v/>
      </c>
      <c r="L9" s="26" t="str">
        <f aca="false">IF(ROWS($L$5:L9)&lt;=N(Summary!$C$8),IFERROR(MATCH("Population 2|R|"&amp;ROWS($L$5:L9),Population!$V$2:$V$1092,0),""),"")</f>
        <v/>
      </c>
    </row>
    <row r="10" customFormat="false" ht="15" hidden="false" customHeight="false" outlineLevel="0" collapsed="false">
      <c r="A10" s="12" t="str">
        <f aca="false">IF($L10="","",INDEX(Population!$B$2:$B$1092,$L10)&amp;"")</f>
        <v/>
      </c>
      <c r="B10" s="12" t="str">
        <f aca="false">IF($L10="","",INDEX(Population!$C$2:$C$1092,$L10)&amp;"")</f>
        <v/>
      </c>
      <c r="C10" s="12" t="str">
        <f aca="false">IF($L10="","",INDEX(Population!$D$2:$D$1092,$L10)&amp;"")</f>
        <v/>
      </c>
      <c r="D10" s="12" t="str">
        <f aca="false">IF($L10="","",INDEX(Population!$E$2:$E$1092,$L10))</f>
        <v/>
      </c>
      <c r="E10" s="12" t="str">
        <f aca="false">IF($L10="","",INDEX(Population!$F$2:$F$1092,$L10))</f>
        <v/>
      </c>
      <c r="F10" s="16" t="str">
        <f aca="false">IF($L10="","",INDEX(Population!$L$2:$L$1092,$L10))</f>
        <v/>
      </c>
      <c r="G10" s="16" t="str">
        <f aca="false">IF($L10="","",INDEX(Population!$M$2:$M$1092,$L10))</f>
        <v/>
      </c>
      <c r="H10" s="27" t="str">
        <f aca="false">IF($L10="","",IF(Summary!$C$9="Random",INDEX(Population!$Q$2:$Q$1092,$L10),INDEX(Population!$S$2:$S$1092,$L10)))</f>
        <v/>
      </c>
      <c r="I10" s="12" t="str">
        <f aca="false">IF($L10="","",IF(Summary!$C$9="Random","Below Materiality – Random","Below Materiality – Highest n"))</f>
        <v/>
      </c>
      <c r="J10" s="12" t="str">
        <f aca="false">IF($L10="","",INDEX(Population!$N$2:$N$1092,$L10))</f>
        <v/>
      </c>
      <c r="K10" s="12" t="str">
        <f aca="false">IF($L10="","",INDEX(Population!$G$2:$G$1092,$L10)&amp;" / row "&amp;INDEX(Population!$H$2:$H$1092,$L10))</f>
        <v/>
      </c>
      <c r="L10" s="26" t="str">
        <f aca="false">IF(ROWS($L$5:L10)&lt;=N(Summary!$C$8),IFERROR(MATCH("Population 2|R|"&amp;ROWS($L$5:L10),Population!$V$2:$V$1092,0),""),"")</f>
        <v/>
      </c>
    </row>
    <row r="11" customFormat="false" ht="15" hidden="false" customHeight="false" outlineLevel="0" collapsed="false">
      <c r="A11" s="12" t="str">
        <f aca="false">IF($L11="","",INDEX(Population!$B$2:$B$1092,$L11)&amp;"")</f>
        <v/>
      </c>
      <c r="B11" s="12" t="str">
        <f aca="false">IF($L11="","",INDEX(Population!$C$2:$C$1092,$L11)&amp;"")</f>
        <v/>
      </c>
      <c r="C11" s="12" t="str">
        <f aca="false">IF($L11="","",INDEX(Population!$D$2:$D$1092,$L11)&amp;"")</f>
        <v/>
      </c>
      <c r="D11" s="12" t="str">
        <f aca="false">IF($L11="","",INDEX(Population!$E$2:$E$1092,$L11))</f>
        <v/>
      </c>
      <c r="E11" s="12" t="str">
        <f aca="false">IF($L11="","",INDEX(Population!$F$2:$F$1092,$L11))</f>
        <v/>
      </c>
      <c r="F11" s="16" t="str">
        <f aca="false">IF($L11="","",INDEX(Population!$L$2:$L$1092,$L11))</f>
        <v/>
      </c>
      <c r="G11" s="16" t="str">
        <f aca="false">IF($L11="","",INDEX(Population!$M$2:$M$1092,$L11))</f>
        <v/>
      </c>
      <c r="H11" s="27" t="str">
        <f aca="false">IF($L11="","",IF(Summary!$C$9="Random",INDEX(Population!$Q$2:$Q$1092,$L11),INDEX(Population!$S$2:$S$1092,$L11)))</f>
        <v/>
      </c>
      <c r="I11" s="12" t="str">
        <f aca="false">IF($L11="","",IF(Summary!$C$9="Random","Below Materiality – Random","Below Materiality – Highest n"))</f>
        <v/>
      </c>
      <c r="J11" s="12" t="str">
        <f aca="false">IF($L11="","",INDEX(Population!$N$2:$N$1092,$L11))</f>
        <v/>
      </c>
      <c r="K11" s="12" t="str">
        <f aca="false">IF($L11="","",INDEX(Population!$G$2:$G$1092,$L11)&amp;" / row "&amp;INDEX(Population!$H$2:$H$1092,$L11))</f>
        <v/>
      </c>
      <c r="L11" s="26" t="str">
        <f aca="false">IF(ROWS($L$5:L11)&lt;=N(Summary!$C$8),IFERROR(MATCH("Population 2|R|"&amp;ROWS($L$5:L11),Population!$V$2:$V$1092,0),""),"")</f>
        <v/>
      </c>
    </row>
    <row r="12" customFormat="false" ht="15" hidden="false" customHeight="false" outlineLevel="0" collapsed="false">
      <c r="A12" s="12" t="str">
        <f aca="false">IF($L12="","",INDEX(Population!$B$2:$B$1092,$L12)&amp;"")</f>
        <v/>
      </c>
      <c r="B12" s="12" t="str">
        <f aca="false">IF($L12="","",INDEX(Population!$C$2:$C$1092,$L12)&amp;"")</f>
        <v/>
      </c>
      <c r="C12" s="12" t="str">
        <f aca="false">IF($L12="","",INDEX(Population!$D$2:$D$1092,$L12)&amp;"")</f>
        <v/>
      </c>
      <c r="D12" s="12" t="str">
        <f aca="false">IF($L12="","",INDEX(Population!$E$2:$E$1092,$L12))</f>
        <v/>
      </c>
      <c r="E12" s="12" t="str">
        <f aca="false">IF($L12="","",INDEX(Population!$F$2:$F$1092,$L12))</f>
        <v/>
      </c>
      <c r="F12" s="16" t="str">
        <f aca="false">IF($L12="","",INDEX(Population!$L$2:$L$1092,$L12))</f>
        <v/>
      </c>
      <c r="G12" s="16" t="str">
        <f aca="false">IF($L12="","",INDEX(Population!$M$2:$M$1092,$L12))</f>
        <v/>
      </c>
      <c r="H12" s="27" t="str">
        <f aca="false">IF($L12="","",IF(Summary!$C$9="Random",INDEX(Population!$Q$2:$Q$1092,$L12),INDEX(Population!$S$2:$S$1092,$L12)))</f>
        <v/>
      </c>
      <c r="I12" s="12" t="str">
        <f aca="false">IF($L12="","",IF(Summary!$C$9="Random","Below Materiality – Random","Below Materiality – Highest n"))</f>
        <v/>
      </c>
      <c r="J12" s="12" t="str">
        <f aca="false">IF($L12="","",INDEX(Population!$N$2:$N$1092,$L12))</f>
        <v/>
      </c>
      <c r="K12" s="12" t="str">
        <f aca="false">IF($L12="","",INDEX(Population!$G$2:$G$1092,$L12)&amp;" / row "&amp;INDEX(Population!$H$2:$H$1092,$L12))</f>
        <v/>
      </c>
      <c r="L12" s="26" t="str">
        <f aca="false">IF(ROWS($L$5:L12)&lt;=N(Summary!$C$8),IFERROR(MATCH("Population 2|R|"&amp;ROWS($L$5:L12),Population!$V$2:$V$1092,0),""),"")</f>
        <v/>
      </c>
    </row>
    <row r="13" customFormat="false" ht="15" hidden="false" customHeight="false" outlineLevel="0" collapsed="false">
      <c r="A13" s="12" t="str">
        <f aca="false">IF($L13="","",INDEX(Population!$B$2:$B$1092,$L13)&amp;"")</f>
        <v/>
      </c>
      <c r="B13" s="12" t="str">
        <f aca="false">IF($L13="","",INDEX(Population!$C$2:$C$1092,$L13)&amp;"")</f>
        <v/>
      </c>
      <c r="C13" s="12" t="str">
        <f aca="false">IF($L13="","",INDEX(Population!$D$2:$D$1092,$L13)&amp;"")</f>
        <v/>
      </c>
      <c r="D13" s="12" t="str">
        <f aca="false">IF($L13="","",INDEX(Population!$E$2:$E$1092,$L13))</f>
        <v/>
      </c>
      <c r="E13" s="12" t="str">
        <f aca="false">IF($L13="","",INDEX(Population!$F$2:$F$1092,$L13))</f>
        <v/>
      </c>
      <c r="F13" s="16" t="str">
        <f aca="false">IF($L13="","",INDEX(Population!$L$2:$L$1092,$L13))</f>
        <v/>
      </c>
      <c r="G13" s="16" t="str">
        <f aca="false">IF($L13="","",INDEX(Population!$M$2:$M$1092,$L13))</f>
        <v/>
      </c>
      <c r="H13" s="27" t="str">
        <f aca="false">IF($L13="","",IF(Summary!$C$9="Random",INDEX(Population!$Q$2:$Q$1092,$L13),INDEX(Population!$S$2:$S$1092,$L13)))</f>
        <v/>
      </c>
      <c r="I13" s="12" t="str">
        <f aca="false">IF($L13="","",IF(Summary!$C$9="Random","Below Materiality – Random","Below Materiality – Highest n"))</f>
        <v/>
      </c>
      <c r="J13" s="12" t="str">
        <f aca="false">IF($L13="","",INDEX(Population!$N$2:$N$1092,$L13))</f>
        <v/>
      </c>
      <c r="K13" s="12" t="str">
        <f aca="false">IF($L13="","",INDEX(Population!$G$2:$G$1092,$L13)&amp;" / row "&amp;INDEX(Population!$H$2:$H$1092,$L13))</f>
        <v/>
      </c>
      <c r="L13" s="26" t="str">
        <f aca="false">IF(ROWS($L$5:L13)&lt;=N(Summary!$C$8),IFERROR(MATCH("Population 2|R|"&amp;ROWS($L$5:L13),Population!$V$2:$V$1092,0),""),"")</f>
        <v/>
      </c>
    </row>
    <row r="14" customFormat="false" ht="15" hidden="false" customHeight="false" outlineLevel="0" collapsed="false">
      <c r="A14" s="12" t="str">
        <f aca="false">IF($L14="","",INDEX(Population!$B$2:$B$1092,$L14)&amp;"")</f>
        <v/>
      </c>
      <c r="B14" s="12" t="str">
        <f aca="false">IF($L14="","",INDEX(Population!$C$2:$C$1092,$L14)&amp;"")</f>
        <v/>
      </c>
      <c r="C14" s="12" t="str">
        <f aca="false">IF($L14="","",INDEX(Population!$D$2:$D$1092,$L14)&amp;"")</f>
        <v/>
      </c>
      <c r="D14" s="12" t="str">
        <f aca="false">IF($L14="","",INDEX(Population!$E$2:$E$1092,$L14))</f>
        <v/>
      </c>
      <c r="E14" s="12" t="str">
        <f aca="false">IF($L14="","",INDEX(Population!$F$2:$F$1092,$L14))</f>
        <v/>
      </c>
      <c r="F14" s="16" t="str">
        <f aca="false">IF($L14="","",INDEX(Population!$L$2:$L$1092,$L14))</f>
        <v/>
      </c>
      <c r="G14" s="16" t="str">
        <f aca="false">IF($L14="","",INDEX(Population!$M$2:$M$1092,$L14))</f>
        <v/>
      </c>
      <c r="H14" s="27" t="str">
        <f aca="false">IF($L14="","",IF(Summary!$C$9="Random",INDEX(Population!$Q$2:$Q$1092,$L14),INDEX(Population!$S$2:$S$1092,$L14)))</f>
        <v/>
      </c>
      <c r="I14" s="12" t="str">
        <f aca="false">IF($L14="","",IF(Summary!$C$9="Random","Below Materiality – Random","Below Materiality – Highest n"))</f>
        <v/>
      </c>
      <c r="J14" s="12" t="str">
        <f aca="false">IF($L14="","",INDEX(Population!$N$2:$N$1092,$L14))</f>
        <v/>
      </c>
      <c r="K14" s="12" t="str">
        <f aca="false">IF($L14="","",INDEX(Population!$G$2:$G$1092,$L14)&amp;" / row "&amp;INDEX(Population!$H$2:$H$1092,$L14))</f>
        <v/>
      </c>
      <c r="L14" s="26" t="str">
        <f aca="false">IF(ROWS($L$5:L14)&lt;=N(Summary!$C$8),IFERROR(MATCH("Population 2|R|"&amp;ROWS($L$5:L14),Population!$V$2:$V$1092,0),""),"")</f>
        <v/>
      </c>
    </row>
    <row r="15" customFormat="false" ht="15" hidden="false" customHeight="false" outlineLevel="0" collapsed="false">
      <c r="A15" s="12" t="str">
        <f aca="false">IF($L15="","",INDEX(Population!$B$2:$B$1092,$L15)&amp;"")</f>
        <v/>
      </c>
      <c r="B15" s="12" t="str">
        <f aca="false">IF($L15="","",INDEX(Population!$C$2:$C$1092,$L15)&amp;"")</f>
        <v/>
      </c>
      <c r="C15" s="12" t="str">
        <f aca="false">IF($L15="","",INDEX(Population!$D$2:$D$1092,$L15)&amp;"")</f>
        <v/>
      </c>
      <c r="D15" s="12" t="str">
        <f aca="false">IF($L15="","",INDEX(Population!$E$2:$E$1092,$L15))</f>
        <v/>
      </c>
      <c r="E15" s="12" t="str">
        <f aca="false">IF($L15="","",INDEX(Population!$F$2:$F$1092,$L15))</f>
        <v/>
      </c>
      <c r="F15" s="16" t="str">
        <f aca="false">IF($L15="","",INDEX(Population!$L$2:$L$1092,$L15))</f>
        <v/>
      </c>
      <c r="G15" s="16" t="str">
        <f aca="false">IF($L15="","",INDEX(Population!$M$2:$M$1092,$L15))</f>
        <v/>
      </c>
      <c r="H15" s="27" t="str">
        <f aca="false">IF($L15="","",IF(Summary!$C$9="Random",INDEX(Population!$Q$2:$Q$1092,$L15),INDEX(Population!$S$2:$S$1092,$L15)))</f>
        <v/>
      </c>
      <c r="I15" s="12" t="str">
        <f aca="false">IF($L15="","",IF(Summary!$C$9="Random","Below Materiality – Random","Below Materiality – Highest n"))</f>
        <v/>
      </c>
      <c r="J15" s="12" t="str">
        <f aca="false">IF($L15="","",INDEX(Population!$N$2:$N$1092,$L15))</f>
        <v/>
      </c>
      <c r="K15" s="12" t="str">
        <f aca="false">IF($L15="","",INDEX(Population!$G$2:$G$1092,$L15)&amp;" / row "&amp;INDEX(Population!$H$2:$H$1092,$L15))</f>
        <v/>
      </c>
      <c r="L15" s="26" t="str">
        <f aca="false">IF(ROWS($L$5:L15)&lt;=N(Summary!$C$8),IFERROR(MATCH("Population 2|R|"&amp;ROWS($L$5:L15),Population!$V$2:$V$1092,0),""),"")</f>
        <v/>
      </c>
    </row>
    <row r="16" customFormat="false" ht="15" hidden="false" customHeight="false" outlineLevel="0" collapsed="false">
      <c r="A16" s="12" t="str">
        <f aca="false">IF($L16="","",INDEX(Population!$B$2:$B$1092,$L16)&amp;"")</f>
        <v/>
      </c>
      <c r="B16" s="12" t="str">
        <f aca="false">IF($L16="","",INDEX(Population!$C$2:$C$1092,$L16)&amp;"")</f>
        <v/>
      </c>
      <c r="C16" s="12" t="str">
        <f aca="false">IF($L16="","",INDEX(Population!$D$2:$D$1092,$L16)&amp;"")</f>
        <v/>
      </c>
      <c r="D16" s="12" t="str">
        <f aca="false">IF($L16="","",INDEX(Population!$E$2:$E$1092,$L16))</f>
        <v/>
      </c>
      <c r="E16" s="12" t="str">
        <f aca="false">IF($L16="","",INDEX(Population!$F$2:$F$1092,$L16))</f>
        <v/>
      </c>
      <c r="F16" s="16" t="str">
        <f aca="false">IF($L16="","",INDEX(Population!$L$2:$L$1092,$L16))</f>
        <v/>
      </c>
      <c r="G16" s="16" t="str">
        <f aca="false">IF($L16="","",INDEX(Population!$M$2:$M$1092,$L16))</f>
        <v/>
      </c>
      <c r="H16" s="27" t="str">
        <f aca="false">IF($L16="","",IF(Summary!$C$9="Random",INDEX(Population!$Q$2:$Q$1092,$L16),INDEX(Population!$S$2:$S$1092,$L16)))</f>
        <v/>
      </c>
      <c r="I16" s="12" t="str">
        <f aca="false">IF($L16="","",IF(Summary!$C$9="Random","Below Materiality – Random","Below Materiality – Highest n"))</f>
        <v/>
      </c>
      <c r="J16" s="12" t="str">
        <f aca="false">IF($L16="","",INDEX(Population!$N$2:$N$1092,$L16))</f>
        <v/>
      </c>
      <c r="K16" s="12" t="str">
        <f aca="false">IF($L16="","",INDEX(Population!$G$2:$G$1092,$L16)&amp;" / row "&amp;INDEX(Population!$H$2:$H$1092,$L16))</f>
        <v/>
      </c>
      <c r="L16" s="26" t="str">
        <f aca="false">IF(ROWS($L$5:L16)&lt;=N(Summary!$C$8),IFERROR(MATCH("Population 2|R|"&amp;ROWS($L$5:L16),Population!$V$2:$V$1092,0),""),"")</f>
        <v/>
      </c>
    </row>
    <row r="17" customFormat="false" ht="15" hidden="false" customHeight="false" outlineLevel="0" collapsed="false">
      <c r="A17" s="12" t="str">
        <f aca="false">IF($L17="","",INDEX(Population!$B$2:$B$1092,$L17)&amp;"")</f>
        <v/>
      </c>
      <c r="B17" s="12" t="str">
        <f aca="false">IF($L17="","",INDEX(Population!$C$2:$C$1092,$L17)&amp;"")</f>
        <v/>
      </c>
      <c r="C17" s="12" t="str">
        <f aca="false">IF($L17="","",INDEX(Population!$D$2:$D$1092,$L17)&amp;"")</f>
        <v/>
      </c>
      <c r="D17" s="12" t="str">
        <f aca="false">IF($L17="","",INDEX(Population!$E$2:$E$1092,$L17))</f>
        <v/>
      </c>
      <c r="E17" s="12" t="str">
        <f aca="false">IF($L17="","",INDEX(Population!$F$2:$F$1092,$L17))</f>
        <v/>
      </c>
      <c r="F17" s="16" t="str">
        <f aca="false">IF($L17="","",INDEX(Population!$L$2:$L$1092,$L17))</f>
        <v/>
      </c>
      <c r="G17" s="16" t="str">
        <f aca="false">IF($L17="","",INDEX(Population!$M$2:$M$1092,$L17))</f>
        <v/>
      </c>
      <c r="H17" s="27" t="str">
        <f aca="false">IF($L17="","",IF(Summary!$C$9="Random",INDEX(Population!$Q$2:$Q$1092,$L17),INDEX(Population!$S$2:$S$1092,$L17)))</f>
        <v/>
      </c>
      <c r="I17" s="12" t="str">
        <f aca="false">IF($L17="","",IF(Summary!$C$9="Random","Below Materiality – Random","Below Materiality – Highest n"))</f>
        <v/>
      </c>
      <c r="J17" s="12" t="str">
        <f aca="false">IF($L17="","",INDEX(Population!$N$2:$N$1092,$L17))</f>
        <v/>
      </c>
      <c r="K17" s="12" t="str">
        <f aca="false">IF($L17="","",INDEX(Population!$G$2:$G$1092,$L17)&amp;" / row "&amp;INDEX(Population!$H$2:$H$1092,$L17))</f>
        <v/>
      </c>
      <c r="L17" s="26" t="str">
        <f aca="false">IF(ROWS($L$5:L17)&lt;=N(Summary!$C$8),IFERROR(MATCH("Population 2|R|"&amp;ROWS($L$5:L17),Population!$V$2:$V$1092,0),""),"")</f>
        <v/>
      </c>
    </row>
    <row r="18" customFormat="false" ht="15" hidden="false" customHeight="false" outlineLevel="0" collapsed="false">
      <c r="A18" s="12" t="str">
        <f aca="false">IF($L18="","",INDEX(Population!$B$2:$B$1092,$L18)&amp;"")</f>
        <v/>
      </c>
      <c r="B18" s="12" t="str">
        <f aca="false">IF($L18="","",INDEX(Population!$C$2:$C$1092,$L18)&amp;"")</f>
        <v/>
      </c>
      <c r="C18" s="12" t="str">
        <f aca="false">IF($L18="","",INDEX(Population!$D$2:$D$1092,$L18)&amp;"")</f>
        <v/>
      </c>
      <c r="D18" s="12" t="str">
        <f aca="false">IF($L18="","",INDEX(Population!$E$2:$E$1092,$L18))</f>
        <v/>
      </c>
      <c r="E18" s="12" t="str">
        <f aca="false">IF($L18="","",INDEX(Population!$F$2:$F$1092,$L18))</f>
        <v/>
      </c>
      <c r="F18" s="16" t="str">
        <f aca="false">IF($L18="","",INDEX(Population!$L$2:$L$1092,$L18))</f>
        <v/>
      </c>
      <c r="G18" s="16" t="str">
        <f aca="false">IF($L18="","",INDEX(Population!$M$2:$M$1092,$L18))</f>
        <v/>
      </c>
      <c r="H18" s="27" t="str">
        <f aca="false">IF($L18="","",IF(Summary!$C$9="Random",INDEX(Population!$Q$2:$Q$1092,$L18),INDEX(Population!$S$2:$S$1092,$L18)))</f>
        <v/>
      </c>
      <c r="I18" s="12" t="str">
        <f aca="false">IF($L18="","",IF(Summary!$C$9="Random","Below Materiality – Random","Below Materiality – Highest n"))</f>
        <v/>
      </c>
      <c r="J18" s="12" t="str">
        <f aca="false">IF($L18="","",INDEX(Population!$N$2:$N$1092,$L18))</f>
        <v/>
      </c>
      <c r="K18" s="12" t="str">
        <f aca="false">IF($L18="","",INDEX(Population!$G$2:$G$1092,$L18)&amp;" / row "&amp;INDEX(Population!$H$2:$H$1092,$L18))</f>
        <v/>
      </c>
      <c r="L18" s="26" t="str">
        <f aca="false">IF(ROWS($L$5:L18)&lt;=N(Summary!$C$8),IFERROR(MATCH("Population 2|R|"&amp;ROWS($L$5:L18),Population!$V$2:$V$1092,0),""),"")</f>
        <v/>
      </c>
    </row>
    <row r="19" customFormat="false" ht="15" hidden="false" customHeight="false" outlineLevel="0" collapsed="false">
      <c r="A19" s="12" t="str">
        <f aca="false">IF($L19="","",INDEX(Population!$B$2:$B$1092,$L19)&amp;"")</f>
        <v/>
      </c>
      <c r="B19" s="12" t="str">
        <f aca="false">IF($L19="","",INDEX(Population!$C$2:$C$1092,$L19)&amp;"")</f>
        <v/>
      </c>
      <c r="C19" s="12" t="str">
        <f aca="false">IF($L19="","",INDEX(Population!$D$2:$D$1092,$L19)&amp;"")</f>
        <v/>
      </c>
      <c r="D19" s="12" t="str">
        <f aca="false">IF($L19="","",INDEX(Population!$E$2:$E$1092,$L19))</f>
        <v/>
      </c>
      <c r="E19" s="12" t="str">
        <f aca="false">IF($L19="","",INDEX(Population!$F$2:$F$1092,$L19))</f>
        <v/>
      </c>
      <c r="F19" s="16" t="str">
        <f aca="false">IF($L19="","",INDEX(Population!$L$2:$L$1092,$L19))</f>
        <v/>
      </c>
      <c r="G19" s="16" t="str">
        <f aca="false">IF($L19="","",INDEX(Population!$M$2:$M$1092,$L19))</f>
        <v/>
      </c>
      <c r="H19" s="27" t="str">
        <f aca="false">IF($L19="","",IF(Summary!$C$9="Random",INDEX(Population!$Q$2:$Q$1092,$L19),INDEX(Population!$S$2:$S$1092,$L19)))</f>
        <v/>
      </c>
      <c r="I19" s="12" t="str">
        <f aca="false">IF($L19="","",IF(Summary!$C$9="Random","Below Materiality – Random","Below Materiality – Highest n"))</f>
        <v/>
      </c>
      <c r="J19" s="12" t="str">
        <f aca="false">IF($L19="","",INDEX(Population!$N$2:$N$1092,$L19))</f>
        <v/>
      </c>
      <c r="K19" s="12" t="str">
        <f aca="false">IF($L19="","",INDEX(Population!$G$2:$G$1092,$L19)&amp;" / row "&amp;INDEX(Population!$H$2:$H$1092,$L19))</f>
        <v/>
      </c>
      <c r="L19" s="26" t="str">
        <f aca="false">IF(ROWS($L$5:L19)&lt;=N(Summary!$C$8),IFERROR(MATCH("Population 2|R|"&amp;ROWS($L$5:L19),Population!$V$2:$V$1092,0),""),"")</f>
        <v/>
      </c>
    </row>
    <row r="20" customFormat="false" ht="15" hidden="false" customHeight="false" outlineLevel="0" collapsed="false">
      <c r="A20" s="12" t="str">
        <f aca="false">IF($L20="","",INDEX(Population!$B$2:$B$1092,$L20)&amp;"")</f>
        <v/>
      </c>
      <c r="B20" s="12" t="str">
        <f aca="false">IF($L20="","",INDEX(Population!$C$2:$C$1092,$L20)&amp;"")</f>
        <v/>
      </c>
      <c r="C20" s="12" t="str">
        <f aca="false">IF($L20="","",INDEX(Population!$D$2:$D$1092,$L20)&amp;"")</f>
        <v/>
      </c>
      <c r="D20" s="12" t="str">
        <f aca="false">IF($L20="","",INDEX(Population!$E$2:$E$1092,$L20))</f>
        <v/>
      </c>
      <c r="E20" s="12" t="str">
        <f aca="false">IF($L20="","",INDEX(Population!$F$2:$F$1092,$L20))</f>
        <v/>
      </c>
      <c r="F20" s="16" t="str">
        <f aca="false">IF($L20="","",INDEX(Population!$L$2:$L$1092,$L20))</f>
        <v/>
      </c>
      <c r="G20" s="16" t="str">
        <f aca="false">IF($L20="","",INDEX(Population!$M$2:$M$1092,$L20))</f>
        <v/>
      </c>
      <c r="H20" s="27" t="str">
        <f aca="false">IF($L20="","",IF(Summary!$C$9="Random",INDEX(Population!$Q$2:$Q$1092,$L20),INDEX(Population!$S$2:$S$1092,$L20)))</f>
        <v/>
      </c>
      <c r="I20" s="12" t="str">
        <f aca="false">IF($L20="","",IF(Summary!$C$9="Random","Below Materiality – Random","Below Materiality – Highest n"))</f>
        <v/>
      </c>
      <c r="J20" s="12" t="str">
        <f aca="false">IF($L20="","",INDEX(Population!$N$2:$N$1092,$L20))</f>
        <v/>
      </c>
      <c r="K20" s="12" t="str">
        <f aca="false">IF($L20="","",INDEX(Population!$G$2:$G$1092,$L20)&amp;" / row "&amp;INDEX(Population!$H$2:$H$1092,$L20))</f>
        <v/>
      </c>
      <c r="L20" s="26" t="str">
        <f aca="false">IF(ROWS($L$5:L20)&lt;=N(Summary!$C$8),IFERROR(MATCH("Population 2|R|"&amp;ROWS($L$5:L20),Population!$V$2:$V$1092,0),""),"")</f>
        <v/>
      </c>
    </row>
    <row r="21" customFormat="false" ht="15" hidden="false" customHeight="false" outlineLevel="0" collapsed="false">
      <c r="A21" s="12" t="str">
        <f aca="false">IF($L21="","",INDEX(Population!$B$2:$B$1092,$L21)&amp;"")</f>
        <v/>
      </c>
      <c r="B21" s="12" t="str">
        <f aca="false">IF($L21="","",INDEX(Population!$C$2:$C$1092,$L21)&amp;"")</f>
        <v/>
      </c>
      <c r="C21" s="12" t="str">
        <f aca="false">IF($L21="","",INDEX(Population!$D$2:$D$1092,$L21)&amp;"")</f>
        <v/>
      </c>
      <c r="D21" s="12" t="str">
        <f aca="false">IF($L21="","",INDEX(Population!$E$2:$E$1092,$L21))</f>
        <v/>
      </c>
      <c r="E21" s="12" t="str">
        <f aca="false">IF($L21="","",INDEX(Population!$F$2:$F$1092,$L21))</f>
        <v/>
      </c>
      <c r="F21" s="16" t="str">
        <f aca="false">IF($L21="","",INDEX(Population!$L$2:$L$1092,$L21))</f>
        <v/>
      </c>
      <c r="G21" s="16" t="str">
        <f aca="false">IF($L21="","",INDEX(Population!$M$2:$M$1092,$L21))</f>
        <v/>
      </c>
      <c r="H21" s="27" t="str">
        <f aca="false">IF($L21="","",IF(Summary!$C$9="Random",INDEX(Population!$Q$2:$Q$1092,$L21),INDEX(Population!$S$2:$S$1092,$L21)))</f>
        <v/>
      </c>
      <c r="I21" s="12" t="str">
        <f aca="false">IF($L21="","",IF(Summary!$C$9="Random","Below Materiality – Random","Below Materiality – Highest n"))</f>
        <v/>
      </c>
      <c r="J21" s="12" t="str">
        <f aca="false">IF($L21="","",INDEX(Population!$N$2:$N$1092,$L21))</f>
        <v/>
      </c>
      <c r="K21" s="12" t="str">
        <f aca="false">IF($L21="","",INDEX(Population!$G$2:$G$1092,$L21)&amp;" / row "&amp;INDEX(Population!$H$2:$H$1092,$L21))</f>
        <v/>
      </c>
      <c r="L21" s="26" t="str">
        <f aca="false">IF(ROWS($L$5:L21)&lt;=N(Summary!$C$8),IFERROR(MATCH("Population 2|R|"&amp;ROWS($L$5:L21),Population!$V$2:$V$1092,0),""),"")</f>
        <v/>
      </c>
    </row>
    <row r="22" customFormat="false" ht="15" hidden="false" customHeight="false" outlineLevel="0" collapsed="false">
      <c r="A22" s="12" t="str">
        <f aca="false">IF($L22="","",INDEX(Population!$B$2:$B$1092,$L22)&amp;"")</f>
        <v/>
      </c>
      <c r="B22" s="12" t="str">
        <f aca="false">IF($L22="","",INDEX(Population!$C$2:$C$1092,$L22)&amp;"")</f>
        <v/>
      </c>
      <c r="C22" s="12" t="str">
        <f aca="false">IF($L22="","",INDEX(Population!$D$2:$D$1092,$L22)&amp;"")</f>
        <v/>
      </c>
      <c r="D22" s="12" t="str">
        <f aca="false">IF($L22="","",INDEX(Population!$E$2:$E$1092,$L22))</f>
        <v/>
      </c>
      <c r="E22" s="12" t="str">
        <f aca="false">IF($L22="","",INDEX(Population!$F$2:$F$1092,$L22))</f>
        <v/>
      </c>
      <c r="F22" s="16" t="str">
        <f aca="false">IF($L22="","",INDEX(Population!$L$2:$L$1092,$L22))</f>
        <v/>
      </c>
      <c r="G22" s="16" t="str">
        <f aca="false">IF($L22="","",INDEX(Population!$M$2:$M$1092,$L22))</f>
        <v/>
      </c>
      <c r="H22" s="27" t="str">
        <f aca="false">IF($L22="","",IF(Summary!$C$9="Random",INDEX(Population!$Q$2:$Q$1092,$L22),INDEX(Population!$S$2:$S$1092,$L22)))</f>
        <v/>
      </c>
      <c r="I22" s="12" t="str">
        <f aca="false">IF($L22="","",IF(Summary!$C$9="Random","Below Materiality – Random","Below Materiality – Highest n"))</f>
        <v/>
      </c>
      <c r="J22" s="12" t="str">
        <f aca="false">IF($L22="","",INDEX(Population!$N$2:$N$1092,$L22))</f>
        <v/>
      </c>
      <c r="K22" s="12" t="str">
        <f aca="false">IF($L22="","",INDEX(Population!$G$2:$G$1092,$L22)&amp;" / row "&amp;INDEX(Population!$H$2:$H$1092,$L22))</f>
        <v/>
      </c>
      <c r="L22" s="26" t="str">
        <f aca="false">IF(ROWS($L$5:L22)&lt;=N(Summary!$C$8),IFERROR(MATCH("Population 2|R|"&amp;ROWS($L$5:L22),Population!$V$2:$V$1092,0),""),"")</f>
        <v/>
      </c>
    </row>
    <row r="23" customFormat="false" ht="15" hidden="false" customHeight="false" outlineLevel="0" collapsed="false">
      <c r="A23" s="12" t="str">
        <f aca="false">IF($L23="","",INDEX(Population!$B$2:$B$1092,$L23)&amp;"")</f>
        <v/>
      </c>
      <c r="B23" s="12" t="str">
        <f aca="false">IF($L23="","",INDEX(Population!$C$2:$C$1092,$L23)&amp;"")</f>
        <v/>
      </c>
      <c r="C23" s="12" t="str">
        <f aca="false">IF($L23="","",INDEX(Population!$D$2:$D$1092,$L23)&amp;"")</f>
        <v/>
      </c>
      <c r="D23" s="12" t="str">
        <f aca="false">IF($L23="","",INDEX(Population!$E$2:$E$1092,$L23))</f>
        <v/>
      </c>
      <c r="E23" s="12" t="str">
        <f aca="false">IF($L23="","",INDEX(Population!$F$2:$F$1092,$L23))</f>
        <v/>
      </c>
      <c r="F23" s="16" t="str">
        <f aca="false">IF($L23="","",INDEX(Population!$L$2:$L$1092,$L23))</f>
        <v/>
      </c>
      <c r="G23" s="16" t="str">
        <f aca="false">IF($L23="","",INDEX(Population!$M$2:$M$1092,$L23))</f>
        <v/>
      </c>
      <c r="H23" s="27" t="str">
        <f aca="false">IF($L23="","",IF(Summary!$C$9="Random",INDEX(Population!$Q$2:$Q$1092,$L23),INDEX(Population!$S$2:$S$1092,$L23)))</f>
        <v/>
      </c>
      <c r="I23" s="12" t="str">
        <f aca="false">IF($L23="","",IF(Summary!$C$9="Random","Below Materiality – Random","Below Materiality – Highest n"))</f>
        <v/>
      </c>
      <c r="J23" s="12" t="str">
        <f aca="false">IF($L23="","",INDEX(Population!$N$2:$N$1092,$L23))</f>
        <v/>
      </c>
      <c r="K23" s="12" t="str">
        <f aca="false">IF($L23="","",INDEX(Population!$G$2:$G$1092,$L23)&amp;" / row "&amp;INDEX(Population!$H$2:$H$1092,$L23))</f>
        <v/>
      </c>
      <c r="L23" s="26" t="str">
        <f aca="false">IF(ROWS($L$5:L23)&lt;=N(Summary!$C$8),IFERROR(MATCH("Population 2|R|"&amp;ROWS($L$5:L23),Population!$V$2:$V$1092,0),""),"")</f>
        <v/>
      </c>
    </row>
    <row r="24" customFormat="false" ht="15" hidden="false" customHeight="false" outlineLevel="0" collapsed="false">
      <c r="A24" s="12" t="str">
        <f aca="false">IF($L24="","",INDEX(Population!$B$2:$B$1092,$L24)&amp;"")</f>
        <v/>
      </c>
      <c r="B24" s="12" t="str">
        <f aca="false">IF($L24="","",INDEX(Population!$C$2:$C$1092,$L24)&amp;"")</f>
        <v/>
      </c>
      <c r="C24" s="12" t="str">
        <f aca="false">IF($L24="","",INDEX(Population!$D$2:$D$1092,$L24)&amp;"")</f>
        <v/>
      </c>
      <c r="D24" s="12" t="str">
        <f aca="false">IF($L24="","",INDEX(Population!$E$2:$E$1092,$L24))</f>
        <v/>
      </c>
      <c r="E24" s="12" t="str">
        <f aca="false">IF($L24="","",INDEX(Population!$F$2:$F$1092,$L24))</f>
        <v/>
      </c>
      <c r="F24" s="16" t="str">
        <f aca="false">IF($L24="","",INDEX(Population!$L$2:$L$1092,$L24))</f>
        <v/>
      </c>
      <c r="G24" s="16" t="str">
        <f aca="false">IF($L24="","",INDEX(Population!$M$2:$M$1092,$L24))</f>
        <v/>
      </c>
      <c r="H24" s="27" t="str">
        <f aca="false">IF($L24="","",IF(Summary!$C$9="Random",INDEX(Population!$Q$2:$Q$1092,$L24),INDEX(Population!$S$2:$S$1092,$L24)))</f>
        <v/>
      </c>
      <c r="I24" s="12" t="str">
        <f aca="false">IF($L24="","",IF(Summary!$C$9="Random","Below Materiality – Random","Below Materiality – Highest n"))</f>
        <v/>
      </c>
      <c r="J24" s="12" t="str">
        <f aca="false">IF($L24="","",INDEX(Population!$N$2:$N$1092,$L24))</f>
        <v/>
      </c>
      <c r="K24" s="12" t="str">
        <f aca="false">IF($L24="","",INDEX(Population!$G$2:$G$1092,$L24)&amp;" / row "&amp;INDEX(Population!$H$2:$H$1092,$L24))</f>
        <v/>
      </c>
      <c r="L24" s="26" t="str">
        <f aca="false">IF(ROWS($L$5:L24)&lt;=N(Summary!$C$8),IFERROR(MATCH("Population 2|R|"&amp;ROWS($L$5:L24),Population!$V$2:$V$1092,0),""),"")</f>
        <v/>
      </c>
    </row>
    <row r="25" customFormat="false" ht="15" hidden="false" customHeight="false" outlineLevel="0" collapsed="false">
      <c r="A25" s="12" t="str">
        <f aca="false">IF($L25="","",INDEX(Population!$B$2:$B$1092,$L25)&amp;"")</f>
        <v/>
      </c>
      <c r="B25" s="12" t="str">
        <f aca="false">IF($L25="","",INDEX(Population!$C$2:$C$1092,$L25)&amp;"")</f>
        <v/>
      </c>
      <c r="C25" s="12" t="str">
        <f aca="false">IF($L25="","",INDEX(Population!$D$2:$D$1092,$L25)&amp;"")</f>
        <v/>
      </c>
      <c r="D25" s="12" t="str">
        <f aca="false">IF($L25="","",INDEX(Population!$E$2:$E$1092,$L25))</f>
        <v/>
      </c>
      <c r="E25" s="12" t="str">
        <f aca="false">IF($L25="","",INDEX(Population!$F$2:$F$1092,$L25))</f>
        <v/>
      </c>
      <c r="F25" s="16" t="str">
        <f aca="false">IF($L25="","",INDEX(Population!$L$2:$L$1092,$L25))</f>
        <v/>
      </c>
      <c r="G25" s="16" t="str">
        <f aca="false">IF($L25="","",INDEX(Population!$M$2:$M$1092,$L25))</f>
        <v/>
      </c>
      <c r="H25" s="27" t="str">
        <f aca="false">IF($L25="","",IF(Summary!$C$9="Random",INDEX(Population!$Q$2:$Q$1092,$L25),INDEX(Population!$S$2:$S$1092,$L25)))</f>
        <v/>
      </c>
      <c r="I25" s="12" t="str">
        <f aca="false">IF($L25="","",IF(Summary!$C$9="Random","Below Materiality – Random","Below Materiality – Highest n"))</f>
        <v/>
      </c>
      <c r="J25" s="12" t="str">
        <f aca="false">IF($L25="","",INDEX(Population!$N$2:$N$1092,$L25))</f>
        <v/>
      </c>
      <c r="K25" s="12" t="str">
        <f aca="false">IF($L25="","",INDEX(Population!$G$2:$G$1092,$L25)&amp;" / row "&amp;INDEX(Population!$H$2:$H$1092,$L25))</f>
        <v/>
      </c>
      <c r="L25" s="26" t="str">
        <f aca="false">IF(ROWS($L$5:L25)&lt;=N(Summary!$C$8),IFERROR(MATCH("Population 2|R|"&amp;ROWS($L$5:L25),Population!$V$2:$V$1092,0),""),"")</f>
        <v/>
      </c>
    </row>
    <row r="26" customFormat="false" ht="15" hidden="false" customHeight="false" outlineLevel="0" collapsed="false">
      <c r="A26" s="12" t="str">
        <f aca="false">IF($L26="","",INDEX(Population!$B$2:$B$1092,$L26)&amp;"")</f>
        <v/>
      </c>
      <c r="B26" s="12" t="str">
        <f aca="false">IF($L26="","",INDEX(Population!$C$2:$C$1092,$L26)&amp;"")</f>
        <v/>
      </c>
      <c r="C26" s="12" t="str">
        <f aca="false">IF($L26="","",INDEX(Population!$D$2:$D$1092,$L26)&amp;"")</f>
        <v/>
      </c>
      <c r="D26" s="12" t="str">
        <f aca="false">IF($L26="","",INDEX(Population!$E$2:$E$1092,$L26))</f>
        <v/>
      </c>
      <c r="E26" s="12" t="str">
        <f aca="false">IF($L26="","",INDEX(Population!$F$2:$F$1092,$L26))</f>
        <v/>
      </c>
      <c r="F26" s="16" t="str">
        <f aca="false">IF($L26="","",INDEX(Population!$L$2:$L$1092,$L26))</f>
        <v/>
      </c>
      <c r="G26" s="16" t="str">
        <f aca="false">IF($L26="","",INDEX(Population!$M$2:$M$1092,$L26))</f>
        <v/>
      </c>
      <c r="H26" s="27" t="str">
        <f aca="false">IF($L26="","",IF(Summary!$C$9="Random",INDEX(Population!$Q$2:$Q$1092,$L26),INDEX(Population!$S$2:$S$1092,$L26)))</f>
        <v/>
      </c>
      <c r="I26" s="12" t="str">
        <f aca="false">IF($L26="","",IF(Summary!$C$9="Random","Below Materiality – Random","Below Materiality – Highest n"))</f>
        <v/>
      </c>
      <c r="J26" s="12" t="str">
        <f aca="false">IF($L26="","",INDEX(Population!$N$2:$N$1092,$L26))</f>
        <v/>
      </c>
      <c r="K26" s="12" t="str">
        <f aca="false">IF($L26="","",INDEX(Population!$G$2:$G$1092,$L26)&amp;" / row "&amp;INDEX(Population!$H$2:$H$1092,$L26))</f>
        <v/>
      </c>
      <c r="L26" s="26" t="str">
        <f aca="false">IF(ROWS($L$5:L26)&lt;=N(Summary!$C$8),IFERROR(MATCH("Population 2|R|"&amp;ROWS($L$5:L26),Population!$V$2:$V$1092,0),""),"")</f>
        <v/>
      </c>
    </row>
    <row r="27" customFormat="false" ht="15" hidden="false" customHeight="false" outlineLevel="0" collapsed="false">
      <c r="A27" s="12" t="str">
        <f aca="false">IF($L27="","",INDEX(Population!$B$2:$B$1092,$L27)&amp;"")</f>
        <v/>
      </c>
      <c r="B27" s="12" t="str">
        <f aca="false">IF($L27="","",INDEX(Population!$C$2:$C$1092,$L27)&amp;"")</f>
        <v/>
      </c>
      <c r="C27" s="12" t="str">
        <f aca="false">IF($L27="","",INDEX(Population!$D$2:$D$1092,$L27)&amp;"")</f>
        <v/>
      </c>
      <c r="D27" s="12" t="str">
        <f aca="false">IF($L27="","",INDEX(Population!$E$2:$E$1092,$L27))</f>
        <v/>
      </c>
      <c r="E27" s="12" t="str">
        <f aca="false">IF($L27="","",INDEX(Population!$F$2:$F$1092,$L27))</f>
        <v/>
      </c>
      <c r="F27" s="16" t="str">
        <f aca="false">IF($L27="","",INDEX(Population!$L$2:$L$1092,$L27))</f>
        <v/>
      </c>
      <c r="G27" s="16" t="str">
        <f aca="false">IF($L27="","",INDEX(Population!$M$2:$M$1092,$L27))</f>
        <v/>
      </c>
      <c r="H27" s="27" t="str">
        <f aca="false">IF($L27="","",IF(Summary!$C$9="Random",INDEX(Population!$Q$2:$Q$1092,$L27),INDEX(Population!$S$2:$S$1092,$L27)))</f>
        <v/>
      </c>
      <c r="I27" s="12" t="str">
        <f aca="false">IF($L27="","",IF(Summary!$C$9="Random","Below Materiality – Random","Below Materiality – Highest n"))</f>
        <v/>
      </c>
      <c r="J27" s="12" t="str">
        <f aca="false">IF($L27="","",INDEX(Population!$N$2:$N$1092,$L27))</f>
        <v/>
      </c>
      <c r="K27" s="12" t="str">
        <f aca="false">IF($L27="","",INDEX(Population!$G$2:$G$1092,$L27)&amp;" / row "&amp;INDEX(Population!$H$2:$H$1092,$L27))</f>
        <v/>
      </c>
      <c r="L27" s="26" t="str">
        <f aca="false">IF(ROWS($L$5:L27)&lt;=N(Summary!$C$8),IFERROR(MATCH("Population 2|R|"&amp;ROWS($L$5:L27),Population!$V$2:$V$1092,0),""),"")</f>
        <v/>
      </c>
    </row>
    <row r="28" customFormat="false" ht="15" hidden="false" customHeight="false" outlineLevel="0" collapsed="false">
      <c r="A28" s="12" t="str">
        <f aca="false">IF($L28="","",INDEX(Population!$B$2:$B$1092,$L28)&amp;"")</f>
        <v/>
      </c>
      <c r="B28" s="12" t="str">
        <f aca="false">IF($L28="","",INDEX(Population!$C$2:$C$1092,$L28)&amp;"")</f>
        <v/>
      </c>
      <c r="C28" s="12" t="str">
        <f aca="false">IF($L28="","",INDEX(Population!$D$2:$D$1092,$L28)&amp;"")</f>
        <v/>
      </c>
      <c r="D28" s="12" t="str">
        <f aca="false">IF($L28="","",INDEX(Population!$E$2:$E$1092,$L28))</f>
        <v/>
      </c>
      <c r="E28" s="12" t="str">
        <f aca="false">IF($L28="","",INDEX(Population!$F$2:$F$1092,$L28))</f>
        <v/>
      </c>
      <c r="F28" s="16" t="str">
        <f aca="false">IF($L28="","",INDEX(Population!$L$2:$L$1092,$L28))</f>
        <v/>
      </c>
      <c r="G28" s="16" t="str">
        <f aca="false">IF($L28="","",INDEX(Population!$M$2:$M$1092,$L28))</f>
        <v/>
      </c>
      <c r="H28" s="27" t="str">
        <f aca="false">IF($L28="","",IF(Summary!$C$9="Random",INDEX(Population!$Q$2:$Q$1092,$L28),INDEX(Population!$S$2:$S$1092,$L28)))</f>
        <v/>
      </c>
      <c r="I28" s="12" t="str">
        <f aca="false">IF($L28="","",IF(Summary!$C$9="Random","Below Materiality – Random","Below Materiality – Highest n"))</f>
        <v/>
      </c>
      <c r="J28" s="12" t="str">
        <f aca="false">IF($L28="","",INDEX(Population!$N$2:$N$1092,$L28))</f>
        <v/>
      </c>
      <c r="K28" s="12" t="str">
        <f aca="false">IF($L28="","",INDEX(Population!$G$2:$G$1092,$L28)&amp;" / row "&amp;INDEX(Population!$H$2:$H$1092,$L28))</f>
        <v/>
      </c>
      <c r="L28" s="26" t="str">
        <f aca="false">IF(ROWS($L$5:L28)&lt;=N(Summary!$C$8),IFERROR(MATCH("Population 2|R|"&amp;ROWS($L$5:L28),Population!$V$2:$V$1092,0),""),"")</f>
        <v/>
      </c>
    </row>
    <row r="29" customFormat="false" ht="15" hidden="false" customHeight="false" outlineLevel="0" collapsed="false">
      <c r="A29" s="12" t="str">
        <f aca="false">IF($L29="","",INDEX(Population!$B$2:$B$1092,$L29)&amp;"")</f>
        <v/>
      </c>
      <c r="B29" s="12" t="str">
        <f aca="false">IF($L29="","",INDEX(Population!$C$2:$C$1092,$L29)&amp;"")</f>
        <v/>
      </c>
      <c r="C29" s="12" t="str">
        <f aca="false">IF($L29="","",INDEX(Population!$D$2:$D$1092,$L29)&amp;"")</f>
        <v/>
      </c>
      <c r="D29" s="12" t="str">
        <f aca="false">IF($L29="","",INDEX(Population!$E$2:$E$1092,$L29))</f>
        <v/>
      </c>
      <c r="E29" s="12" t="str">
        <f aca="false">IF($L29="","",INDEX(Population!$F$2:$F$1092,$L29))</f>
        <v/>
      </c>
      <c r="F29" s="16" t="str">
        <f aca="false">IF($L29="","",INDEX(Population!$L$2:$L$1092,$L29))</f>
        <v/>
      </c>
      <c r="G29" s="16" t="str">
        <f aca="false">IF($L29="","",INDEX(Population!$M$2:$M$1092,$L29))</f>
        <v/>
      </c>
      <c r="H29" s="27" t="str">
        <f aca="false">IF($L29="","",IF(Summary!$C$9="Random",INDEX(Population!$Q$2:$Q$1092,$L29),INDEX(Population!$S$2:$S$1092,$L29)))</f>
        <v/>
      </c>
      <c r="I29" s="12" t="str">
        <f aca="false">IF($L29="","",IF(Summary!$C$9="Random","Below Materiality – Random","Below Materiality – Highest n"))</f>
        <v/>
      </c>
      <c r="J29" s="12" t="str">
        <f aca="false">IF($L29="","",INDEX(Population!$N$2:$N$1092,$L29))</f>
        <v/>
      </c>
      <c r="K29" s="12" t="str">
        <f aca="false">IF($L29="","",INDEX(Population!$G$2:$G$1092,$L29)&amp;" / row "&amp;INDEX(Population!$H$2:$H$1092,$L29))</f>
        <v/>
      </c>
      <c r="L29" s="26" t="str">
        <f aca="false">IF(ROWS($L$5:L29)&lt;=N(Summary!$C$8),IFERROR(MATCH("Population 2|R|"&amp;ROWS($L$5:L29),Population!$V$2:$V$1092,0),""),"")</f>
        <v/>
      </c>
    </row>
    <row r="30" customFormat="false" ht="15" hidden="false" customHeight="false" outlineLevel="0" collapsed="false">
      <c r="A30" s="12" t="str">
        <f aca="false">IF($L30="","",INDEX(Population!$B$2:$B$1092,$L30)&amp;"")</f>
        <v/>
      </c>
      <c r="B30" s="12" t="str">
        <f aca="false">IF($L30="","",INDEX(Population!$C$2:$C$1092,$L30)&amp;"")</f>
        <v/>
      </c>
      <c r="C30" s="12" t="str">
        <f aca="false">IF($L30="","",INDEX(Population!$D$2:$D$1092,$L30)&amp;"")</f>
        <v/>
      </c>
      <c r="D30" s="12" t="str">
        <f aca="false">IF($L30="","",INDEX(Population!$E$2:$E$1092,$L30))</f>
        <v/>
      </c>
      <c r="E30" s="12" t="str">
        <f aca="false">IF($L30="","",INDEX(Population!$F$2:$F$1092,$L30))</f>
        <v/>
      </c>
      <c r="F30" s="16" t="str">
        <f aca="false">IF($L30="","",INDEX(Population!$L$2:$L$1092,$L30))</f>
        <v/>
      </c>
      <c r="G30" s="16" t="str">
        <f aca="false">IF($L30="","",INDEX(Population!$M$2:$M$1092,$L30))</f>
        <v/>
      </c>
      <c r="H30" s="27" t="str">
        <f aca="false">IF($L30="","",IF(Summary!$C$9="Random",INDEX(Population!$Q$2:$Q$1092,$L30),INDEX(Population!$S$2:$S$1092,$L30)))</f>
        <v/>
      </c>
      <c r="I30" s="12" t="str">
        <f aca="false">IF($L30="","",IF(Summary!$C$9="Random","Below Materiality – Random","Below Materiality – Highest n"))</f>
        <v/>
      </c>
      <c r="J30" s="12" t="str">
        <f aca="false">IF($L30="","",INDEX(Population!$N$2:$N$1092,$L30))</f>
        <v/>
      </c>
      <c r="K30" s="12" t="str">
        <f aca="false">IF($L30="","",INDEX(Population!$G$2:$G$1092,$L30)&amp;" / row "&amp;INDEX(Population!$H$2:$H$1092,$L30))</f>
        <v/>
      </c>
      <c r="L30" s="26" t="str">
        <f aca="false">IF(ROWS($L$5:L30)&lt;=N(Summary!$C$8),IFERROR(MATCH("Population 2|R|"&amp;ROWS($L$5:L30),Population!$V$2:$V$1092,0),""),"")</f>
        <v/>
      </c>
    </row>
    <row r="31" customFormat="false" ht="15" hidden="false" customHeight="false" outlineLevel="0" collapsed="false">
      <c r="A31" s="12" t="str">
        <f aca="false">IF($L31="","",INDEX(Population!$B$2:$B$1092,$L31)&amp;"")</f>
        <v/>
      </c>
      <c r="B31" s="12" t="str">
        <f aca="false">IF($L31="","",INDEX(Population!$C$2:$C$1092,$L31)&amp;"")</f>
        <v/>
      </c>
      <c r="C31" s="12" t="str">
        <f aca="false">IF($L31="","",INDEX(Population!$D$2:$D$1092,$L31)&amp;"")</f>
        <v/>
      </c>
      <c r="D31" s="12" t="str">
        <f aca="false">IF($L31="","",INDEX(Population!$E$2:$E$1092,$L31))</f>
        <v/>
      </c>
      <c r="E31" s="12" t="str">
        <f aca="false">IF($L31="","",INDEX(Population!$F$2:$F$1092,$L31))</f>
        <v/>
      </c>
      <c r="F31" s="16" t="str">
        <f aca="false">IF($L31="","",INDEX(Population!$L$2:$L$1092,$L31))</f>
        <v/>
      </c>
      <c r="G31" s="16" t="str">
        <f aca="false">IF($L31="","",INDEX(Population!$M$2:$M$1092,$L31))</f>
        <v/>
      </c>
      <c r="H31" s="27" t="str">
        <f aca="false">IF($L31="","",IF(Summary!$C$9="Random",INDEX(Population!$Q$2:$Q$1092,$L31),INDEX(Population!$S$2:$S$1092,$L31)))</f>
        <v/>
      </c>
      <c r="I31" s="12" t="str">
        <f aca="false">IF($L31="","",IF(Summary!$C$9="Random","Below Materiality – Random","Below Materiality – Highest n"))</f>
        <v/>
      </c>
      <c r="J31" s="12" t="str">
        <f aca="false">IF($L31="","",INDEX(Population!$N$2:$N$1092,$L31))</f>
        <v/>
      </c>
      <c r="K31" s="12" t="str">
        <f aca="false">IF($L31="","",INDEX(Population!$G$2:$G$1092,$L31)&amp;" / row "&amp;INDEX(Population!$H$2:$H$1092,$L31))</f>
        <v/>
      </c>
      <c r="L31" s="26" t="str">
        <f aca="false">IF(ROWS($L$5:L31)&lt;=N(Summary!$C$8),IFERROR(MATCH("Population 2|R|"&amp;ROWS($L$5:L31),Population!$V$2:$V$1092,0),""),"")</f>
        <v/>
      </c>
    </row>
    <row r="32" customFormat="false" ht="15" hidden="false" customHeight="false" outlineLevel="0" collapsed="false">
      <c r="A32" s="12" t="str">
        <f aca="false">IF($L32="","",INDEX(Population!$B$2:$B$1092,$L32)&amp;"")</f>
        <v/>
      </c>
      <c r="B32" s="12" t="str">
        <f aca="false">IF($L32="","",INDEX(Population!$C$2:$C$1092,$L32)&amp;"")</f>
        <v/>
      </c>
      <c r="C32" s="12" t="str">
        <f aca="false">IF($L32="","",INDEX(Population!$D$2:$D$1092,$L32)&amp;"")</f>
        <v/>
      </c>
      <c r="D32" s="12" t="str">
        <f aca="false">IF($L32="","",INDEX(Population!$E$2:$E$1092,$L32))</f>
        <v/>
      </c>
      <c r="E32" s="12" t="str">
        <f aca="false">IF($L32="","",INDEX(Population!$F$2:$F$1092,$L32))</f>
        <v/>
      </c>
      <c r="F32" s="16" t="str">
        <f aca="false">IF($L32="","",INDEX(Population!$L$2:$L$1092,$L32))</f>
        <v/>
      </c>
      <c r="G32" s="16" t="str">
        <f aca="false">IF($L32="","",INDEX(Population!$M$2:$M$1092,$L32))</f>
        <v/>
      </c>
      <c r="H32" s="27" t="str">
        <f aca="false">IF($L32="","",IF(Summary!$C$9="Random",INDEX(Population!$Q$2:$Q$1092,$L32),INDEX(Population!$S$2:$S$1092,$L32)))</f>
        <v/>
      </c>
      <c r="I32" s="12" t="str">
        <f aca="false">IF($L32="","",IF(Summary!$C$9="Random","Below Materiality – Random","Below Materiality – Highest n"))</f>
        <v/>
      </c>
      <c r="J32" s="12" t="str">
        <f aca="false">IF($L32="","",INDEX(Population!$N$2:$N$1092,$L32))</f>
        <v/>
      </c>
      <c r="K32" s="12" t="str">
        <f aca="false">IF($L32="","",INDEX(Population!$G$2:$G$1092,$L32)&amp;" / row "&amp;INDEX(Population!$H$2:$H$1092,$L32))</f>
        <v/>
      </c>
      <c r="L32" s="26" t="str">
        <f aca="false">IF(ROWS($L$5:L32)&lt;=N(Summary!$C$8),IFERROR(MATCH("Population 2|R|"&amp;ROWS($L$5:L32),Population!$V$2:$V$1092,0),""),"")</f>
        <v/>
      </c>
    </row>
    <row r="33" customFormat="false" ht="15" hidden="false" customHeight="false" outlineLevel="0" collapsed="false">
      <c r="A33" s="12" t="str">
        <f aca="false">IF($L33="","",INDEX(Population!$B$2:$B$1092,$L33)&amp;"")</f>
        <v/>
      </c>
      <c r="B33" s="12" t="str">
        <f aca="false">IF($L33="","",INDEX(Population!$C$2:$C$1092,$L33)&amp;"")</f>
        <v/>
      </c>
      <c r="C33" s="12" t="str">
        <f aca="false">IF($L33="","",INDEX(Population!$D$2:$D$1092,$L33)&amp;"")</f>
        <v/>
      </c>
      <c r="D33" s="12" t="str">
        <f aca="false">IF($L33="","",INDEX(Population!$E$2:$E$1092,$L33))</f>
        <v/>
      </c>
      <c r="E33" s="12" t="str">
        <f aca="false">IF($L33="","",INDEX(Population!$F$2:$F$1092,$L33))</f>
        <v/>
      </c>
      <c r="F33" s="16" t="str">
        <f aca="false">IF($L33="","",INDEX(Population!$L$2:$L$1092,$L33))</f>
        <v/>
      </c>
      <c r="G33" s="16" t="str">
        <f aca="false">IF($L33="","",INDEX(Population!$M$2:$M$1092,$L33))</f>
        <v/>
      </c>
      <c r="H33" s="27" t="str">
        <f aca="false">IF($L33="","",IF(Summary!$C$9="Random",INDEX(Population!$Q$2:$Q$1092,$L33),INDEX(Population!$S$2:$S$1092,$L33)))</f>
        <v/>
      </c>
      <c r="I33" s="12" t="str">
        <f aca="false">IF($L33="","",IF(Summary!$C$9="Random","Below Materiality – Random","Below Materiality – Highest n"))</f>
        <v/>
      </c>
      <c r="J33" s="12" t="str">
        <f aca="false">IF($L33="","",INDEX(Population!$N$2:$N$1092,$L33))</f>
        <v/>
      </c>
      <c r="K33" s="12" t="str">
        <f aca="false">IF($L33="","",INDEX(Population!$G$2:$G$1092,$L33)&amp;" / row "&amp;INDEX(Population!$H$2:$H$1092,$L33))</f>
        <v/>
      </c>
      <c r="L33" s="26" t="str">
        <f aca="false">IF(ROWS($L$5:L33)&lt;=N(Summary!$C$8),IFERROR(MATCH("Population 2|R|"&amp;ROWS($L$5:L33),Population!$V$2:$V$1092,0),""),"")</f>
        <v/>
      </c>
    </row>
    <row r="34" customFormat="false" ht="15" hidden="false" customHeight="false" outlineLevel="0" collapsed="false">
      <c r="A34" s="12" t="str">
        <f aca="false">IF($L34="","",INDEX(Population!$B$2:$B$1092,$L34)&amp;"")</f>
        <v/>
      </c>
      <c r="B34" s="12" t="str">
        <f aca="false">IF($L34="","",INDEX(Population!$C$2:$C$1092,$L34)&amp;"")</f>
        <v/>
      </c>
      <c r="C34" s="12" t="str">
        <f aca="false">IF($L34="","",INDEX(Population!$D$2:$D$1092,$L34)&amp;"")</f>
        <v/>
      </c>
      <c r="D34" s="12" t="str">
        <f aca="false">IF($L34="","",INDEX(Population!$E$2:$E$1092,$L34))</f>
        <v/>
      </c>
      <c r="E34" s="12" t="str">
        <f aca="false">IF($L34="","",INDEX(Population!$F$2:$F$1092,$L34))</f>
        <v/>
      </c>
      <c r="F34" s="16" t="str">
        <f aca="false">IF($L34="","",INDEX(Population!$L$2:$L$1092,$L34))</f>
        <v/>
      </c>
      <c r="G34" s="16" t="str">
        <f aca="false">IF($L34="","",INDEX(Population!$M$2:$M$1092,$L34))</f>
        <v/>
      </c>
      <c r="H34" s="27" t="str">
        <f aca="false">IF($L34="","",IF(Summary!$C$9="Random",INDEX(Population!$Q$2:$Q$1092,$L34),INDEX(Population!$S$2:$S$1092,$L34)))</f>
        <v/>
      </c>
      <c r="I34" s="12" t="str">
        <f aca="false">IF($L34="","",IF(Summary!$C$9="Random","Below Materiality – Random","Below Materiality – Highest n"))</f>
        <v/>
      </c>
      <c r="J34" s="12" t="str">
        <f aca="false">IF($L34="","",INDEX(Population!$N$2:$N$1092,$L34))</f>
        <v/>
      </c>
      <c r="K34" s="12" t="str">
        <f aca="false">IF($L34="","",INDEX(Population!$G$2:$G$1092,$L34)&amp;" / row "&amp;INDEX(Population!$H$2:$H$1092,$L34))</f>
        <v/>
      </c>
      <c r="L34" s="26" t="str">
        <f aca="false">IF(ROWS($L$5:L34)&lt;=N(Summary!$C$8),IFERROR(MATCH("Population 2|R|"&amp;ROWS($L$5:L34),Population!$V$2:$V$1092,0),""),"")</f>
        <v/>
      </c>
    </row>
    <row r="35" customFormat="false" ht="15" hidden="false" customHeight="false" outlineLevel="0" collapsed="false">
      <c r="A35" s="12" t="str">
        <f aca="false">IF($L35="","",INDEX(Population!$B$2:$B$1092,$L35)&amp;"")</f>
        <v/>
      </c>
      <c r="B35" s="12" t="str">
        <f aca="false">IF($L35="","",INDEX(Population!$C$2:$C$1092,$L35)&amp;"")</f>
        <v/>
      </c>
      <c r="C35" s="12" t="str">
        <f aca="false">IF($L35="","",INDEX(Population!$D$2:$D$1092,$L35)&amp;"")</f>
        <v/>
      </c>
      <c r="D35" s="12" t="str">
        <f aca="false">IF($L35="","",INDEX(Population!$E$2:$E$1092,$L35))</f>
        <v/>
      </c>
      <c r="E35" s="12" t="str">
        <f aca="false">IF($L35="","",INDEX(Population!$F$2:$F$1092,$L35))</f>
        <v/>
      </c>
      <c r="F35" s="16" t="str">
        <f aca="false">IF($L35="","",INDEX(Population!$L$2:$L$1092,$L35))</f>
        <v/>
      </c>
      <c r="G35" s="16" t="str">
        <f aca="false">IF($L35="","",INDEX(Population!$M$2:$M$1092,$L35))</f>
        <v/>
      </c>
      <c r="H35" s="27" t="str">
        <f aca="false">IF($L35="","",IF(Summary!$C$9="Random",INDEX(Population!$Q$2:$Q$1092,$L35),INDEX(Population!$S$2:$S$1092,$L35)))</f>
        <v/>
      </c>
      <c r="I35" s="12" t="str">
        <f aca="false">IF($L35="","",IF(Summary!$C$9="Random","Below Materiality – Random","Below Materiality – Highest n"))</f>
        <v/>
      </c>
      <c r="J35" s="12" t="str">
        <f aca="false">IF($L35="","",INDEX(Population!$N$2:$N$1092,$L35))</f>
        <v/>
      </c>
      <c r="K35" s="12" t="str">
        <f aca="false">IF($L35="","",INDEX(Population!$G$2:$G$1092,$L35)&amp;" / row "&amp;INDEX(Population!$H$2:$H$1092,$L35))</f>
        <v/>
      </c>
      <c r="L35" s="26" t="str">
        <f aca="false">IF(ROWS($L$5:L35)&lt;=N(Summary!$C$8),IFERROR(MATCH("Population 2|R|"&amp;ROWS($L$5:L35),Population!$V$2:$V$1092,0),""),"")</f>
        <v/>
      </c>
    </row>
    <row r="36" customFormat="false" ht="15" hidden="false" customHeight="false" outlineLevel="0" collapsed="false">
      <c r="A36" s="12" t="str">
        <f aca="false">IF($L36="","",INDEX(Population!$B$2:$B$1092,$L36)&amp;"")</f>
        <v/>
      </c>
      <c r="B36" s="12" t="str">
        <f aca="false">IF($L36="","",INDEX(Population!$C$2:$C$1092,$L36)&amp;"")</f>
        <v/>
      </c>
      <c r="C36" s="12" t="str">
        <f aca="false">IF($L36="","",INDEX(Population!$D$2:$D$1092,$L36)&amp;"")</f>
        <v/>
      </c>
      <c r="D36" s="12" t="str">
        <f aca="false">IF($L36="","",INDEX(Population!$E$2:$E$1092,$L36))</f>
        <v/>
      </c>
      <c r="E36" s="12" t="str">
        <f aca="false">IF($L36="","",INDEX(Population!$F$2:$F$1092,$L36))</f>
        <v/>
      </c>
      <c r="F36" s="16" t="str">
        <f aca="false">IF($L36="","",INDEX(Population!$L$2:$L$1092,$L36))</f>
        <v/>
      </c>
      <c r="G36" s="16" t="str">
        <f aca="false">IF($L36="","",INDEX(Population!$M$2:$M$1092,$L36))</f>
        <v/>
      </c>
      <c r="H36" s="27" t="str">
        <f aca="false">IF($L36="","",IF(Summary!$C$9="Random",INDEX(Population!$Q$2:$Q$1092,$L36),INDEX(Population!$S$2:$S$1092,$L36)))</f>
        <v/>
      </c>
      <c r="I36" s="12" t="str">
        <f aca="false">IF($L36="","",IF(Summary!$C$9="Random","Below Materiality – Random","Below Materiality – Highest n"))</f>
        <v/>
      </c>
      <c r="J36" s="12" t="str">
        <f aca="false">IF($L36="","",INDEX(Population!$N$2:$N$1092,$L36))</f>
        <v/>
      </c>
      <c r="K36" s="12" t="str">
        <f aca="false">IF($L36="","",INDEX(Population!$G$2:$G$1092,$L36)&amp;" / row "&amp;INDEX(Population!$H$2:$H$1092,$L36))</f>
        <v/>
      </c>
      <c r="L36" s="26" t="str">
        <f aca="false">IF(ROWS($L$5:L36)&lt;=N(Summary!$C$8),IFERROR(MATCH("Population 2|R|"&amp;ROWS($L$5:L36),Population!$V$2:$V$1092,0),""),"")</f>
        <v/>
      </c>
    </row>
    <row r="37" customFormat="false" ht="15" hidden="false" customHeight="false" outlineLevel="0" collapsed="false">
      <c r="A37" s="12" t="str">
        <f aca="false">IF($L37="","",INDEX(Population!$B$2:$B$1092,$L37)&amp;"")</f>
        <v/>
      </c>
      <c r="B37" s="12" t="str">
        <f aca="false">IF($L37="","",INDEX(Population!$C$2:$C$1092,$L37)&amp;"")</f>
        <v/>
      </c>
      <c r="C37" s="12" t="str">
        <f aca="false">IF($L37="","",INDEX(Population!$D$2:$D$1092,$L37)&amp;"")</f>
        <v/>
      </c>
      <c r="D37" s="12" t="str">
        <f aca="false">IF($L37="","",INDEX(Population!$E$2:$E$1092,$L37))</f>
        <v/>
      </c>
      <c r="E37" s="12" t="str">
        <f aca="false">IF($L37="","",INDEX(Population!$F$2:$F$1092,$L37))</f>
        <v/>
      </c>
      <c r="F37" s="16" t="str">
        <f aca="false">IF($L37="","",INDEX(Population!$L$2:$L$1092,$L37))</f>
        <v/>
      </c>
      <c r="G37" s="16" t="str">
        <f aca="false">IF($L37="","",INDEX(Population!$M$2:$M$1092,$L37))</f>
        <v/>
      </c>
      <c r="H37" s="27" t="str">
        <f aca="false">IF($L37="","",IF(Summary!$C$9="Random",INDEX(Population!$Q$2:$Q$1092,$L37),INDEX(Population!$S$2:$S$1092,$L37)))</f>
        <v/>
      </c>
      <c r="I37" s="12" t="str">
        <f aca="false">IF($L37="","",IF(Summary!$C$9="Random","Below Materiality – Random","Below Materiality – Highest n"))</f>
        <v/>
      </c>
      <c r="J37" s="12" t="str">
        <f aca="false">IF($L37="","",INDEX(Population!$N$2:$N$1092,$L37))</f>
        <v/>
      </c>
      <c r="K37" s="12" t="str">
        <f aca="false">IF($L37="","",INDEX(Population!$G$2:$G$1092,$L37)&amp;" / row "&amp;INDEX(Population!$H$2:$H$1092,$L37))</f>
        <v/>
      </c>
      <c r="L37" s="26" t="str">
        <f aca="false">IF(ROWS($L$5:L37)&lt;=N(Summary!$C$8),IFERROR(MATCH("Population 2|R|"&amp;ROWS($L$5:L37),Population!$V$2:$V$1092,0),""),"")</f>
        <v/>
      </c>
    </row>
    <row r="38" customFormat="false" ht="15" hidden="false" customHeight="false" outlineLevel="0" collapsed="false">
      <c r="A38" s="12" t="str">
        <f aca="false">IF($L38="","",INDEX(Population!$B$2:$B$1092,$L38)&amp;"")</f>
        <v/>
      </c>
      <c r="B38" s="12" t="str">
        <f aca="false">IF($L38="","",INDEX(Population!$C$2:$C$1092,$L38)&amp;"")</f>
        <v/>
      </c>
      <c r="C38" s="12" t="str">
        <f aca="false">IF($L38="","",INDEX(Population!$D$2:$D$1092,$L38)&amp;"")</f>
        <v/>
      </c>
      <c r="D38" s="12" t="str">
        <f aca="false">IF($L38="","",INDEX(Population!$E$2:$E$1092,$L38))</f>
        <v/>
      </c>
      <c r="E38" s="12" t="str">
        <f aca="false">IF($L38="","",INDEX(Population!$F$2:$F$1092,$L38))</f>
        <v/>
      </c>
      <c r="F38" s="16" t="str">
        <f aca="false">IF($L38="","",INDEX(Population!$L$2:$L$1092,$L38))</f>
        <v/>
      </c>
      <c r="G38" s="16" t="str">
        <f aca="false">IF($L38="","",INDEX(Population!$M$2:$M$1092,$L38))</f>
        <v/>
      </c>
      <c r="H38" s="27" t="str">
        <f aca="false">IF($L38="","",IF(Summary!$C$9="Random",INDEX(Population!$Q$2:$Q$1092,$L38),INDEX(Population!$S$2:$S$1092,$L38)))</f>
        <v/>
      </c>
      <c r="I38" s="12" t="str">
        <f aca="false">IF($L38="","",IF(Summary!$C$9="Random","Below Materiality – Random","Below Materiality – Highest n"))</f>
        <v/>
      </c>
      <c r="J38" s="12" t="str">
        <f aca="false">IF($L38="","",INDEX(Population!$N$2:$N$1092,$L38))</f>
        <v/>
      </c>
      <c r="K38" s="12" t="str">
        <f aca="false">IF($L38="","",INDEX(Population!$G$2:$G$1092,$L38)&amp;" / row "&amp;INDEX(Population!$H$2:$H$1092,$L38))</f>
        <v/>
      </c>
      <c r="L38" s="26" t="str">
        <f aca="false">IF(ROWS($L$5:L38)&lt;=N(Summary!$C$8),IFERROR(MATCH("Population 2|R|"&amp;ROWS($L$5:L38),Population!$V$2:$V$1092,0),""),"")</f>
        <v/>
      </c>
    </row>
    <row r="39" customFormat="false" ht="15" hidden="false" customHeight="false" outlineLevel="0" collapsed="false">
      <c r="A39" s="12" t="str">
        <f aca="false">IF($L39="","",INDEX(Population!$B$2:$B$1092,$L39)&amp;"")</f>
        <v/>
      </c>
      <c r="B39" s="12" t="str">
        <f aca="false">IF($L39="","",INDEX(Population!$C$2:$C$1092,$L39)&amp;"")</f>
        <v/>
      </c>
      <c r="C39" s="12" t="str">
        <f aca="false">IF($L39="","",INDEX(Population!$D$2:$D$1092,$L39)&amp;"")</f>
        <v/>
      </c>
      <c r="D39" s="12" t="str">
        <f aca="false">IF($L39="","",INDEX(Population!$E$2:$E$1092,$L39))</f>
        <v/>
      </c>
      <c r="E39" s="12" t="str">
        <f aca="false">IF($L39="","",INDEX(Population!$F$2:$F$1092,$L39))</f>
        <v/>
      </c>
      <c r="F39" s="16" t="str">
        <f aca="false">IF($L39="","",INDEX(Population!$L$2:$L$1092,$L39))</f>
        <v/>
      </c>
      <c r="G39" s="16" t="str">
        <f aca="false">IF($L39="","",INDEX(Population!$M$2:$M$1092,$L39))</f>
        <v/>
      </c>
      <c r="H39" s="27" t="str">
        <f aca="false">IF($L39="","",IF(Summary!$C$9="Random",INDEX(Population!$Q$2:$Q$1092,$L39),INDEX(Population!$S$2:$S$1092,$L39)))</f>
        <v/>
      </c>
      <c r="I39" s="12" t="str">
        <f aca="false">IF($L39="","",IF(Summary!$C$9="Random","Below Materiality – Random","Below Materiality – Highest n"))</f>
        <v/>
      </c>
      <c r="J39" s="12" t="str">
        <f aca="false">IF($L39="","",INDEX(Population!$N$2:$N$1092,$L39))</f>
        <v/>
      </c>
      <c r="K39" s="12" t="str">
        <f aca="false">IF($L39="","",INDEX(Population!$G$2:$G$1092,$L39)&amp;" / row "&amp;INDEX(Population!$H$2:$H$1092,$L39))</f>
        <v/>
      </c>
      <c r="L39" s="26" t="str">
        <f aca="false">IF(ROWS($L$5:L39)&lt;=N(Summary!$C$8),IFERROR(MATCH("Population 2|R|"&amp;ROWS($L$5:L39),Population!$V$2:$V$1092,0),""),"")</f>
        <v/>
      </c>
    </row>
    <row r="40" customFormat="false" ht="15" hidden="false" customHeight="false" outlineLevel="0" collapsed="false">
      <c r="A40" s="12" t="str">
        <f aca="false">IF($L40="","",INDEX(Population!$B$2:$B$1092,$L40)&amp;"")</f>
        <v/>
      </c>
      <c r="B40" s="12" t="str">
        <f aca="false">IF($L40="","",INDEX(Population!$C$2:$C$1092,$L40)&amp;"")</f>
        <v/>
      </c>
      <c r="C40" s="12" t="str">
        <f aca="false">IF($L40="","",INDEX(Population!$D$2:$D$1092,$L40)&amp;"")</f>
        <v/>
      </c>
      <c r="D40" s="12" t="str">
        <f aca="false">IF($L40="","",INDEX(Population!$E$2:$E$1092,$L40))</f>
        <v/>
      </c>
      <c r="E40" s="12" t="str">
        <f aca="false">IF($L40="","",INDEX(Population!$F$2:$F$1092,$L40))</f>
        <v/>
      </c>
      <c r="F40" s="16" t="str">
        <f aca="false">IF($L40="","",INDEX(Population!$L$2:$L$1092,$L40))</f>
        <v/>
      </c>
      <c r="G40" s="16" t="str">
        <f aca="false">IF($L40="","",INDEX(Population!$M$2:$M$1092,$L40))</f>
        <v/>
      </c>
      <c r="H40" s="27" t="str">
        <f aca="false">IF($L40="","",IF(Summary!$C$9="Random",INDEX(Population!$Q$2:$Q$1092,$L40),INDEX(Population!$S$2:$S$1092,$L40)))</f>
        <v/>
      </c>
      <c r="I40" s="12" t="str">
        <f aca="false">IF($L40="","",IF(Summary!$C$9="Random","Below Materiality – Random","Below Materiality – Highest n"))</f>
        <v/>
      </c>
      <c r="J40" s="12" t="str">
        <f aca="false">IF($L40="","",INDEX(Population!$N$2:$N$1092,$L40))</f>
        <v/>
      </c>
      <c r="K40" s="12" t="str">
        <f aca="false">IF($L40="","",INDEX(Population!$G$2:$G$1092,$L40)&amp;" / row "&amp;INDEX(Population!$H$2:$H$1092,$L40))</f>
        <v/>
      </c>
      <c r="L40" s="26" t="str">
        <f aca="false">IF(ROWS($L$5:L40)&lt;=N(Summary!$C$8),IFERROR(MATCH("Population 2|R|"&amp;ROWS($L$5:L40),Population!$V$2:$V$1092,0),""),"")</f>
        <v/>
      </c>
    </row>
    <row r="41" customFormat="false" ht="15" hidden="false" customHeight="false" outlineLevel="0" collapsed="false">
      <c r="A41" s="12" t="str">
        <f aca="false">IF($L41="","",INDEX(Population!$B$2:$B$1092,$L41)&amp;"")</f>
        <v/>
      </c>
      <c r="B41" s="12" t="str">
        <f aca="false">IF($L41="","",INDEX(Population!$C$2:$C$1092,$L41)&amp;"")</f>
        <v/>
      </c>
      <c r="C41" s="12" t="str">
        <f aca="false">IF($L41="","",INDEX(Population!$D$2:$D$1092,$L41)&amp;"")</f>
        <v/>
      </c>
      <c r="D41" s="12" t="str">
        <f aca="false">IF($L41="","",INDEX(Population!$E$2:$E$1092,$L41))</f>
        <v/>
      </c>
      <c r="E41" s="12" t="str">
        <f aca="false">IF($L41="","",INDEX(Population!$F$2:$F$1092,$L41))</f>
        <v/>
      </c>
      <c r="F41" s="16" t="str">
        <f aca="false">IF($L41="","",INDEX(Population!$L$2:$L$1092,$L41))</f>
        <v/>
      </c>
      <c r="G41" s="16" t="str">
        <f aca="false">IF($L41="","",INDEX(Population!$M$2:$M$1092,$L41))</f>
        <v/>
      </c>
      <c r="H41" s="27" t="str">
        <f aca="false">IF($L41="","",IF(Summary!$C$9="Random",INDEX(Population!$Q$2:$Q$1092,$L41),INDEX(Population!$S$2:$S$1092,$L41)))</f>
        <v/>
      </c>
      <c r="I41" s="12" t="str">
        <f aca="false">IF($L41="","",IF(Summary!$C$9="Random","Below Materiality – Random","Below Materiality – Highest n"))</f>
        <v/>
      </c>
      <c r="J41" s="12" t="str">
        <f aca="false">IF($L41="","",INDEX(Population!$N$2:$N$1092,$L41))</f>
        <v/>
      </c>
      <c r="K41" s="12" t="str">
        <f aca="false">IF($L41="","",INDEX(Population!$G$2:$G$1092,$L41)&amp;" / row "&amp;INDEX(Population!$H$2:$H$1092,$L41))</f>
        <v/>
      </c>
      <c r="L41" s="26" t="str">
        <f aca="false">IF(ROWS($L$5:L41)&lt;=N(Summary!$C$8),IFERROR(MATCH("Population 2|R|"&amp;ROWS($L$5:L41),Population!$V$2:$V$1092,0),""),"")</f>
        <v/>
      </c>
    </row>
    <row r="42" customFormat="false" ht="15" hidden="false" customHeight="false" outlineLevel="0" collapsed="false">
      <c r="A42" s="12" t="str">
        <f aca="false">IF($L42="","",INDEX(Population!$B$2:$B$1092,$L42)&amp;"")</f>
        <v/>
      </c>
      <c r="B42" s="12" t="str">
        <f aca="false">IF($L42="","",INDEX(Population!$C$2:$C$1092,$L42)&amp;"")</f>
        <v/>
      </c>
      <c r="C42" s="12" t="str">
        <f aca="false">IF($L42="","",INDEX(Population!$D$2:$D$1092,$L42)&amp;"")</f>
        <v/>
      </c>
      <c r="D42" s="12" t="str">
        <f aca="false">IF($L42="","",INDEX(Population!$E$2:$E$1092,$L42))</f>
        <v/>
      </c>
      <c r="E42" s="12" t="str">
        <f aca="false">IF($L42="","",INDEX(Population!$F$2:$F$1092,$L42))</f>
        <v/>
      </c>
      <c r="F42" s="16" t="str">
        <f aca="false">IF($L42="","",INDEX(Population!$L$2:$L$1092,$L42))</f>
        <v/>
      </c>
      <c r="G42" s="16" t="str">
        <f aca="false">IF($L42="","",INDEX(Population!$M$2:$M$1092,$L42))</f>
        <v/>
      </c>
      <c r="H42" s="27" t="str">
        <f aca="false">IF($L42="","",IF(Summary!$C$9="Random",INDEX(Population!$Q$2:$Q$1092,$L42),INDEX(Population!$S$2:$S$1092,$L42)))</f>
        <v/>
      </c>
      <c r="I42" s="12" t="str">
        <f aca="false">IF($L42="","",IF(Summary!$C$9="Random","Below Materiality – Random","Below Materiality – Highest n"))</f>
        <v/>
      </c>
      <c r="J42" s="12" t="str">
        <f aca="false">IF($L42="","",INDEX(Population!$N$2:$N$1092,$L42))</f>
        <v/>
      </c>
      <c r="K42" s="12" t="str">
        <f aca="false">IF($L42="","",INDEX(Population!$G$2:$G$1092,$L42)&amp;" / row "&amp;INDEX(Population!$H$2:$H$1092,$L42))</f>
        <v/>
      </c>
      <c r="L42" s="26" t="str">
        <f aca="false">IF(ROWS($L$5:L42)&lt;=N(Summary!$C$8),IFERROR(MATCH("Population 2|R|"&amp;ROWS($L$5:L42),Population!$V$2:$V$1092,0),""),"")</f>
        <v/>
      </c>
    </row>
    <row r="43" customFormat="false" ht="15" hidden="false" customHeight="false" outlineLevel="0" collapsed="false">
      <c r="A43" s="12" t="str">
        <f aca="false">IF($L43="","",INDEX(Population!$B$2:$B$1092,$L43)&amp;"")</f>
        <v/>
      </c>
      <c r="B43" s="12" t="str">
        <f aca="false">IF($L43="","",INDEX(Population!$C$2:$C$1092,$L43)&amp;"")</f>
        <v/>
      </c>
      <c r="C43" s="12" t="str">
        <f aca="false">IF($L43="","",INDEX(Population!$D$2:$D$1092,$L43)&amp;"")</f>
        <v/>
      </c>
      <c r="D43" s="12" t="str">
        <f aca="false">IF($L43="","",INDEX(Population!$E$2:$E$1092,$L43))</f>
        <v/>
      </c>
      <c r="E43" s="12" t="str">
        <f aca="false">IF($L43="","",INDEX(Population!$F$2:$F$1092,$L43))</f>
        <v/>
      </c>
      <c r="F43" s="16" t="str">
        <f aca="false">IF($L43="","",INDEX(Population!$L$2:$L$1092,$L43))</f>
        <v/>
      </c>
      <c r="G43" s="16" t="str">
        <f aca="false">IF($L43="","",INDEX(Population!$M$2:$M$1092,$L43))</f>
        <v/>
      </c>
      <c r="H43" s="27" t="str">
        <f aca="false">IF($L43="","",IF(Summary!$C$9="Random",INDEX(Population!$Q$2:$Q$1092,$L43),INDEX(Population!$S$2:$S$1092,$L43)))</f>
        <v/>
      </c>
      <c r="I43" s="12" t="str">
        <f aca="false">IF($L43="","",IF(Summary!$C$9="Random","Below Materiality – Random","Below Materiality – Highest n"))</f>
        <v/>
      </c>
      <c r="J43" s="12" t="str">
        <f aca="false">IF($L43="","",INDEX(Population!$N$2:$N$1092,$L43))</f>
        <v/>
      </c>
      <c r="K43" s="12" t="str">
        <f aca="false">IF($L43="","",INDEX(Population!$G$2:$G$1092,$L43)&amp;" / row "&amp;INDEX(Population!$H$2:$H$1092,$L43))</f>
        <v/>
      </c>
      <c r="L43" s="26" t="str">
        <f aca="false">IF(ROWS($L$5:L43)&lt;=N(Summary!$C$8),IFERROR(MATCH("Population 2|R|"&amp;ROWS($L$5:L43),Population!$V$2:$V$1092,0),""),"")</f>
        <v/>
      </c>
    </row>
    <row r="44" customFormat="false" ht="15" hidden="false" customHeight="false" outlineLevel="0" collapsed="false">
      <c r="A44" s="12" t="str">
        <f aca="false">IF($L44="","",INDEX(Population!$B$2:$B$1092,$L44)&amp;"")</f>
        <v/>
      </c>
      <c r="B44" s="12" t="str">
        <f aca="false">IF($L44="","",INDEX(Population!$C$2:$C$1092,$L44)&amp;"")</f>
        <v/>
      </c>
      <c r="C44" s="12" t="str">
        <f aca="false">IF($L44="","",INDEX(Population!$D$2:$D$1092,$L44)&amp;"")</f>
        <v/>
      </c>
      <c r="D44" s="12" t="str">
        <f aca="false">IF($L44="","",INDEX(Population!$E$2:$E$1092,$L44))</f>
        <v/>
      </c>
      <c r="E44" s="12" t="str">
        <f aca="false">IF($L44="","",INDEX(Population!$F$2:$F$1092,$L44))</f>
        <v/>
      </c>
      <c r="F44" s="16" t="str">
        <f aca="false">IF($L44="","",INDEX(Population!$L$2:$L$1092,$L44))</f>
        <v/>
      </c>
      <c r="G44" s="16" t="str">
        <f aca="false">IF($L44="","",INDEX(Population!$M$2:$M$1092,$L44))</f>
        <v/>
      </c>
      <c r="H44" s="27" t="str">
        <f aca="false">IF($L44="","",IF(Summary!$C$9="Random",INDEX(Population!$Q$2:$Q$1092,$L44),INDEX(Population!$S$2:$S$1092,$L44)))</f>
        <v/>
      </c>
      <c r="I44" s="12" t="str">
        <f aca="false">IF($L44="","",IF(Summary!$C$9="Random","Below Materiality – Random","Below Materiality – Highest n"))</f>
        <v/>
      </c>
      <c r="J44" s="12" t="str">
        <f aca="false">IF($L44="","",INDEX(Population!$N$2:$N$1092,$L44))</f>
        <v/>
      </c>
      <c r="K44" s="12" t="str">
        <f aca="false">IF($L44="","",INDEX(Population!$G$2:$G$1092,$L44)&amp;" / row "&amp;INDEX(Population!$H$2:$H$1092,$L44))</f>
        <v/>
      </c>
      <c r="L44" s="26" t="str">
        <f aca="false">IF(ROWS($L$5:L44)&lt;=N(Summary!$C$8),IFERROR(MATCH("Population 2|R|"&amp;ROWS($L$5:L44),Population!$V$2:$V$1092,0),""),"")</f>
        <v/>
      </c>
    </row>
    <row r="45" customFormat="false" ht="15" hidden="false" customHeight="false" outlineLevel="0" collapsed="false">
      <c r="A45" s="12" t="str">
        <f aca="false">IF($L45="","",INDEX(Population!$B$2:$B$1092,$L45)&amp;"")</f>
        <v/>
      </c>
      <c r="B45" s="12" t="str">
        <f aca="false">IF($L45="","",INDEX(Population!$C$2:$C$1092,$L45)&amp;"")</f>
        <v/>
      </c>
      <c r="C45" s="12" t="str">
        <f aca="false">IF($L45="","",INDEX(Population!$D$2:$D$1092,$L45)&amp;"")</f>
        <v/>
      </c>
      <c r="D45" s="12" t="str">
        <f aca="false">IF($L45="","",INDEX(Population!$E$2:$E$1092,$L45))</f>
        <v/>
      </c>
      <c r="E45" s="12" t="str">
        <f aca="false">IF($L45="","",INDEX(Population!$F$2:$F$1092,$L45))</f>
        <v/>
      </c>
      <c r="F45" s="16" t="str">
        <f aca="false">IF($L45="","",INDEX(Population!$L$2:$L$1092,$L45))</f>
        <v/>
      </c>
      <c r="G45" s="16" t="str">
        <f aca="false">IF($L45="","",INDEX(Population!$M$2:$M$1092,$L45))</f>
        <v/>
      </c>
      <c r="H45" s="27" t="str">
        <f aca="false">IF($L45="","",IF(Summary!$C$9="Random",INDEX(Population!$Q$2:$Q$1092,$L45),INDEX(Population!$S$2:$S$1092,$L45)))</f>
        <v/>
      </c>
      <c r="I45" s="12" t="str">
        <f aca="false">IF($L45="","",IF(Summary!$C$9="Random","Below Materiality – Random","Below Materiality – Highest n"))</f>
        <v/>
      </c>
      <c r="J45" s="12" t="str">
        <f aca="false">IF($L45="","",INDEX(Population!$N$2:$N$1092,$L45))</f>
        <v/>
      </c>
      <c r="K45" s="12" t="str">
        <f aca="false">IF($L45="","",INDEX(Population!$G$2:$G$1092,$L45)&amp;" / row "&amp;INDEX(Population!$H$2:$H$1092,$L45))</f>
        <v/>
      </c>
      <c r="L45" s="26" t="str">
        <f aca="false">IF(ROWS($L$5:L45)&lt;=N(Summary!$C$8),IFERROR(MATCH("Population 2|R|"&amp;ROWS($L$5:L45),Population!$V$2:$V$1092,0),""),"")</f>
        <v/>
      </c>
    </row>
    <row r="46" customFormat="false" ht="15" hidden="false" customHeight="false" outlineLevel="0" collapsed="false">
      <c r="A46" s="12" t="str">
        <f aca="false">IF($L46="","",INDEX(Population!$B$2:$B$1092,$L46)&amp;"")</f>
        <v/>
      </c>
      <c r="B46" s="12" t="str">
        <f aca="false">IF($L46="","",INDEX(Population!$C$2:$C$1092,$L46)&amp;"")</f>
        <v/>
      </c>
      <c r="C46" s="12" t="str">
        <f aca="false">IF($L46="","",INDEX(Population!$D$2:$D$1092,$L46)&amp;"")</f>
        <v/>
      </c>
      <c r="D46" s="12" t="str">
        <f aca="false">IF($L46="","",INDEX(Population!$E$2:$E$1092,$L46))</f>
        <v/>
      </c>
      <c r="E46" s="12" t="str">
        <f aca="false">IF($L46="","",INDEX(Population!$F$2:$F$1092,$L46))</f>
        <v/>
      </c>
      <c r="F46" s="16" t="str">
        <f aca="false">IF($L46="","",INDEX(Population!$L$2:$L$1092,$L46))</f>
        <v/>
      </c>
      <c r="G46" s="16" t="str">
        <f aca="false">IF($L46="","",INDEX(Population!$M$2:$M$1092,$L46))</f>
        <v/>
      </c>
      <c r="H46" s="27" t="str">
        <f aca="false">IF($L46="","",IF(Summary!$C$9="Random",INDEX(Population!$Q$2:$Q$1092,$L46),INDEX(Population!$S$2:$S$1092,$L46)))</f>
        <v/>
      </c>
      <c r="I46" s="12" t="str">
        <f aca="false">IF($L46="","",IF(Summary!$C$9="Random","Below Materiality – Random","Below Materiality – Highest n"))</f>
        <v/>
      </c>
      <c r="J46" s="12" t="str">
        <f aca="false">IF($L46="","",INDEX(Population!$N$2:$N$1092,$L46))</f>
        <v/>
      </c>
      <c r="K46" s="12" t="str">
        <f aca="false">IF($L46="","",INDEX(Population!$G$2:$G$1092,$L46)&amp;" / row "&amp;INDEX(Population!$H$2:$H$1092,$L46))</f>
        <v/>
      </c>
      <c r="L46" s="26" t="str">
        <f aca="false">IF(ROWS($L$5:L46)&lt;=N(Summary!$C$8),IFERROR(MATCH("Population 2|R|"&amp;ROWS($L$5:L46),Population!$V$2:$V$1092,0),""),"")</f>
        <v/>
      </c>
    </row>
    <row r="47" customFormat="false" ht="15" hidden="false" customHeight="false" outlineLevel="0" collapsed="false">
      <c r="A47" s="12" t="str">
        <f aca="false">IF($L47="","",INDEX(Population!$B$2:$B$1092,$L47)&amp;"")</f>
        <v/>
      </c>
      <c r="B47" s="12" t="str">
        <f aca="false">IF($L47="","",INDEX(Population!$C$2:$C$1092,$L47)&amp;"")</f>
        <v/>
      </c>
      <c r="C47" s="12" t="str">
        <f aca="false">IF($L47="","",INDEX(Population!$D$2:$D$1092,$L47)&amp;"")</f>
        <v/>
      </c>
      <c r="D47" s="12" t="str">
        <f aca="false">IF($L47="","",INDEX(Population!$E$2:$E$1092,$L47))</f>
        <v/>
      </c>
      <c r="E47" s="12" t="str">
        <f aca="false">IF($L47="","",INDEX(Population!$F$2:$F$1092,$L47))</f>
        <v/>
      </c>
      <c r="F47" s="16" t="str">
        <f aca="false">IF($L47="","",INDEX(Population!$L$2:$L$1092,$L47))</f>
        <v/>
      </c>
      <c r="G47" s="16" t="str">
        <f aca="false">IF($L47="","",INDEX(Population!$M$2:$M$1092,$L47))</f>
        <v/>
      </c>
      <c r="H47" s="27" t="str">
        <f aca="false">IF($L47="","",IF(Summary!$C$9="Random",INDEX(Population!$Q$2:$Q$1092,$L47),INDEX(Population!$S$2:$S$1092,$L47)))</f>
        <v/>
      </c>
      <c r="I47" s="12" t="str">
        <f aca="false">IF($L47="","",IF(Summary!$C$9="Random","Below Materiality – Random","Below Materiality – Highest n"))</f>
        <v/>
      </c>
      <c r="J47" s="12" t="str">
        <f aca="false">IF($L47="","",INDEX(Population!$N$2:$N$1092,$L47))</f>
        <v/>
      </c>
      <c r="K47" s="12" t="str">
        <f aca="false">IF($L47="","",INDEX(Population!$G$2:$G$1092,$L47)&amp;" / row "&amp;INDEX(Population!$H$2:$H$1092,$L47))</f>
        <v/>
      </c>
      <c r="L47" s="26" t="str">
        <f aca="false">IF(ROWS($L$5:L47)&lt;=N(Summary!$C$8),IFERROR(MATCH("Population 2|R|"&amp;ROWS($L$5:L47),Population!$V$2:$V$1092,0),""),"")</f>
        <v/>
      </c>
    </row>
    <row r="48" customFormat="false" ht="15" hidden="false" customHeight="false" outlineLevel="0" collapsed="false">
      <c r="A48" s="12" t="str">
        <f aca="false">IF($L48="","",INDEX(Population!$B$2:$B$1092,$L48)&amp;"")</f>
        <v/>
      </c>
      <c r="B48" s="12" t="str">
        <f aca="false">IF($L48="","",INDEX(Population!$C$2:$C$1092,$L48)&amp;"")</f>
        <v/>
      </c>
      <c r="C48" s="12" t="str">
        <f aca="false">IF($L48="","",INDEX(Population!$D$2:$D$1092,$L48)&amp;"")</f>
        <v/>
      </c>
      <c r="D48" s="12" t="str">
        <f aca="false">IF($L48="","",INDEX(Population!$E$2:$E$1092,$L48))</f>
        <v/>
      </c>
      <c r="E48" s="12" t="str">
        <f aca="false">IF($L48="","",INDEX(Population!$F$2:$F$1092,$L48))</f>
        <v/>
      </c>
      <c r="F48" s="16" t="str">
        <f aca="false">IF($L48="","",INDEX(Population!$L$2:$L$1092,$L48))</f>
        <v/>
      </c>
      <c r="G48" s="16" t="str">
        <f aca="false">IF($L48="","",INDEX(Population!$M$2:$M$1092,$L48))</f>
        <v/>
      </c>
      <c r="H48" s="27" t="str">
        <f aca="false">IF($L48="","",IF(Summary!$C$9="Random",INDEX(Population!$Q$2:$Q$1092,$L48),INDEX(Population!$S$2:$S$1092,$L48)))</f>
        <v/>
      </c>
      <c r="I48" s="12" t="str">
        <f aca="false">IF($L48="","",IF(Summary!$C$9="Random","Below Materiality – Random","Below Materiality – Highest n"))</f>
        <v/>
      </c>
      <c r="J48" s="12" t="str">
        <f aca="false">IF($L48="","",INDEX(Population!$N$2:$N$1092,$L48))</f>
        <v/>
      </c>
      <c r="K48" s="12" t="str">
        <f aca="false">IF($L48="","",INDEX(Population!$G$2:$G$1092,$L48)&amp;" / row "&amp;INDEX(Population!$H$2:$H$1092,$L48))</f>
        <v/>
      </c>
      <c r="L48" s="26" t="str">
        <f aca="false">IF(ROWS($L$5:L48)&lt;=N(Summary!$C$8),IFERROR(MATCH("Population 2|R|"&amp;ROWS($L$5:L48),Population!$V$2:$V$1092,0),""),"")</f>
        <v/>
      </c>
    </row>
    <row r="49" customFormat="false" ht="15" hidden="false" customHeight="false" outlineLevel="0" collapsed="false">
      <c r="A49" s="12" t="str">
        <f aca="false">IF($L49="","",INDEX(Population!$B$2:$B$1092,$L49)&amp;"")</f>
        <v/>
      </c>
      <c r="B49" s="12" t="str">
        <f aca="false">IF($L49="","",INDEX(Population!$C$2:$C$1092,$L49)&amp;"")</f>
        <v/>
      </c>
      <c r="C49" s="12" t="str">
        <f aca="false">IF($L49="","",INDEX(Population!$D$2:$D$1092,$L49)&amp;"")</f>
        <v/>
      </c>
      <c r="D49" s="12" t="str">
        <f aca="false">IF($L49="","",INDEX(Population!$E$2:$E$1092,$L49))</f>
        <v/>
      </c>
      <c r="E49" s="12" t="str">
        <f aca="false">IF($L49="","",INDEX(Population!$F$2:$F$1092,$L49))</f>
        <v/>
      </c>
      <c r="F49" s="16" t="str">
        <f aca="false">IF($L49="","",INDEX(Population!$L$2:$L$1092,$L49))</f>
        <v/>
      </c>
      <c r="G49" s="16" t="str">
        <f aca="false">IF($L49="","",INDEX(Population!$M$2:$M$1092,$L49))</f>
        <v/>
      </c>
      <c r="H49" s="27" t="str">
        <f aca="false">IF($L49="","",IF(Summary!$C$9="Random",INDEX(Population!$Q$2:$Q$1092,$L49),INDEX(Population!$S$2:$S$1092,$L49)))</f>
        <v/>
      </c>
      <c r="I49" s="12" t="str">
        <f aca="false">IF($L49="","",IF(Summary!$C$9="Random","Below Materiality – Random","Below Materiality – Highest n"))</f>
        <v/>
      </c>
      <c r="J49" s="12" t="str">
        <f aca="false">IF($L49="","",INDEX(Population!$N$2:$N$1092,$L49))</f>
        <v/>
      </c>
      <c r="K49" s="12" t="str">
        <f aca="false">IF($L49="","",INDEX(Population!$G$2:$G$1092,$L49)&amp;" / row "&amp;INDEX(Population!$H$2:$H$1092,$L49))</f>
        <v/>
      </c>
      <c r="L49" s="26" t="str">
        <f aca="false">IF(ROWS($L$5:L49)&lt;=N(Summary!$C$8),IFERROR(MATCH("Population 2|R|"&amp;ROWS($L$5:L49),Population!$V$2:$V$1092,0),""),"")</f>
        <v/>
      </c>
    </row>
    <row r="50" customFormat="false" ht="15" hidden="false" customHeight="false" outlineLevel="0" collapsed="false">
      <c r="A50" s="12" t="str">
        <f aca="false">IF($L50="","",INDEX(Population!$B$2:$B$1092,$L50)&amp;"")</f>
        <v/>
      </c>
      <c r="B50" s="12" t="str">
        <f aca="false">IF($L50="","",INDEX(Population!$C$2:$C$1092,$L50)&amp;"")</f>
        <v/>
      </c>
      <c r="C50" s="12" t="str">
        <f aca="false">IF($L50="","",INDEX(Population!$D$2:$D$1092,$L50)&amp;"")</f>
        <v/>
      </c>
      <c r="D50" s="12" t="str">
        <f aca="false">IF($L50="","",INDEX(Population!$E$2:$E$1092,$L50))</f>
        <v/>
      </c>
      <c r="E50" s="12" t="str">
        <f aca="false">IF($L50="","",INDEX(Population!$F$2:$F$1092,$L50))</f>
        <v/>
      </c>
      <c r="F50" s="16" t="str">
        <f aca="false">IF($L50="","",INDEX(Population!$L$2:$L$1092,$L50))</f>
        <v/>
      </c>
      <c r="G50" s="16" t="str">
        <f aca="false">IF($L50="","",INDEX(Population!$M$2:$M$1092,$L50))</f>
        <v/>
      </c>
      <c r="H50" s="27" t="str">
        <f aca="false">IF($L50="","",IF(Summary!$C$9="Random",INDEX(Population!$Q$2:$Q$1092,$L50),INDEX(Population!$S$2:$S$1092,$L50)))</f>
        <v/>
      </c>
      <c r="I50" s="12" t="str">
        <f aca="false">IF($L50="","",IF(Summary!$C$9="Random","Below Materiality – Random","Below Materiality – Highest n"))</f>
        <v/>
      </c>
      <c r="J50" s="12" t="str">
        <f aca="false">IF($L50="","",INDEX(Population!$N$2:$N$1092,$L50))</f>
        <v/>
      </c>
      <c r="K50" s="12" t="str">
        <f aca="false">IF($L50="","",INDEX(Population!$G$2:$G$1092,$L50)&amp;" / row "&amp;INDEX(Population!$H$2:$H$1092,$L50))</f>
        <v/>
      </c>
      <c r="L50" s="26" t="str">
        <f aca="false">IF(ROWS($L$5:L50)&lt;=N(Summary!$C$8),IFERROR(MATCH("Population 2|R|"&amp;ROWS($L$5:L50),Population!$V$2:$V$1092,0),""),"")</f>
        <v/>
      </c>
    </row>
    <row r="51" customFormat="false" ht="15" hidden="false" customHeight="false" outlineLevel="0" collapsed="false">
      <c r="A51" s="12" t="str">
        <f aca="false">IF($L51="","",INDEX(Population!$B$2:$B$1092,$L51)&amp;"")</f>
        <v/>
      </c>
      <c r="B51" s="12" t="str">
        <f aca="false">IF($L51="","",INDEX(Population!$C$2:$C$1092,$L51)&amp;"")</f>
        <v/>
      </c>
      <c r="C51" s="12" t="str">
        <f aca="false">IF($L51="","",INDEX(Population!$D$2:$D$1092,$L51)&amp;"")</f>
        <v/>
      </c>
      <c r="D51" s="12" t="str">
        <f aca="false">IF($L51="","",INDEX(Population!$E$2:$E$1092,$L51))</f>
        <v/>
      </c>
      <c r="E51" s="12" t="str">
        <f aca="false">IF($L51="","",INDEX(Population!$F$2:$F$1092,$L51))</f>
        <v/>
      </c>
      <c r="F51" s="16" t="str">
        <f aca="false">IF($L51="","",INDEX(Population!$L$2:$L$1092,$L51))</f>
        <v/>
      </c>
      <c r="G51" s="16" t="str">
        <f aca="false">IF($L51="","",INDEX(Population!$M$2:$M$1092,$L51))</f>
        <v/>
      </c>
      <c r="H51" s="27" t="str">
        <f aca="false">IF($L51="","",IF(Summary!$C$9="Random",INDEX(Population!$Q$2:$Q$1092,$L51),INDEX(Population!$S$2:$S$1092,$L51)))</f>
        <v/>
      </c>
      <c r="I51" s="12" t="str">
        <f aca="false">IF($L51="","",IF(Summary!$C$9="Random","Below Materiality – Random","Below Materiality – Highest n"))</f>
        <v/>
      </c>
      <c r="J51" s="12" t="str">
        <f aca="false">IF($L51="","",INDEX(Population!$N$2:$N$1092,$L51))</f>
        <v/>
      </c>
      <c r="K51" s="12" t="str">
        <f aca="false">IF($L51="","",INDEX(Population!$G$2:$G$1092,$L51)&amp;" / row "&amp;INDEX(Population!$H$2:$H$1092,$L51))</f>
        <v/>
      </c>
      <c r="L51" s="26" t="str">
        <f aca="false">IF(ROWS($L$5:L51)&lt;=N(Summary!$C$8),IFERROR(MATCH("Population 2|R|"&amp;ROWS($L$5:L51),Population!$V$2:$V$1092,0),""),"")</f>
        <v/>
      </c>
    </row>
    <row r="52" customFormat="false" ht="15" hidden="false" customHeight="false" outlineLevel="0" collapsed="false">
      <c r="A52" s="12" t="str">
        <f aca="false">IF($L52="","",INDEX(Population!$B$2:$B$1092,$L52)&amp;"")</f>
        <v/>
      </c>
      <c r="B52" s="12" t="str">
        <f aca="false">IF($L52="","",INDEX(Population!$C$2:$C$1092,$L52)&amp;"")</f>
        <v/>
      </c>
      <c r="C52" s="12" t="str">
        <f aca="false">IF($L52="","",INDEX(Population!$D$2:$D$1092,$L52)&amp;"")</f>
        <v/>
      </c>
      <c r="D52" s="12" t="str">
        <f aca="false">IF($L52="","",INDEX(Population!$E$2:$E$1092,$L52))</f>
        <v/>
      </c>
      <c r="E52" s="12" t="str">
        <f aca="false">IF($L52="","",INDEX(Population!$F$2:$F$1092,$L52))</f>
        <v/>
      </c>
      <c r="F52" s="16" t="str">
        <f aca="false">IF($L52="","",INDEX(Population!$L$2:$L$1092,$L52))</f>
        <v/>
      </c>
      <c r="G52" s="16" t="str">
        <f aca="false">IF($L52="","",INDEX(Population!$M$2:$M$1092,$L52))</f>
        <v/>
      </c>
      <c r="H52" s="27" t="str">
        <f aca="false">IF($L52="","",IF(Summary!$C$9="Random",INDEX(Population!$Q$2:$Q$1092,$L52),INDEX(Population!$S$2:$S$1092,$L52)))</f>
        <v/>
      </c>
      <c r="I52" s="12" t="str">
        <f aca="false">IF($L52="","",IF(Summary!$C$9="Random","Below Materiality – Random","Below Materiality – Highest n"))</f>
        <v/>
      </c>
      <c r="J52" s="12" t="str">
        <f aca="false">IF($L52="","",INDEX(Population!$N$2:$N$1092,$L52))</f>
        <v/>
      </c>
      <c r="K52" s="12" t="str">
        <f aca="false">IF($L52="","",INDEX(Population!$G$2:$G$1092,$L52)&amp;" / row "&amp;INDEX(Population!$H$2:$H$1092,$L52))</f>
        <v/>
      </c>
      <c r="L52" s="26" t="str">
        <f aca="false">IF(ROWS($L$5:L52)&lt;=N(Summary!$C$8),IFERROR(MATCH("Population 2|R|"&amp;ROWS($L$5:L52),Population!$V$2:$V$1092,0),""),"")</f>
        <v/>
      </c>
    </row>
    <row r="53" customFormat="false" ht="15" hidden="false" customHeight="false" outlineLevel="0" collapsed="false">
      <c r="A53" s="12" t="str">
        <f aca="false">IF($L53="","",INDEX(Population!$B$2:$B$1092,$L53)&amp;"")</f>
        <v/>
      </c>
      <c r="B53" s="12" t="str">
        <f aca="false">IF($L53="","",INDEX(Population!$C$2:$C$1092,$L53)&amp;"")</f>
        <v/>
      </c>
      <c r="C53" s="12" t="str">
        <f aca="false">IF($L53="","",INDEX(Population!$D$2:$D$1092,$L53)&amp;"")</f>
        <v/>
      </c>
      <c r="D53" s="12" t="str">
        <f aca="false">IF($L53="","",INDEX(Population!$E$2:$E$1092,$L53))</f>
        <v/>
      </c>
      <c r="E53" s="12" t="str">
        <f aca="false">IF($L53="","",INDEX(Population!$F$2:$F$1092,$L53))</f>
        <v/>
      </c>
      <c r="F53" s="16" t="str">
        <f aca="false">IF($L53="","",INDEX(Population!$L$2:$L$1092,$L53))</f>
        <v/>
      </c>
      <c r="G53" s="16" t="str">
        <f aca="false">IF($L53="","",INDEX(Population!$M$2:$M$1092,$L53))</f>
        <v/>
      </c>
      <c r="H53" s="27" t="str">
        <f aca="false">IF($L53="","",IF(Summary!$C$9="Random",INDEX(Population!$Q$2:$Q$1092,$L53),INDEX(Population!$S$2:$S$1092,$L53)))</f>
        <v/>
      </c>
      <c r="I53" s="12" t="str">
        <f aca="false">IF($L53="","",IF(Summary!$C$9="Random","Below Materiality – Random","Below Materiality – Highest n"))</f>
        <v/>
      </c>
      <c r="J53" s="12" t="str">
        <f aca="false">IF($L53="","",INDEX(Population!$N$2:$N$1092,$L53))</f>
        <v/>
      </c>
      <c r="K53" s="12" t="str">
        <f aca="false">IF($L53="","",INDEX(Population!$G$2:$G$1092,$L53)&amp;" / row "&amp;INDEX(Population!$H$2:$H$1092,$L53))</f>
        <v/>
      </c>
      <c r="L53" s="26" t="str">
        <f aca="false">IF(ROWS($L$5:L53)&lt;=N(Summary!$C$8),IFERROR(MATCH("Population 2|R|"&amp;ROWS($L$5:L53),Population!$V$2:$V$1092,0),""),"")</f>
        <v/>
      </c>
    </row>
    <row r="54" customFormat="false" ht="15" hidden="false" customHeight="false" outlineLevel="0" collapsed="false">
      <c r="A54" s="12" t="str">
        <f aca="false">IF($L54="","",INDEX(Population!$B$2:$B$1092,$L54)&amp;"")</f>
        <v/>
      </c>
      <c r="B54" s="12" t="str">
        <f aca="false">IF($L54="","",INDEX(Population!$C$2:$C$1092,$L54)&amp;"")</f>
        <v/>
      </c>
      <c r="C54" s="12" t="str">
        <f aca="false">IF($L54="","",INDEX(Population!$D$2:$D$1092,$L54)&amp;"")</f>
        <v/>
      </c>
      <c r="D54" s="12" t="str">
        <f aca="false">IF($L54="","",INDEX(Population!$E$2:$E$1092,$L54))</f>
        <v/>
      </c>
      <c r="E54" s="12" t="str">
        <f aca="false">IF($L54="","",INDEX(Population!$F$2:$F$1092,$L54))</f>
        <v/>
      </c>
      <c r="F54" s="16" t="str">
        <f aca="false">IF($L54="","",INDEX(Population!$L$2:$L$1092,$L54))</f>
        <v/>
      </c>
      <c r="G54" s="16" t="str">
        <f aca="false">IF($L54="","",INDEX(Population!$M$2:$M$1092,$L54))</f>
        <v/>
      </c>
      <c r="H54" s="27" t="str">
        <f aca="false">IF($L54="","",IF(Summary!$C$9="Random",INDEX(Population!$Q$2:$Q$1092,$L54),INDEX(Population!$S$2:$S$1092,$L54)))</f>
        <v/>
      </c>
      <c r="I54" s="12" t="str">
        <f aca="false">IF($L54="","",IF(Summary!$C$9="Random","Below Materiality – Random","Below Materiality – Highest n"))</f>
        <v/>
      </c>
      <c r="J54" s="12" t="str">
        <f aca="false">IF($L54="","",INDEX(Population!$N$2:$N$1092,$L54))</f>
        <v/>
      </c>
      <c r="K54" s="12" t="str">
        <f aca="false">IF($L54="","",INDEX(Population!$G$2:$G$1092,$L54)&amp;" / row "&amp;INDEX(Population!$H$2:$H$1092,$L54))</f>
        <v/>
      </c>
      <c r="L54" s="26" t="str">
        <f aca="false">IF(ROWS($L$5:L54)&lt;=N(Summary!$C$8),IFERROR(MATCH("Population 2|R|"&amp;ROWS($L$5:L54),Population!$V$2:$V$1092,0),""),"")</f>
        <v/>
      </c>
    </row>
    <row r="55" customFormat="false" ht="15" hidden="false" customHeight="false" outlineLevel="0" collapsed="false">
      <c r="A55" s="12" t="str">
        <f aca="false">IF($L55="","",INDEX(Population!$B$2:$B$1092,$L55)&amp;"")</f>
        <v/>
      </c>
      <c r="B55" s="12" t="str">
        <f aca="false">IF($L55="","",INDEX(Population!$C$2:$C$1092,$L55)&amp;"")</f>
        <v/>
      </c>
      <c r="C55" s="12" t="str">
        <f aca="false">IF($L55="","",INDEX(Population!$D$2:$D$1092,$L55)&amp;"")</f>
        <v/>
      </c>
      <c r="D55" s="12" t="str">
        <f aca="false">IF($L55="","",INDEX(Population!$E$2:$E$1092,$L55))</f>
        <v/>
      </c>
      <c r="E55" s="12" t="str">
        <f aca="false">IF($L55="","",INDEX(Population!$F$2:$F$1092,$L55))</f>
        <v/>
      </c>
      <c r="F55" s="16" t="str">
        <f aca="false">IF($L55="","",INDEX(Population!$L$2:$L$1092,$L55))</f>
        <v/>
      </c>
      <c r="G55" s="16" t="str">
        <f aca="false">IF($L55="","",INDEX(Population!$M$2:$M$1092,$L55))</f>
        <v/>
      </c>
      <c r="H55" s="27" t="str">
        <f aca="false">IF($L55="","",IF(Summary!$C$9="Random",INDEX(Population!$Q$2:$Q$1092,$L55),INDEX(Population!$S$2:$S$1092,$L55)))</f>
        <v/>
      </c>
      <c r="I55" s="12" t="str">
        <f aca="false">IF($L55="","",IF(Summary!$C$9="Random","Below Materiality – Random","Below Materiality – Highest n"))</f>
        <v/>
      </c>
      <c r="J55" s="12" t="str">
        <f aca="false">IF($L55="","",INDEX(Population!$N$2:$N$1092,$L55))</f>
        <v/>
      </c>
      <c r="K55" s="12" t="str">
        <f aca="false">IF($L55="","",INDEX(Population!$G$2:$G$1092,$L55)&amp;" / row "&amp;INDEX(Population!$H$2:$H$1092,$L55))</f>
        <v/>
      </c>
      <c r="L55" s="26" t="str">
        <f aca="false">IF(ROWS($L$5:L55)&lt;=N(Summary!$C$8),IFERROR(MATCH("Population 2|R|"&amp;ROWS($L$5:L55),Population!$V$2:$V$1092,0),""),"")</f>
        <v/>
      </c>
    </row>
    <row r="56" customFormat="false" ht="15" hidden="false" customHeight="false" outlineLevel="0" collapsed="false">
      <c r="A56" s="12" t="str">
        <f aca="false">IF($L56="","",INDEX(Population!$B$2:$B$1092,$L56)&amp;"")</f>
        <v/>
      </c>
      <c r="B56" s="12" t="str">
        <f aca="false">IF($L56="","",INDEX(Population!$C$2:$C$1092,$L56)&amp;"")</f>
        <v/>
      </c>
      <c r="C56" s="12" t="str">
        <f aca="false">IF($L56="","",INDEX(Population!$D$2:$D$1092,$L56)&amp;"")</f>
        <v/>
      </c>
      <c r="D56" s="12" t="str">
        <f aca="false">IF($L56="","",INDEX(Population!$E$2:$E$1092,$L56))</f>
        <v/>
      </c>
      <c r="E56" s="12" t="str">
        <f aca="false">IF($L56="","",INDEX(Population!$F$2:$F$1092,$L56))</f>
        <v/>
      </c>
      <c r="F56" s="16" t="str">
        <f aca="false">IF($L56="","",INDEX(Population!$L$2:$L$1092,$L56))</f>
        <v/>
      </c>
      <c r="G56" s="16" t="str">
        <f aca="false">IF($L56="","",INDEX(Population!$M$2:$M$1092,$L56))</f>
        <v/>
      </c>
      <c r="H56" s="27" t="str">
        <f aca="false">IF($L56="","",IF(Summary!$C$9="Random",INDEX(Population!$Q$2:$Q$1092,$L56),INDEX(Population!$S$2:$S$1092,$L56)))</f>
        <v/>
      </c>
      <c r="I56" s="12" t="str">
        <f aca="false">IF($L56="","",IF(Summary!$C$9="Random","Below Materiality – Random","Below Materiality – Highest n"))</f>
        <v/>
      </c>
      <c r="J56" s="12" t="str">
        <f aca="false">IF($L56="","",INDEX(Population!$N$2:$N$1092,$L56))</f>
        <v/>
      </c>
      <c r="K56" s="12" t="str">
        <f aca="false">IF($L56="","",INDEX(Population!$G$2:$G$1092,$L56)&amp;" / row "&amp;INDEX(Population!$H$2:$H$1092,$L56))</f>
        <v/>
      </c>
      <c r="L56" s="26" t="str">
        <f aca="false">IF(ROWS($L$5:L56)&lt;=N(Summary!$C$8),IFERROR(MATCH("Population 2|R|"&amp;ROWS($L$5:L56),Population!$V$2:$V$1092,0),""),"")</f>
        <v/>
      </c>
    </row>
    <row r="57" customFormat="false" ht="15" hidden="false" customHeight="false" outlineLevel="0" collapsed="false">
      <c r="A57" s="12" t="str">
        <f aca="false">IF($L57="","",INDEX(Population!$B$2:$B$1092,$L57)&amp;"")</f>
        <v/>
      </c>
      <c r="B57" s="12" t="str">
        <f aca="false">IF($L57="","",INDEX(Population!$C$2:$C$1092,$L57)&amp;"")</f>
        <v/>
      </c>
      <c r="C57" s="12" t="str">
        <f aca="false">IF($L57="","",INDEX(Population!$D$2:$D$1092,$L57)&amp;"")</f>
        <v/>
      </c>
      <c r="D57" s="12" t="str">
        <f aca="false">IF($L57="","",INDEX(Population!$E$2:$E$1092,$L57))</f>
        <v/>
      </c>
      <c r="E57" s="12" t="str">
        <f aca="false">IF($L57="","",INDEX(Population!$F$2:$F$1092,$L57))</f>
        <v/>
      </c>
      <c r="F57" s="16" t="str">
        <f aca="false">IF($L57="","",INDEX(Population!$L$2:$L$1092,$L57))</f>
        <v/>
      </c>
      <c r="G57" s="16" t="str">
        <f aca="false">IF($L57="","",INDEX(Population!$M$2:$M$1092,$L57))</f>
        <v/>
      </c>
      <c r="H57" s="27" t="str">
        <f aca="false">IF($L57="","",IF(Summary!$C$9="Random",INDEX(Population!$Q$2:$Q$1092,$L57),INDEX(Population!$S$2:$S$1092,$L57)))</f>
        <v/>
      </c>
      <c r="I57" s="12" t="str">
        <f aca="false">IF($L57="","",IF(Summary!$C$9="Random","Below Materiality – Random","Below Materiality – Highest n"))</f>
        <v/>
      </c>
      <c r="J57" s="12" t="str">
        <f aca="false">IF($L57="","",INDEX(Population!$N$2:$N$1092,$L57))</f>
        <v/>
      </c>
      <c r="K57" s="12" t="str">
        <f aca="false">IF($L57="","",INDEX(Population!$G$2:$G$1092,$L57)&amp;" / row "&amp;INDEX(Population!$H$2:$H$1092,$L57))</f>
        <v/>
      </c>
      <c r="L57" s="26" t="str">
        <f aca="false">IF(ROWS($L$5:L57)&lt;=N(Summary!$C$8),IFERROR(MATCH("Population 2|R|"&amp;ROWS($L$5:L57),Population!$V$2:$V$1092,0),""),"")</f>
        <v/>
      </c>
    </row>
    <row r="58" customFormat="false" ht="15" hidden="false" customHeight="false" outlineLevel="0" collapsed="false">
      <c r="A58" s="12" t="str">
        <f aca="false">IF($L58="","",INDEX(Population!$B$2:$B$1092,$L58)&amp;"")</f>
        <v/>
      </c>
      <c r="B58" s="12" t="str">
        <f aca="false">IF($L58="","",INDEX(Population!$C$2:$C$1092,$L58)&amp;"")</f>
        <v/>
      </c>
      <c r="C58" s="12" t="str">
        <f aca="false">IF($L58="","",INDEX(Population!$D$2:$D$1092,$L58)&amp;"")</f>
        <v/>
      </c>
      <c r="D58" s="12" t="str">
        <f aca="false">IF($L58="","",INDEX(Population!$E$2:$E$1092,$L58))</f>
        <v/>
      </c>
      <c r="E58" s="12" t="str">
        <f aca="false">IF($L58="","",INDEX(Population!$F$2:$F$1092,$L58))</f>
        <v/>
      </c>
      <c r="F58" s="16" t="str">
        <f aca="false">IF($L58="","",INDEX(Population!$L$2:$L$1092,$L58))</f>
        <v/>
      </c>
      <c r="G58" s="16" t="str">
        <f aca="false">IF($L58="","",INDEX(Population!$M$2:$M$1092,$L58))</f>
        <v/>
      </c>
      <c r="H58" s="27" t="str">
        <f aca="false">IF($L58="","",IF(Summary!$C$9="Random",INDEX(Population!$Q$2:$Q$1092,$L58),INDEX(Population!$S$2:$S$1092,$L58)))</f>
        <v/>
      </c>
      <c r="I58" s="12" t="str">
        <f aca="false">IF($L58="","",IF(Summary!$C$9="Random","Below Materiality – Random","Below Materiality – Highest n"))</f>
        <v/>
      </c>
      <c r="J58" s="12" t="str">
        <f aca="false">IF($L58="","",INDEX(Population!$N$2:$N$1092,$L58))</f>
        <v/>
      </c>
      <c r="K58" s="12" t="str">
        <f aca="false">IF($L58="","",INDEX(Population!$G$2:$G$1092,$L58)&amp;" / row "&amp;INDEX(Population!$H$2:$H$1092,$L58))</f>
        <v/>
      </c>
      <c r="L58" s="26" t="str">
        <f aca="false">IF(ROWS($L$5:L58)&lt;=N(Summary!$C$8),IFERROR(MATCH("Population 2|R|"&amp;ROWS($L$5:L58),Population!$V$2:$V$1092,0),""),"")</f>
        <v/>
      </c>
    </row>
    <row r="59" customFormat="false" ht="15" hidden="false" customHeight="false" outlineLevel="0" collapsed="false">
      <c r="A59" s="12" t="str">
        <f aca="false">IF($L59="","",INDEX(Population!$B$2:$B$1092,$L59)&amp;"")</f>
        <v/>
      </c>
      <c r="B59" s="12" t="str">
        <f aca="false">IF($L59="","",INDEX(Population!$C$2:$C$1092,$L59)&amp;"")</f>
        <v/>
      </c>
      <c r="C59" s="12" t="str">
        <f aca="false">IF($L59="","",INDEX(Population!$D$2:$D$1092,$L59)&amp;"")</f>
        <v/>
      </c>
      <c r="D59" s="12" t="str">
        <f aca="false">IF($L59="","",INDEX(Population!$E$2:$E$1092,$L59))</f>
        <v/>
      </c>
      <c r="E59" s="12" t="str">
        <f aca="false">IF($L59="","",INDEX(Population!$F$2:$F$1092,$L59))</f>
        <v/>
      </c>
      <c r="F59" s="16" t="str">
        <f aca="false">IF($L59="","",INDEX(Population!$L$2:$L$1092,$L59))</f>
        <v/>
      </c>
      <c r="G59" s="16" t="str">
        <f aca="false">IF($L59="","",INDEX(Population!$M$2:$M$1092,$L59))</f>
        <v/>
      </c>
      <c r="H59" s="27" t="str">
        <f aca="false">IF($L59="","",IF(Summary!$C$9="Random",INDEX(Population!$Q$2:$Q$1092,$L59),INDEX(Population!$S$2:$S$1092,$L59)))</f>
        <v/>
      </c>
      <c r="I59" s="12" t="str">
        <f aca="false">IF($L59="","",IF(Summary!$C$9="Random","Below Materiality – Random","Below Materiality – Highest n"))</f>
        <v/>
      </c>
      <c r="J59" s="12" t="str">
        <f aca="false">IF($L59="","",INDEX(Population!$N$2:$N$1092,$L59))</f>
        <v/>
      </c>
      <c r="K59" s="12" t="str">
        <f aca="false">IF($L59="","",INDEX(Population!$G$2:$G$1092,$L59)&amp;" / row "&amp;INDEX(Population!$H$2:$H$1092,$L59))</f>
        <v/>
      </c>
      <c r="L59" s="26" t="str">
        <f aca="false">IF(ROWS($L$5:L59)&lt;=N(Summary!$C$8),IFERROR(MATCH("Population 2|R|"&amp;ROWS($L$5:L59),Population!$V$2:$V$1092,0),""),"")</f>
        <v/>
      </c>
    </row>
    <row r="60" customFormat="false" ht="15" hidden="false" customHeight="false" outlineLevel="0" collapsed="false">
      <c r="A60" s="12" t="str">
        <f aca="false">IF($L60="","",INDEX(Population!$B$2:$B$1092,$L60)&amp;"")</f>
        <v/>
      </c>
      <c r="B60" s="12" t="str">
        <f aca="false">IF($L60="","",INDEX(Population!$C$2:$C$1092,$L60)&amp;"")</f>
        <v/>
      </c>
      <c r="C60" s="12" t="str">
        <f aca="false">IF($L60="","",INDEX(Population!$D$2:$D$1092,$L60)&amp;"")</f>
        <v/>
      </c>
      <c r="D60" s="12" t="str">
        <f aca="false">IF($L60="","",INDEX(Population!$E$2:$E$1092,$L60))</f>
        <v/>
      </c>
      <c r="E60" s="12" t="str">
        <f aca="false">IF($L60="","",INDEX(Population!$F$2:$F$1092,$L60))</f>
        <v/>
      </c>
      <c r="F60" s="16" t="str">
        <f aca="false">IF($L60="","",INDEX(Population!$L$2:$L$1092,$L60))</f>
        <v/>
      </c>
      <c r="G60" s="16" t="str">
        <f aca="false">IF($L60="","",INDEX(Population!$M$2:$M$1092,$L60))</f>
        <v/>
      </c>
      <c r="H60" s="27" t="str">
        <f aca="false">IF($L60="","",IF(Summary!$C$9="Random",INDEX(Population!$Q$2:$Q$1092,$L60),INDEX(Population!$S$2:$S$1092,$L60)))</f>
        <v/>
      </c>
      <c r="I60" s="12" t="str">
        <f aca="false">IF($L60="","",IF(Summary!$C$9="Random","Below Materiality – Random","Below Materiality – Highest n"))</f>
        <v/>
      </c>
      <c r="J60" s="12" t="str">
        <f aca="false">IF($L60="","",INDEX(Population!$N$2:$N$1092,$L60))</f>
        <v/>
      </c>
      <c r="K60" s="12" t="str">
        <f aca="false">IF($L60="","",INDEX(Population!$G$2:$G$1092,$L60)&amp;" / row "&amp;INDEX(Population!$H$2:$H$1092,$L60))</f>
        <v/>
      </c>
      <c r="L60" s="26" t="str">
        <f aca="false">IF(ROWS($L$5:L60)&lt;=N(Summary!$C$8),IFERROR(MATCH("Population 2|R|"&amp;ROWS($L$5:L60),Population!$V$2:$V$1092,0),""),"")</f>
        <v/>
      </c>
    </row>
    <row r="61" customFormat="false" ht="15" hidden="false" customHeight="false" outlineLevel="0" collapsed="false">
      <c r="A61" s="12" t="str">
        <f aca="false">IF($L61="","",INDEX(Population!$B$2:$B$1092,$L61)&amp;"")</f>
        <v/>
      </c>
      <c r="B61" s="12" t="str">
        <f aca="false">IF($L61="","",INDEX(Population!$C$2:$C$1092,$L61)&amp;"")</f>
        <v/>
      </c>
      <c r="C61" s="12" t="str">
        <f aca="false">IF($L61="","",INDEX(Population!$D$2:$D$1092,$L61)&amp;"")</f>
        <v/>
      </c>
      <c r="D61" s="12" t="str">
        <f aca="false">IF($L61="","",INDEX(Population!$E$2:$E$1092,$L61))</f>
        <v/>
      </c>
      <c r="E61" s="12" t="str">
        <f aca="false">IF($L61="","",INDEX(Population!$F$2:$F$1092,$L61))</f>
        <v/>
      </c>
      <c r="F61" s="16" t="str">
        <f aca="false">IF($L61="","",INDEX(Population!$L$2:$L$1092,$L61))</f>
        <v/>
      </c>
      <c r="G61" s="16" t="str">
        <f aca="false">IF($L61="","",INDEX(Population!$M$2:$M$1092,$L61))</f>
        <v/>
      </c>
      <c r="H61" s="27" t="str">
        <f aca="false">IF($L61="","",IF(Summary!$C$9="Random",INDEX(Population!$Q$2:$Q$1092,$L61),INDEX(Population!$S$2:$S$1092,$L61)))</f>
        <v/>
      </c>
      <c r="I61" s="12" t="str">
        <f aca="false">IF($L61="","",IF(Summary!$C$9="Random","Below Materiality – Random","Below Materiality – Highest n"))</f>
        <v/>
      </c>
      <c r="J61" s="12" t="str">
        <f aca="false">IF($L61="","",INDEX(Population!$N$2:$N$1092,$L61))</f>
        <v/>
      </c>
      <c r="K61" s="12" t="str">
        <f aca="false">IF($L61="","",INDEX(Population!$G$2:$G$1092,$L61)&amp;" / row "&amp;INDEX(Population!$H$2:$H$1092,$L61))</f>
        <v/>
      </c>
      <c r="L61" s="26" t="str">
        <f aca="false">IF(ROWS($L$5:L61)&lt;=N(Summary!$C$8),IFERROR(MATCH("Population 2|R|"&amp;ROWS($L$5:L61),Population!$V$2:$V$1092,0),""),"")</f>
        <v/>
      </c>
    </row>
    <row r="62" customFormat="false" ht="15" hidden="false" customHeight="false" outlineLevel="0" collapsed="false">
      <c r="A62" s="12" t="str">
        <f aca="false">IF($L62="","",INDEX(Population!$B$2:$B$1092,$L62)&amp;"")</f>
        <v/>
      </c>
      <c r="B62" s="12" t="str">
        <f aca="false">IF($L62="","",INDEX(Population!$C$2:$C$1092,$L62)&amp;"")</f>
        <v/>
      </c>
      <c r="C62" s="12" t="str">
        <f aca="false">IF($L62="","",INDEX(Population!$D$2:$D$1092,$L62)&amp;"")</f>
        <v/>
      </c>
      <c r="D62" s="12" t="str">
        <f aca="false">IF($L62="","",INDEX(Population!$E$2:$E$1092,$L62))</f>
        <v/>
      </c>
      <c r="E62" s="12" t="str">
        <f aca="false">IF($L62="","",INDEX(Population!$F$2:$F$1092,$L62))</f>
        <v/>
      </c>
      <c r="F62" s="16" t="str">
        <f aca="false">IF($L62="","",INDEX(Population!$L$2:$L$1092,$L62))</f>
        <v/>
      </c>
      <c r="G62" s="16" t="str">
        <f aca="false">IF($L62="","",INDEX(Population!$M$2:$M$1092,$L62))</f>
        <v/>
      </c>
      <c r="H62" s="27" t="str">
        <f aca="false">IF($L62="","",IF(Summary!$C$9="Random",INDEX(Population!$Q$2:$Q$1092,$L62),INDEX(Population!$S$2:$S$1092,$L62)))</f>
        <v/>
      </c>
      <c r="I62" s="12" t="str">
        <f aca="false">IF($L62="","",IF(Summary!$C$9="Random","Below Materiality – Random","Below Materiality – Highest n"))</f>
        <v/>
      </c>
      <c r="J62" s="12" t="str">
        <f aca="false">IF($L62="","",INDEX(Population!$N$2:$N$1092,$L62))</f>
        <v/>
      </c>
      <c r="K62" s="12" t="str">
        <f aca="false">IF($L62="","",INDEX(Population!$G$2:$G$1092,$L62)&amp;" / row "&amp;INDEX(Population!$H$2:$H$1092,$L62))</f>
        <v/>
      </c>
      <c r="L62" s="26" t="str">
        <f aca="false">IF(ROWS($L$5:L62)&lt;=N(Summary!$C$8),IFERROR(MATCH("Population 2|R|"&amp;ROWS($L$5:L62),Population!$V$2:$V$1092,0),""),"")</f>
        <v/>
      </c>
    </row>
    <row r="63" customFormat="false" ht="15" hidden="false" customHeight="false" outlineLevel="0" collapsed="false">
      <c r="A63" s="12" t="str">
        <f aca="false">IF($L63="","",INDEX(Population!$B$2:$B$1092,$L63)&amp;"")</f>
        <v/>
      </c>
      <c r="B63" s="12" t="str">
        <f aca="false">IF($L63="","",INDEX(Population!$C$2:$C$1092,$L63)&amp;"")</f>
        <v/>
      </c>
      <c r="C63" s="12" t="str">
        <f aca="false">IF($L63="","",INDEX(Population!$D$2:$D$1092,$L63)&amp;"")</f>
        <v/>
      </c>
      <c r="D63" s="12" t="str">
        <f aca="false">IF($L63="","",INDEX(Population!$E$2:$E$1092,$L63))</f>
        <v/>
      </c>
      <c r="E63" s="12" t="str">
        <f aca="false">IF($L63="","",INDEX(Population!$F$2:$F$1092,$L63))</f>
        <v/>
      </c>
      <c r="F63" s="16" t="str">
        <f aca="false">IF($L63="","",INDEX(Population!$L$2:$L$1092,$L63))</f>
        <v/>
      </c>
      <c r="G63" s="16" t="str">
        <f aca="false">IF($L63="","",INDEX(Population!$M$2:$M$1092,$L63))</f>
        <v/>
      </c>
      <c r="H63" s="27" t="str">
        <f aca="false">IF($L63="","",IF(Summary!$C$9="Random",INDEX(Population!$Q$2:$Q$1092,$L63),INDEX(Population!$S$2:$S$1092,$L63)))</f>
        <v/>
      </c>
      <c r="I63" s="12" t="str">
        <f aca="false">IF($L63="","",IF(Summary!$C$9="Random","Below Materiality – Random","Below Materiality – Highest n"))</f>
        <v/>
      </c>
      <c r="J63" s="12" t="str">
        <f aca="false">IF($L63="","",INDEX(Population!$N$2:$N$1092,$L63))</f>
        <v/>
      </c>
      <c r="K63" s="12" t="str">
        <f aca="false">IF($L63="","",INDEX(Population!$G$2:$G$1092,$L63)&amp;" / row "&amp;INDEX(Population!$H$2:$H$1092,$L63))</f>
        <v/>
      </c>
      <c r="L63" s="26" t="str">
        <f aca="false">IF(ROWS($L$5:L63)&lt;=N(Summary!$C$8),IFERROR(MATCH("Population 2|R|"&amp;ROWS($L$5:L63),Population!$V$2:$V$1092,0),""),"")</f>
        <v/>
      </c>
    </row>
    <row r="64" customFormat="false" ht="15" hidden="false" customHeight="false" outlineLevel="0" collapsed="false">
      <c r="A64" s="12" t="str">
        <f aca="false">IF($L64="","",INDEX(Population!$B$2:$B$1092,$L64)&amp;"")</f>
        <v/>
      </c>
      <c r="B64" s="12" t="str">
        <f aca="false">IF($L64="","",INDEX(Population!$C$2:$C$1092,$L64)&amp;"")</f>
        <v/>
      </c>
      <c r="C64" s="12" t="str">
        <f aca="false">IF($L64="","",INDEX(Population!$D$2:$D$1092,$L64)&amp;"")</f>
        <v/>
      </c>
      <c r="D64" s="12" t="str">
        <f aca="false">IF($L64="","",INDEX(Population!$E$2:$E$1092,$L64))</f>
        <v/>
      </c>
      <c r="E64" s="12" t="str">
        <f aca="false">IF($L64="","",INDEX(Population!$F$2:$F$1092,$L64))</f>
        <v/>
      </c>
      <c r="F64" s="16" t="str">
        <f aca="false">IF($L64="","",INDEX(Population!$L$2:$L$1092,$L64))</f>
        <v/>
      </c>
      <c r="G64" s="16" t="str">
        <f aca="false">IF($L64="","",INDEX(Population!$M$2:$M$1092,$L64))</f>
        <v/>
      </c>
      <c r="H64" s="27" t="str">
        <f aca="false">IF($L64="","",IF(Summary!$C$9="Random",INDEX(Population!$Q$2:$Q$1092,$L64),INDEX(Population!$S$2:$S$1092,$L64)))</f>
        <v/>
      </c>
      <c r="I64" s="12" t="str">
        <f aca="false">IF($L64="","",IF(Summary!$C$9="Random","Below Materiality – Random","Below Materiality – Highest n"))</f>
        <v/>
      </c>
      <c r="J64" s="12" t="str">
        <f aca="false">IF($L64="","",INDEX(Population!$N$2:$N$1092,$L64))</f>
        <v/>
      </c>
      <c r="K64" s="12" t="str">
        <f aca="false">IF($L64="","",INDEX(Population!$G$2:$G$1092,$L64)&amp;" / row "&amp;INDEX(Population!$H$2:$H$1092,$L64))</f>
        <v/>
      </c>
      <c r="L64" s="26" t="str">
        <f aca="false">IF(ROWS($L$5:L64)&lt;=N(Summary!$C$8),IFERROR(MATCH("Population 2|R|"&amp;ROWS($L$5:L64),Population!$V$2:$V$1092,0),""),"")</f>
        <v/>
      </c>
    </row>
    <row r="65" customFormat="false" ht="15" hidden="false" customHeight="false" outlineLevel="0" collapsed="false">
      <c r="A65" s="12" t="str">
        <f aca="false">IF($L65="","",INDEX(Population!$B$2:$B$1092,$L65)&amp;"")</f>
        <v/>
      </c>
      <c r="B65" s="12" t="str">
        <f aca="false">IF($L65="","",INDEX(Population!$C$2:$C$1092,$L65)&amp;"")</f>
        <v/>
      </c>
      <c r="C65" s="12" t="str">
        <f aca="false">IF($L65="","",INDEX(Population!$D$2:$D$1092,$L65)&amp;"")</f>
        <v/>
      </c>
      <c r="D65" s="12" t="str">
        <f aca="false">IF($L65="","",INDEX(Population!$E$2:$E$1092,$L65))</f>
        <v/>
      </c>
      <c r="E65" s="12" t="str">
        <f aca="false">IF($L65="","",INDEX(Population!$F$2:$F$1092,$L65))</f>
        <v/>
      </c>
      <c r="F65" s="16" t="str">
        <f aca="false">IF($L65="","",INDEX(Population!$L$2:$L$1092,$L65))</f>
        <v/>
      </c>
      <c r="G65" s="16" t="str">
        <f aca="false">IF($L65="","",INDEX(Population!$M$2:$M$1092,$L65))</f>
        <v/>
      </c>
      <c r="H65" s="27" t="str">
        <f aca="false">IF($L65="","",IF(Summary!$C$9="Random",INDEX(Population!$Q$2:$Q$1092,$L65),INDEX(Population!$S$2:$S$1092,$L65)))</f>
        <v/>
      </c>
      <c r="I65" s="12" t="str">
        <f aca="false">IF($L65="","",IF(Summary!$C$9="Random","Below Materiality – Random","Below Materiality – Highest n"))</f>
        <v/>
      </c>
      <c r="J65" s="12" t="str">
        <f aca="false">IF($L65="","",INDEX(Population!$N$2:$N$1092,$L65))</f>
        <v/>
      </c>
      <c r="K65" s="12" t="str">
        <f aca="false">IF($L65="","",INDEX(Population!$G$2:$G$1092,$L65)&amp;" / row "&amp;INDEX(Population!$H$2:$H$1092,$L65))</f>
        <v/>
      </c>
      <c r="L65" s="26" t="str">
        <f aca="false">IF(ROWS($L$5:L65)&lt;=N(Summary!$C$8),IFERROR(MATCH("Population 2|R|"&amp;ROWS($L$5:L65),Population!$V$2:$V$1092,0),""),"")</f>
        <v/>
      </c>
    </row>
    <row r="66" customFormat="false" ht="15" hidden="false" customHeight="false" outlineLevel="0" collapsed="false">
      <c r="A66" s="12" t="str">
        <f aca="false">IF($L66="","",INDEX(Population!$B$2:$B$1092,$L66)&amp;"")</f>
        <v/>
      </c>
      <c r="B66" s="12" t="str">
        <f aca="false">IF($L66="","",INDEX(Population!$C$2:$C$1092,$L66)&amp;"")</f>
        <v/>
      </c>
      <c r="C66" s="12" t="str">
        <f aca="false">IF($L66="","",INDEX(Population!$D$2:$D$1092,$L66)&amp;"")</f>
        <v/>
      </c>
      <c r="D66" s="12" t="str">
        <f aca="false">IF($L66="","",INDEX(Population!$E$2:$E$1092,$L66))</f>
        <v/>
      </c>
      <c r="E66" s="12" t="str">
        <f aca="false">IF($L66="","",INDEX(Population!$F$2:$F$1092,$L66))</f>
        <v/>
      </c>
      <c r="F66" s="16" t="str">
        <f aca="false">IF($L66="","",INDEX(Population!$L$2:$L$1092,$L66))</f>
        <v/>
      </c>
      <c r="G66" s="16" t="str">
        <f aca="false">IF($L66="","",INDEX(Population!$M$2:$M$1092,$L66))</f>
        <v/>
      </c>
      <c r="H66" s="27" t="str">
        <f aca="false">IF($L66="","",IF(Summary!$C$9="Random",INDEX(Population!$Q$2:$Q$1092,$L66),INDEX(Population!$S$2:$S$1092,$L66)))</f>
        <v/>
      </c>
      <c r="I66" s="12" t="str">
        <f aca="false">IF($L66="","",IF(Summary!$C$9="Random","Below Materiality – Random","Below Materiality – Highest n"))</f>
        <v/>
      </c>
      <c r="J66" s="12" t="str">
        <f aca="false">IF($L66="","",INDEX(Population!$N$2:$N$1092,$L66))</f>
        <v/>
      </c>
      <c r="K66" s="12" t="str">
        <f aca="false">IF($L66="","",INDEX(Population!$G$2:$G$1092,$L66)&amp;" / row "&amp;INDEX(Population!$H$2:$H$1092,$L66))</f>
        <v/>
      </c>
      <c r="L66" s="26" t="str">
        <f aca="false">IF(ROWS($L$5:L66)&lt;=N(Summary!$C$8),IFERROR(MATCH("Population 2|R|"&amp;ROWS($L$5:L66),Population!$V$2:$V$1092,0),""),"")</f>
        <v/>
      </c>
    </row>
    <row r="67" customFormat="false" ht="15" hidden="false" customHeight="false" outlineLevel="0" collapsed="false">
      <c r="A67" s="12" t="str">
        <f aca="false">IF($L67="","",INDEX(Population!$B$2:$B$1092,$L67)&amp;"")</f>
        <v/>
      </c>
      <c r="B67" s="12" t="str">
        <f aca="false">IF($L67="","",INDEX(Population!$C$2:$C$1092,$L67)&amp;"")</f>
        <v/>
      </c>
      <c r="C67" s="12" t="str">
        <f aca="false">IF($L67="","",INDEX(Population!$D$2:$D$1092,$L67)&amp;"")</f>
        <v/>
      </c>
      <c r="D67" s="12" t="str">
        <f aca="false">IF($L67="","",INDEX(Population!$E$2:$E$1092,$L67))</f>
        <v/>
      </c>
      <c r="E67" s="12" t="str">
        <f aca="false">IF($L67="","",INDEX(Population!$F$2:$F$1092,$L67))</f>
        <v/>
      </c>
      <c r="F67" s="16" t="str">
        <f aca="false">IF($L67="","",INDEX(Population!$L$2:$L$1092,$L67))</f>
        <v/>
      </c>
      <c r="G67" s="16" t="str">
        <f aca="false">IF($L67="","",INDEX(Population!$M$2:$M$1092,$L67))</f>
        <v/>
      </c>
      <c r="H67" s="27" t="str">
        <f aca="false">IF($L67="","",IF(Summary!$C$9="Random",INDEX(Population!$Q$2:$Q$1092,$L67),INDEX(Population!$S$2:$S$1092,$L67)))</f>
        <v/>
      </c>
      <c r="I67" s="12" t="str">
        <f aca="false">IF($L67="","",IF(Summary!$C$9="Random","Below Materiality – Random","Below Materiality – Highest n"))</f>
        <v/>
      </c>
      <c r="J67" s="12" t="str">
        <f aca="false">IF($L67="","",INDEX(Population!$N$2:$N$1092,$L67))</f>
        <v/>
      </c>
      <c r="K67" s="12" t="str">
        <f aca="false">IF($L67="","",INDEX(Population!$G$2:$G$1092,$L67)&amp;" / row "&amp;INDEX(Population!$H$2:$H$1092,$L67))</f>
        <v/>
      </c>
      <c r="L67" s="26" t="str">
        <f aca="false">IF(ROWS($L$5:L67)&lt;=N(Summary!$C$8),IFERROR(MATCH("Population 2|R|"&amp;ROWS($L$5:L67),Population!$V$2:$V$1092,0),""),"")</f>
        <v/>
      </c>
    </row>
    <row r="68" customFormat="false" ht="15" hidden="false" customHeight="false" outlineLevel="0" collapsed="false">
      <c r="A68" s="12" t="str">
        <f aca="false">IF($L68="","",INDEX(Population!$B$2:$B$1092,$L68)&amp;"")</f>
        <v/>
      </c>
      <c r="B68" s="12" t="str">
        <f aca="false">IF($L68="","",INDEX(Population!$C$2:$C$1092,$L68)&amp;"")</f>
        <v/>
      </c>
      <c r="C68" s="12" t="str">
        <f aca="false">IF($L68="","",INDEX(Population!$D$2:$D$1092,$L68)&amp;"")</f>
        <v/>
      </c>
      <c r="D68" s="12" t="str">
        <f aca="false">IF($L68="","",INDEX(Population!$E$2:$E$1092,$L68))</f>
        <v/>
      </c>
      <c r="E68" s="12" t="str">
        <f aca="false">IF($L68="","",INDEX(Population!$F$2:$F$1092,$L68))</f>
        <v/>
      </c>
      <c r="F68" s="16" t="str">
        <f aca="false">IF($L68="","",INDEX(Population!$L$2:$L$1092,$L68))</f>
        <v/>
      </c>
      <c r="G68" s="16" t="str">
        <f aca="false">IF($L68="","",INDEX(Population!$M$2:$M$1092,$L68))</f>
        <v/>
      </c>
      <c r="H68" s="27" t="str">
        <f aca="false">IF($L68="","",IF(Summary!$C$9="Random",INDEX(Population!$Q$2:$Q$1092,$L68),INDEX(Population!$S$2:$S$1092,$L68)))</f>
        <v/>
      </c>
      <c r="I68" s="12" t="str">
        <f aca="false">IF($L68="","",IF(Summary!$C$9="Random","Below Materiality – Random","Below Materiality – Highest n"))</f>
        <v/>
      </c>
      <c r="J68" s="12" t="str">
        <f aca="false">IF($L68="","",INDEX(Population!$N$2:$N$1092,$L68))</f>
        <v/>
      </c>
      <c r="K68" s="12" t="str">
        <f aca="false">IF($L68="","",INDEX(Population!$G$2:$G$1092,$L68)&amp;" / row "&amp;INDEX(Population!$H$2:$H$1092,$L68))</f>
        <v/>
      </c>
      <c r="L68" s="26" t="str">
        <f aca="false">IF(ROWS($L$5:L68)&lt;=N(Summary!$C$8),IFERROR(MATCH("Population 2|R|"&amp;ROWS($L$5:L68),Population!$V$2:$V$1092,0),""),"")</f>
        <v/>
      </c>
    </row>
    <row r="69" customFormat="false" ht="15" hidden="false" customHeight="false" outlineLevel="0" collapsed="false">
      <c r="A69" s="12" t="str">
        <f aca="false">IF($L69="","",INDEX(Population!$B$2:$B$1092,$L69)&amp;"")</f>
        <v/>
      </c>
      <c r="B69" s="12" t="str">
        <f aca="false">IF($L69="","",INDEX(Population!$C$2:$C$1092,$L69)&amp;"")</f>
        <v/>
      </c>
      <c r="C69" s="12" t="str">
        <f aca="false">IF($L69="","",INDEX(Population!$D$2:$D$1092,$L69)&amp;"")</f>
        <v/>
      </c>
      <c r="D69" s="12" t="str">
        <f aca="false">IF($L69="","",INDEX(Population!$E$2:$E$1092,$L69))</f>
        <v/>
      </c>
      <c r="E69" s="12" t="str">
        <f aca="false">IF($L69="","",INDEX(Population!$F$2:$F$1092,$L69))</f>
        <v/>
      </c>
      <c r="F69" s="16" t="str">
        <f aca="false">IF($L69="","",INDEX(Population!$L$2:$L$1092,$L69))</f>
        <v/>
      </c>
      <c r="G69" s="16" t="str">
        <f aca="false">IF($L69="","",INDEX(Population!$M$2:$M$1092,$L69))</f>
        <v/>
      </c>
      <c r="H69" s="27" t="str">
        <f aca="false">IF($L69="","",IF(Summary!$C$9="Random",INDEX(Population!$Q$2:$Q$1092,$L69),INDEX(Population!$S$2:$S$1092,$L69)))</f>
        <v/>
      </c>
      <c r="I69" s="12" t="str">
        <f aca="false">IF($L69="","",IF(Summary!$C$9="Random","Below Materiality – Random","Below Materiality – Highest n"))</f>
        <v/>
      </c>
      <c r="J69" s="12" t="str">
        <f aca="false">IF($L69="","",INDEX(Population!$N$2:$N$1092,$L69))</f>
        <v/>
      </c>
      <c r="K69" s="12" t="str">
        <f aca="false">IF($L69="","",INDEX(Population!$G$2:$G$1092,$L69)&amp;" / row "&amp;INDEX(Population!$H$2:$H$1092,$L69))</f>
        <v/>
      </c>
      <c r="L69" s="26" t="str">
        <f aca="false">IF(ROWS($L$5:L69)&lt;=N(Summary!$C$8),IFERROR(MATCH("Population 2|R|"&amp;ROWS($L$5:L69),Population!$V$2:$V$1092,0),""),"")</f>
        <v/>
      </c>
    </row>
    <row r="70" customFormat="false" ht="15" hidden="false" customHeight="false" outlineLevel="0" collapsed="false">
      <c r="A70" s="12" t="str">
        <f aca="false">IF($L70="","",INDEX(Population!$B$2:$B$1092,$L70)&amp;"")</f>
        <v/>
      </c>
      <c r="B70" s="12" t="str">
        <f aca="false">IF($L70="","",INDEX(Population!$C$2:$C$1092,$L70)&amp;"")</f>
        <v/>
      </c>
      <c r="C70" s="12" t="str">
        <f aca="false">IF($L70="","",INDEX(Population!$D$2:$D$1092,$L70)&amp;"")</f>
        <v/>
      </c>
      <c r="D70" s="12" t="str">
        <f aca="false">IF($L70="","",INDEX(Population!$E$2:$E$1092,$L70))</f>
        <v/>
      </c>
      <c r="E70" s="12" t="str">
        <f aca="false">IF($L70="","",INDEX(Population!$F$2:$F$1092,$L70))</f>
        <v/>
      </c>
      <c r="F70" s="16" t="str">
        <f aca="false">IF($L70="","",INDEX(Population!$L$2:$L$1092,$L70))</f>
        <v/>
      </c>
      <c r="G70" s="16" t="str">
        <f aca="false">IF($L70="","",INDEX(Population!$M$2:$M$1092,$L70))</f>
        <v/>
      </c>
      <c r="H70" s="27" t="str">
        <f aca="false">IF($L70="","",IF(Summary!$C$9="Random",INDEX(Population!$Q$2:$Q$1092,$L70),INDEX(Population!$S$2:$S$1092,$L70)))</f>
        <v/>
      </c>
      <c r="I70" s="12" t="str">
        <f aca="false">IF($L70="","",IF(Summary!$C$9="Random","Below Materiality – Random","Below Materiality – Highest n"))</f>
        <v/>
      </c>
      <c r="J70" s="12" t="str">
        <f aca="false">IF($L70="","",INDEX(Population!$N$2:$N$1092,$L70))</f>
        <v/>
      </c>
      <c r="K70" s="12" t="str">
        <f aca="false">IF($L70="","",INDEX(Population!$G$2:$G$1092,$L70)&amp;" / row "&amp;INDEX(Population!$H$2:$H$1092,$L70))</f>
        <v/>
      </c>
      <c r="L70" s="26" t="str">
        <f aca="false">IF(ROWS($L$5:L70)&lt;=N(Summary!$C$8),IFERROR(MATCH("Population 2|R|"&amp;ROWS($L$5:L70),Population!$V$2:$V$1092,0),""),"")</f>
        <v/>
      </c>
    </row>
    <row r="71" customFormat="false" ht="15" hidden="false" customHeight="false" outlineLevel="0" collapsed="false">
      <c r="A71" s="12" t="str">
        <f aca="false">IF($L71="","",INDEX(Population!$B$2:$B$1092,$L71)&amp;"")</f>
        <v/>
      </c>
      <c r="B71" s="12" t="str">
        <f aca="false">IF($L71="","",INDEX(Population!$C$2:$C$1092,$L71)&amp;"")</f>
        <v/>
      </c>
      <c r="C71" s="12" t="str">
        <f aca="false">IF($L71="","",INDEX(Population!$D$2:$D$1092,$L71)&amp;"")</f>
        <v/>
      </c>
      <c r="D71" s="12" t="str">
        <f aca="false">IF($L71="","",INDEX(Population!$E$2:$E$1092,$L71))</f>
        <v/>
      </c>
      <c r="E71" s="12" t="str">
        <f aca="false">IF($L71="","",INDEX(Population!$F$2:$F$1092,$L71))</f>
        <v/>
      </c>
      <c r="F71" s="16" t="str">
        <f aca="false">IF($L71="","",INDEX(Population!$L$2:$L$1092,$L71))</f>
        <v/>
      </c>
      <c r="G71" s="16" t="str">
        <f aca="false">IF($L71="","",INDEX(Population!$M$2:$M$1092,$L71))</f>
        <v/>
      </c>
      <c r="H71" s="27" t="str">
        <f aca="false">IF($L71="","",IF(Summary!$C$9="Random",INDEX(Population!$Q$2:$Q$1092,$L71),INDEX(Population!$S$2:$S$1092,$L71)))</f>
        <v/>
      </c>
      <c r="I71" s="12" t="str">
        <f aca="false">IF($L71="","",IF(Summary!$C$9="Random","Below Materiality – Random","Below Materiality – Highest n"))</f>
        <v/>
      </c>
      <c r="J71" s="12" t="str">
        <f aca="false">IF($L71="","",INDEX(Population!$N$2:$N$1092,$L71))</f>
        <v/>
      </c>
      <c r="K71" s="12" t="str">
        <f aca="false">IF($L71="","",INDEX(Population!$G$2:$G$1092,$L71)&amp;" / row "&amp;INDEX(Population!$H$2:$H$1092,$L71))</f>
        <v/>
      </c>
      <c r="L71" s="26" t="str">
        <f aca="false">IF(ROWS($L$5:L71)&lt;=N(Summary!$C$8),IFERROR(MATCH("Population 2|R|"&amp;ROWS($L$5:L71),Population!$V$2:$V$1092,0),""),"")</f>
        <v/>
      </c>
    </row>
    <row r="72" customFormat="false" ht="15" hidden="false" customHeight="false" outlineLevel="0" collapsed="false">
      <c r="A72" s="12" t="str">
        <f aca="false">IF($L72="","",INDEX(Population!$B$2:$B$1092,$L72)&amp;"")</f>
        <v/>
      </c>
      <c r="B72" s="12" t="str">
        <f aca="false">IF($L72="","",INDEX(Population!$C$2:$C$1092,$L72)&amp;"")</f>
        <v/>
      </c>
      <c r="C72" s="12" t="str">
        <f aca="false">IF($L72="","",INDEX(Population!$D$2:$D$1092,$L72)&amp;"")</f>
        <v/>
      </c>
      <c r="D72" s="12" t="str">
        <f aca="false">IF($L72="","",INDEX(Population!$E$2:$E$1092,$L72))</f>
        <v/>
      </c>
      <c r="E72" s="12" t="str">
        <f aca="false">IF($L72="","",INDEX(Population!$F$2:$F$1092,$L72))</f>
        <v/>
      </c>
      <c r="F72" s="16" t="str">
        <f aca="false">IF($L72="","",INDEX(Population!$L$2:$L$1092,$L72))</f>
        <v/>
      </c>
      <c r="G72" s="16" t="str">
        <f aca="false">IF($L72="","",INDEX(Population!$M$2:$M$1092,$L72))</f>
        <v/>
      </c>
      <c r="H72" s="27" t="str">
        <f aca="false">IF($L72="","",IF(Summary!$C$9="Random",INDEX(Population!$Q$2:$Q$1092,$L72),INDEX(Population!$S$2:$S$1092,$L72)))</f>
        <v/>
      </c>
      <c r="I72" s="12" t="str">
        <f aca="false">IF($L72="","",IF(Summary!$C$9="Random","Below Materiality – Random","Below Materiality – Highest n"))</f>
        <v/>
      </c>
      <c r="J72" s="12" t="str">
        <f aca="false">IF($L72="","",INDEX(Population!$N$2:$N$1092,$L72))</f>
        <v/>
      </c>
      <c r="K72" s="12" t="str">
        <f aca="false">IF($L72="","",INDEX(Population!$G$2:$G$1092,$L72)&amp;" / row "&amp;INDEX(Population!$H$2:$H$1092,$L72))</f>
        <v/>
      </c>
      <c r="L72" s="26" t="str">
        <f aca="false">IF(ROWS($L$5:L72)&lt;=N(Summary!$C$8),IFERROR(MATCH("Population 2|R|"&amp;ROWS($L$5:L72),Population!$V$2:$V$1092,0),""),"")</f>
        <v/>
      </c>
    </row>
    <row r="73" customFormat="false" ht="15" hidden="false" customHeight="false" outlineLevel="0" collapsed="false">
      <c r="A73" s="12" t="str">
        <f aca="false">IF($L73="","",INDEX(Population!$B$2:$B$1092,$L73)&amp;"")</f>
        <v/>
      </c>
      <c r="B73" s="12" t="str">
        <f aca="false">IF($L73="","",INDEX(Population!$C$2:$C$1092,$L73)&amp;"")</f>
        <v/>
      </c>
      <c r="C73" s="12" t="str">
        <f aca="false">IF($L73="","",INDEX(Population!$D$2:$D$1092,$L73)&amp;"")</f>
        <v/>
      </c>
      <c r="D73" s="12" t="str">
        <f aca="false">IF($L73="","",INDEX(Population!$E$2:$E$1092,$L73))</f>
        <v/>
      </c>
      <c r="E73" s="12" t="str">
        <f aca="false">IF($L73="","",INDEX(Population!$F$2:$F$1092,$L73))</f>
        <v/>
      </c>
      <c r="F73" s="16" t="str">
        <f aca="false">IF($L73="","",INDEX(Population!$L$2:$L$1092,$L73))</f>
        <v/>
      </c>
      <c r="G73" s="16" t="str">
        <f aca="false">IF($L73="","",INDEX(Population!$M$2:$M$1092,$L73))</f>
        <v/>
      </c>
      <c r="H73" s="27" t="str">
        <f aca="false">IF($L73="","",IF(Summary!$C$9="Random",INDEX(Population!$Q$2:$Q$1092,$L73),INDEX(Population!$S$2:$S$1092,$L73)))</f>
        <v/>
      </c>
      <c r="I73" s="12" t="str">
        <f aca="false">IF($L73="","",IF(Summary!$C$9="Random","Below Materiality – Random","Below Materiality – Highest n"))</f>
        <v/>
      </c>
      <c r="J73" s="12" t="str">
        <f aca="false">IF($L73="","",INDEX(Population!$N$2:$N$1092,$L73))</f>
        <v/>
      </c>
      <c r="K73" s="12" t="str">
        <f aca="false">IF($L73="","",INDEX(Population!$G$2:$G$1092,$L73)&amp;" / row "&amp;INDEX(Population!$H$2:$H$1092,$L73))</f>
        <v/>
      </c>
      <c r="L73" s="26" t="str">
        <f aca="false">IF(ROWS($L$5:L73)&lt;=N(Summary!$C$8),IFERROR(MATCH("Population 2|R|"&amp;ROWS($L$5:L73),Population!$V$2:$V$1092,0),""),"")</f>
        <v/>
      </c>
    </row>
    <row r="74" customFormat="false" ht="15" hidden="false" customHeight="false" outlineLevel="0" collapsed="false">
      <c r="A74" s="12" t="str">
        <f aca="false">IF($L74="","",INDEX(Population!$B$2:$B$1092,$L74)&amp;"")</f>
        <v/>
      </c>
      <c r="B74" s="12" t="str">
        <f aca="false">IF($L74="","",INDEX(Population!$C$2:$C$1092,$L74)&amp;"")</f>
        <v/>
      </c>
      <c r="C74" s="12" t="str">
        <f aca="false">IF($L74="","",INDEX(Population!$D$2:$D$1092,$L74)&amp;"")</f>
        <v/>
      </c>
      <c r="D74" s="12" t="str">
        <f aca="false">IF($L74="","",INDEX(Population!$E$2:$E$1092,$L74))</f>
        <v/>
      </c>
      <c r="E74" s="12" t="str">
        <f aca="false">IF($L74="","",INDEX(Population!$F$2:$F$1092,$L74))</f>
        <v/>
      </c>
      <c r="F74" s="16" t="str">
        <f aca="false">IF($L74="","",INDEX(Population!$L$2:$L$1092,$L74))</f>
        <v/>
      </c>
      <c r="G74" s="16" t="str">
        <f aca="false">IF($L74="","",INDEX(Population!$M$2:$M$1092,$L74))</f>
        <v/>
      </c>
      <c r="H74" s="27" t="str">
        <f aca="false">IF($L74="","",IF(Summary!$C$9="Random",INDEX(Population!$Q$2:$Q$1092,$L74),INDEX(Population!$S$2:$S$1092,$L74)))</f>
        <v/>
      </c>
      <c r="I74" s="12" t="str">
        <f aca="false">IF($L74="","",IF(Summary!$C$9="Random","Below Materiality – Random","Below Materiality – Highest n"))</f>
        <v/>
      </c>
      <c r="J74" s="12" t="str">
        <f aca="false">IF($L74="","",INDEX(Population!$N$2:$N$1092,$L74))</f>
        <v/>
      </c>
      <c r="K74" s="12" t="str">
        <f aca="false">IF($L74="","",INDEX(Population!$G$2:$G$1092,$L74)&amp;" / row "&amp;INDEX(Population!$H$2:$H$1092,$L74))</f>
        <v/>
      </c>
      <c r="L74" s="26" t="str">
        <f aca="false">IF(ROWS($L$5:L74)&lt;=N(Summary!$C$8),IFERROR(MATCH("Population 2|R|"&amp;ROWS($L$5:L74),Population!$V$2:$V$1092,0),""),"")</f>
        <v/>
      </c>
    </row>
    <row r="75" customFormat="false" ht="15" hidden="false" customHeight="false" outlineLevel="0" collapsed="false">
      <c r="A75" s="12" t="str">
        <f aca="false">IF($L75="","",INDEX(Population!$B$2:$B$1092,$L75)&amp;"")</f>
        <v/>
      </c>
      <c r="B75" s="12" t="str">
        <f aca="false">IF($L75="","",INDEX(Population!$C$2:$C$1092,$L75)&amp;"")</f>
        <v/>
      </c>
      <c r="C75" s="12" t="str">
        <f aca="false">IF($L75="","",INDEX(Population!$D$2:$D$1092,$L75)&amp;"")</f>
        <v/>
      </c>
      <c r="D75" s="12" t="str">
        <f aca="false">IF($L75="","",INDEX(Population!$E$2:$E$1092,$L75))</f>
        <v/>
      </c>
      <c r="E75" s="12" t="str">
        <f aca="false">IF($L75="","",INDEX(Population!$F$2:$F$1092,$L75))</f>
        <v/>
      </c>
      <c r="F75" s="16" t="str">
        <f aca="false">IF($L75="","",INDEX(Population!$L$2:$L$1092,$L75))</f>
        <v/>
      </c>
      <c r="G75" s="16" t="str">
        <f aca="false">IF($L75="","",INDEX(Population!$M$2:$M$1092,$L75))</f>
        <v/>
      </c>
      <c r="H75" s="27" t="str">
        <f aca="false">IF($L75="","",IF(Summary!$C$9="Random",INDEX(Population!$Q$2:$Q$1092,$L75),INDEX(Population!$S$2:$S$1092,$L75)))</f>
        <v/>
      </c>
      <c r="I75" s="12" t="str">
        <f aca="false">IF($L75="","",IF(Summary!$C$9="Random","Below Materiality – Random","Below Materiality – Highest n"))</f>
        <v/>
      </c>
      <c r="J75" s="12" t="str">
        <f aca="false">IF($L75="","",INDEX(Population!$N$2:$N$1092,$L75))</f>
        <v/>
      </c>
      <c r="K75" s="12" t="str">
        <f aca="false">IF($L75="","",INDEX(Population!$G$2:$G$1092,$L75)&amp;" / row "&amp;INDEX(Population!$H$2:$H$1092,$L75))</f>
        <v/>
      </c>
      <c r="L75" s="26" t="str">
        <f aca="false">IF(ROWS($L$5:L75)&lt;=N(Summary!$C$8),IFERROR(MATCH("Population 2|R|"&amp;ROWS($L$5:L75),Population!$V$2:$V$1092,0),""),"")</f>
        <v/>
      </c>
    </row>
    <row r="76" customFormat="false" ht="15" hidden="false" customHeight="false" outlineLevel="0" collapsed="false">
      <c r="A76" s="12" t="str">
        <f aca="false">IF($L76="","",INDEX(Population!$B$2:$B$1092,$L76)&amp;"")</f>
        <v/>
      </c>
      <c r="B76" s="12" t="str">
        <f aca="false">IF($L76="","",INDEX(Population!$C$2:$C$1092,$L76)&amp;"")</f>
        <v/>
      </c>
      <c r="C76" s="12" t="str">
        <f aca="false">IF($L76="","",INDEX(Population!$D$2:$D$1092,$L76)&amp;"")</f>
        <v/>
      </c>
      <c r="D76" s="12" t="str">
        <f aca="false">IF($L76="","",INDEX(Population!$E$2:$E$1092,$L76))</f>
        <v/>
      </c>
      <c r="E76" s="12" t="str">
        <f aca="false">IF($L76="","",INDEX(Population!$F$2:$F$1092,$L76))</f>
        <v/>
      </c>
      <c r="F76" s="16" t="str">
        <f aca="false">IF($L76="","",INDEX(Population!$L$2:$L$1092,$L76))</f>
        <v/>
      </c>
      <c r="G76" s="16" t="str">
        <f aca="false">IF($L76="","",INDEX(Population!$M$2:$M$1092,$L76))</f>
        <v/>
      </c>
      <c r="H76" s="27" t="str">
        <f aca="false">IF($L76="","",IF(Summary!$C$9="Random",INDEX(Population!$Q$2:$Q$1092,$L76),INDEX(Population!$S$2:$S$1092,$L76)))</f>
        <v/>
      </c>
      <c r="I76" s="12" t="str">
        <f aca="false">IF($L76="","",IF(Summary!$C$9="Random","Below Materiality – Random","Below Materiality – Highest n"))</f>
        <v/>
      </c>
      <c r="J76" s="12" t="str">
        <f aca="false">IF($L76="","",INDEX(Population!$N$2:$N$1092,$L76))</f>
        <v/>
      </c>
      <c r="K76" s="12" t="str">
        <f aca="false">IF($L76="","",INDEX(Population!$G$2:$G$1092,$L76)&amp;" / row "&amp;INDEX(Population!$H$2:$H$1092,$L76))</f>
        <v/>
      </c>
      <c r="L76" s="26" t="str">
        <f aca="false">IF(ROWS($L$5:L76)&lt;=N(Summary!$C$8),IFERROR(MATCH("Population 2|R|"&amp;ROWS($L$5:L76),Population!$V$2:$V$1092,0),""),"")</f>
        <v/>
      </c>
    </row>
    <row r="77" customFormat="false" ht="15" hidden="false" customHeight="false" outlineLevel="0" collapsed="false">
      <c r="A77" s="12" t="str">
        <f aca="false">IF($L77="","",INDEX(Population!$B$2:$B$1092,$L77)&amp;"")</f>
        <v/>
      </c>
      <c r="B77" s="12" t="str">
        <f aca="false">IF($L77="","",INDEX(Population!$C$2:$C$1092,$L77)&amp;"")</f>
        <v/>
      </c>
      <c r="C77" s="12" t="str">
        <f aca="false">IF($L77="","",INDEX(Population!$D$2:$D$1092,$L77)&amp;"")</f>
        <v/>
      </c>
      <c r="D77" s="12" t="str">
        <f aca="false">IF($L77="","",INDEX(Population!$E$2:$E$1092,$L77))</f>
        <v/>
      </c>
      <c r="E77" s="12" t="str">
        <f aca="false">IF($L77="","",INDEX(Population!$F$2:$F$1092,$L77))</f>
        <v/>
      </c>
      <c r="F77" s="16" t="str">
        <f aca="false">IF($L77="","",INDEX(Population!$L$2:$L$1092,$L77))</f>
        <v/>
      </c>
      <c r="G77" s="16" t="str">
        <f aca="false">IF($L77="","",INDEX(Population!$M$2:$M$1092,$L77))</f>
        <v/>
      </c>
      <c r="H77" s="27" t="str">
        <f aca="false">IF($L77="","",IF(Summary!$C$9="Random",INDEX(Population!$Q$2:$Q$1092,$L77),INDEX(Population!$S$2:$S$1092,$L77)))</f>
        <v/>
      </c>
      <c r="I77" s="12" t="str">
        <f aca="false">IF($L77="","",IF(Summary!$C$9="Random","Below Materiality – Random","Below Materiality – Highest n"))</f>
        <v/>
      </c>
      <c r="J77" s="12" t="str">
        <f aca="false">IF($L77="","",INDEX(Population!$N$2:$N$1092,$L77))</f>
        <v/>
      </c>
      <c r="K77" s="12" t="str">
        <f aca="false">IF($L77="","",INDEX(Population!$G$2:$G$1092,$L77)&amp;" / row "&amp;INDEX(Population!$H$2:$H$1092,$L77))</f>
        <v/>
      </c>
      <c r="L77" s="26" t="str">
        <f aca="false">IF(ROWS($L$5:L77)&lt;=N(Summary!$C$8),IFERROR(MATCH("Population 2|R|"&amp;ROWS($L$5:L77),Population!$V$2:$V$1092,0),""),"")</f>
        <v/>
      </c>
    </row>
    <row r="78" customFormat="false" ht="15" hidden="false" customHeight="false" outlineLevel="0" collapsed="false">
      <c r="A78" s="12" t="str">
        <f aca="false">IF($L78="","",INDEX(Population!$B$2:$B$1092,$L78)&amp;"")</f>
        <v/>
      </c>
      <c r="B78" s="12" t="str">
        <f aca="false">IF($L78="","",INDEX(Population!$C$2:$C$1092,$L78)&amp;"")</f>
        <v/>
      </c>
      <c r="C78" s="12" t="str">
        <f aca="false">IF($L78="","",INDEX(Population!$D$2:$D$1092,$L78)&amp;"")</f>
        <v/>
      </c>
      <c r="D78" s="12" t="str">
        <f aca="false">IF($L78="","",INDEX(Population!$E$2:$E$1092,$L78))</f>
        <v/>
      </c>
      <c r="E78" s="12" t="str">
        <f aca="false">IF($L78="","",INDEX(Population!$F$2:$F$1092,$L78))</f>
        <v/>
      </c>
      <c r="F78" s="16" t="str">
        <f aca="false">IF($L78="","",INDEX(Population!$L$2:$L$1092,$L78))</f>
        <v/>
      </c>
      <c r="G78" s="16" t="str">
        <f aca="false">IF($L78="","",INDEX(Population!$M$2:$M$1092,$L78))</f>
        <v/>
      </c>
      <c r="H78" s="27" t="str">
        <f aca="false">IF($L78="","",IF(Summary!$C$9="Random",INDEX(Population!$Q$2:$Q$1092,$L78),INDEX(Population!$S$2:$S$1092,$L78)))</f>
        <v/>
      </c>
      <c r="I78" s="12" t="str">
        <f aca="false">IF($L78="","",IF(Summary!$C$9="Random","Below Materiality – Random","Below Materiality – Highest n"))</f>
        <v/>
      </c>
      <c r="J78" s="12" t="str">
        <f aca="false">IF($L78="","",INDEX(Population!$N$2:$N$1092,$L78))</f>
        <v/>
      </c>
      <c r="K78" s="12" t="str">
        <f aca="false">IF($L78="","",INDEX(Population!$G$2:$G$1092,$L78)&amp;" / row "&amp;INDEX(Population!$H$2:$H$1092,$L78))</f>
        <v/>
      </c>
      <c r="L78" s="26" t="str">
        <f aca="false">IF(ROWS($L$5:L78)&lt;=N(Summary!$C$8),IFERROR(MATCH("Population 2|R|"&amp;ROWS($L$5:L78),Population!$V$2:$V$1092,0),""),"")</f>
        <v/>
      </c>
    </row>
    <row r="79" customFormat="false" ht="15" hidden="false" customHeight="false" outlineLevel="0" collapsed="false">
      <c r="A79" s="12" t="str">
        <f aca="false">IF($L79="","",INDEX(Population!$B$2:$B$1092,$L79)&amp;"")</f>
        <v/>
      </c>
      <c r="B79" s="12" t="str">
        <f aca="false">IF($L79="","",INDEX(Population!$C$2:$C$1092,$L79)&amp;"")</f>
        <v/>
      </c>
      <c r="C79" s="12" t="str">
        <f aca="false">IF($L79="","",INDEX(Population!$D$2:$D$1092,$L79)&amp;"")</f>
        <v/>
      </c>
      <c r="D79" s="12" t="str">
        <f aca="false">IF($L79="","",INDEX(Population!$E$2:$E$1092,$L79))</f>
        <v/>
      </c>
      <c r="E79" s="12" t="str">
        <f aca="false">IF($L79="","",INDEX(Population!$F$2:$F$1092,$L79))</f>
        <v/>
      </c>
      <c r="F79" s="16" t="str">
        <f aca="false">IF($L79="","",INDEX(Population!$L$2:$L$1092,$L79))</f>
        <v/>
      </c>
      <c r="G79" s="16" t="str">
        <f aca="false">IF($L79="","",INDEX(Population!$M$2:$M$1092,$L79))</f>
        <v/>
      </c>
      <c r="H79" s="27" t="str">
        <f aca="false">IF($L79="","",IF(Summary!$C$9="Random",INDEX(Population!$Q$2:$Q$1092,$L79),INDEX(Population!$S$2:$S$1092,$L79)))</f>
        <v/>
      </c>
      <c r="I79" s="12" t="str">
        <f aca="false">IF($L79="","",IF(Summary!$C$9="Random","Below Materiality – Random","Below Materiality – Highest n"))</f>
        <v/>
      </c>
      <c r="J79" s="12" t="str">
        <f aca="false">IF($L79="","",INDEX(Population!$N$2:$N$1092,$L79))</f>
        <v/>
      </c>
      <c r="K79" s="12" t="str">
        <f aca="false">IF($L79="","",INDEX(Population!$G$2:$G$1092,$L79)&amp;" / row "&amp;INDEX(Population!$H$2:$H$1092,$L79))</f>
        <v/>
      </c>
      <c r="L79" s="26" t="str">
        <f aca="false">IF(ROWS($L$5:L79)&lt;=N(Summary!$C$8),IFERROR(MATCH("Population 2|R|"&amp;ROWS($L$5:L79),Population!$V$2:$V$1092,0),""),"")</f>
        <v/>
      </c>
    </row>
    <row r="80" customFormat="false" ht="15" hidden="false" customHeight="false" outlineLevel="0" collapsed="false">
      <c r="A80" s="12" t="str">
        <f aca="false">IF($L80="","",INDEX(Population!$B$2:$B$1092,$L80)&amp;"")</f>
        <v/>
      </c>
      <c r="B80" s="12" t="str">
        <f aca="false">IF($L80="","",INDEX(Population!$C$2:$C$1092,$L80)&amp;"")</f>
        <v/>
      </c>
      <c r="C80" s="12" t="str">
        <f aca="false">IF($L80="","",INDEX(Population!$D$2:$D$1092,$L80)&amp;"")</f>
        <v/>
      </c>
      <c r="D80" s="12" t="str">
        <f aca="false">IF($L80="","",INDEX(Population!$E$2:$E$1092,$L80))</f>
        <v/>
      </c>
      <c r="E80" s="12" t="str">
        <f aca="false">IF($L80="","",INDEX(Population!$F$2:$F$1092,$L80))</f>
        <v/>
      </c>
      <c r="F80" s="16" t="str">
        <f aca="false">IF($L80="","",INDEX(Population!$L$2:$L$1092,$L80))</f>
        <v/>
      </c>
      <c r="G80" s="16" t="str">
        <f aca="false">IF($L80="","",INDEX(Population!$M$2:$M$1092,$L80))</f>
        <v/>
      </c>
      <c r="H80" s="27" t="str">
        <f aca="false">IF($L80="","",IF(Summary!$C$9="Random",INDEX(Population!$Q$2:$Q$1092,$L80),INDEX(Population!$S$2:$S$1092,$L80)))</f>
        <v/>
      </c>
      <c r="I80" s="12" t="str">
        <f aca="false">IF($L80="","",IF(Summary!$C$9="Random","Below Materiality – Random","Below Materiality – Highest n"))</f>
        <v/>
      </c>
      <c r="J80" s="12" t="str">
        <f aca="false">IF($L80="","",INDEX(Population!$N$2:$N$1092,$L80))</f>
        <v/>
      </c>
      <c r="K80" s="12" t="str">
        <f aca="false">IF($L80="","",INDEX(Population!$G$2:$G$1092,$L80)&amp;" / row "&amp;INDEX(Population!$H$2:$H$1092,$L80))</f>
        <v/>
      </c>
      <c r="L80" s="26" t="str">
        <f aca="false">IF(ROWS($L$5:L80)&lt;=N(Summary!$C$8),IFERROR(MATCH("Population 2|R|"&amp;ROWS($L$5:L80),Population!$V$2:$V$1092,0),""),"")</f>
        <v/>
      </c>
    </row>
    <row r="81" customFormat="false" ht="15" hidden="false" customHeight="false" outlineLevel="0" collapsed="false">
      <c r="A81" s="12" t="str">
        <f aca="false">IF($L81="","",INDEX(Population!$B$2:$B$1092,$L81)&amp;"")</f>
        <v/>
      </c>
      <c r="B81" s="12" t="str">
        <f aca="false">IF($L81="","",INDEX(Population!$C$2:$C$1092,$L81)&amp;"")</f>
        <v/>
      </c>
      <c r="C81" s="12" t="str">
        <f aca="false">IF($L81="","",INDEX(Population!$D$2:$D$1092,$L81)&amp;"")</f>
        <v/>
      </c>
      <c r="D81" s="12" t="str">
        <f aca="false">IF($L81="","",INDEX(Population!$E$2:$E$1092,$L81))</f>
        <v/>
      </c>
      <c r="E81" s="12" t="str">
        <f aca="false">IF($L81="","",INDEX(Population!$F$2:$F$1092,$L81))</f>
        <v/>
      </c>
      <c r="F81" s="16" t="str">
        <f aca="false">IF($L81="","",INDEX(Population!$L$2:$L$1092,$L81))</f>
        <v/>
      </c>
      <c r="G81" s="16" t="str">
        <f aca="false">IF($L81="","",INDEX(Population!$M$2:$M$1092,$L81))</f>
        <v/>
      </c>
      <c r="H81" s="27" t="str">
        <f aca="false">IF($L81="","",IF(Summary!$C$9="Random",INDEX(Population!$Q$2:$Q$1092,$L81),INDEX(Population!$S$2:$S$1092,$L81)))</f>
        <v/>
      </c>
      <c r="I81" s="12" t="str">
        <f aca="false">IF($L81="","",IF(Summary!$C$9="Random","Below Materiality – Random","Below Materiality – Highest n"))</f>
        <v/>
      </c>
      <c r="J81" s="12" t="str">
        <f aca="false">IF($L81="","",INDEX(Population!$N$2:$N$1092,$L81))</f>
        <v/>
      </c>
      <c r="K81" s="12" t="str">
        <f aca="false">IF($L81="","",INDEX(Population!$G$2:$G$1092,$L81)&amp;" / row "&amp;INDEX(Population!$H$2:$H$1092,$L81))</f>
        <v/>
      </c>
      <c r="L81" s="26" t="str">
        <f aca="false">IF(ROWS($L$5:L81)&lt;=N(Summary!$C$8),IFERROR(MATCH("Population 2|R|"&amp;ROWS($L$5:L81),Population!$V$2:$V$1092,0),""),"")</f>
        <v/>
      </c>
    </row>
    <row r="82" customFormat="false" ht="15" hidden="false" customHeight="false" outlineLevel="0" collapsed="false">
      <c r="A82" s="12" t="str">
        <f aca="false">IF($L82="","",INDEX(Population!$B$2:$B$1092,$L82)&amp;"")</f>
        <v/>
      </c>
      <c r="B82" s="12" t="str">
        <f aca="false">IF($L82="","",INDEX(Population!$C$2:$C$1092,$L82)&amp;"")</f>
        <v/>
      </c>
      <c r="C82" s="12" t="str">
        <f aca="false">IF($L82="","",INDEX(Population!$D$2:$D$1092,$L82)&amp;"")</f>
        <v/>
      </c>
      <c r="D82" s="12" t="str">
        <f aca="false">IF($L82="","",INDEX(Population!$E$2:$E$1092,$L82))</f>
        <v/>
      </c>
      <c r="E82" s="12" t="str">
        <f aca="false">IF($L82="","",INDEX(Population!$F$2:$F$1092,$L82))</f>
        <v/>
      </c>
      <c r="F82" s="16" t="str">
        <f aca="false">IF($L82="","",INDEX(Population!$L$2:$L$1092,$L82))</f>
        <v/>
      </c>
      <c r="G82" s="16" t="str">
        <f aca="false">IF($L82="","",INDEX(Population!$M$2:$M$1092,$L82))</f>
        <v/>
      </c>
      <c r="H82" s="27" t="str">
        <f aca="false">IF($L82="","",IF(Summary!$C$9="Random",INDEX(Population!$Q$2:$Q$1092,$L82),INDEX(Population!$S$2:$S$1092,$L82)))</f>
        <v/>
      </c>
      <c r="I82" s="12" t="str">
        <f aca="false">IF($L82="","",IF(Summary!$C$9="Random","Below Materiality – Random","Below Materiality – Highest n"))</f>
        <v/>
      </c>
      <c r="J82" s="12" t="str">
        <f aca="false">IF($L82="","",INDEX(Population!$N$2:$N$1092,$L82))</f>
        <v/>
      </c>
      <c r="K82" s="12" t="str">
        <f aca="false">IF($L82="","",INDEX(Population!$G$2:$G$1092,$L82)&amp;" / row "&amp;INDEX(Population!$H$2:$H$1092,$L82))</f>
        <v/>
      </c>
      <c r="L82" s="26" t="str">
        <f aca="false">IF(ROWS($L$5:L82)&lt;=N(Summary!$C$8),IFERROR(MATCH("Population 2|R|"&amp;ROWS($L$5:L82),Population!$V$2:$V$1092,0),""),"")</f>
        <v/>
      </c>
    </row>
    <row r="83" customFormat="false" ht="15" hidden="false" customHeight="false" outlineLevel="0" collapsed="false">
      <c r="A83" s="12" t="str">
        <f aca="false">IF($L83="","",INDEX(Population!$B$2:$B$1092,$L83)&amp;"")</f>
        <v/>
      </c>
      <c r="B83" s="12" t="str">
        <f aca="false">IF($L83="","",INDEX(Population!$C$2:$C$1092,$L83)&amp;"")</f>
        <v/>
      </c>
      <c r="C83" s="12" t="str">
        <f aca="false">IF($L83="","",INDEX(Population!$D$2:$D$1092,$L83)&amp;"")</f>
        <v/>
      </c>
      <c r="D83" s="12" t="str">
        <f aca="false">IF($L83="","",INDEX(Population!$E$2:$E$1092,$L83))</f>
        <v/>
      </c>
      <c r="E83" s="12" t="str">
        <f aca="false">IF($L83="","",INDEX(Population!$F$2:$F$1092,$L83))</f>
        <v/>
      </c>
      <c r="F83" s="16" t="str">
        <f aca="false">IF($L83="","",INDEX(Population!$L$2:$L$1092,$L83))</f>
        <v/>
      </c>
      <c r="G83" s="16" t="str">
        <f aca="false">IF($L83="","",INDEX(Population!$M$2:$M$1092,$L83))</f>
        <v/>
      </c>
      <c r="H83" s="27" t="str">
        <f aca="false">IF($L83="","",IF(Summary!$C$9="Random",INDEX(Population!$Q$2:$Q$1092,$L83),INDEX(Population!$S$2:$S$1092,$L83)))</f>
        <v/>
      </c>
      <c r="I83" s="12" t="str">
        <f aca="false">IF($L83="","",IF(Summary!$C$9="Random","Below Materiality – Random","Below Materiality – Highest n"))</f>
        <v/>
      </c>
      <c r="J83" s="12" t="str">
        <f aca="false">IF($L83="","",INDEX(Population!$N$2:$N$1092,$L83))</f>
        <v/>
      </c>
      <c r="K83" s="12" t="str">
        <f aca="false">IF($L83="","",INDEX(Population!$G$2:$G$1092,$L83)&amp;" / row "&amp;INDEX(Population!$H$2:$H$1092,$L83))</f>
        <v/>
      </c>
      <c r="L83" s="26" t="str">
        <f aca="false">IF(ROWS($L$5:L83)&lt;=N(Summary!$C$8),IFERROR(MATCH("Population 2|R|"&amp;ROWS($L$5:L83),Population!$V$2:$V$1092,0),""),"")</f>
        <v/>
      </c>
    </row>
    <row r="84" customFormat="false" ht="15" hidden="false" customHeight="false" outlineLevel="0" collapsed="false">
      <c r="A84" s="12" t="str">
        <f aca="false">IF($L84="","",INDEX(Population!$B$2:$B$1092,$L84)&amp;"")</f>
        <v/>
      </c>
      <c r="B84" s="12" t="str">
        <f aca="false">IF($L84="","",INDEX(Population!$C$2:$C$1092,$L84)&amp;"")</f>
        <v/>
      </c>
      <c r="C84" s="12" t="str">
        <f aca="false">IF($L84="","",INDEX(Population!$D$2:$D$1092,$L84)&amp;"")</f>
        <v/>
      </c>
      <c r="D84" s="12" t="str">
        <f aca="false">IF($L84="","",INDEX(Population!$E$2:$E$1092,$L84))</f>
        <v/>
      </c>
      <c r="E84" s="12" t="str">
        <f aca="false">IF($L84="","",INDEX(Population!$F$2:$F$1092,$L84))</f>
        <v/>
      </c>
      <c r="F84" s="16" t="str">
        <f aca="false">IF($L84="","",INDEX(Population!$L$2:$L$1092,$L84))</f>
        <v/>
      </c>
      <c r="G84" s="16" t="str">
        <f aca="false">IF($L84="","",INDEX(Population!$M$2:$M$1092,$L84))</f>
        <v/>
      </c>
      <c r="H84" s="27" t="str">
        <f aca="false">IF($L84="","",IF(Summary!$C$9="Random",INDEX(Population!$Q$2:$Q$1092,$L84),INDEX(Population!$S$2:$S$1092,$L84)))</f>
        <v/>
      </c>
      <c r="I84" s="12" t="str">
        <f aca="false">IF($L84="","",IF(Summary!$C$9="Random","Below Materiality – Random","Below Materiality – Highest n"))</f>
        <v/>
      </c>
      <c r="J84" s="12" t="str">
        <f aca="false">IF($L84="","",INDEX(Population!$N$2:$N$1092,$L84))</f>
        <v/>
      </c>
      <c r="K84" s="12" t="str">
        <f aca="false">IF($L84="","",INDEX(Population!$G$2:$G$1092,$L84)&amp;" / row "&amp;INDEX(Population!$H$2:$H$1092,$L84))</f>
        <v/>
      </c>
      <c r="L84" s="26" t="str">
        <f aca="false">IF(ROWS($L$5:L84)&lt;=N(Summary!$C$8),IFERROR(MATCH("Population 2|R|"&amp;ROWS($L$5:L84),Population!$V$2:$V$1092,0),""),"")</f>
        <v/>
      </c>
    </row>
    <row r="85" customFormat="false" ht="15" hidden="false" customHeight="false" outlineLevel="0" collapsed="false">
      <c r="A85" s="12" t="str">
        <f aca="false">IF($L85="","",INDEX(Population!$B$2:$B$1092,$L85)&amp;"")</f>
        <v/>
      </c>
      <c r="B85" s="12" t="str">
        <f aca="false">IF($L85="","",INDEX(Population!$C$2:$C$1092,$L85)&amp;"")</f>
        <v/>
      </c>
      <c r="C85" s="12" t="str">
        <f aca="false">IF($L85="","",INDEX(Population!$D$2:$D$1092,$L85)&amp;"")</f>
        <v/>
      </c>
      <c r="D85" s="12" t="str">
        <f aca="false">IF($L85="","",INDEX(Population!$E$2:$E$1092,$L85))</f>
        <v/>
      </c>
      <c r="E85" s="12" t="str">
        <f aca="false">IF($L85="","",INDEX(Population!$F$2:$F$1092,$L85))</f>
        <v/>
      </c>
      <c r="F85" s="16" t="str">
        <f aca="false">IF($L85="","",INDEX(Population!$L$2:$L$1092,$L85))</f>
        <v/>
      </c>
      <c r="G85" s="16" t="str">
        <f aca="false">IF($L85="","",INDEX(Population!$M$2:$M$1092,$L85))</f>
        <v/>
      </c>
      <c r="H85" s="27" t="str">
        <f aca="false">IF($L85="","",IF(Summary!$C$9="Random",INDEX(Population!$Q$2:$Q$1092,$L85),INDEX(Population!$S$2:$S$1092,$L85)))</f>
        <v/>
      </c>
      <c r="I85" s="12" t="str">
        <f aca="false">IF($L85="","",IF(Summary!$C$9="Random","Below Materiality – Random","Below Materiality – Highest n"))</f>
        <v/>
      </c>
      <c r="J85" s="12" t="str">
        <f aca="false">IF($L85="","",INDEX(Population!$N$2:$N$1092,$L85))</f>
        <v/>
      </c>
      <c r="K85" s="12" t="str">
        <f aca="false">IF($L85="","",INDEX(Population!$G$2:$G$1092,$L85)&amp;" / row "&amp;INDEX(Population!$H$2:$H$1092,$L85))</f>
        <v/>
      </c>
      <c r="L85" s="26" t="str">
        <f aca="false">IF(ROWS($L$5:L85)&lt;=N(Summary!$C$8),IFERROR(MATCH("Population 2|R|"&amp;ROWS($L$5:L85),Population!$V$2:$V$1092,0),""),"")</f>
        <v/>
      </c>
    </row>
    <row r="86" customFormat="false" ht="15" hidden="false" customHeight="false" outlineLevel="0" collapsed="false">
      <c r="A86" s="12" t="str">
        <f aca="false">IF($L86="","",INDEX(Population!$B$2:$B$1092,$L86)&amp;"")</f>
        <v/>
      </c>
      <c r="B86" s="12" t="str">
        <f aca="false">IF($L86="","",INDEX(Population!$C$2:$C$1092,$L86)&amp;"")</f>
        <v/>
      </c>
      <c r="C86" s="12" t="str">
        <f aca="false">IF($L86="","",INDEX(Population!$D$2:$D$1092,$L86)&amp;"")</f>
        <v/>
      </c>
      <c r="D86" s="12" t="str">
        <f aca="false">IF($L86="","",INDEX(Population!$E$2:$E$1092,$L86))</f>
        <v/>
      </c>
      <c r="E86" s="12" t="str">
        <f aca="false">IF($L86="","",INDEX(Population!$F$2:$F$1092,$L86))</f>
        <v/>
      </c>
      <c r="F86" s="16" t="str">
        <f aca="false">IF($L86="","",INDEX(Population!$L$2:$L$1092,$L86))</f>
        <v/>
      </c>
      <c r="G86" s="16" t="str">
        <f aca="false">IF($L86="","",INDEX(Population!$M$2:$M$1092,$L86))</f>
        <v/>
      </c>
      <c r="H86" s="27" t="str">
        <f aca="false">IF($L86="","",IF(Summary!$C$9="Random",INDEX(Population!$Q$2:$Q$1092,$L86),INDEX(Population!$S$2:$S$1092,$L86)))</f>
        <v/>
      </c>
      <c r="I86" s="12" t="str">
        <f aca="false">IF($L86="","",IF(Summary!$C$9="Random","Below Materiality – Random","Below Materiality – Highest n"))</f>
        <v/>
      </c>
      <c r="J86" s="12" t="str">
        <f aca="false">IF($L86="","",INDEX(Population!$N$2:$N$1092,$L86))</f>
        <v/>
      </c>
      <c r="K86" s="12" t="str">
        <f aca="false">IF($L86="","",INDEX(Population!$G$2:$G$1092,$L86)&amp;" / row "&amp;INDEX(Population!$H$2:$H$1092,$L86))</f>
        <v/>
      </c>
      <c r="L86" s="26" t="str">
        <f aca="false">IF(ROWS($L$5:L86)&lt;=N(Summary!$C$8),IFERROR(MATCH("Population 2|R|"&amp;ROWS($L$5:L86),Population!$V$2:$V$1092,0),""),"")</f>
        <v/>
      </c>
    </row>
    <row r="87" customFormat="false" ht="15" hidden="false" customHeight="false" outlineLevel="0" collapsed="false">
      <c r="A87" s="12" t="str">
        <f aca="false">IF($L87="","",INDEX(Population!$B$2:$B$1092,$L87)&amp;"")</f>
        <v/>
      </c>
      <c r="B87" s="12" t="str">
        <f aca="false">IF($L87="","",INDEX(Population!$C$2:$C$1092,$L87)&amp;"")</f>
        <v/>
      </c>
      <c r="C87" s="12" t="str">
        <f aca="false">IF($L87="","",INDEX(Population!$D$2:$D$1092,$L87)&amp;"")</f>
        <v/>
      </c>
      <c r="D87" s="12" t="str">
        <f aca="false">IF($L87="","",INDEX(Population!$E$2:$E$1092,$L87))</f>
        <v/>
      </c>
      <c r="E87" s="12" t="str">
        <f aca="false">IF($L87="","",INDEX(Population!$F$2:$F$1092,$L87))</f>
        <v/>
      </c>
      <c r="F87" s="16" t="str">
        <f aca="false">IF($L87="","",INDEX(Population!$L$2:$L$1092,$L87))</f>
        <v/>
      </c>
      <c r="G87" s="16" t="str">
        <f aca="false">IF($L87="","",INDEX(Population!$M$2:$M$1092,$L87))</f>
        <v/>
      </c>
      <c r="H87" s="27" t="str">
        <f aca="false">IF($L87="","",IF(Summary!$C$9="Random",INDEX(Population!$Q$2:$Q$1092,$L87),INDEX(Population!$S$2:$S$1092,$L87)))</f>
        <v/>
      </c>
      <c r="I87" s="12" t="str">
        <f aca="false">IF($L87="","",IF(Summary!$C$9="Random","Below Materiality – Random","Below Materiality – Highest n"))</f>
        <v/>
      </c>
      <c r="J87" s="12" t="str">
        <f aca="false">IF($L87="","",INDEX(Population!$N$2:$N$1092,$L87))</f>
        <v/>
      </c>
      <c r="K87" s="12" t="str">
        <f aca="false">IF($L87="","",INDEX(Population!$G$2:$G$1092,$L87)&amp;" / row "&amp;INDEX(Population!$H$2:$H$1092,$L87))</f>
        <v/>
      </c>
      <c r="L87" s="26" t="str">
        <f aca="false">IF(ROWS($L$5:L87)&lt;=N(Summary!$C$8),IFERROR(MATCH("Population 2|R|"&amp;ROWS($L$5:L87),Population!$V$2:$V$1092,0),""),"")</f>
        <v/>
      </c>
    </row>
    <row r="88" customFormat="false" ht="15" hidden="false" customHeight="false" outlineLevel="0" collapsed="false">
      <c r="A88" s="12" t="str">
        <f aca="false">IF($L88="","",INDEX(Population!$B$2:$B$1092,$L88)&amp;"")</f>
        <v/>
      </c>
      <c r="B88" s="12" t="str">
        <f aca="false">IF($L88="","",INDEX(Population!$C$2:$C$1092,$L88)&amp;"")</f>
        <v/>
      </c>
      <c r="C88" s="12" t="str">
        <f aca="false">IF($L88="","",INDEX(Population!$D$2:$D$1092,$L88)&amp;"")</f>
        <v/>
      </c>
      <c r="D88" s="12" t="str">
        <f aca="false">IF($L88="","",INDEX(Population!$E$2:$E$1092,$L88))</f>
        <v/>
      </c>
      <c r="E88" s="12" t="str">
        <f aca="false">IF($L88="","",INDEX(Population!$F$2:$F$1092,$L88))</f>
        <v/>
      </c>
      <c r="F88" s="16" t="str">
        <f aca="false">IF($L88="","",INDEX(Population!$L$2:$L$1092,$L88))</f>
        <v/>
      </c>
      <c r="G88" s="16" t="str">
        <f aca="false">IF($L88="","",INDEX(Population!$M$2:$M$1092,$L88))</f>
        <v/>
      </c>
      <c r="H88" s="27" t="str">
        <f aca="false">IF($L88="","",IF(Summary!$C$9="Random",INDEX(Population!$Q$2:$Q$1092,$L88),INDEX(Population!$S$2:$S$1092,$L88)))</f>
        <v/>
      </c>
      <c r="I88" s="12" t="str">
        <f aca="false">IF($L88="","",IF(Summary!$C$9="Random","Below Materiality – Random","Below Materiality – Highest n"))</f>
        <v/>
      </c>
      <c r="J88" s="12" t="str">
        <f aca="false">IF($L88="","",INDEX(Population!$N$2:$N$1092,$L88))</f>
        <v/>
      </c>
      <c r="K88" s="12" t="str">
        <f aca="false">IF($L88="","",INDEX(Population!$G$2:$G$1092,$L88)&amp;" / row "&amp;INDEX(Population!$H$2:$H$1092,$L88))</f>
        <v/>
      </c>
      <c r="L88" s="26" t="str">
        <f aca="false">IF(ROWS($L$5:L88)&lt;=N(Summary!$C$8),IFERROR(MATCH("Population 2|R|"&amp;ROWS($L$5:L88),Population!$V$2:$V$1092,0),""),"")</f>
        <v/>
      </c>
    </row>
    <row r="89" customFormat="false" ht="15" hidden="false" customHeight="false" outlineLevel="0" collapsed="false">
      <c r="A89" s="12" t="str">
        <f aca="false">IF($L89="","",INDEX(Population!$B$2:$B$1092,$L89)&amp;"")</f>
        <v/>
      </c>
      <c r="B89" s="12" t="str">
        <f aca="false">IF($L89="","",INDEX(Population!$C$2:$C$1092,$L89)&amp;"")</f>
        <v/>
      </c>
      <c r="C89" s="12" t="str">
        <f aca="false">IF($L89="","",INDEX(Population!$D$2:$D$1092,$L89)&amp;"")</f>
        <v/>
      </c>
      <c r="D89" s="12" t="str">
        <f aca="false">IF($L89="","",INDEX(Population!$E$2:$E$1092,$L89))</f>
        <v/>
      </c>
      <c r="E89" s="12" t="str">
        <f aca="false">IF($L89="","",INDEX(Population!$F$2:$F$1092,$L89))</f>
        <v/>
      </c>
      <c r="F89" s="16" t="str">
        <f aca="false">IF($L89="","",INDEX(Population!$L$2:$L$1092,$L89))</f>
        <v/>
      </c>
      <c r="G89" s="16" t="str">
        <f aca="false">IF($L89="","",INDEX(Population!$M$2:$M$1092,$L89))</f>
        <v/>
      </c>
      <c r="H89" s="27" t="str">
        <f aca="false">IF($L89="","",IF(Summary!$C$9="Random",INDEX(Population!$Q$2:$Q$1092,$L89),INDEX(Population!$S$2:$S$1092,$L89)))</f>
        <v/>
      </c>
      <c r="I89" s="12" t="str">
        <f aca="false">IF($L89="","",IF(Summary!$C$9="Random","Below Materiality – Random","Below Materiality – Highest n"))</f>
        <v/>
      </c>
      <c r="J89" s="12" t="str">
        <f aca="false">IF($L89="","",INDEX(Population!$N$2:$N$1092,$L89))</f>
        <v/>
      </c>
      <c r="K89" s="12" t="str">
        <f aca="false">IF($L89="","",INDEX(Population!$G$2:$G$1092,$L89)&amp;" / row "&amp;INDEX(Population!$H$2:$H$1092,$L89))</f>
        <v/>
      </c>
      <c r="L89" s="26" t="str">
        <f aca="false">IF(ROWS($L$5:L89)&lt;=N(Summary!$C$8),IFERROR(MATCH("Population 2|R|"&amp;ROWS($L$5:L89),Population!$V$2:$V$1092,0),""),"")</f>
        <v/>
      </c>
    </row>
    <row r="90" customFormat="false" ht="15" hidden="false" customHeight="false" outlineLevel="0" collapsed="false">
      <c r="A90" s="12" t="str">
        <f aca="false">IF($L90="","",INDEX(Population!$B$2:$B$1092,$L90)&amp;"")</f>
        <v/>
      </c>
      <c r="B90" s="12" t="str">
        <f aca="false">IF($L90="","",INDEX(Population!$C$2:$C$1092,$L90)&amp;"")</f>
        <v/>
      </c>
      <c r="C90" s="12" t="str">
        <f aca="false">IF($L90="","",INDEX(Population!$D$2:$D$1092,$L90)&amp;"")</f>
        <v/>
      </c>
      <c r="D90" s="12" t="str">
        <f aca="false">IF($L90="","",INDEX(Population!$E$2:$E$1092,$L90))</f>
        <v/>
      </c>
      <c r="E90" s="12" t="str">
        <f aca="false">IF($L90="","",INDEX(Population!$F$2:$F$1092,$L90))</f>
        <v/>
      </c>
      <c r="F90" s="16" t="str">
        <f aca="false">IF($L90="","",INDEX(Population!$L$2:$L$1092,$L90))</f>
        <v/>
      </c>
      <c r="G90" s="16" t="str">
        <f aca="false">IF($L90="","",INDEX(Population!$M$2:$M$1092,$L90))</f>
        <v/>
      </c>
      <c r="H90" s="27" t="str">
        <f aca="false">IF($L90="","",IF(Summary!$C$9="Random",INDEX(Population!$Q$2:$Q$1092,$L90),INDEX(Population!$S$2:$S$1092,$L90)))</f>
        <v/>
      </c>
      <c r="I90" s="12" t="str">
        <f aca="false">IF($L90="","",IF(Summary!$C$9="Random","Below Materiality – Random","Below Materiality – Highest n"))</f>
        <v/>
      </c>
      <c r="J90" s="12" t="str">
        <f aca="false">IF($L90="","",INDEX(Population!$N$2:$N$1092,$L90))</f>
        <v/>
      </c>
      <c r="K90" s="12" t="str">
        <f aca="false">IF($L90="","",INDEX(Population!$G$2:$G$1092,$L90)&amp;" / row "&amp;INDEX(Population!$H$2:$H$1092,$L90))</f>
        <v/>
      </c>
      <c r="L90" s="26" t="str">
        <f aca="false">IF(ROWS($L$5:L90)&lt;=N(Summary!$C$8),IFERROR(MATCH("Population 2|R|"&amp;ROWS($L$5:L90),Population!$V$2:$V$1092,0),""),"")</f>
        <v/>
      </c>
    </row>
    <row r="91" customFormat="false" ht="15" hidden="false" customHeight="false" outlineLevel="0" collapsed="false">
      <c r="A91" s="12" t="str">
        <f aca="false">IF($L91="","",INDEX(Population!$B$2:$B$1092,$L91)&amp;"")</f>
        <v/>
      </c>
      <c r="B91" s="12" t="str">
        <f aca="false">IF($L91="","",INDEX(Population!$C$2:$C$1092,$L91)&amp;"")</f>
        <v/>
      </c>
      <c r="C91" s="12" t="str">
        <f aca="false">IF($L91="","",INDEX(Population!$D$2:$D$1092,$L91)&amp;"")</f>
        <v/>
      </c>
      <c r="D91" s="12" t="str">
        <f aca="false">IF($L91="","",INDEX(Population!$E$2:$E$1092,$L91))</f>
        <v/>
      </c>
      <c r="E91" s="12" t="str">
        <f aca="false">IF($L91="","",INDEX(Population!$F$2:$F$1092,$L91))</f>
        <v/>
      </c>
      <c r="F91" s="16" t="str">
        <f aca="false">IF($L91="","",INDEX(Population!$L$2:$L$1092,$L91))</f>
        <v/>
      </c>
      <c r="G91" s="16" t="str">
        <f aca="false">IF($L91="","",INDEX(Population!$M$2:$M$1092,$L91))</f>
        <v/>
      </c>
      <c r="H91" s="27" t="str">
        <f aca="false">IF($L91="","",IF(Summary!$C$9="Random",INDEX(Population!$Q$2:$Q$1092,$L91),INDEX(Population!$S$2:$S$1092,$L91)))</f>
        <v/>
      </c>
      <c r="I91" s="12" t="str">
        <f aca="false">IF($L91="","",IF(Summary!$C$9="Random","Below Materiality – Random","Below Materiality – Highest n"))</f>
        <v/>
      </c>
      <c r="J91" s="12" t="str">
        <f aca="false">IF($L91="","",INDEX(Population!$N$2:$N$1092,$L91))</f>
        <v/>
      </c>
      <c r="K91" s="12" t="str">
        <f aca="false">IF($L91="","",INDEX(Population!$G$2:$G$1092,$L91)&amp;" / row "&amp;INDEX(Population!$H$2:$H$1092,$L91))</f>
        <v/>
      </c>
      <c r="L91" s="26" t="str">
        <f aca="false">IF(ROWS($L$5:L91)&lt;=N(Summary!$C$8),IFERROR(MATCH("Population 2|R|"&amp;ROWS($L$5:L91),Population!$V$2:$V$1092,0),""),"")</f>
        <v/>
      </c>
    </row>
    <row r="92" customFormat="false" ht="15" hidden="false" customHeight="false" outlineLevel="0" collapsed="false">
      <c r="A92" s="12" t="str">
        <f aca="false">IF($L92="","",INDEX(Population!$B$2:$B$1092,$L92)&amp;"")</f>
        <v/>
      </c>
      <c r="B92" s="12" t="str">
        <f aca="false">IF($L92="","",INDEX(Population!$C$2:$C$1092,$L92)&amp;"")</f>
        <v/>
      </c>
      <c r="C92" s="12" t="str">
        <f aca="false">IF($L92="","",INDEX(Population!$D$2:$D$1092,$L92)&amp;"")</f>
        <v/>
      </c>
      <c r="D92" s="12" t="str">
        <f aca="false">IF($L92="","",INDEX(Population!$E$2:$E$1092,$L92))</f>
        <v/>
      </c>
      <c r="E92" s="12" t="str">
        <f aca="false">IF($L92="","",INDEX(Population!$F$2:$F$1092,$L92))</f>
        <v/>
      </c>
      <c r="F92" s="16" t="str">
        <f aca="false">IF($L92="","",INDEX(Population!$L$2:$L$1092,$L92))</f>
        <v/>
      </c>
      <c r="G92" s="16" t="str">
        <f aca="false">IF($L92="","",INDEX(Population!$M$2:$M$1092,$L92))</f>
        <v/>
      </c>
      <c r="H92" s="27" t="str">
        <f aca="false">IF($L92="","",IF(Summary!$C$9="Random",INDEX(Population!$Q$2:$Q$1092,$L92),INDEX(Population!$S$2:$S$1092,$L92)))</f>
        <v/>
      </c>
      <c r="I92" s="12" t="str">
        <f aca="false">IF($L92="","",IF(Summary!$C$9="Random","Below Materiality – Random","Below Materiality – Highest n"))</f>
        <v/>
      </c>
      <c r="J92" s="12" t="str">
        <f aca="false">IF($L92="","",INDEX(Population!$N$2:$N$1092,$L92))</f>
        <v/>
      </c>
      <c r="K92" s="12" t="str">
        <f aca="false">IF($L92="","",INDEX(Population!$G$2:$G$1092,$L92)&amp;" / row "&amp;INDEX(Population!$H$2:$H$1092,$L92))</f>
        <v/>
      </c>
      <c r="L92" s="26" t="str">
        <f aca="false">IF(ROWS($L$5:L92)&lt;=N(Summary!$C$8),IFERROR(MATCH("Population 2|R|"&amp;ROWS($L$5:L92),Population!$V$2:$V$1092,0),""),"")</f>
        <v/>
      </c>
    </row>
    <row r="93" customFormat="false" ht="15" hidden="false" customHeight="false" outlineLevel="0" collapsed="false">
      <c r="A93" s="12" t="str">
        <f aca="false">IF($L93="","",INDEX(Population!$B$2:$B$1092,$L93)&amp;"")</f>
        <v/>
      </c>
      <c r="B93" s="12" t="str">
        <f aca="false">IF($L93="","",INDEX(Population!$C$2:$C$1092,$L93)&amp;"")</f>
        <v/>
      </c>
      <c r="C93" s="12" t="str">
        <f aca="false">IF($L93="","",INDEX(Population!$D$2:$D$1092,$L93)&amp;"")</f>
        <v/>
      </c>
      <c r="D93" s="12" t="str">
        <f aca="false">IF($L93="","",INDEX(Population!$E$2:$E$1092,$L93))</f>
        <v/>
      </c>
      <c r="E93" s="12" t="str">
        <f aca="false">IF($L93="","",INDEX(Population!$F$2:$F$1092,$L93))</f>
        <v/>
      </c>
      <c r="F93" s="16" t="str">
        <f aca="false">IF($L93="","",INDEX(Population!$L$2:$L$1092,$L93))</f>
        <v/>
      </c>
      <c r="G93" s="16" t="str">
        <f aca="false">IF($L93="","",INDEX(Population!$M$2:$M$1092,$L93))</f>
        <v/>
      </c>
      <c r="H93" s="27" t="str">
        <f aca="false">IF($L93="","",IF(Summary!$C$9="Random",INDEX(Population!$Q$2:$Q$1092,$L93),INDEX(Population!$S$2:$S$1092,$L93)))</f>
        <v/>
      </c>
      <c r="I93" s="12" t="str">
        <f aca="false">IF($L93="","",IF(Summary!$C$9="Random","Below Materiality – Random","Below Materiality – Highest n"))</f>
        <v/>
      </c>
      <c r="J93" s="12" t="str">
        <f aca="false">IF($L93="","",INDEX(Population!$N$2:$N$1092,$L93))</f>
        <v/>
      </c>
      <c r="K93" s="12" t="str">
        <f aca="false">IF($L93="","",INDEX(Population!$G$2:$G$1092,$L93)&amp;" / row "&amp;INDEX(Population!$H$2:$H$1092,$L93))</f>
        <v/>
      </c>
      <c r="L93" s="26" t="str">
        <f aca="false">IF(ROWS($L$5:L93)&lt;=N(Summary!$C$8),IFERROR(MATCH("Population 2|R|"&amp;ROWS($L$5:L93),Population!$V$2:$V$1092,0),""),"")</f>
        <v/>
      </c>
    </row>
    <row r="94" customFormat="false" ht="15" hidden="false" customHeight="false" outlineLevel="0" collapsed="false">
      <c r="A94" s="12" t="str">
        <f aca="false">IF($L94="","",INDEX(Population!$B$2:$B$1092,$L94)&amp;"")</f>
        <v/>
      </c>
      <c r="B94" s="12" t="str">
        <f aca="false">IF($L94="","",INDEX(Population!$C$2:$C$1092,$L94)&amp;"")</f>
        <v/>
      </c>
      <c r="C94" s="12" t="str">
        <f aca="false">IF($L94="","",INDEX(Population!$D$2:$D$1092,$L94)&amp;"")</f>
        <v/>
      </c>
      <c r="D94" s="12" t="str">
        <f aca="false">IF($L94="","",INDEX(Population!$E$2:$E$1092,$L94))</f>
        <v/>
      </c>
      <c r="E94" s="12" t="str">
        <f aca="false">IF($L94="","",INDEX(Population!$F$2:$F$1092,$L94))</f>
        <v/>
      </c>
      <c r="F94" s="16" t="str">
        <f aca="false">IF($L94="","",INDEX(Population!$L$2:$L$1092,$L94))</f>
        <v/>
      </c>
      <c r="G94" s="16" t="str">
        <f aca="false">IF($L94="","",INDEX(Population!$M$2:$M$1092,$L94))</f>
        <v/>
      </c>
      <c r="H94" s="27" t="str">
        <f aca="false">IF($L94="","",IF(Summary!$C$9="Random",INDEX(Population!$Q$2:$Q$1092,$L94),INDEX(Population!$S$2:$S$1092,$L94)))</f>
        <v/>
      </c>
      <c r="I94" s="12" t="str">
        <f aca="false">IF($L94="","",IF(Summary!$C$9="Random","Below Materiality – Random","Below Materiality – Highest n"))</f>
        <v/>
      </c>
      <c r="J94" s="12" t="str">
        <f aca="false">IF($L94="","",INDEX(Population!$N$2:$N$1092,$L94))</f>
        <v/>
      </c>
      <c r="K94" s="12" t="str">
        <f aca="false">IF($L94="","",INDEX(Population!$G$2:$G$1092,$L94)&amp;" / row "&amp;INDEX(Population!$H$2:$H$1092,$L94))</f>
        <v/>
      </c>
      <c r="L94" s="26" t="str">
        <f aca="false">IF(ROWS($L$5:L94)&lt;=N(Summary!$C$8),IFERROR(MATCH("Population 2|R|"&amp;ROWS($L$5:L94),Population!$V$2:$V$1092,0),""),"")</f>
        <v/>
      </c>
    </row>
    <row r="95" customFormat="false" ht="15" hidden="false" customHeight="false" outlineLevel="0" collapsed="false">
      <c r="A95" s="12" t="str">
        <f aca="false">IF($L95="","",INDEX(Population!$B$2:$B$1092,$L95)&amp;"")</f>
        <v/>
      </c>
      <c r="B95" s="12" t="str">
        <f aca="false">IF($L95="","",INDEX(Population!$C$2:$C$1092,$L95)&amp;"")</f>
        <v/>
      </c>
      <c r="C95" s="12" t="str">
        <f aca="false">IF($L95="","",INDEX(Population!$D$2:$D$1092,$L95)&amp;"")</f>
        <v/>
      </c>
      <c r="D95" s="12" t="str">
        <f aca="false">IF($L95="","",INDEX(Population!$E$2:$E$1092,$L95))</f>
        <v/>
      </c>
      <c r="E95" s="12" t="str">
        <f aca="false">IF($L95="","",INDEX(Population!$F$2:$F$1092,$L95))</f>
        <v/>
      </c>
      <c r="F95" s="16" t="str">
        <f aca="false">IF($L95="","",INDEX(Population!$L$2:$L$1092,$L95))</f>
        <v/>
      </c>
      <c r="G95" s="16" t="str">
        <f aca="false">IF($L95="","",INDEX(Population!$M$2:$M$1092,$L95))</f>
        <v/>
      </c>
      <c r="H95" s="27" t="str">
        <f aca="false">IF($L95="","",IF(Summary!$C$9="Random",INDEX(Population!$Q$2:$Q$1092,$L95),INDEX(Population!$S$2:$S$1092,$L95)))</f>
        <v/>
      </c>
      <c r="I95" s="12" t="str">
        <f aca="false">IF($L95="","",IF(Summary!$C$9="Random","Below Materiality – Random","Below Materiality – Highest n"))</f>
        <v/>
      </c>
      <c r="J95" s="12" t="str">
        <f aca="false">IF($L95="","",INDEX(Population!$N$2:$N$1092,$L95))</f>
        <v/>
      </c>
      <c r="K95" s="12" t="str">
        <f aca="false">IF($L95="","",INDEX(Population!$G$2:$G$1092,$L95)&amp;" / row "&amp;INDEX(Population!$H$2:$H$1092,$L95))</f>
        <v/>
      </c>
      <c r="L95" s="26" t="str">
        <f aca="false">IF(ROWS($L$5:L95)&lt;=N(Summary!$C$8),IFERROR(MATCH("Population 2|R|"&amp;ROWS($L$5:L95),Population!$V$2:$V$1092,0),""),"")</f>
        <v/>
      </c>
    </row>
    <row r="96" customFormat="false" ht="15" hidden="false" customHeight="false" outlineLevel="0" collapsed="false">
      <c r="A96" s="12" t="str">
        <f aca="false">IF($L96="","",INDEX(Population!$B$2:$B$1092,$L96)&amp;"")</f>
        <v/>
      </c>
      <c r="B96" s="12" t="str">
        <f aca="false">IF($L96="","",INDEX(Population!$C$2:$C$1092,$L96)&amp;"")</f>
        <v/>
      </c>
      <c r="C96" s="12" t="str">
        <f aca="false">IF($L96="","",INDEX(Population!$D$2:$D$1092,$L96)&amp;"")</f>
        <v/>
      </c>
      <c r="D96" s="12" t="str">
        <f aca="false">IF($L96="","",INDEX(Population!$E$2:$E$1092,$L96))</f>
        <v/>
      </c>
      <c r="E96" s="12" t="str">
        <f aca="false">IF($L96="","",INDEX(Population!$F$2:$F$1092,$L96))</f>
        <v/>
      </c>
      <c r="F96" s="16" t="str">
        <f aca="false">IF($L96="","",INDEX(Population!$L$2:$L$1092,$L96))</f>
        <v/>
      </c>
      <c r="G96" s="16" t="str">
        <f aca="false">IF($L96="","",INDEX(Population!$M$2:$M$1092,$L96))</f>
        <v/>
      </c>
      <c r="H96" s="27" t="str">
        <f aca="false">IF($L96="","",IF(Summary!$C$9="Random",INDEX(Population!$Q$2:$Q$1092,$L96),INDEX(Population!$S$2:$S$1092,$L96)))</f>
        <v/>
      </c>
      <c r="I96" s="12" t="str">
        <f aca="false">IF($L96="","",IF(Summary!$C$9="Random","Below Materiality – Random","Below Materiality – Highest n"))</f>
        <v/>
      </c>
      <c r="J96" s="12" t="str">
        <f aca="false">IF($L96="","",INDEX(Population!$N$2:$N$1092,$L96))</f>
        <v/>
      </c>
      <c r="K96" s="12" t="str">
        <f aca="false">IF($L96="","",INDEX(Population!$G$2:$G$1092,$L96)&amp;" / row "&amp;INDEX(Population!$H$2:$H$1092,$L96))</f>
        <v/>
      </c>
      <c r="L96" s="26" t="str">
        <f aca="false">IF(ROWS($L$5:L96)&lt;=N(Summary!$C$8),IFERROR(MATCH("Population 2|R|"&amp;ROWS($L$5:L96),Population!$V$2:$V$1092,0),""),"")</f>
        <v/>
      </c>
    </row>
    <row r="97" customFormat="false" ht="15" hidden="false" customHeight="false" outlineLevel="0" collapsed="false">
      <c r="A97" s="12" t="str">
        <f aca="false">IF($L97="","",INDEX(Population!$B$2:$B$1092,$L97)&amp;"")</f>
        <v/>
      </c>
      <c r="B97" s="12" t="str">
        <f aca="false">IF($L97="","",INDEX(Population!$C$2:$C$1092,$L97)&amp;"")</f>
        <v/>
      </c>
      <c r="C97" s="12" t="str">
        <f aca="false">IF($L97="","",INDEX(Population!$D$2:$D$1092,$L97)&amp;"")</f>
        <v/>
      </c>
      <c r="D97" s="12" t="str">
        <f aca="false">IF($L97="","",INDEX(Population!$E$2:$E$1092,$L97))</f>
        <v/>
      </c>
      <c r="E97" s="12" t="str">
        <f aca="false">IF($L97="","",INDEX(Population!$F$2:$F$1092,$L97))</f>
        <v/>
      </c>
      <c r="F97" s="16" t="str">
        <f aca="false">IF($L97="","",INDEX(Population!$L$2:$L$1092,$L97))</f>
        <v/>
      </c>
      <c r="G97" s="16" t="str">
        <f aca="false">IF($L97="","",INDEX(Population!$M$2:$M$1092,$L97))</f>
        <v/>
      </c>
      <c r="H97" s="27" t="str">
        <f aca="false">IF($L97="","",IF(Summary!$C$9="Random",INDEX(Population!$Q$2:$Q$1092,$L97),INDEX(Population!$S$2:$S$1092,$L97)))</f>
        <v/>
      </c>
      <c r="I97" s="12" t="str">
        <f aca="false">IF($L97="","",IF(Summary!$C$9="Random","Below Materiality – Random","Below Materiality – Highest n"))</f>
        <v/>
      </c>
      <c r="J97" s="12" t="str">
        <f aca="false">IF($L97="","",INDEX(Population!$N$2:$N$1092,$L97))</f>
        <v/>
      </c>
      <c r="K97" s="12" t="str">
        <f aca="false">IF($L97="","",INDEX(Population!$G$2:$G$1092,$L97)&amp;" / row "&amp;INDEX(Population!$H$2:$H$1092,$L97))</f>
        <v/>
      </c>
      <c r="L97" s="26" t="str">
        <f aca="false">IF(ROWS($L$5:L97)&lt;=N(Summary!$C$8),IFERROR(MATCH("Population 2|R|"&amp;ROWS($L$5:L97),Population!$V$2:$V$1092,0),""),"")</f>
        <v/>
      </c>
    </row>
    <row r="98" customFormat="false" ht="15" hidden="false" customHeight="false" outlineLevel="0" collapsed="false">
      <c r="A98" s="12" t="str">
        <f aca="false">IF($L98="","",INDEX(Population!$B$2:$B$1092,$L98)&amp;"")</f>
        <v/>
      </c>
      <c r="B98" s="12" t="str">
        <f aca="false">IF($L98="","",INDEX(Population!$C$2:$C$1092,$L98)&amp;"")</f>
        <v/>
      </c>
      <c r="C98" s="12" t="str">
        <f aca="false">IF($L98="","",INDEX(Population!$D$2:$D$1092,$L98)&amp;"")</f>
        <v/>
      </c>
      <c r="D98" s="12" t="str">
        <f aca="false">IF($L98="","",INDEX(Population!$E$2:$E$1092,$L98))</f>
        <v/>
      </c>
      <c r="E98" s="12" t="str">
        <f aca="false">IF($L98="","",INDEX(Population!$F$2:$F$1092,$L98))</f>
        <v/>
      </c>
      <c r="F98" s="16" t="str">
        <f aca="false">IF($L98="","",INDEX(Population!$L$2:$L$1092,$L98))</f>
        <v/>
      </c>
      <c r="G98" s="16" t="str">
        <f aca="false">IF($L98="","",INDEX(Population!$M$2:$M$1092,$L98))</f>
        <v/>
      </c>
      <c r="H98" s="27" t="str">
        <f aca="false">IF($L98="","",IF(Summary!$C$9="Random",INDEX(Population!$Q$2:$Q$1092,$L98),INDEX(Population!$S$2:$S$1092,$L98)))</f>
        <v/>
      </c>
      <c r="I98" s="12" t="str">
        <f aca="false">IF($L98="","",IF(Summary!$C$9="Random","Below Materiality – Random","Below Materiality – Highest n"))</f>
        <v/>
      </c>
      <c r="J98" s="12" t="str">
        <f aca="false">IF($L98="","",INDEX(Population!$N$2:$N$1092,$L98))</f>
        <v/>
      </c>
      <c r="K98" s="12" t="str">
        <f aca="false">IF($L98="","",INDEX(Population!$G$2:$G$1092,$L98)&amp;" / row "&amp;INDEX(Population!$H$2:$H$1092,$L98))</f>
        <v/>
      </c>
      <c r="L98" s="26" t="str">
        <f aca="false">IF(ROWS($L$5:L98)&lt;=N(Summary!$C$8),IFERROR(MATCH("Population 2|R|"&amp;ROWS($L$5:L98),Population!$V$2:$V$1092,0),""),"")</f>
        <v/>
      </c>
    </row>
    <row r="99" customFormat="false" ht="15" hidden="false" customHeight="false" outlineLevel="0" collapsed="false">
      <c r="A99" s="12" t="str">
        <f aca="false">IF($L99="","",INDEX(Population!$B$2:$B$1092,$L99)&amp;"")</f>
        <v/>
      </c>
      <c r="B99" s="12" t="str">
        <f aca="false">IF($L99="","",INDEX(Population!$C$2:$C$1092,$L99)&amp;"")</f>
        <v/>
      </c>
      <c r="C99" s="12" t="str">
        <f aca="false">IF($L99="","",INDEX(Population!$D$2:$D$1092,$L99)&amp;"")</f>
        <v/>
      </c>
      <c r="D99" s="12" t="str">
        <f aca="false">IF($L99="","",INDEX(Population!$E$2:$E$1092,$L99))</f>
        <v/>
      </c>
      <c r="E99" s="12" t="str">
        <f aca="false">IF($L99="","",INDEX(Population!$F$2:$F$1092,$L99))</f>
        <v/>
      </c>
      <c r="F99" s="16" t="str">
        <f aca="false">IF($L99="","",INDEX(Population!$L$2:$L$1092,$L99))</f>
        <v/>
      </c>
      <c r="G99" s="16" t="str">
        <f aca="false">IF($L99="","",INDEX(Population!$M$2:$M$1092,$L99))</f>
        <v/>
      </c>
      <c r="H99" s="27" t="str">
        <f aca="false">IF($L99="","",IF(Summary!$C$9="Random",INDEX(Population!$Q$2:$Q$1092,$L99),INDEX(Population!$S$2:$S$1092,$L99)))</f>
        <v/>
      </c>
      <c r="I99" s="12" t="str">
        <f aca="false">IF($L99="","",IF(Summary!$C$9="Random","Below Materiality – Random","Below Materiality – Highest n"))</f>
        <v/>
      </c>
      <c r="J99" s="12" t="str">
        <f aca="false">IF($L99="","",INDEX(Population!$N$2:$N$1092,$L99))</f>
        <v/>
      </c>
      <c r="K99" s="12" t="str">
        <f aca="false">IF($L99="","",INDEX(Population!$G$2:$G$1092,$L99)&amp;" / row "&amp;INDEX(Population!$H$2:$H$1092,$L99))</f>
        <v/>
      </c>
      <c r="L99" s="26" t="str">
        <f aca="false">IF(ROWS($L$5:L99)&lt;=N(Summary!$C$8),IFERROR(MATCH("Population 2|R|"&amp;ROWS($L$5:L99),Population!$V$2:$V$1092,0),""),"")</f>
        <v/>
      </c>
    </row>
    <row r="100" customFormat="false" ht="15" hidden="false" customHeight="false" outlineLevel="0" collapsed="false">
      <c r="A100" s="12" t="str">
        <f aca="false">IF($L100="","",INDEX(Population!$B$2:$B$1092,$L100)&amp;"")</f>
        <v/>
      </c>
      <c r="B100" s="12" t="str">
        <f aca="false">IF($L100="","",INDEX(Population!$C$2:$C$1092,$L100)&amp;"")</f>
        <v/>
      </c>
      <c r="C100" s="12" t="str">
        <f aca="false">IF($L100="","",INDEX(Population!$D$2:$D$1092,$L100)&amp;"")</f>
        <v/>
      </c>
      <c r="D100" s="12" t="str">
        <f aca="false">IF($L100="","",INDEX(Population!$E$2:$E$1092,$L100))</f>
        <v/>
      </c>
      <c r="E100" s="12" t="str">
        <f aca="false">IF($L100="","",INDEX(Population!$F$2:$F$1092,$L100))</f>
        <v/>
      </c>
      <c r="F100" s="16" t="str">
        <f aca="false">IF($L100="","",INDEX(Population!$L$2:$L$1092,$L100))</f>
        <v/>
      </c>
      <c r="G100" s="16" t="str">
        <f aca="false">IF($L100="","",INDEX(Population!$M$2:$M$1092,$L100))</f>
        <v/>
      </c>
      <c r="H100" s="27" t="str">
        <f aca="false">IF($L100="","",IF(Summary!$C$9="Random",INDEX(Population!$Q$2:$Q$1092,$L100),INDEX(Population!$S$2:$S$1092,$L100)))</f>
        <v/>
      </c>
      <c r="I100" s="12" t="str">
        <f aca="false">IF($L100="","",IF(Summary!$C$9="Random","Below Materiality – Random","Below Materiality – Highest n"))</f>
        <v/>
      </c>
      <c r="J100" s="12" t="str">
        <f aca="false">IF($L100="","",INDEX(Population!$N$2:$N$1092,$L100))</f>
        <v/>
      </c>
      <c r="K100" s="12" t="str">
        <f aca="false">IF($L100="","",INDEX(Population!$G$2:$G$1092,$L100)&amp;" / row "&amp;INDEX(Population!$H$2:$H$1092,$L100))</f>
        <v/>
      </c>
      <c r="L100" s="26" t="str">
        <f aca="false">IF(ROWS($L$5:L100)&lt;=N(Summary!$C$8),IFERROR(MATCH("Population 2|R|"&amp;ROWS($L$5:L100),Population!$V$2:$V$1092,0),""),"")</f>
        <v/>
      </c>
    </row>
    <row r="101" customFormat="false" ht="15" hidden="false" customHeight="false" outlineLevel="0" collapsed="false">
      <c r="A101" s="12" t="str">
        <f aca="false">IF($L101="","",INDEX(Population!$B$2:$B$1092,$L101)&amp;"")</f>
        <v/>
      </c>
      <c r="B101" s="12" t="str">
        <f aca="false">IF($L101="","",INDEX(Population!$C$2:$C$1092,$L101)&amp;"")</f>
        <v/>
      </c>
      <c r="C101" s="12" t="str">
        <f aca="false">IF($L101="","",INDEX(Population!$D$2:$D$1092,$L101)&amp;"")</f>
        <v/>
      </c>
      <c r="D101" s="12" t="str">
        <f aca="false">IF($L101="","",INDEX(Population!$E$2:$E$1092,$L101))</f>
        <v/>
      </c>
      <c r="E101" s="12" t="str">
        <f aca="false">IF($L101="","",INDEX(Population!$F$2:$F$1092,$L101))</f>
        <v/>
      </c>
      <c r="F101" s="16" t="str">
        <f aca="false">IF($L101="","",INDEX(Population!$L$2:$L$1092,$L101))</f>
        <v/>
      </c>
      <c r="G101" s="16" t="str">
        <f aca="false">IF($L101="","",INDEX(Population!$M$2:$M$1092,$L101))</f>
        <v/>
      </c>
      <c r="H101" s="27" t="str">
        <f aca="false">IF($L101="","",IF(Summary!$C$9="Random",INDEX(Population!$Q$2:$Q$1092,$L101),INDEX(Population!$S$2:$S$1092,$L101)))</f>
        <v/>
      </c>
      <c r="I101" s="12" t="str">
        <f aca="false">IF($L101="","",IF(Summary!$C$9="Random","Below Materiality – Random","Below Materiality – Highest n"))</f>
        <v/>
      </c>
      <c r="J101" s="12" t="str">
        <f aca="false">IF($L101="","",INDEX(Population!$N$2:$N$1092,$L101))</f>
        <v/>
      </c>
      <c r="K101" s="12" t="str">
        <f aca="false">IF($L101="","",INDEX(Population!$G$2:$G$1092,$L101)&amp;" / row "&amp;INDEX(Population!$H$2:$H$1092,$L101))</f>
        <v/>
      </c>
      <c r="L101" s="26" t="str">
        <f aca="false">IF(ROWS($L$5:L101)&lt;=N(Summary!$C$8),IFERROR(MATCH("Population 2|R|"&amp;ROWS($L$5:L101),Population!$V$2:$V$1092,0),""),"")</f>
        <v/>
      </c>
    </row>
    <row r="102" customFormat="false" ht="15" hidden="false" customHeight="false" outlineLevel="0" collapsed="false">
      <c r="A102" s="12" t="str">
        <f aca="false">IF($L102="","",INDEX(Population!$B$2:$B$1092,$L102)&amp;"")</f>
        <v/>
      </c>
      <c r="B102" s="12" t="str">
        <f aca="false">IF($L102="","",INDEX(Population!$C$2:$C$1092,$L102)&amp;"")</f>
        <v/>
      </c>
      <c r="C102" s="12" t="str">
        <f aca="false">IF($L102="","",INDEX(Population!$D$2:$D$1092,$L102)&amp;"")</f>
        <v/>
      </c>
      <c r="D102" s="12" t="str">
        <f aca="false">IF($L102="","",INDEX(Population!$E$2:$E$1092,$L102))</f>
        <v/>
      </c>
      <c r="E102" s="12" t="str">
        <f aca="false">IF($L102="","",INDEX(Population!$F$2:$F$1092,$L102))</f>
        <v/>
      </c>
      <c r="F102" s="16" t="str">
        <f aca="false">IF($L102="","",INDEX(Population!$L$2:$L$1092,$L102))</f>
        <v/>
      </c>
      <c r="G102" s="16" t="str">
        <f aca="false">IF($L102="","",INDEX(Population!$M$2:$M$1092,$L102))</f>
        <v/>
      </c>
      <c r="H102" s="27" t="str">
        <f aca="false">IF($L102="","",IF(Summary!$C$9="Random",INDEX(Population!$Q$2:$Q$1092,$L102),INDEX(Population!$S$2:$S$1092,$L102)))</f>
        <v/>
      </c>
      <c r="I102" s="12" t="str">
        <f aca="false">IF($L102="","",IF(Summary!$C$9="Random","Below Materiality – Random","Below Materiality – Highest n"))</f>
        <v/>
      </c>
      <c r="J102" s="12" t="str">
        <f aca="false">IF($L102="","",INDEX(Population!$N$2:$N$1092,$L102))</f>
        <v/>
      </c>
      <c r="K102" s="12" t="str">
        <f aca="false">IF($L102="","",INDEX(Population!$G$2:$G$1092,$L102)&amp;" / row "&amp;INDEX(Population!$H$2:$H$1092,$L102))</f>
        <v/>
      </c>
      <c r="L102" s="26" t="str">
        <f aca="false">IF(ROWS($L$5:L102)&lt;=N(Summary!$C$8),IFERROR(MATCH("Population 2|R|"&amp;ROWS($L$5:L102),Population!$V$2:$V$1092,0),""),"")</f>
        <v/>
      </c>
    </row>
    <row r="103" customFormat="false" ht="15" hidden="false" customHeight="false" outlineLevel="0" collapsed="false">
      <c r="A103" s="12" t="str">
        <f aca="false">IF($L103="","",INDEX(Population!$B$2:$B$1092,$L103)&amp;"")</f>
        <v/>
      </c>
      <c r="B103" s="12" t="str">
        <f aca="false">IF($L103="","",INDEX(Population!$C$2:$C$1092,$L103)&amp;"")</f>
        <v/>
      </c>
      <c r="C103" s="12" t="str">
        <f aca="false">IF($L103="","",INDEX(Population!$D$2:$D$1092,$L103)&amp;"")</f>
        <v/>
      </c>
      <c r="D103" s="12" t="str">
        <f aca="false">IF($L103="","",INDEX(Population!$E$2:$E$1092,$L103))</f>
        <v/>
      </c>
      <c r="E103" s="12" t="str">
        <f aca="false">IF($L103="","",INDEX(Population!$F$2:$F$1092,$L103))</f>
        <v/>
      </c>
      <c r="F103" s="16" t="str">
        <f aca="false">IF($L103="","",INDEX(Population!$L$2:$L$1092,$L103))</f>
        <v/>
      </c>
      <c r="G103" s="16" t="str">
        <f aca="false">IF($L103="","",INDEX(Population!$M$2:$M$1092,$L103))</f>
        <v/>
      </c>
      <c r="H103" s="27" t="str">
        <f aca="false">IF($L103="","",IF(Summary!$C$9="Random",INDEX(Population!$Q$2:$Q$1092,$L103),INDEX(Population!$S$2:$S$1092,$L103)))</f>
        <v/>
      </c>
      <c r="I103" s="12" t="str">
        <f aca="false">IF($L103="","",IF(Summary!$C$9="Random","Below Materiality – Random","Below Materiality – Highest n"))</f>
        <v/>
      </c>
      <c r="J103" s="12" t="str">
        <f aca="false">IF($L103="","",INDEX(Population!$N$2:$N$1092,$L103))</f>
        <v/>
      </c>
      <c r="K103" s="12" t="str">
        <f aca="false">IF($L103="","",INDEX(Population!$G$2:$G$1092,$L103)&amp;" / row "&amp;INDEX(Population!$H$2:$H$1092,$L103))</f>
        <v/>
      </c>
      <c r="L103" s="26" t="str">
        <f aca="false">IF(ROWS($L$5:L103)&lt;=N(Summary!$C$8),IFERROR(MATCH("Population 2|R|"&amp;ROWS($L$5:L103),Population!$V$2:$V$1092,0),""),"")</f>
        <v/>
      </c>
    </row>
    <row r="104" customFormat="false" ht="15" hidden="false" customHeight="false" outlineLevel="0" collapsed="false">
      <c r="A104" s="12" t="str">
        <f aca="false">IF($L104="","",INDEX(Population!$B$2:$B$1092,$L104)&amp;"")</f>
        <v/>
      </c>
      <c r="B104" s="12" t="str">
        <f aca="false">IF($L104="","",INDEX(Population!$C$2:$C$1092,$L104)&amp;"")</f>
        <v/>
      </c>
      <c r="C104" s="12" t="str">
        <f aca="false">IF($L104="","",INDEX(Population!$D$2:$D$1092,$L104)&amp;"")</f>
        <v/>
      </c>
      <c r="D104" s="12" t="str">
        <f aca="false">IF($L104="","",INDEX(Population!$E$2:$E$1092,$L104))</f>
        <v/>
      </c>
      <c r="E104" s="12" t="str">
        <f aca="false">IF($L104="","",INDEX(Population!$F$2:$F$1092,$L104))</f>
        <v/>
      </c>
      <c r="F104" s="16" t="str">
        <f aca="false">IF($L104="","",INDEX(Population!$L$2:$L$1092,$L104))</f>
        <v/>
      </c>
      <c r="G104" s="16" t="str">
        <f aca="false">IF($L104="","",INDEX(Population!$M$2:$M$1092,$L104))</f>
        <v/>
      </c>
      <c r="H104" s="27" t="str">
        <f aca="false">IF($L104="","",IF(Summary!$C$9="Random",INDEX(Population!$Q$2:$Q$1092,$L104),INDEX(Population!$S$2:$S$1092,$L104)))</f>
        <v/>
      </c>
      <c r="I104" s="12" t="str">
        <f aca="false">IF($L104="","",IF(Summary!$C$9="Random","Below Materiality – Random","Below Materiality – Highest n"))</f>
        <v/>
      </c>
      <c r="J104" s="12" t="str">
        <f aca="false">IF($L104="","",INDEX(Population!$N$2:$N$1092,$L104))</f>
        <v/>
      </c>
      <c r="K104" s="12" t="str">
        <f aca="false">IF($L104="","",INDEX(Population!$G$2:$G$1092,$L104)&amp;" / row "&amp;INDEX(Population!$H$2:$H$1092,$L104))</f>
        <v/>
      </c>
      <c r="L104" s="26" t="str">
        <f aca="false">IF(ROWS($L$5:L104)&lt;=N(Summary!$C$8),IFERROR(MATCH("Population 2|R|"&amp;ROWS($L$5:L104),Population!$V$2:$V$1092,0),""),"")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44"/>
  </cols>
  <sheetData>
    <row r="1" customFormat="false" ht="16.15" hidden="false" customHeight="false" outlineLevel="0" collapsed="false">
      <c r="A1" s="23" t="s">
        <v>2044</v>
      </c>
    </row>
    <row r="2" customFormat="false" ht="15" hidden="false" customHeight="false" outlineLevel="0" collapsed="false">
      <c r="A2" s="25" t="s">
        <v>2045</v>
      </c>
    </row>
    <row r="4" customFormat="false" ht="30" hidden="false" customHeight="true" outlineLevel="0" collapsed="false">
      <c r="A4" s="11" t="s">
        <v>52</v>
      </c>
      <c r="B4" s="11" t="s">
        <v>54</v>
      </c>
      <c r="C4" s="11" t="s">
        <v>55</v>
      </c>
      <c r="D4" s="11" t="s">
        <v>56</v>
      </c>
      <c r="E4" s="11" t="s">
        <v>57</v>
      </c>
      <c r="F4" s="11" t="s">
        <v>58</v>
      </c>
      <c r="G4" s="11" t="s">
        <v>2046</v>
      </c>
      <c r="H4" s="11" t="s">
        <v>2047</v>
      </c>
    </row>
    <row r="5" customFormat="false" ht="15" hidden="false" customHeight="false" outlineLevel="0" collapsed="false">
      <c r="A5" s="18" t="s">
        <v>327</v>
      </c>
      <c r="B5" s="18" t="s">
        <v>71</v>
      </c>
      <c r="C5" s="18" t="n">
        <v>2</v>
      </c>
      <c r="D5" s="19" t="n">
        <v>0</v>
      </c>
      <c r="E5" s="19" t="n">
        <v>650</v>
      </c>
      <c r="F5" s="19" t="n">
        <v>650</v>
      </c>
      <c r="G5" s="19" t="n">
        <v>0</v>
      </c>
      <c r="H5" s="18" t="s">
        <v>2048</v>
      </c>
    </row>
    <row r="6" customFormat="false" ht="15" hidden="false" customHeight="false" outlineLevel="0" collapsed="false">
      <c r="A6" s="18" t="s">
        <v>329</v>
      </c>
      <c r="B6" s="18" t="s">
        <v>71</v>
      </c>
      <c r="C6" s="18" t="n">
        <v>3</v>
      </c>
      <c r="D6" s="19" t="n">
        <v>0</v>
      </c>
      <c r="E6" s="19" t="n">
        <v>7300.2</v>
      </c>
      <c r="F6" s="19" t="n">
        <v>7300.2</v>
      </c>
      <c r="G6" s="19" t="n">
        <v>0</v>
      </c>
      <c r="H6" s="18" t="s">
        <v>2048</v>
      </c>
    </row>
    <row r="7" customFormat="false" ht="15" hidden="false" customHeight="false" outlineLevel="0" collapsed="false">
      <c r="A7" s="18" t="s">
        <v>331</v>
      </c>
      <c r="B7" s="18" t="s">
        <v>71</v>
      </c>
      <c r="C7" s="18" t="n">
        <v>4</v>
      </c>
      <c r="D7" s="19" t="n">
        <v>0</v>
      </c>
      <c r="E7" s="19" t="n">
        <v>16675</v>
      </c>
      <c r="F7" s="19" t="n">
        <v>16675</v>
      </c>
      <c r="G7" s="19" t="n">
        <v>0</v>
      </c>
      <c r="H7" s="18" t="s">
        <v>2048</v>
      </c>
    </row>
    <row r="8" customFormat="false" ht="15" hidden="false" customHeight="false" outlineLevel="0" collapsed="false">
      <c r="A8" s="18" t="s">
        <v>333</v>
      </c>
      <c r="B8" s="18" t="s">
        <v>71</v>
      </c>
      <c r="C8" s="18" t="n">
        <v>5</v>
      </c>
      <c r="D8" s="19" t="n">
        <v>0</v>
      </c>
      <c r="E8" s="19" t="n">
        <v>500</v>
      </c>
      <c r="F8" s="19" t="n">
        <v>500</v>
      </c>
      <c r="G8" s="19" t="n">
        <v>0</v>
      </c>
      <c r="H8" s="18" t="s">
        <v>2048</v>
      </c>
    </row>
    <row r="9" customFormat="false" ht="15" hidden="false" customHeight="false" outlineLevel="0" collapsed="false">
      <c r="A9" s="18" t="s">
        <v>335</v>
      </c>
      <c r="B9" s="18" t="s">
        <v>71</v>
      </c>
      <c r="C9" s="18" t="n">
        <v>6</v>
      </c>
      <c r="D9" s="19" t="n">
        <v>0</v>
      </c>
      <c r="E9" s="19" t="n">
        <v>1030</v>
      </c>
      <c r="F9" s="19" t="n">
        <v>1030</v>
      </c>
      <c r="G9" s="19" t="n">
        <v>0</v>
      </c>
      <c r="H9" s="18" t="s">
        <v>2048</v>
      </c>
    </row>
    <row r="10" customFormat="false" ht="15" hidden="false" customHeight="false" outlineLevel="0" collapsed="false">
      <c r="A10" s="18" t="s">
        <v>337</v>
      </c>
      <c r="B10" s="18" t="s">
        <v>71</v>
      </c>
      <c r="C10" s="18" t="n">
        <v>7</v>
      </c>
      <c r="D10" s="19" t="n">
        <v>0</v>
      </c>
      <c r="E10" s="19" t="n">
        <v>6613.45</v>
      </c>
      <c r="F10" s="19" t="n">
        <v>6613.45</v>
      </c>
      <c r="G10" s="19" t="n">
        <v>0</v>
      </c>
      <c r="H10" s="18" t="s">
        <v>2048</v>
      </c>
    </row>
    <row r="11" customFormat="false" ht="15" hidden="false" customHeight="false" outlineLevel="0" collapsed="false">
      <c r="A11" s="18" t="s">
        <v>339</v>
      </c>
      <c r="B11" s="18" t="s">
        <v>71</v>
      </c>
      <c r="C11" s="18" t="n">
        <v>8</v>
      </c>
      <c r="D11" s="19" t="n">
        <v>0</v>
      </c>
      <c r="E11" s="19" t="n">
        <v>690</v>
      </c>
      <c r="F11" s="19" t="n">
        <v>690</v>
      </c>
      <c r="G11" s="19" t="n">
        <v>0</v>
      </c>
      <c r="H11" s="18" t="s">
        <v>2048</v>
      </c>
    </row>
    <row r="12" customFormat="false" ht="15" hidden="false" customHeight="false" outlineLevel="0" collapsed="false">
      <c r="A12" s="18" t="s">
        <v>341</v>
      </c>
      <c r="B12" s="18" t="s">
        <v>71</v>
      </c>
      <c r="C12" s="18" t="n">
        <v>9</v>
      </c>
      <c r="D12" s="19" t="n">
        <v>0</v>
      </c>
      <c r="E12" s="19" t="n">
        <v>13641.3</v>
      </c>
      <c r="F12" s="19" t="n">
        <v>13641.3</v>
      </c>
      <c r="G12" s="19" t="n">
        <v>0</v>
      </c>
      <c r="H12" s="18" t="s">
        <v>2048</v>
      </c>
    </row>
    <row r="13" customFormat="false" ht="15" hidden="false" customHeight="false" outlineLevel="0" collapsed="false">
      <c r="A13" s="18" t="s">
        <v>343</v>
      </c>
      <c r="B13" s="18" t="s">
        <v>71</v>
      </c>
      <c r="C13" s="18" t="n">
        <v>10</v>
      </c>
      <c r="D13" s="19" t="n">
        <v>0</v>
      </c>
      <c r="E13" s="19" t="n">
        <v>2470.15</v>
      </c>
      <c r="F13" s="19" t="n">
        <v>2470.15</v>
      </c>
      <c r="G13" s="19" t="n">
        <v>0</v>
      </c>
      <c r="H13" s="18" t="s">
        <v>2048</v>
      </c>
    </row>
    <row r="14" customFormat="false" ht="15" hidden="false" customHeight="false" outlineLevel="0" collapsed="false">
      <c r="A14" s="18" t="s">
        <v>345</v>
      </c>
      <c r="B14" s="18" t="s">
        <v>71</v>
      </c>
      <c r="C14" s="18" t="n">
        <v>12</v>
      </c>
      <c r="D14" s="19" t="n">
        <v>0</v>
      </c>
      <c r="E14" s="19" t="n">
        <v>5071.5</v>
      </c>
      <c r="F14" s="19" t="n">
        <v>5071.5</v>
      </c>
      <c r="G14" s="19" t="n">
        <v>0</v>
      </c>
      <c r="H14" s="18" t="s">
        <v>2048</v>
      </c>
    </row>
    <row r="15" customFormat="false" ht="15" hidden="false" customHeight="false" outlineLevel="0" collapsed="false">
      <c r="A15" s="18" t="s">
        <v>347</v>
      </c>
      <c r="B15" s="18" t="s">
        <v>71</v>
      </c>
      <c r="C15" s="18" t="n">
        <v>13</v>
      </c>
      <c r="D15" s="19" t="n">
        <v>0</v>
      </c>
      <c r="E15" s="19" t="n">
        <v>35</v>
      </c>
      <c r="F15" s="19" t="n">
        <v>35</v>
      </c>
      <c r="G15" s="19" t="n">
        <v>0</v>
      </c>
      <c r="H15" s="18" t="s">
        <v>2048</v>
      </c>
    </row>
    <row r="16" customFormat="false" ht="15" hidden="false" customHeight="false" outlineLevel="0" collapsed="false">
      <c r="A16" s="18" t="s">
        <v>349</v>
      </c>
      <c r="B16" s="18" t="s">
        <v>71</v>
      </c>
      <c r="C16" s="18" t="n">
        <v>14</v>
      </c>
      <c r="D16" s="19" t="n">
        <v>0</v>
      </c>
      <c r="E16" s="19" t="n">
        <v>348577.11</v>
      </c>
      <c r="F16" s="19" t="n">
        <v>348577.11</v>
      </c>
      <c r="G16" s="19" t="n">
        <v>0</v>
      </c>
      <c r="H16" s="18" t="s">
        <v>2048</v>
      </c>
    </row>
    <row r="17" customFormat="false" ht="15" hidden="false" customHeight="false" outlineLevel="0" collapsed="false">
      <c r="A17" s="18" t="s">
        <v>351</v>
      </c>
      <c r="B17" s="18" t="s">
        <v>71</v>
      </c>
      <c r="C17" s="18" t="n">
        <v>15</v>
      </c>
      <c r="D17" s="19" t="n">
        <v>0</v>
      </c>
      <c r="E17" s="19" t="n">
        <v>1803.75</v>
      </c>
      <c r="F17" s="19" t="n">
        <v>1803.75</v>
      </c>
      <c r="G17" s="19" t="n">
        <v>0</v>
      </c>
      <c r="H17" s="18" t="s">
        <v>2048</v>
      </c>
    </row>
    <row r="18" customFormat="false" ht="15" hidden="false" customHeight="false" outlineLevel="0" collapsed="false">
      <c r="A18" s="18" t="s">
        <v>353</v>
      </c>
      <c r="B18" s="18" t="s">
        <v>71</v>
      </c>
      <c r="C18" s="18" t="n">
        <v>16</v>
      </c>
      <c r="D18" s="19" t="n">
        <v>0</v>
      </c>
      <c r="E18" s="19" t="n">
        <v>8818</v>
      </c>
      <c r="F18" s="19" t="n">
        <v>8818</v>
      </c>
      <c r="G18" s="19" t="n">
        <v>0</v>
      </c>
      <c r="H18" s="18" t="s">
        <v>2048</v>
      </c>
    </row>
    <row r="19" customFormat="false" ht="15" hidden="false" customHeight="false" outlineLevel="0" collapsed="false">
      <c r="A19" s="18" t="s">
        <v>355</v>
      </c>
      <c r="B19" s="18" t="s">
        <v>71</v>
      </c>
      <c r="C19" s="18" t="n">
        <v>17</v>
      </c>
      <c r="D19" s="19" t="n">
        <v>0</v>
      </c>
      <c r="E19" s="19" t="n">
        <v>26102.9</v>
      </c>
      <c r="F19" s="19" t="n">
        <v>26102.9</v>
      </c>
      <c r="G19" s="19" t="n">
        <v>0</v>
      </c>
      <c r="H19" s="18" t="s">
        <v>2048</v>
      </c>
    </row>
    <row r="20" customFormat="false" ht="15" hidden="false" customHeight="false" outlineLevel="0" collapsed="false">
      <c r="A20" s="18" t="s">
        <v>357</v>
      </c>
      <c r="B20" s="18" t="s">
        <v>71</v>
      </c>
      <c r="C20" s="18" t="n">
        <v>18</v>
      </c>
      <c r="D20" s="19" t="n">
        <v>0</v>
      </c>
      <c r="E20" s="19" t="n">
        <v>20718.65</v>
      </c>
      <c r="F20" s="19" t="n">
        <v>20718.65</v>
      </c>
      <c r="G20" s="19" t="n">
        <v>0</v>
      </c>
      <c r="H20" s="18" t="s">
        <v>2048</v>
      </c>
    </row>
    <row r="21" customFormat="false" ht="15" hidden="false" customHeight="false" outlineLevel="0" collapsed="false">
      <c r="A21" s="18" t="s">
        <v>359</v>
      </c>
      <c r="B21" s="18" t="s">
        <v>71</v>
      </c>
      <c r="C21" s="18" t="n">
        <v>19</v>
      </c>
      <c r="D21" s="19" t="n">
        <v>0</v>
      </c>
      <c r="E21" s="19" t="n">
        <v>6180.6</v>
      </c>
      <c r="F21" s="19" t="n">
        <v>6180.6</v>
      </c>
      <c r="G21" s="19" t="n">
        <v>0</v>
      </c>
      <c r="H21" s="18" t="s">
        <v>2048</v>
      </c>
    </row>
    <row r="22" customFormat="false" ht="15" hidden="false" customHeight="false" outlineLevel="0" collapsed="false">
      <c r="A22" s="18" t="s">
        <v>361</v>
      </c>
      <c r="B22" s="18" t="s">
        <v>71</v>
      </c>
      <c r="C22" s="18" t="n">
        <v>20</v>
      </c>
      <c r="D22" s="19" t="n">
        <v>0</v>
      </c>
      <c r="E22" s="19" t="n">
        <v>143.75</v>
      </c>
      <c r="F22" s="19" t="n">
        <v>143.75</v>
      </c>
      <c r="G22" s="19" t="n">
        <v>0</v>
      </c>
      <c r="H22" s="18" t="s">
        <v>2048</v>
      </c>
    </row>
    <row r="23" customFormat="false" ht="15" hidden="false" customHeight="false" outlineLevel="0" collapsed="false">
      <c r="A23" s="18" t="s">
        <v>363</v>
      </c>
      <c r="B23" s="18" t="s">
        <v>71</v>
      </c>
      <c r="C23" s="18" t="n">
        <v>21</v>
      </c>
      <c r="D23" s="19" t="n">
        <v>0</v>
      </c>
      <c r="E23" s="19" t="n">
        <v>175</v>
      </c>
      <c r="F23" s="19" t="n">
        <v>175</v>
      </c>
      <c r="G23" s="19" t="n">
        <v>0</v>
      </c>
      <c r="H23" s="18" t="s">
        <v>2048</v>
      </c>
    </row>
    <row r="24" customFormat="false" ht="15" hidden="false" customHeight="false" outlineLevel="0" collapsed="false">
      <c r="A24" s="18" t="s">
        <v>365</v>
      </c>
      <c r="B24" s="18" t="s">
        <v>71</v>
      </c>
      <c r="C24" s="18" t="n">
        <v>22</v>
      </c>
      <c r="D24" s="19" t="n">
        <v>0</v>
      </c>
      <c r="E24" s="19" t="n">
        <v>100</v>
      </c>
      <c r="F24" s="19" t="n">
        <v>100</v>
      </c>
      <c r="G24" s="19" t="n">
        <v>0</v>
      </c>
      <c r="H24" s="18" t="s">
        <v>2048</v>
      </c>
    </row>
    <row r="25" customFormat="false" ht="15" hidden="false" customHeight="false" outlineLevel="0" collapsed="false">
      <c r="A25" s="18" t="s">
        <v>367</v>
      </c>
      <c r="B25" s="18" t="s">
        <v>71</v>
      </c>
      <c r="C25" s="18" t="n">
        <v>23</v>
      </c>
      <c r="D25" s="19" t="n">
        <v>0</v>
      </c>
      <c r="E25" s="19" t="n">
        <v>2790.36</v>
      </c>
      <c r="F25" s="19" t="n">
        <v>2790.36</v>
      </c>
      <c r="G25" s="19" t="n">
        <v>0</v>
      </c>
      <c r="H25" s="18" t="s">
        <v>2048</v>
      </c>
    </row>
    <row r="26" customFormat="false" ht="15" hidden="false" customHeight="false" outlineLevel="0" collapsed="false">
      <c r="A26" s="18" t="s">
        <v>369</v>
      </c>
      <c r="B26" s="18" t="s">
        <v>71</v>
      </c>
      <c r="C26" s="18" t="n">
        <v>25</v>
      </c>
      <c r="D26" s="19" t="n">
        <v>0</v>
      </c>
      <c r="E26" s="19" t="n">
        <v>3651.25</v>
      </c>
      <c r="F26" s="19" t="n">
        <v>3651.25</v>
      </c>
      <c r="G26" s="19" t="n">
        <v>0</v>
      </c>
      <c r="H26" s="18" t="s">
        <v>2048</v>
      </c>
    </row>
    <row r="27" customFormat="false" ht="15" hidden="false" customHeight="false" outlineLevel="0" collapsed="false">
      <c r="A27" s="18" t="s">
        <v>371</v>
      </c>
      <c r="B27" s="18" t="s">
        <v>71</v>
      </c>
      <c r="C27" s="18" t="n">
        <v>26</v>
      </c>
      <c r="D27" s="19" t="n">
        <v>0</v>
      </c>
      <c r="E27" s="19" t="n">
        <v>366</v>
      </c>
      <c r="F27" s="19" t="n">
        <v>366</v>
      </c>
      <c r="G27" s="19" t="n">
        <v>0</v>
      </c>
      <c r="H27" s="18" t="s">
        <v>2048</v>
      </c>
    </row>
    <row r="28" customFormat="false" ht="15" hidden="false" customHeight="false" outlineLevel="0" collapsed="false">
      <c r="A28" s="18" t="s">
        <v>373</v>
      </c>
      <c r="B28" s="18" t="s">
        <v>71</v>
      </c>
      <c r="C28" s="18" t="n">
        <v>27</v>
      </c>
      <c r="D28" s="19" t="n">
        <v>0</v>
      </c>
      <c r="E28" s="19" t="n">
        <v>11081</v>
      </c>
      <c r="F28" s="19" t="n">
        <v>11081</v>
      </c>
      <c r="G28" s="19" t="n">
        <v>0</v>
      </c>
      <c r="H28" s="18" t="s">
        <v>2048</v>
      </c>
    </row>
    <row r="29" customFormat="false" ht="15" hidden="false" customHeight="false" outlineLevel="0" collapsed="false">
      <c r="A29" s="18" t="s">
        <v>375</v>
      </c>
      <c r="B29" s="18" t="s">
        <v>71</v>
      </c>
      <c r="C29" s="18" t="n">
        <v>28</v>
      </c>
      <c r="D29" s="19" t="n">
        <v>0</v>
      </c>
      <c r="E29" s="19" t="n">
        <v>11349.55</v>
      </c>
      <c r="F29" s="19" t="n">
        <v>11349.55</v>
      </c>
      <c r="G29" s="19" t="n">
        <v>0</v>
      </c>
      <c r="H29" s="18" t="s">
        <v>2048</v>
      </c>
    </row>
    <row r="30" customFormat="false" ht="15" hidden="false" customHeight="false" outlineLevel="0" collapsed="false">
      <c r="A30" s="18" t="s">
        <v>377</v>
      </c>
      <c r="B30" s="18" t="s">
        <v>71</v>
      </c>
      <c r="C30" s="18" t="n">
        <v>29</v>
      </c>
      <c r="D30" s="19" t="n">
        <v>0</v>
      </c>
      <c r="E30" s="19" t="n">
        <v>1895.43</v>
      </c>
      <c r="F30" s="19" t="n">
        <v>1895.43</v>
      </c>
      <c r="G30" s="19" t="n">
        <v>0</v>
      </c>
      <c r="H30" s="18" t="s">
        <v>2048</v>
      </c>
    </row>
    <row r="31" customFormat="false" ht="15" hidden="false" customHeight="false" outlineLevel="0" collapsed="false">
      <c r="A31" s="18" t="s">
        <v>379</v>
      </c>
      <c r="B31" s="18" t="s">
        <v>71</v>
      </c>
      <c r="C31" s="18" t="n">
        <v>30</v>
      </c>
      <c r="D31" s="19" t="n">
        <v>2300</v>
      </c>
      <c r="E31" s="19" t="n">
        <v>0</v>
      </c>
      <c r="F31" s="19" t="n">
        <v>2300</v>
      </c>
      <c r="G31" s="19" t="n">
        <v>0</v>
      </c>
      <c r="H31" s="18" t="s">
        <v>2048</v>
      </c>
    </row>
    <row r="32" customFormat="false" ht="15" hidden="false" customHeight="false" outlineLevel="0" collapsed="false">
      <c r="A32" s="18" t="s">
        <v>381</v>
      </c>
      <c r="B32" s="18" t="s">
        <v>71</v>
      </c>
      <c r="C32" s="18" t="n">
        <v>31</v>
      </c>
      <c r="D32" s="19" t="n">
        <v>0</v>
      </c>
      <c r="E32" s="19" t="n">
        <v>18032.7</v>
      </c>
      <c r="F32" s="19" t="n">
        <v>18032.7</v>
      </c>
      <c r="G32" s="19" t="n">
        <v>0</v>
      </c>
      <c r="H32" s="18" t="s">
        <v>2048</v>
      </c>
    </row>
    <row r="33" customFormat="false" ht="15" hidden="false" customHeight="false" outlineLevel="0" collapsed="false">
      <c r="A33" s="18" t="s">
        <v>383</v>
      </c>
      <c r="B33" s="18" t="s">
        <v>71</v>
      </c>
      <c r="C33" s="18" t="n">
        <v>32</v>
      </c>
      <c r="D33" s="19" t="n">
        <v>0</v>
      </c>
      <c r="E33" s="19" t="n">
        <v>18193</v>
      </c>
      <c r="F33" s="19" t="n">
        <v>18193</v>
      </c>
      <c r="G33" s="19" t="n">
        <v>0</v>
      </c>
      <c r="H33" s="18" t="s">
        <v>2048</v>
      </c>
    </row>
    <row r="34" customFormat="false" ht="15" hidden="false" customHeight="false" outlineLevel="0" collapsed="false">
      <c r="A34" s="18" t="s">
        <v>385</v>
      </c>
      <c r="B34" s="18" t="s">
        <v>71</v>
      </c>
      <c r="C34" s="18" t="n">
        <v>33</v>
      </c>
      <c r="D34" s="19" t="n">
        <v>0</v>
      </c>
      <c r="E34" s="19" t="n">
        <v>3829.5</v>
      </c>
      <c r="F34" s="19" t="n">
        <v>3829.5</v>
      </c>
      <c r="G34" s="19" t="n">
        <v>0</v>
      </c>
      <c r="H34" s="18" t="s">
        <v>2048</v>
      </c>
    </row>
    <row r="35" customFormat="false" ht="15" hidden="false" customHeight="false" outlineLevel="0" collapsed="false">
      <c r="A35" s="18" t="s">
        <v>387</v>
      </c>
      <c r="B35" s="18" t="s">
        <v>71</v>
      </c>
      <c r="C35" s="18" t="n">
        <v>34</v>
      </c>
      <c r="D35" s="19" t="n">
        <v>0</v>
      </c>
      <c r="E35" s="19" t="n">
        <v>1606</v>
      </c>
      <c r="F35" s="19" t="n">
        <v>1606</v>
      </c>
      <c r="G35" s="19" t="n">
        <v>0</v>
      </c>
      <c r="H35" s="18" t="s">
        <v>2048</v>
      </c>
    </row>
    <row r="36" customFormat="false" ht="15" hidden="false" customHeight="false" outlineLevel="0" collapsed="false">
      <c r="A36" s="18" t="s">
        <v>389</v>
      </c>
      <c r="B36" s="18" t="s">
        <v>71</v>
      </c>
      <c r="C36" s="18" t="n">
        <v>35</v>
      </c>
      <c r="D36" s="19" t="n">
        <v>0</v>
      </c>
      <c r="E36" s="19" t="n">
        <v>20325</v>
      </c>
      <c r="F36" s="19" t="n">
        <v>20325</v>
      </c>
      <c r="G36" s="19" t="n">
        <v>0</v>
      </c>
      <c r="H36" s="18" t="s">
        <v>2048</v>
      </c>
    </row>
    <row r="37" customFormat="false" ht="15" hidden="false" customHeight="false" outlineLevel="0" collapsed="false">
      <c r="A37" s="18" t="s">
        <v>391</v>
      </c>
      <c r="B37" s="18" t="s">
        <v>71</v>
      </c>
      <c r="C37" s="18" t="n">
        <v>36</v>
      </c>
      <c r="D37" s="19" t="n">
        <v>0</v>
      </c>
      <c r="E37" s="19" t="n">
        <v>182401.5</v>
      </c>
      <c r="F37" s="19" t="n">
        <v>182401.5</v>
      </c>
      <c r="G37" s="19" t="n">
        <v>0</v>
      </c>
      <c r="H37" s="18" t="s">
        <v>2048</v>
      </c>
    </row>
    <row r="38" customFormat="false" ht="15" hidden="false" customHeight="false" outlineLevel="0" collapsed="false">
      <c r="A38" s="18" t="s">
        <v>393</v>
      </c>
      <c r="B38" s="18" t="s">
        <v>71</v>
      </c>
      <c r="C38" s="18" t="n">
        <v>37</v>
      </c>
      <c r="D38" s="19" t="n">
        <v>0</v>
      </c>
      <c r="E38" s="19" t="n">
        <v>16</v>
      </c>
      <c r="F38" s="19" t="n">
        <v>16</v>
      </c>
      <c r="G38" s="19" t="n">
        <v>0</v>
      </c>
      <c r="H38" s="18" t="s">
        <v>2048</v>
      </c>
    </row>
    <row r="39" customFormat="false" ht="15" hidden="false" customHeight="false" outlineLevel="0" collapsed="false">
      <c r="A39" s="18" t="s">
        <v>395</v>
      </c>
      <c r="B39" s="18" t="s">
        <v>71</v>
      </c>
      <c r="C39" s="18" t="n">
        <v>38</v>
      </c>
      <c r="D39" s="19" t="n">
        <v>22.6500000000015</v>
      </c>
      <c r="E39" s="19" t="n">
        <v>32880.55</v>
      </c>
      <c r="F39" s="19" t="n">
        <v>32903.2</v>
      </c>
      <c r="G39" s="19" t="n">
        <v>0</v>
      </c>
      <c r="H39" s="18" t="s">
        <v>2048</v>
      </c>
    </row>
    <row r="40" customFormat="false" ht="15" hidden="false" customHeight="false" outlineLevel="0" collapsed="false">
      <c r="A40" s="18" t="s">
        <v>397</v>
      </c>
      <c r="B40" s="18" t="s">
        <v>71</v>
      </c>
      <c r="C40" s="18" t="n">
        <v>39</v>
      </c>
      <c r="D40" s="19" t="n">
        <v>0</v>
      </c>
      <c r="E40" s="19" t="n">
        <v>517.5</v>
      </c>
      <c r="F40" s="19" t="n">
        <v>517.5</v>
      </c>
      <c r="G40" s="19" t="n">
        <v>0</v>
      </c>
      <c r="H40" s="18" t="s">
        <v>2048</v>
      </c>
    </row>
    <row r="41" customFormat="false" ht="15" hidden="false" customHeight="false" outlineLevel="0" collapsed="false">
      <c r="A41" s="18" t="s">
        <v>399</v>
      </c>
      <c r="B41" s="18" t="s">
        <v>71</v>
      </c>
      <c r="C41" s="18" t="n">
        <v>40</v>
      </c>
      <c r="D41" s="19" t="n">
        <v>0</v>
      </c>
      <c r="E41" s="19" t="n">
        <v>2701.9</v>
      </c>
      <c r="F41" s="19" t="n">
        <v>2701.9</v>
      </c>
      <c r="G41" s="19" t="n">
        <v>0</v>
      </c>
      <c r="H41" s="18" t="s">
        <v>2048</v>
      </c>
    </row>
    <row r="42" customFormat="false" ht="15" hidden="false" customHeight="false" outlineLevel="0" collapsed="false">
      <c r="A42" s="18" t="s">
        <v>401</v>
      </c>
      <c r="B42" s="18" t="s">
        <v>71</v>
      </c>
      <c r="C42" s="18" t="n">
        <v>41</v>
      </c>
      <c r="D42" s="19" t="n">
        <v>0</v>
      </c>
      <c r="E42" s="19" t="n">
        <v>55.03</v>
      </c>
      <c r="F42" s="19" t="n">
        <v>55.03</v>
      </c>
      <c r="G42" s="19" t="n">
        <v>0</v>
      </c>
      <c r="H42" s="18" t="s">
        <v>2048</v>
      </c>
    </row>
    <row r="43" customFormat="false" ht="15" hidden="false" customHeight="false" outlineLevel="0" collapsed="false">
      <c r="A43" s="18" t="s">
        <v>403</v>
      </c>
      <c r="B43" s="18" t="s">
        <v>71</v>
      </c>
      <c r="C43" s="18" t="n">
        <v>42</v>
      </c>
      <c r="D43" s="19" t="n">
        <v>0</v>
      </c>
      <c r="E43" s="19" t="n">
        <v>5437.5</v>
      </c>
      <c r="F43" s="19" t="n">
        <v>5437.5</v>
      </c>
      <c r="G43" s="19" t="n">
        <v>0</v>
      </c>
      <c r="H43" s="18" t="s">
        <v>2048</v>
      </c>
    </row>
    <row r="44" customFormat="false" ht="15" hidden="false" customHeight="false" outlineLevel="0" collapsed="false">
      <c r="A44" s="18" t="s">
        <v>405</v>
      </c>
      <c r="B44" s="18" t="s">
        <v>71</v>
      </c>
      <c r="C44" s="18" t="n">
        <v>44</v>
      </c>
      <c r="D44" s="19" t="n">
        <v>0</v>
      </c>
      <c r="E44" s="19" t="n">
        <v>155186.64</v>
      </c>
      <c r="F44" s="19" t="n">
        <v>155186.64</v>
      </c>
      <c r="G44" s="19" t="n">
        <v>0</v>
      </c>
      <c r="H44" s="18" t="s">
        <v>2048</v>
      </c>
    </row>
    <row r="45" customFormat="false" ht="15" hidden="false" customHeight="false" outlineLevel="0" collapsed="false">
      <c r="A45" s="18" t="s">
        <v>407</v>
      </c>
      <c r="B45" s="18" t="s">
        <v>71</v>
      </c>
      <c r="C45" s="18" t="n">
        <v>45</v>
      </c>
      <c r="D45" s="19" t="n">
        <v>0</v>
      </c>
      <c r="E45" s="19" t="n">
        <v>2155</v>
      </c>
      <c r="F45" s="19" t="n">
        <v>2155</v>
      </c>
      <c r="G45" s="19" t="n">
        <v>0</v>
      </c>
      <c r="H45" s="18" t="s">
        <v>2048</v>
      </c>
    </row>
    <row r="46" customFormat="false" ht="15" hidden="false" customHeight="false" outlineLevel="0" collapsed="false">
      <c r="A46" s="18" t="s">
        <v>409</v>
      </c>
      <c r="B46" s="18" t="s">
        <v>71</v>
      </c>
      <c r="C46" s="18" t="n">
        <v>46</v>
      </c>
      <c r="D46" s="19" t="n">
        <v>0</v>
      </c>
      <c r="E46" s="19" t="n">
        <v>56986.1</v>
      </c>
      <c r="F46" s="19" t="n">
        <v>56986.1</v>
      </c>
      <c r="G46" s="19" t="n">
        <v>0</v>
      </c>
      <c r="H46" s="18" t="s">
        <v>2048</v>
      </c>
    </row>
    <row r="47" customFormat="false" ht="15" hidden="false" customHeight="false" outlineLevel="0" collapsed="false">
      <c r="A47" s="18" t="s">
        <v>411</v>
      </c>
      <c r="B47" s="18" t="s">
        <v>71</v>
      </c>
      <c r="C47" s="18" t="n">
        <v>47</v>
      </c>
      <c r="D47" s="19" t="n">
        <v>0</v>
      </c>
      <c r="E47" s="19" t="n">
        <v>2530</v>
      </c>
      <c r="F47" s="19" t="n">
        <v>2530</v>
      </c>
      <c r="G47" s="19" t="n">
        <v>0</v>
      </c>
      <c r="H47" s="18" t="s">
        <v>2048</v>
      </c>
    </row>
    <row r="48" customFormat="false" ht="15" hidden="false" customHeight="false" outlineLevel="0" collapsed="false">
      <c r="A48" s="18" t="s">
        <v>413</v>
      </c>
      <c r="B48" s="18" t="s">
        <v>71</v>
      </c>
      <c r="C48" s="18" t="n">
        <v>49</v>
      </c>
      <c r="D48" s="19" t="n">
        <v>0</v>
      </c>
      <c r="E48" s="19" t="n">
        <v>16</v>
      </c>
      <c r="F48" s="19" t="n">
        <v>16</v>
      </c>
      <c r="G48" s="19" t="n">
        <v>0</v>
      </c>
      <c r="H48" s="18" t="s">
        <v>2048</v>
      </c>
    </row>
    <row r="49" customFormat="false" ht="15" hidden="false" customHeight="false" outlineLevel="0" collapsed="false">
      <c r="A49" s="18" t="s">
        <v>414</v>
      </c>
      <c r="B49" s="18" t="s">
        <v>71</v>
      </c>
      <c r="C49" s="18" t="n">
        <v>50</v>
      </c>
      <c r="D49" s="19" t="n">
        <v>0</v>
      </c>
      <c r="E49" s="19" t="n">
        <v>66.83</v>
      </c>
      <c r="F49" s="19" t="n">
        <v>66.83</v>
      </c>
      <c r="G49" s="19" t="n">
        <v>0</v>
      </c>
      <c r="H49" s="18" t="s">
        <v>2048</v>
      </c>
    </row>
    <row r="50" customFormat="false" ht="15" hidden="false" customHeight="false" outlineLevel="0" collapsed="false">
      <c r="A50" s="18" t="s">
        <v>416</v>
      </c>
      <c r="B50" s="18" t="s">
        <v>71</v>
      </c>
      <c r="C50" s="18" t="n">
        <v>51</v>
      </c>
      <c r="D50" s="19" t="n">
        <v>0</v>
      </c>
      <c r="E50" s="19" t="n">
        <v>276</v>
      </c>
      <c r="F50" s="19" t="n">
        <v>276</v>
      </c>
      <c r="G50" s="19" t="n">
        <v>0</v>
      </c>
      <c r="H50" s="18" t="s">
        <v>2048</v>
      </c>
    </row>
    <row r="51" customFormat="false" ht="15" hidden="false" customHeight="false" outlineLevel="0" collapsed="false">
      <c r="A51" s="18" t="s">
        <v>418</v>
      </c>
      <c r="B51" s="18" t="s">
        <v>71</v>
      </c>
      <c r="C51" s="18" t="n">
        <v>52</v>
      </c>
      <c r="D51" s="19" t="n">
        <v>0</v>
      </c>
      <c r="E51" s="19" t="n">
        <v>2412</v>
      </c>
      <c r="F51" s="19" t="n">
        <v>2412</v>
      </c>
      <c r="G51" s="19" t="n">
        <v>0</v>
      </c>
      <c r="H51" s="18" t="s">
        <v>2048</v>
      </c>
    </row>
    <row r="52" customFormat="false" ht="15" hidden="false" customHeight="false" outlineLevel="0" collapsed="false">
      <c r="A52" s="18" t="s">
        <v>420</v>
      </c>
      <c r="B52" s="18" t="s">
        <v>71</v>
      </c>
      <c r="C52" s="18" t="n">
        <v>53</v>
      </c>
      <c r="D52" s="19" t="n">
        <v>0</v>
      </c>
      <c r="E52" s="19" t="n">
        <v>11390</v>
      </c>
      <c r="F52" s="19" t="n">
        <v>11390</v>
      </c>
      <c r="G52" s="19" t="n">
        <v>0</v>
      </c>
      <c r="H52" s="18" t="s">
        <v>2048</v>
      </c>
    </row>
    <row r="53" customFormat="false" ht="15" hidden="false" customHeight="false" outlineLevel="0" collapsed="false">
      <c r="A53" s="18" t="s">
        <v>422</v>
      </c>
      <c r="B53" s="18" t="s">
        <v>71</v>
      </c>
      <c r="C53" s="18" t="n">
        <v>54</v>
      </c>
      <c r="D53" s="19" t="n">
        <v>-644</v>
      </c>
      <c r="E53" s="19" t="n">
        <v>7451.43</v>
      </c>
      <c r="F53" s="19" t="n">
        <v>6807.43</v>
      </c>
      <c r="G53" s="19" t="n">
        <v>0</v>
      </c>
      <c r="H53" s="18" t="s">
        <v>2048</v>
      </c>
    </row>
    <row r="54" customFormat="false" ht="15" hidden="false" customHeight="false" outlineLevel="0" collapsed="false">
      <c r="A54" s="18" t="s">
        <v>424</v>
      </c>
      <c r="B54" s="18" t="s">
        <v>71</v>
      </c>
      <c r="C54" s="18" t="n">
        <v>55</v>
      </c>
      <c r="D54" s="19" t="n">
        <v>0</v>
      </c>
      <c r="E54" s="19" t="n">
        <v>34.5</v>
      </c>
      <c r="F54" s="19" t="n">
        <v>34.5</v>
      </c>
      <c r="G54" s="19" t="n">
        <v>0</v>
      </c>
      <c r="H54" s="18" t="s">
        <v>2048</v>
      </c>
    </row>
    <row r="55" customFormat="false" ht="15" hidden="false" customHeight="false" outlineLevel="0" collapsed="false">
      <c r="A55" s="18" t="s">
        <v>426</v>
      </c>
      <c r="B55" s="18" t="s">
        <v>71</v>
      </c>
      <c r="C55" s="18" t="n">
        <v>56</v>
      </c>
      <c r="D55" s="19" t="n">
        <v>0</v>
      </c>
      <c r="E55" s="19" t="n">
        <v>10650.15</v>
      </c>
      <c r="F55" s="19" t="n">
        <v>10650.15</v>
      </c>
      <c r="G55" s="19" t="n">
        <v>0</v>
      </c>
      <c r="H55" s="18" t="s">
        <v>2048</v>
      </c>
    </row>
    <row r="56" customFormat="false" ht="15" hidden="false" customHeight="false" outlineLevel="0" collapsed="false">
      <c r="A56" s="18" t="s">
        <v>428</v>
      </c>
      <c r="B56" s="18" t="s">
        <v>71</v>
      </c>
      <c r="C56" s="18" t="n">
        <v>57</v>
      </c>
      <c r="D56" s="19" t="n">
        <v>0</v>
      </c>
      <c r="E56" s="19" t="n">
        <v>172052.03</v>
      </c>
      <c r="F56" s="19" t="n">
        <v>172052.03</v>
      </c>
      <c r="G56" s="19" t="n">
        <v>0</v>
      </c>
      <c r="H56" s="18" t="s">
        <v>2048</v>
      </c>
    </row>
    <row r="57" customFormat="false" ht="15" hidden="false" customHeight="false" outlineLevel="0" collapsed="false">
      <c r="A57" s="18" t="s">
        <v>430</v>
      </c>
      <c r="B57" s="18" t="s">
        <v>71</v>
      </c>
      <c r="C57" s="18" t="n">
        <v>58</v>
      </c>
      <c r="D57" s="19" t="n">
        <v>0</v>
      </c>
      <c r="E57" s="19" t="n">
        <v>541</v>
      </c>
      <c r="F57" s="19" t="n">
        <v>541</v>
      </c>
      <c r="G57" s="19" t="n">
        <v>0</v>
      </c>
      <c r="H57" s="18" t="s">
        <v>2048</v>
      </c>
    </row>
    <row r="58" customFormat="false" ht="15" hidden="false" customHeight="false" outlineLevel="0" collapsed="false">
      <c r="A58" s="18" t="s">
        <v>432</v>
      </c>
      <c r="B58" s="18" t="s">
        <v>71</v>
      </c>
      <c r="C58" s="18" t="n">
        <v>59</v>
      </c>
      <c r="D58" s="19" t="n">
        <v>0</v>
      </c>
      <c r="E58" s="19" t="n">
        <v>1840</v>
      </c>
      <c r="F58" s="19" t="n">
        <v>1840</v>
      </c>
      <c r="G58" s="19" t="n">
        <v>0</v>
      </c>
      <c r="H58" s="18" t="s">
        <v>2048</v>
      </c>
    </row>
    <row r="59" customFormat="false" ht="15" hidden="false" customHeight="false" outlineLevel="0" collapsed="false">
      <c r="A59" s="18" t="s">
        <v>434</v>
      </c>
      <c r="B59" s="18" t="s">
        <v>71</v>
      </c>
      <c r="C59" s="18" t="n">
        <v>60</v>
      </c>
      <c r="D59" s="19" t="n">
        <v>0</v>
      </c>
      <c r="E59" s="19" t="n">
        <v>453.51</v>
      </c>
      <c r="F59" s="19" t="n">
        <v>453.51</v>
      </c>
      <c r="G59" s="19" t="n">
        <v>0</v>
      </c>
      <c r="H59" s="18" t="s">
        <v>2048</v>
      </c>
    </row>
    <row r="60" customFormat="false" ht="15" hidden="false" customHeight="false" outlineLevel="0" collapsed="false">
      <c r="A60" s="18" t="s">
        <v>436</v>
      </c>
      <c r="B60" s="18" t="s">
        <v>71</v>
      </c>
      <c r="C60" s="18" t="n">
        <v>61</v>
      </c>
      <c r="D60" s="19" t="n">
        <v>0</v>
      </c>
      <c r="E60" s="19" t="n">
        <v>1653</v>
      </c>
      <c r="F60" s="19" t="n">
        <v>1653</v>
      </c>
      <c r="G60" s="19" t="n">
        <v>0</v>
      </c>
      <c r="H60" s="18" t="s">
        <v>2048</v>
      </c>
    </row>
    <row r="61" customFormat="false" ht="15" hidden="false" customHeight="false" outlineLevel="0" collapsed="false">
      <c r="A61" s="18" t="s">
        <v>438</v>
      </c>
      <c r="B61" s="18" t="s">
        <v>71</v>
      </c>
      <c r="C61" s="18" t="n">
        <v>62</v>
      </c>
      <c r="D61" s="19" t="n">
        <v>0</v>
      </c>
      <c r="E61" s="19" t="n">
        <v>145</v>
      </c>
      <c r="F61" s="19" t="n">
        <v>145</v>
      </c>
      <c r="G61" s="19" t="n">
        <v>0</v>
      </c>
      <c r="H61" s="18" t="s">
        <v>2048</v>
      </c>
    </row>
    <row r="62" customFormat="false" ht="15" hidden="false" customHeight="false" outlineLevel="0" collapsed="false">
      <c r="A62" s="18" t="s">
        <v>440</v>
      </c>
      <c r="B62" s="18" t="s">
        <v>71</v>
      </c>
      <c r="C62" s="18" t="n">
        <v>63</v>
      </c>
      <c r="D62" s="19" t="n">
        <v>0</v>
      </c>
      <c r="E62" s="19" t="n">
        <v>934.95</v>
      </c>
      <c r="F62" s="19" t="n">
        <v>934.95</v>
      </c>
      <c r="G62" s="19" t="n">
        <v>0</v>
      </c>
      <c r="H62" s="18" t="s">
        <v>2048</v>
      </c>
    </row>
    <row r="63" customFormat="false" ht="15" hidden="false" customHeight="false" outlineLevel="0" collapsed="false">
      <c r="A63" s="18" t="s">
        <v>442</v>
      </c>
      <c r="B63" s="18" t="s">
        <v>71</v>
      </c>
      <c r="C63" s="18" t="n">
        <v>64</v>
      </c>
      <c r="D63" s="19" t="n">
        <v>0</v>
      </c>
      <c r="E63" s="19" t="n">
        <v>768.2</v>
      </c>
      <c r="F63" s="19" t="n">
        <v>768.2</v>
      </c>
      <c r="G63" s="19" t="n">
        <v>0</v>
      </c>
      <c r="H63" s="18" t="s">
        <v>2048</v>
      </c>
    </row>
    <row r="64" customFormat="false" ht="15" hidden="false" customHeight="false" outlineLevel="0" collapsed="false">
      <c r="A64" s="18" t="s">
        <v>444</v>
      </c>
      <c r="B64" s="18" t="s">
        <v>71</v>
      </c>
      <c r="C64" s="18" t="n">
        <v>65</v>
      </c>
      <c r="D64" s="19" t="n">
        <v>0</v>
      </c>
      <c r="E64" s="19" t="n">
        <v>14769.24</v>
      </c>
      <c r="F64" s="19" t="n">
        <v>14769.24</v>
      </c>
      <c r="G64" s="19" t="n">
        <v>0</v>
      </c>
      <c r="H64" s="18" t="s">
        <v>2048</v>
      </c>
    </row>
    <row r="65" customFormat="false" ht="15" hidden="false" customHeight="false" outlineLevel="0" collapsed="false">
      <c r="A65" s="18" t="s">
        <v>446</v>
      </c>
      <c r="B65" s="18" t="s">
        <v>71</v>
      </c>
      <c r="C65" s="18" t="n">
        <v>66</v>
      </c>
      <c r="D65" s="19" t="n">
        <v>0</v>
      </c>
      <c r="E65" s="19" t="n">
        <v>3680</v>
      </c>
      <c r="F65" s="19" t="n">
        <v>3680</v>
      </c>
      <c r="G65" s="19" t="n">
        <v>0</v>
      </c>
      <c r="H65" s="18" t="s">
        <v>2048</v>
      </c>
    </row>
    <row r="66" customFormat="false" ht="15" hidden="false" customHeight="false" outlineLevel="0" collapsed="false">
      <c r="A66" s="18" t="s">
        <v>448</v>
      </c>
      <c r="B66" s="18" t="s">
        <v>71</v>
      </c>
      <c r="C66" s="18" t="n">
        <v>68</v>
      </c>
      <c r="D66" s="19" t="n">
        <v>0</v>
      </c>
      <c r="E66" s="19" t="n">
        <v>13257.75</v>
      </c>
      <c r="F66" s="19" t="n">
        <v>13257.75</v>
      </c>
      <c r="G66" s="19" t="n">
        <v>0</v>
      </c>
      <c r="H66" s="18" t="s">
        <v>2048</v>
      </c>
    </row>
    <row r="67" customFormat="false" ht="15" hidden="false" customHeight="false" outlineLevel="0" collapsed="false">
      <c r="A67" s="18" t="s">
        <v>450</v>
      </c>
      <c r="B67" s="18" t="s">
        <v>71</v>
      </c>
      <c r="C67" s="18" t="n">
        <v>69</v>
      </c>
      <c r="D67" s="19" t="n">
        <v>0</v>
      </c>
      <c r="E67" s="19" t="n">
        <v>74</v>
      </c>
      <c r="F67" s="19" t="n">
        <v>74</v>
      </c>
      <c r="G67" s="19" t="n">
        <v>0</v>
      </c>
      <c r="H67" s="18" t="s">
        <v>2048</v>
      </c>
    </row>
    <row r="68" customFormat="false" ht="15" hidden="false" customHeight="false" outlineLevel="0" collapsed="false">
      <c r="A68" s="18" t="s">
        <v>452</v>
      </c>
      <c r="B68" s="18" t="s">
        <v>71</v>
      </c>
      <c r="C68" s="18" t="n">
        <v>70</v>
      </c>
      <c r="D68" s="19" t="n">
        <v>0</v>
      </c>
      <c r="E68" s="19" t="n">
        <v>2585.9</v>
      </c>
      <c r="F68" s="19" t="n">
        <v>2585.9</v>
      </c>
      <c r="G68" s="19" t="n">
        <v>0</v>
      </c>
      <c r="H68" s="18" t="s">
        <v>2048</v>
      </c>
    </row>
    <row r="69" customFormat="false" ht="15" hidden="false" customHeight="false" outlineLevel="0" collapsed="false">
      <c r="A69" s="18" t="s">
        <v>454</v>
      </c>
      <c r="B69" s="18" t="s">
        <v>71</v>
      </c>
      <c r="C69" s="18" t="n">
        <v>71</v>
      </c>
      <c r="D69" s="19" t="n">
        <v>0</v>
      </c>
      <c r="E69" s="19" t="n">
        <v>161</v>
      </c>
      <c r="F69" s="19" t="n">
        <v>161</v>
      </c>
      <c r="G69" s="19" t="n">
        <v>0</v>
      </c>
      <c r="H69" s="18" t="s">
        <v>2048</v>
      </c>
    </row>
    <row r="70" customFormat="false" ht="15" hidden="false" customHeight="false" outlineLevel="0" collapsed="false">
      <c r="A70" s="18" t="s">
        <v>456</v>
      </c>
      <c r="B70" s="18" t="s">
        <v>71</v>
      </c>
      <c r="C70" s="18" t="n">
        <v>72</v>
      </c>
      <c r="D70" s="19" t="n">
        <v>0</v>
      </c>
      <c r="E70" s="19" t="n">
        <v>100</v>
      </c>
      <c r="F70" s="19" t="n">
        <v>100</v>
      </c>
      <c r="G70" s="19" t="n">
        <v>0</v>
      </c>
      <c r="H70" s="18" t="s">
        <v>2048</v>
      </c>
    </row>
    <row r="71" customFormat="false" ht="15" hidden="false" customHeight="false" outlineLevel="0" collapsed="false">
      <c r="A71" s="18" t="s">
        <v>457</v>
      </c>
      <c r="B71" s="18" t="s">
        <v>71</v>
      </c>
      <c r="C71" s="18" t="n">
        <v>73</v>
      </c>
      <c r="D71" s="19" t="n">
        <v>0</v>
      </c>
      <c r="E71" s="19" t="n">
        <v>522.85</v>
      </c>
      <c r="F71" s="19" t="n">
        <v>522.85</v>
      </c>
      <c r="G71" s="19" t="n">
        <v>0</v>
      </c>
      <c r="H71" s="18" t="s">
        <v>2048</v>
      </c>
    </row>
    <row r="72" customFormat="false" ht="15" hidden="false" customHeight="false" outlineLevel="0" collapsed="false">
      <c r="A72" s="18" t="s">
        <v>459</v>
      </c>
      <c r="B72" s="18" t="s">
        <v>71</v>
      </c>
      <c r="C72" s="18" t="n">
        <v>74</v>
      </c>
      <c r="D72" s="19" t="n">
        <v>0</v>
      </c>
      <c r="E72" s="19" t="n">
        <v>1462.8</v>
      </c>
      <c r="F72" s="19" t="n">
        <v>1462.8</v>
      </c>
      <c r="G72" s="19" t="n">
        <v>0</v>
      </c>
      <c r="H72" s="18" t="s">
        <v>2048</v>
      </c>
    </row>
    <row r="73" customFormat="false" ht="15" hidden="false" customHeight="false" outlineLevel="0" collapsed="false">
      <c r="A73" s="18" t="s">
        <v>461</v>
      </c>
      <c r="B73" s="18" t="s">
        <v>71</v>
      </c>
      <c r="C73" s="18" t="n">
        <v>75</v>
      </c>
      <c r="D73" s="19" t="n">
        <v>0</v>
      </c>
      <c r="E73" s="19" t="n">
        <v>515</v>
      </c>
      <c r="F73" s="19" t="n">
        <v>515</v>
      </c>
      <c r="G73" s="19" t="n">
        <v>0</v>
      </c>
      <c r="H73" s="18" t="s">
        <v>2048</v>
      </c>
    </row>
    <row r="74" customFormat="false" ht="15" hidden="false" customHeight="false" outlineLevel="0" collapsed="false">
      <c r="A74" s="18" t="s">
        <v>463</v>
      </c>
      <c r="B74" s="18" t="s">
        <v>71</v>
      </c>
      <c r="C74" s="18" t="n">
        <v>76</v>
      </c>
      <c r="D74" s="19" t="n">
        <v>0</v>
      </c>
      <c r="E74" s="19" t="n">
        <v>10206.25</v>
      </c>
      <c r="F74" s="19" t="n">
        <v>10206.25</v>
      </c>
      <c r="G74" s="19" t="n">
        <v>0</v>
      </c>
      <c r="H74" s="18" t="s">
        <v>2048</v>
      </c>
    </row>
    <row r="75" customFormat="false" ht="15" hidden="false" customHeight="false" outlineLevel="0" collapsed="false">
      <c r="A75" s="18" t="s">
        <v>465</v>
      </c>
      <c r="B75" s="18" t="s">
        <v>71</v>
      </c>
      <c r="C75" s="18" t="n">
        <v>77</v>
      </c>
      <c r="D75" s="19" t="n">
        <v>0</v>
      </c>
      <c r="E75" s="19" t="n">
        <v>4830</v>
      </c>
      <c r="F75" s="19" t="n">
        <v>4830</v>
      </c>
      <c r="G75" s="19" t="n">
        <v>0</v>
      </c>
      <c r="H75" s="18" t="s">
        <v>2048</v>
      </c>
    </row>
    <row r="76" customFormat="false" ht="15" hidden="false" customHeight="false" outlineLevel="0" collapsed="false">
      <c r="A76" s="18" t="s">
        <v>467</v>
      </c>
      <c r="B76" s="18" t="s">
        <v>71</v>
      </c>
      <c r="C76" s="18" t="n">
        <v>78</v>
      </c>
      <c r="D76" s="19" t="n">
        <v>0</v>
      </c>
      <c r="E76" s="19" t="n">
        <v>1380</v>
      </c>
      <c r="F76" s="19" t="n">
        <v>1380</v>
      </c>
      <c r="G76" s="19" t="n">
        <v>0</v>
      </c>
      <c r="H76" s="18" t="s">
        <v>2048</v>
      </c>
    </row>
    <row r="77" customFormat="false" ht="15" hidden="false" customHeight="false" outlineLevel="0" collapsed="false">
      <c r="A77" s="18" t="s">
        <v>469</v>
      </c>
      <c r="B77" s="18" t="s">
        <v>71</v>
      </c>
      <c r="C77" s="18" t="n">
        <v>79</v>
      </c>
      <c r="D77" s="19" t="n">
        <v>-7636</v>
      </c>
      <c r="E77" s="19" t="n">
        <v>51833.6</v>
      </c>
      <c r="F77" s="19" t="n">
        <v>44197.6</v>
      </c>
      <c r="G77" s="19" t="n">
        <v>0</v>
      </c>
      <c r="H77" s="18" t="s">
        <v>2048</v>
      </c>
    </row>
    <row r="78" customFormat="false" ht="15" hidden="false" customHeight="false" outlineLevel="0" collapsed="false">
      <c r="A78" s="18" t="s">
        <v>471</v>
      </c>
      <c r="B78" s="18" t="s">
        <v>71</v>
      </c>
      <c r="C78" s="18" t="n">
        <v>80</v>
      </c>
      <c r="D78" s="19" t="n">
        <v>0</v>
      </c>
      <c r="E78" s="19" t="n">
        <v>1444.4</v>
      </c>
      <c r="F78" s="19" t="n">
        <v>1444.4</v>
      </c>
      <c r="G78" s="19" t="n">
        <v>0</v>
      </c>
      <c r="H78" s="18" t="s">
        <v>2048</v>
      </c>
    </row>
    <row r="79" customFormat="false" ht="15" hidden="false" customHeight="false" outlineLevel="0" collapsed="false">
      <c r="A79" s="18" t="s">
        <v>473</v>
      </c>
      <c r="B79" s="18" t="s">
        <v>71</v>
      </c>
      <c r="C79" s="18" t="n">
        <v>81</v>
      </c>
      <c r="D79" s="19" t="n">
        <v>0</v>
      </c>
      <c r="E79" s="19" t="n">
        <v>115</v>
      </c>
      <c r="F79" s="19" t="n">
        <v>115</v>
      </c>
      <c r="G79" s="19" t="n">
        <v>0</v>
      </c>
      <c r="H79" s="18" t="s">
        <v>2048</v>
      </c>
    </row>
    <row r="80" customFormat="false" ht="15" hidden="false" customHeight="false" outlineLevel="0" collapsed="false">
      <c r="A80" s="18" t="s">
        <v>475</v>
      </c>
      <c r="B80" s="18" t="s">
        <v>71</v>
      </c>
      <c r="C80" s="18" t="n">
        <v>82</v>
      </c>
      <c r="D80" s="19" t="n">
        <v>0</v>
      </c>
      <c r="E80" s="19" t="n">
        <v>1253.75</v>
      </c>
      <c r="F80" s="19" t="n">
        <v>1253.75</v>
      </c>
      <c r="G80" s="19" t="n">
        <v>0</v>
      </c>
      <c r="H80" s="18" t="s">
        <v>2048</v>
      </c>
    </row>
    <row r="81" customFormat="false" ht="15" hidden="false" customHeight="false" outlineLevel="0" collapsed="false">
      <c r="A81" s="18" t="s">
        <v>477</v>
      </c>
      <c r="B81" s="18" t="s">
        <v>71</v>
      </c>
      <c r="C81" s="18" t="n">
        <v>83</v>
      </c>
      <c r="D81" s="19" t="n">
        <v>0</v>
      </c>
      <c r="E81" s="19" t="n">
        <v>580.75</v>
      </c>
      <c r="F81" s="19" t="n">
        <v>580.75</v>
      </c>
      <c r="G81" s="19" t="n">
        <v>0</v>
      </c>
      <c r="H81" s="18" t="s">
        <v>2048</v>
      </c>
    </row>
    <row r="82" customFormat="false" ht="15" hidden="false" customHeight="false" outlineLevel="0" collapsed="false">
      <c r="A82" s="18" t="s">
        <v>479</v>
      </c>
      <c r="B82" s="18" t="s">
        <v>71</v>
      </c>
      <c r="C82" s="18" t="n">
        <v>84</v>
      </c>
      <c r="D82" s="19" t="n">
        <v>0</v>
      </c>
      <c r="E82" s="19" t="n">
        <v>87</v>
      </c>
      <c r="F82" s="19" t="n">
        <v>87</v>
      </c>
      <c r="G82" s="19" t="n">
        <v>0</v>
      </c>
      <c r="H82" s="18" t="s">
        <v>2048</v>
      </c>
    </row>
    <row r="83" customFormat="false" ht="15" hidden="false" customHeight="false" outlineLevel="0" collapsed="false">
      <c r="A83" s="18" t="s">
        <v>481</v>
      </c>
      <c r="B83" s="18" t="s">
        <v>71</v>
      </c>
      <c r="C83" s="18" t="n">
        <v>85</v>
      </c>
      <c r="D83" s="19" t="n">
        <v>0</v>
      </c>
      <c r="E83" s="19" t="n">
        <v>575</v>
      </c>
      <c r="F83" s="19" t="n">
        <v>575</v>
      </c>
      <c r="G83" s="19" t="n">
        <v>0</v>
      </c>
      <c r="H83" s="18" t="s">
        <v>2048</v>
      </c>
    </row>
    <row r="84" customFormat="false" ht="15" hidden="false" customHeight="false" outlineLevel="0" collapsed="false">
      <c r="A84" s="18" t="s">
        <v>483</v>
      </c>
      <c r="B84" s="18" t="s">
        <v>71</v>
      </c>
      <c r="C84" s="18" t="n">
        <v>86</v>
      </c>
      <c r="D84" s="19" t="n">
        <v>0</v>
      </c>
      <c r="E84" s="19" t="n">
        <v>12075</v>
      </c>
      <c r="F84" s="19" t="n">
        <v>12075</v>
      </c>
      <c r="G84" s="19" t="n">
        <v>0</v>
      </c>
      <c r="H84" s="18" t="s">
        <v>2048</v>
      </c>
    </row>
    <row r="85" customFormat="false" ht="15" hidden="false" customHeight="false" outlineLevel="0" collapsed="false">
      <c r="A85" s="18" t="s">
        <v>485</v>
      </c>
      <c r="B85" s="18" t="s">
        <v>71</v>
      </c>
      <c r="C85" s="18" t="n">
        <v>87</v>
      </c>
      <c r="D85" s="19" t="n">
        <v>0</v>
      </c>
      <c r="E85" s="19" t="n">
        <v>11520</v>
      </c>
      <c r="F85" s="19" t="n">
        <v>11520</v>
      </c>
      <c r="G85" s="19" t="n">
        <v>0</v>
      </c>
      <c r="H85" s="18" t="s">
        <v>2048</v>
      </c>
    </row>
    <row r="86" customFormat="false" ht="15" hidden="false" customHeight="false" outlineLevel="0" collapsed="false">
      <c r="A86" s="18" t="s">
        <v>487</v>
      </c>
      <c r="B86" s="18" t="s">
        <v>71</v>
      </c>
      <c r="C86" s="18" t="n">
        <v>88</v>
      </c>
      <c r="D86" s="19" t="n">
        <v>0</v>
      </c>
      <c r="E86" s="19" t="n">
        <v>400</v>
      </c>
      <c r="F86" s="19" t="n">
        <v>400</v>
      </c>
      <c r="G86" s="19" t="n">
        <v>0</v>
      </c>
      <c r="H86" s="18" t="s">
        <v>2048</v>
      </c>
    </row>
    <row r="87" customFormat="false" ht="15" hidden="false" customHeight="false" outlineLevel="0" collapsed="false">
      <c r="A87" s="18" t="s">
        <v>489</v>
      </c>
      <c r="B87" s="18" t="s">
        <v>71</v>
      </c>
      <c r="C87" s="18" t="n">
        <v>89</v>
      </c>
      <c r="D87" s="19" t="n">
        <v>0</v>
      </c>
      <c r="E87" s="19" t="n">
        <v>125</v>
      </c>
      <c r="F87" s="19" t="n">
        <v>125</v>
      </c>
      <c r="G87" s="19" t="n">
        <v>0</v>
      </c>
      <c r="H87" s="18" t="s">
        <v>2048</v>
      </c>
    </row>
    <row r="88" customFormat="false" ht="15" hidden="false" customHeight="false" outlineLevel="0" collapsed="false">
      <c r="A88" s="18" t="s">
        <v>491</v>
      </c>
      <c r="B88" s="18" t="s">
        <v>71</v>
      </c>
      <c r="C88" s="18" t="n">
        <v>91</v>
      </c>
      <c r="D88" s="19" t="n">
        <v>0</v>
      </c>
      <c r="E88" s="19" t="n">
        <v>1380</v>
      </c>
      <c r="F88" s="19" t="n">
        <v>1380</v>
      </c>
      <c r="G88" s="19" t="n">
        <v>0</v>
      </c>
      <c r="H88" s="18" t="s">
        <v>2048</v>
      </c>
    </row>
    <row r="89" customFormat="false" ht="15" hidden="false" customHeight="false" outlineLevel="0" collapsed="false">
      <c r="A89" s="18" t="s">
        <v>492</v>
      </c>
      <c r="B89" s="18" t="s">
        <v>71</v>
      </c>
      <c r="C89" s="18" t="n">
        <v>92</v>
      </c>
      <c r="D89" s="19" t="n">
        <v>3005</v>
      </c>
      <c r="E89" s="19" t="n">
        <v>11094</v>
      </c>
      <c r="F89" s="19" t="n">
        <v>14099</v>
      </c>
      <c r="G89" s="19" t="n">
        <v>0</v>
      </c>
      <c r="H89" s="18" t="s">
        <v>2048</v>
      </c>
    </row>
    <row r="90" customFormat="false" ht="15" hidden="false" customHeight="false" outlineLevel="0" collapsed="false">
      <c r="A90" s="18" t="s">
        <v>494</v>
      </c>
      <c r="B90" s="18" t="s">
        <v>71</v>
      </c>
      <c r="C90" s="18" t="n">
        <v>94</v>
      </c>
      <c r="D90" s="19" t="n">
        <v>0</v>
      </c>
      <c r="E90" s="19" t="n">
        <v>20000.75</v>
      </c>
      <c r="F90" s="19" t="n">
        <v>20000.75</v>
      </c>
      <c r="G90" s="19" t="n">
        <v>0</v>
      </c>
      <c r="H90" s="18" t="s">
        <v>2048</v>
      </c>
    </row>
    <row r="91" customFormat="false" ht="15" hidden="false" customHeight="false" outlineLevel="0" collapsed="false">
      <c r="A91" s="18" t="s">
        <v>496</v>
      </c>
      <c r="B91" s="18" t="s">
        <v>71</v>
      </c>
      <c r="C91" s="18" t="n">
        <v>95</v>
      </c>
      <c r="D91" s="19" t="n">
        <v>0</v>
      </c>
      <c r="E91" s="19" t="n">
        <v>173</v>
      </c>
      <c r="F91" s="19" t="n">
        <v>173</v>
      </c>
      <c r="G91" s="19" t="n">
        <v>0</v>
      </c>
      <c r="H91" s="18" t="s">
        <v>2048</v>
      </c>
    </row>
    <row r="92" customFormat="false" ht="15" hidden="false" customHeight="false" outlineLevel="0" collapsed="false">
      <c r="A92" s="18" t="s">
        <v>498</v>
      </c>
      <c r="B92" s="18" t="s">
        <v>71</v>
      </c>
      <c r="C92" s="18" t="n">
        <v>96</v>
      </c>
      <c r="D92" s="19" t="n">
        <v>0</v>
      </c>
      <c r="E92" s="19" t="n">
        <v>1289.19</v>
      </c>
      <c r="F92" s="19" t="n">
        <v>1289.19</v>
      </c>
      <c r="G92" s="19" t="n">
        <v>0</v>
      </c>
      <c r="H92" s="18" t="s">
        <v>2048</v>
      </c>
    </row>
    <row r="93" customFormat="false" ht="15" hidden="false" customHeight="false" outlineLevel="0" collapsed="false">
      <c r="A93" s="18" t="s">
        <v>500</v>
      </c>
      <c r="B93" s="18" t="s">
        <v>71</v>
      </c>
      <c r="C93" s="18" t="n">
        <v>97</v>
      </c>
      <c r="D93" s="19" t="n">
        <v>0</v>
      </c>
      <c r="E93" s="19" t="n">
        <v>25058</v>
      </c>
      <c r="F93" s="19" t="n">
        <v>25058</v>
      </c>
      <c r="G93" s="19" t="n">
        <v>0</v>
      </c>
      <c r="H93" s="18" t="s">
        <v>2048</v>
      </c>
    </row>
    <row r="94" customFormat="false" ht="15" hidden="false" customHeight="false" outlineLevel="0" collapsed="false">
      <c r="A94" s="18" t="s">
        <v>502</v>
      </c>
      <c r="B94" s="18" t="s">
        <v>71</v>
      </c>
      <c r="C94" s="18" t="n">
        <v>98</v>
      </c>
      <c r="D94" s="19" t="n">
        <v>0</v>
      </c>
      <c r="E94" s="19" t="n">
        <v>34.5</v>
      </c>
      <c r="F94" s="19" t="n">
        <v>34.5</v>
      </c>
      <c r="G94" s="19" t="n">
        <v>0</v>
      </c>
      <c r="H94" s="18" t="s">
        <v>2048</v>
      </c>
    </row>
    <row r="95" customFormat="false" ht="15" hidden="false" customHeight="false" outlineLevel="0" collapsed="false">
      <c r="A95" s="18" t="s">
        <v>503</v>
      </c>
      <c r="B95" s="18" t="s">
        <v>71</v>
      </c>
      <c r="C95" s="18" t="n">
        <v>99</v>
      </c>
      <c r="D95" s="19" t="n">
        <v>0</v>
      </c>
      <c r="E95" s="19" t="n">
        <v>49</v>
      </c>
      <c r="F95" s="19" t="n">
        <v>49</v>
      </c>
      <c r="G95" s="19" t="n">
        <v>0</v>
      </c>
      <c r="H95" s="18" t="s">
        <v>2048</v>
      </c>
    </row>
    <row r="96" customFormat="false" ht="15" hidden="false" customHeight="false" outlineLevel="0" collapsed="false">
      <c r="A96" s="18" t="s">
        <v>505</v>
      </c>
      <c r="B96" s="18" t="s">
        <v>71</v>
      </c>
      <c r="C96" s="18" t="n">
        <v>100</v>
      </c>
      <c r="D96" s="19" t="n">
        <v>0</v>
      </c>
      <c r="E96" s="19" t="n">
        <v>747.5</v>
      </c>
      <c r="F96" s="19" t="n">
        <v>747.5</v>
      </c>
      <c r="G96" s="19" t="n">
        <v>0</v>
      </c>
      <c r="H96" s="18" t="s">
        <v>2048</v>
      </c>
    </row>
    <row r="97" customFormat="false" ht="15" hidden="false" customHeight="false" outlineLevel="0" collapsed="false">
      <c r="A97" s="18" t="s">
        <v>507</v>
      </c>
      <c r="B97" s="18" t="s">
        <v>71</v>
      </c>
      <c r="C97" s="18" t="n">
        <v>101</v>
      </c>
      <c r="D97" s="19" t="n">
        <v>0</v>
      </c>
      <c r="E97" s="19" t="n">
        <v>60</v>
      </c>
      <c r="F97" s="19" t="n">
        <v>60</v>
      </c>
      <c r="G97" s="19" t="n">
        <v>0</v>
      </c>
      <c r="H97" s="18" t="s">
        <v>2048</v>
      </c>
    </row>
    <row r="98" customFormat="false" ht="15" hidden="false" customHeight="false" outlineLevel="0" collapsed="false">
      <c r="A98" s="18" t="s">
        <v>509</v>
      </c>
      <c r="B98" s="18" t="s">
        <v>71</v>
      </c>
      <c r="C98" s="18" t="n">
        <v>102</v>
      </c>
      <c r="D98" s="19" t="n">
        <v>0</v>
      </c>
      <c r="E98" s="19" t="n">
        <v>75</v>
      </c>
      <c r="F98" s="19" t="n">
        <v>75</v>
      </c>
      <c r="G98" s="19" t="n">
        <v>0</v>
      </c>
      <c r="H98" s="18" t="s">
        <v>2048</v>
      </c>
    </row>
    <row r="99" customFormat="false" ht="15" hidden="false" customHeight="false" outlineLevel="0" collapsed="false">
      <c r="A99" s="18" t="s">
        <v>511</v>
      </c>
      <c r="B99" s="18" t="s">
        <v>71</v>
      </c>
      <c r="C99" s="18" t="n">
        <v>103</v>
      </c>
      <c r="D99" s="19" t="n">
        <v>0</v>
      </c>
      <c r="E99" s="19" t="n">
        <v>6900.9</v>
      </c>
      <c r="F99" s="19" t="n">
        <v>6900.9</v>
      </c>
      <c r="G99" s="19" t="n">
        <v>0</v>
      </c>
      <c r="H99" s="18" t="s">
        <v>2048</v>
      </c>
    </row>
    <row r="100" customFormat="false" ht="15" hidden="false" customHeight="false" outlineLevel="0" collapsed="false">
      <c r="A100" s="18" t="s">
        <v>513</v>
      </c>
      <c r="B100" s="18" t="s">
        <v>71</v>
      </c>
      <c r="C100" s="18" t="n">
        <v>104</v>
      </c>
      <c r="D100" s="19" t="n">
        <v>0</v>
      </c>
      <c r="E100" s="19" t="n">
        <v>107.9</v>
      </c>
      <c r="F100" s="19" t="n">
        <v>107.9</v>
      </c>
      <c r="G100" s="19" t="n">
        <v>0</v>
      </c>
      <c r="H100" s="18" t="s">
        <v>2048</v>
      </c>
    </row>
    <row r="101" customFormat="false" ht="15" hidden="false" customHeight="false" outlineLevel="0" collapsed="false">
      <c r="A101" s="18" t="s">
        <v>515</v>
      </c>
      <c r="B101" s="18" t="s">
        <v>71</v>
      </c>
      <c r="C101" s="18" t="n">
        <v>105</v>
      </c>
      <c r="D101" s="19" t="n">
        <v>0</v>
      </c>
      <c r="E101" s="19" t="n">
        <v>695</v>
      </c>
      <c r="F101" s="19" t="n">
        <v>695</v>
      </c>
      <c r="G101" s="19" t="n">
        <v>0</v>
      </c>
      <c r="H101" s="18" t="s">
        <v>2048</v>
      </c>
    </row>
    <row r="102" customFormat="false" ht="15" hidden="false" customHeight="false" outlineLevel="0" collapsed="false">
      <c r="A102" s="18" t="s">
        <v>517</v>
      </c>
      <c r="B102" s="18" t="s">
        <v>71</v>
      </c>
      <c r="C102" s="18" t="n">
        <v>106</v>
      </c>
      <c r="D102" s="19" t="n">
        <v>0</v>
      </c>
      <c r="E102" s="19" t="n">
        <v>425.04</v>
      </c>
      <c r="F102" s="19" t="n">
        <v>425.04</v>
      </c>
      <c r="G102" s="19" t="n">
        <v>0</v>
      </c>
      <c r="H102" s="18" t="s">
        <v>2048</v>
      </c>
    </row>
    <row r="103" customFormat="false" ht="15" hidden="false" customHeight="false" outlineLevel="0" collapsed="false">
      <c r="A103" s="18" t="s">
        <v>519</v>
      </c>
      <c r="B103" s="18" t="s">
        <v>71</v>
      </c>
      <c r="C103" s="18" t="n">
        <v>107</v>
      </c>
      <c r="D103" s="19" t="n">
        <v>0</v>
      </c>
      <c r="E103" s="19" t="n">
        <v>1676.7</v>
      </c>
      <c r="F103" s="19" t="n">
        <v>1676.7</v>
      </c>
      <c r="G103" s="19" t="n">
        <v>0</v>
      </c>
      <c r="H103" s="18" t="s">
        <v>2048</v>
      </c>
    </row>
    <row r="104" customFormat="false" ht="15" hidden="false" customHeight="false" outlineLevel="0" collapsed="false">
      <c r="A104" s="18" t="s">
        <v>521</v>
      </c>
      <c r="B104" s="18" t="s">
        <v>71</v>
      </c>
      <c r="C104" s="18" t="n">
        <v>108</v>
      </c>
      <c r="D104" s="19" t="n">
        <v>0</v>
      </c>
      <c r="E104" s="19" t="n">
        <v>28.74</v>
      </c>
      <c r="F104" s="19" t="n">
        <v>28.74</v>
      </c>
      <c r="G104" s="19" t="n">
        <v>0</v>
      </c>
      <c r="H104" s="18" t="s">
        <v>2048</v>
      </c>
    </row>
    <row r="105" customFormat="false" ht="15" hidden="false" customHeight="false" outlineLevel="0" collapsed="false">
      <c r="A105" s="18" t="s">
        <v>523</v>
      </c>
      <c r="B105" s="18" t="s">
        <v>71</v>
      </c>
      <c r="C105" s="18" t="n">
        <v>109</v>
      </c>
      <c r="D105" s="19" t="n">
        <v>0</v>
      </c>
      <c r="E105" s="19" t="n">
        <v>15180</v>
      </c>
      <c r="F105" s="19" t="n">
        <v>15180</v>
      </c>
      <c r="G105" s="19" t="n">
        <v>0</v>
      </c>
      <c r="H105" s="18" t="s">
        <v>2048</v>
      </c>
    </row>
    <row r="106" customFormat="false" ht="15" hidden="false" customHeight="false" outlineLevel="0" collapsed="false">
      <c r="A106" s="18" t="s">
        <v>525</v>
      </c>
      <c r="B106" s="18" t="s">
        <v>71</v>
      </c>
      <c r="C106" s="18" t="n">
        <v>110</v>
      </c>
      <c r="D106" s="19" t="n">
        <v>0.75</v>
      </c>
      <c r="E106" s="19" t="n">
        <v>0</v>
      </c>
      <c r="F106" s="19" t="n">
        <v>0.75</v>
      </c>
      <c r="G106" s="19" t="n">
        <v>0</v>
      </c>
      <c r="H106" s="18" t="s">
        <v>2048</v>
      </c>
    </row>
    <row r="107" customFormat="false" ht="15" hidden="false" customHeight="false" outlineLevel="0" collapsed="false">
      <c r="A107" s="18" t="s">
        <v>527</v>
      </c>
      <c r="B107" s="18" t="s">
        <v>71</v>
      </c>
      <c r="C107" s="18" t="n">
        <v>111</v>
      </c>
      <c r="D107" s="19" t="n">
        <v>0</v>
      </c>
      <c r="E107" s="19" t="n">
        <v>12841.25</v>
      </c>
      <c r="F107" s="19" t="n">
        <v>12841.25</v>
      </c>
      <c r="G107" s="19" t="n">
        <v>0</v>
      </c>
      <c r="H107" s="18" t="s">
        <v>2048</v>
      </c>
    </row>
    <row r="108" customFormat="false" ht="15" hidden="false" customHeight="false" outlineLevel="0" collapsed="false">
      <c r="A108" s="18" t="s">
        <v>529</v>
      </c>
      <c r="B108" s="18" t="s">
        <v>71</v>
      </c>
      <c r="C108" s="18" t="n">
        <v>112</v>
      </c>
      <c r="D108" s="19" t="n">
        <v>0</v>
      </c>
      <c r="E108" s="19" t="n">
        <v>511.75</v>
      </c>
      <c r="F108" s="19" t="n">
        <v>511.75</v>
      </c>
      <c r="G108" s="19" t="n">
        <v>0</v>
      </c>
      <c r="H108" s="18" t="s">
        <v>2048</v>
      </c>
    </row>
    <row r="109" customFormat="false" ht="15" hidden="false" customHeight="false" outlineLevel="0" collapsed="false">
      <c r="A109" s="18" t="s">
        <v>531</v>
      </c>
      <c r="B109" s="18" t="s">
        <v>71</v>
      </c>
      <c r="C109" s="18" t="n">
        <v>113</v>
      </c>
      <c r="D109" s="19" t="n">
        <v>0</v>
      </c>
      <c r="E109" s="19" t="n">
        <v>21615.52</v>
      </c>
      <c r="F109" s="19" t="n">
        <v>21615.52</v>
      </c>
      <c r="G109" s="19" t="n">
        <v>0</v>
      </c>
      <c r="H109" s="18" t="s">
        <v>2048</v>
      </c>
    </row>
    <row r="110" customFormat="false" ht="15" hidden="false" customHeight="false" outlineLevel="0" collapsed="false">
      <c r="A110" s="18" t="s">
        <v>533</v>
      </c>
      <c r="B110" s="18" t="s">
        <v>71</v>
      </c>
      <c r="C110" s="18" t="n">
        <v>114</v>
      </c>
      <c r="D110" s="19" t="n">
        <v>0</v>
      </c>
      <c r="E110" s="19" t="n">
        <v>2559</v>
      </c>
      <c r="F110" s="19" t="n">
        <v>2559</v>
      </c>
      <c r="G110" s="19" t="n">
        <v>0</v>
      </c>
      <c r="H110" s="18" t="s">
        <v>2048</v>
      </c>
    </row>
    <row r="111" customFormat="false" ht="15" hidden="false" customHeight="false" outlineLevel="0" collapsed="false">
      <c r="A111" s="18" t="s">
        <v>535</v>
      </c>
      <c r="B111" s="18" t="s">
        <v>71</v>
      </c>
      <c r="C111" s="18" t="n">
        <v>115</v>
      </c>
      <c r="D111" s="19" t="n">
        <v>0</v>
      </c>
      <c r="E111" s="19" t="n">
        <v>4595.99</v>
      </c>
      <c r="F111" s="19" t="n">
        <v>4595.99</v>
      </c>
      <c r="G111" s="19" t="n">
        <v>0</v>
      </c>
      <c r="H111" s="18" t="s">
        <v>2048</v>
      </c>
    </row>
    <row r="112" customFormat="false" ht="15" hidden="false" customHeight="false" outlineLevel="0" collapsed="false">
      <c r="A112" s="18" t="s">
        <v>537</v>
      </c>
      <c r="B112" s="18" t="s">
        <v>71</v>
      </c>
      <c r="C112" s="18" t="n">
        <v>116</v>
      </c>
      <c r="D112" s="19" t="n">
        <v>0</v>
      </c>
      <c r="E112" s="19" t="n">
        <v>2590</v>
      </c>
      <c r="F112" s="19" t="n">
        <v>2590</v>
      </c>
      <c r="G112" s="19" t="n">
        <v>0</v>
      </c>
      <c r="H112" s="18" t="s">
        <v>2048</v>
      </c>
    </row>
    <row r="113" customFormat="false" ht="15" hidden="false" customHeight="false" outlineLevel="0" collapsed="false">
      <c r="A113" s="18" t="s">
        <v>539</v>
      </c>
      <c r="B113" s="18" t="s">
        <v>71</v>
      </c>
      <c r="C113" s="18" t="n">
        <v>117</v>
      </c>
      <c r="D113" s="19" t="n">
        <v>0</v>
      </c>
      <c r="E113" s="19" t="n">
        <v>345</v>
      </c>
      <c r="F113" s="19" t="n">
        <v>345</v>
      </c>
      <c r="G113" s="19" t="n">
        <v>0</v>
      </c>
      <c r="H113" s="18" t="s">
        <v>2048</v>
      </c>
    </row>
    <row r="114" customFormat="false" ht="15" hidden="false" customHeight="false" outlineLevel="0" collapsed="false">
      <c r="A114" s="18" t="s">
        <v>541</v>
      </c>
      <c r="B114" s="18" t="s">
        <v>71</v>
      </c>
      <c r="C114" s="18" t="n">
        <v>118</v>
      </c>
      <c r="D114" s="19" t="n">
        <v>0</v>
      </c>
      <c r="E114" s="19" t="n">
        <v>1081</v>
      </c>
      <c r="F114" s="19" t="n">
        <v>1081</v>
      </c>
      <c r="G114" s="19" t="n">
        <v>0</v>
      </c>
      <c r="H114" s="18" t="s">
        <v>2048</v>
      </c>
    </row>
    <row r="115" customFormat="false" ht="15" hidden="false" customHeight="false" outlineLevel="0" collapsed="false">
      <c r="A115" s="18" t="s">
        <v>543</v>
      </c>
      <c r="B115" s="18" t="s">
        <v>71</v>
      </c>
      <c r="C115" s="18" t="n">
        <v>119</v>
      </c>
      <c r="D115" s="19" t="n">
        <v>0</v>
      </c>
      <c r="E115" s="19" t="n">
        <v>15.53</v>
      </c>
      <c r="F115" s="19" t="n">
        <v>15.53</v>
      </c>
      <c r="G115" s="19" t="n">
        <v>0</v>
      </c>
      <c r="H115" s="18" t="s">
        <v>2048</v>
      </c>
    </row>
    <row r="116" customFormat="false" ht="15" hidden="false" customHeight="false" outlineLevel="0" collapsed="false">
      <c r="A116" s="18" t="s">
        <v>545</v>
      </c>
      <c r="B116" s="18" t="s">
        <v>71</v>
      </c>
      <c r="C116" s="18" t="n">
        <v>120</v>
      </c>
      <c r="D116" s="19" t="n">
        <v>0</v>
      </c>
      <c r="E116" s="19" t="n">
        <v>646</v>
      </c>
      <c r="F116" s="19" t="n">
        <v>646</v>
      </c>
      <c r="G116" s="19" t="n">
        <v>0</v>
      </c>
      <c r="H116" s="18" t="s">
        <v>2048</v>
      </c>
    </row>
    <row r="117" customFormat="false" ht="15" hidden="false" customHeight="false" outlineLevel="0" collapsed="false">
      <c r="A117" s="18" t="s">
        <v>547</v>
      </c>
      <c r="B117" s="18" t="s">
        <v>71</v>
      </c>
      <c r="C117" s="18" t="n">
        <v>121</v>
      </c>
      <c r="D117" s="19" t="n">
        <v>-0.880000000004657</v>
      </c>
      <c r="E117" s="19" t="n">
        <v>246397.88</v>
      </c>
      <c r="F117" s="19" t="n">
        <v>246397</v>
      </c>
      <c r="G117" s="19" t="n">
        <v>0</v>
      </c>
      <c r="H117" s="18" t="s">
        <v>2048</v>
      </c>
    </row>
    <row r="118" customFormat="false" ht="15" hidden="false" customHeight="false" outlineLevel="0" collapsed="false">
      <c r="A118" s="18" t="s">
        <v>549</v>
      </c>
      <c r="B118" s="18" t="s">
        <v>71</v>
      </c>
      <c r="C118" s="18" t="n">
        <v>122</v>
      </c>
      <c r="D118" s="19" t="n">
        <v>0</v>
      </c>
      <c r="E118" s="19" t="n">
        <v>1001</v>
      </c>
      <c r="F118" s="19" t="n">
        <v>1001</v>
      </c>
      <c r="G118" s="19" t="n">
        <v>0</v>
      </c>
      <c r="H118" s="18" t="s">
        <v>2048</v>
      </c>
    </row>
    <row r="119" customFormat="false" ht="15" hidden="false" customHeight="false" outlineLevel="0" collapsed="false">
      <c r="A119" s="18" t="s">
        <v>551</v>
      </c>
      <c r="B119" s="18" t="s">
        <v>71</v>
      </c>
      <c r="C119" s="18" t="n">
        <v>123</v>
      </c>
      <c r="D119" s="19" t="n">
        <v>0</v>
      </c>
      <c r="E119" s="19" t="n">
        <v>7000</v>
      </c>
      <c r="F119" s="19" t="n">
        <v>7000</v>
      </c>
      <c r="G119" s="19" t="n">
        <v>0</v>
      </c>
      <c r="H119" s="18" t="s">
        <v>2048</v>
      </c>
    </row>
    <row r="120" customFormat="false" ht="15" hidden="false" customHeight="false" outlineLevel="0" collapsed="false">
      <c r="A120" s="18" t="s">
        <v>553</v>
      </c>
      <c r="B120" s="18" t="s">
        <v>71</v>
      </c>
      <c r="C120" s="18" t="n">
        <v>124</v>
      </c>
      <c r="D120" s="19" t="n">
        <v>0</v>
      </c>
      <c r="E120" s="19" t="n">
        <v>12055</v>
      </c>
      <c r="F120" s="19" t="n">
        <v>12055</v>
      </c>
      <c r="G120" s="19" t="n">
        <v>0</v>
      </c>
      <c r="H120" s="18" t="s">
        <v>2048</v>
      </c>
    </row>
    <row r="121" customFormat="false" ht="15" hidden="false" customHeight="false" outlineLevel="0" collapsed="false">
      <c r="A121" s="18" t="s">
        <v>555</v>
      </c>
      <c r="B121" s="18" t="s">
        <v>71</v>
      </c>
      <c r="C121" s="18" t="n">
        <v>125</v>
      </c>
      <c r="D121" s="19" t="n">
        <v>0</v>
      </c>
      <c r="E121" s="19" t="n">
        <v>276</v>
      </c>
      <c r="F121" s="19" t="n">
        <v>276</v>
      </c>
      <c r="G121" s="19" t="n">
        <v>0</v>
      </c>
      <c r="H121" s="18" t="s">
        <v>2048</v>
      </c>
    </row>
    <row r="122" customFormat="false" ht="15" hidden="false" customHeight="false" outlineLevel="0" collapsed="false">
      <c r="A122" s="18" t="s">
        <v>556</v>
      </c>
      <c r="B122" s="18" t="s">
        <v>71</v>
      </c>
      <c r="C122" s="18" t="n">
        <v>126</v>
      </c>
      <c r="D122" s="19" t="n">
        <v>0</v>
      </c>
      <c r="E122" s="19" t="n">
        <v>500.25</v>
      </c>
      <c r="F122" s="19" t="n">
        <v>500.25</v>
      </c>
      <c r="G122" s="19" t="n">
        <v>0</v>
      </c>
      <c r="H122" s="18" t="s">
        <v>2048</v>
      </c>
    </row>
    <row r="123" customFormat="false" ht="15" hidden="false" customHeight="false" outlineLevel="0" collapsed="false">
      <c r="A123" s="18" t="s">
        <v>558</v>
      </c>
      <c r="B123" s="18" t="s">
        <v>71</v>
      </c>
      <c r="C123" s="18" t="n">
        <v>127</v>
      </c>
      <c r="D123" s="19" t="n">
        <v>0</v>
      </c>
      <c r="E123" s="19" t="n">
        <v>2484</v>
      </c>
      <c r="F123" s="19" t="n">
        <v>2484</v>
      </c>
      <c r="G123" s="19" t="n">
        <v>0</v>
      </c>
      <c r="H123" s="18" t="s">
        <v>2048</v>
      </c>
    </row>
    <row r="124" customFormat="false" ht="15" hidden="false" customHeight="false" outlineLevel="0" collapsed="false">
      <c r="A124" s="18" t="s">
        <v>560</v>
      </c>
      <c r="B124" s="18" t="s">
        <v>71</v>
      </c>
      <c r="C124" s="18" t="n">
        <v>128</v>
      </c>
      <c r="D124" s="19" t="n">
        <v>0</v>
      </c>
      <c r="E124" s="19" t="n">
        <v>19124.5</v>
      </c>
      <c r="F124" s="19" t="n">
        <v>19124.5</v>
      </c>
      <c r="G124" s="19" t="n">
        <v>0</v>
      </c>
      <c r="H124" s="18" t="s">
        <v>2048</v>
      </c>
    </row>
    <row r="125" customFormat="false" ht="15" hidden="false" customHeight="false" outlineLevel="0" collapsed="false">
      <c r="A125" s="18" t="s">
        <v>562</v>
      </c>
      <c r="B125" s="18" t="s">
        <v>71</v>
      </c>
      <c r="C125" s="18" t="n">
        <v>130</v>
      </c>
      <c r="D125" s="19" t="n">
        <v>0</v>
      </c>
      <c r="E125" s="19" t="n">
        <v>1092.51</v>
      </c>
      <c r="F125" s="19" t="n">
        <v>1092.51</v>
      </c>
      <c r="G125" s="19" t="n">
        <v>0</v>
      </c>
      <c r="H125" s="18" t="s">
        <v>2048</v>
      </c>
    </row>
    <row r="126" customFormat="false" ht="15" hidden="false" customHeight="false" outlineLevel="0" collapsed="false">
      <c r="A126" s="18" t="s">
        <v>564</v>
      </c>
      <c r="B126" s="18" t="s">
        <v>71</v>
      </c>
      <c r="C126" s="18" t="n">
        <v>131</v>
      </c>
      <c r="D126" s="19" t="n">
        <v>0</v>
      </c>
      <c r="E126" s="19" t="n">
        <v>21792.5</v>
      </c>
      <c r="F126" s="19" t="n">
        <v>21792.5</v>
      </c>
      <c r="G126" s="19" t="n">
        <v>0</v>
      </c>
      <c r="H126" s="18" t="s">
        <v>2048</v>
      </c>
    </row>
    <row r="127" customFormat="false" ht="15" hidden="false" customHeight="false" outlineLevel="0" collapsed="false">
      <c r="A127" s="18" t="s">
        <v>566</v>
      </c>
      <c r="B127" s="18" t="s">
        <v>71</v>
      </c>
      <c r="C127" s="18" t="n">
        <v>132</v>
      </c>
      <c r="D127" s="19" t="n">
        <v>0</v>
      </c>
      <c r="E127" s="19" t="n">
        <v>1719.25</v>
      </c>
      <c r="F127" s="19" t="n">
        <v>1719.25</v>
      </c>
      <c r="G127" s="19" t="n">
        <v>0</v>
      </c>
      <c r="H127" s="18" t="s">
        <v>2048</v>
      </c>
    </row>
    <row r="128" customFormat="false" ht="15" hidden="false" customHeight="false" outlineLevel="0" collapsed="false">
      <c r="A128" s="18" t="s">
        <v>568</v>
      </c>
      <c r="B128" s="18" t="s">
        <v>71</v>
      </c>
      <c r="C128" s="18" t="n">
        <v>133</v>
      </c>
      <c r="D128" s="19" t="n">
        <v>0</v>
      </c>
      <c r="E128" s="19" t="n">
        <v>19550</v>
      </c>
      <c r="F128" s="19" t="n">
        <v>19550</v>
      </c>
      <c r="G128" s="19" t="n">
        <v>0</v>
      </c>
      <c r="H128" s="18" t="s">
        <v>2048</v>
      </c>
    </row>
    <row r="129" customFormat="false" ht="15" hidden="false" customHeight="false" outlineLevel="0" collapsed="false">
      <c r="A129" s="18" t="s">
        <v>570</v>
      </c>
      <c r="B129" s="18" t="s">
        <v>71</v>
      </c>
      <c r="C129" s="18" t="n">
        <v>134</v>
      </c>
      <c r="D129" s="19" t="n">
        <v>0</v>
      </c>
      <c r="E129" s="19" t="n">
        <v>20806.29</v>
      </c>
      <c r="F129" s="19" t="n">
        <v>20806.29</v>
      </c>
      <c r="G129" s="19" t="n">
        <v>0</v>
      </c>
      <c r="H129" s="18" t="s">
        <v>2048</v>
      </c>
    </row>
    <row r="130" customFormat="false" ht="15" hidden="false" customHeight="false" outlineLevel="0" collapsed="false">
      <c r="A130" s="18" t="s">
        <v>572</v>
      </c>
      <c r="B130" s="18" t="s">
        <v>71</v>
      </c>
      <c r="C130" s="18" t="n">
        <v>135</v>
      </c>
      <c r="D130" s="19" t="n">
        <v>0</v>
      </c>
      <c r="E130" s="19" t="n">
        <v>86.25</v>
      </c>
      <c r="F130" s="19" t="n">
        <v>86.25</v>
      </c>
      <c r="G130" s="19" t="n">
        <v>0</v>
      </c>
      <c r="H130" s="18" t="s">
        <v>2048</v>
      </c>
    </row>
    <row r="131" customFormat="false" ht="15" hidden="false" customHeight="false" outlineLevel="0" collapsed="false">
      <c r="A131" s="18" t="s">
        <v>574</v>
      </c>
      <c r="B131" s="18" t="s">
        <v>71</v>
      </c>
      <c r="C131" s="18" t="n">
        <v>136</v>
      </c>
      <c r="D131" s="19" t="n">
        <v>0</v>
      </c>
      <c r="E131" s="19" t="n">
        <v>9775</v>
      </c>
      <c r="F131" s="19" t="n">
        <v>9775</v>
      </c>
      <c r="G131" s="19" t="n">
        <v>0</v>
      </c>
      <c r="H131" s="18" t="s">
        <v>2048</v>
      </c>
    </row>
    <row r="132" customFormat="false" ht="15" hidden="false" customHeight="false" outlineLevel="0" collapsed="false">
      <c r="A132" s="18" t="s">
        <v>576</v>
      </c>
      <c r="B132" s="18" t="s">
        <v>71</v>
      </c>
      <c r="C132" s="18" t="n">
        <v>138</v>
      </c>
      <c r="D132" s="19" t="n">
        <v>0</v>
      </c>
      <c r="E132" s="19" t="n">
        <v>390.5</v>
      </c>
      <c r="F132" s="19" t="n">
        <v>390.5</v>
      </c>
      <c r="G132" s="19" t="n">
        <v>0</v>
      </c>
      <c r="H132" s="18" t="s">
        <v>2048</v>
      </c>
    </row>
    <row r="133" customFormat="false" ht="15" hidden="false" customHeight="false" outlineLevel="0" collapsed="false">
      <c r="A133" s="18" t="s">
        <v>578</v>
      </c>
      <c r="B133" s="18" t="s">
        <v>71</v>
      </c>
      <c r="C133" s="18" t="n">
        <v>139</v>
      </c>
      <c r="D133" s="19" t="n">
        <v>0</v>
      </c>
      <c r="E133" s="19" t="n">
        <v>2397.75</v>
      </c>
      <c r="F133" s="19" t="n">
        <v>2397.75</v>
      </c>
      <c r="G133" s="19" t="n">
        <v>0</v>
      </c>
      <c r="H133" s="18" t="s">
        <v>2048</v>
      </c>
    </row>
    <row r="134" customFormat="false" ht="15" hidden="false" customHeight="false" outlineLevel="0" collapsed="false">
      <c r="A134" s="18" t="s">
        <v>580</v>
      </c>
      <c r="B134" s="18" t="s">
        <v>71</v>
      </c>
      <c r="C134" s="18" t="n">
        <v>140</v>
      </c>
      <c r="D134" s="19" t="n">
        <v>0</v>
      </c>
      <c r="E134" s="19" t="n">
        <v>600</v>
      </c>
      <c r="F134" s="19" t="n">
        <v>600</v>
      </c>
      <c r="G134" s="19" t="n">
        <v>0</v>
      </c>
      <c r="H134" s="18" t="s">
        <v>2048</v>
      </c>
    </row>
    <row r="135" customFormat="false" ht="15" hidden="false" customHeight="false" outlineLevel="0" collapsed="false">
      <c r="A135" s="18" t="s">
        <v>582</v>
      </c>
      <c r="B135" s="18" t="s">
        <v>71</v>
      </c>
      <c r="C135" s="18" t="n">
        <v>141</v>
      </c>
      <c r="D135" s="19" t="n">
        <v>0</v>
      </c>
      <c r="E135" s="19" t="n">
        <v>175</v>
      </c>
      <c r="F135" s="19" t="n">
        <v>175</v>
      </c>
      <c r="G135" s="19" t="n">
        <v>0</v>
      </c>
      <c r="H135" s="18" t="s">
        <v>2048</v>
      </c>
    </row>
    <row r="136" customFormat="false" ht="15" hidden="false" customHeight="false" outlineLevel="0" collapsed="false">
      <c r="A136" s="18" t="s">
        <v>583</v>
      </c>
      <c r="B136" s="18" t="s">
        <v>71</v>
      </c>
      <c r="C136" s="18" t="n">
        <v>142</v>
      </c>
      <c r="D136" s="19" t="n">
        <v>0</v>
      </c>
      <c r="E136" s="19" t="n">
        <v>177</v>
      </c>
      <c r="F136" s="19" t="n">
        <v>177</v>
      </c>
      <c r="G136" s="19" t="n">
        <v>0</v>
      </c>
      <c r="H136" s="18" t="s">
        <v>2048</v>
      </c>
    </row>
    <row r="137" customFormat="false" ht="15" hidden="false" customHeight="false" outlineLevel="0" collapsed="false">
      <c r="A137" s="18" t="s">
        <v>585</v>
      </c>
      <c r="B137" s="18" t="s">
        <v>71</v>
      </c>
      <c r="C137" s="18" t="n">
        <v>145</v>
      </c>
      <c r="D137" s="19" t="n">
        <v>0</v>
      </c>
      <c r="E137" s="19" t="n">
        <v>9968.66</v>
      </c>
      <c r="F137" s="19" t="n">
        <v>9968.66</v>
      </c>
      <c r="G137" s="19" t="n">
        <v>0</v>
      </c>
      <c r="H137" s="18" t="s">
        <v>2048</v>
      </c>
    </row>
    <row r="138" customFormat="false" ht="15" hidden="false" customHeight="false" outlineLevel="0" collapsed="false">
      <c r="A138" s="18" t="s">
        <v>587</v>
      </c>
      <c r="B138" s="18" t="s">
        <v>71</v>
      </c>
      <c r="C138" s="18" t="n">
        <v>146</v>
      </c>
      <c r="D138" s="19" t="n">
        <v>0</v>
      </c>
      <c r="E138" s="19" t="n">
        <v>108.85</v>
      </c>
      <c r="F138" s="19" t="n">
        <v>108.85</v>
      </c>
      <c r="G138" s="19" t="n">
        <v>0</v>
      </c>
      <c r="H138" s="18" t="s">
        <v>2048</v>
      </c>
    </row>
    <row r="139" customFormat="false" ht="15" hidden="false" customHeight="false" outlineLevel="0" collapsed="false">
      <c r="A139" s="18" t="s">
        <v>589</v>
      </c>
      <c r="B139" s="18" t="s">
        <v>71</v>
      </c>
      <c r="C139" s="18" t="n">
        <v>147</v>
      </c>
      <c r="D139" s="19" t="n">
        <v>-586.5</v>
      </c>
      <c r="E139" s="19" t="n">
        <v>104293.5</v>
      </c>
      <c r="F139" s="19" t="n">
        <v>103707</v>
      </c>
      <c r="G139" s="19" t="n">
        <v>0</v>
      </c>
      <c r="H139" s="18" t="s">
        <v>2048</v>
      </c>
    </row>
    <row r="140" customFormat="false" ht="15" hidden="false" customHeight="false" outlineLevel="0" collapsed="false">
      <c r="A140" s="18" t="s">
        <v>591</v>
      </c>
      <c r="B140" s="18" t="s">
        <v>71</v>
      </c>
      <c r="C140" s="18" t="n">
        <v>148</v>
      </c>
      <c r="D140" s="19" t="n">
        <v>0</v>
      </c>
      <c r="E140" s="19" t="n">
        <v>79</v>
      </c>
      <c r="F140" s="19" t="n">
        <v>79</v>
      </c>
      <c r="G140" s="19" t="n">
        <v>0</v>
      </c>
      <c r="H140" s="18" t="s">
        <v>2048</v>
      </c>
    </row>
    <row r="141" customFormat="false" ht="15" hidden="false" customHeight="false" outlineLevel="0" collapsed="false">
      <c r="A141" s="18" t="s">
        <v>593</v>
      </c>
      <c r="B141" s="18" t="s">
        <v>71</v>
      </c>
      <c r="C141" s="18" t="n">
        <v>149</v>
      </c>
      <c r="D141" s="19" t="n">
        <v>0</v>
      </c>
      <c r="E141" s="19" t="n">
        <v>4312.5</v>
      </c>
      <c r="F141" s="19" t="n">
        <v>4312.5</v>
      </c>
      <c r="G141" s="19" t="n">
        <v>0</v>
      </c>
      <c r="H141" s="18" t="s">
        <v>2048</v>
      </c>
    </row>
    <row r="142" customFormat="false" ht="15" hidden="false" customHeight="false" outlineLevel="0" collapsed="false">
      <c r="A142" s="18" t="s">
        <v>595</v>
      </c>
      <c r="B142" s="18" t="s">
        <v>71</v>
      </c>
      <c r="C142" s="18" t="n">
        <v>150</v>
      </c>
      <c r="D142" s="19" t="n">
        <v>0</v>
      </c>
      <c r="E142" s="19" t="n">
        <v>12953.7</v>
      </c>
      <c r="F142" s="19" t="n">
        <v>12953.7</v>
      </c>
      <c r="G142" s="19" t="n">
        <v>0</v>
      </c>
      <c r="H142" s="18" t="s">
        <v>2048</v>
      </c>
    </row>
    <row r="143" customFormat="false" ht="15" hidden="false" customHeight="false" outlineLevel="0" collapsed="false">
      <c r="A143" s="18" t="s">
        <v>597</v>
      </c>
      <c r="B143" s="18" t="s">
        <v>71</v>
      </c>
      <c r="C143" s="18" t="n">
        <v>151</v>
      </c>
      <c r="D143" s="19" t="n">
        <v>0</v>
      </c>
      <c r="E143" s="19" t="n">
        <v>84780</v>
      </c>
      <c r="F143" s="19" t="n">
        <v>84780</v>
      </c>
      <c r="G143" s="19" t="n">
        <v>0</v>
      </c>
      <c r="H143" s="18" t="s">
        <v>2048</v>
      </c>
    </row>
    <row r="144" customFormat="false" ht="15" hidden="false" customHeight="false" outlineLevel="0" collapsed="false">
      <c r="A144" s="18" t="s">
        <v>599</v>
      </c>
      <c r="B144" s="18" t="s">
        <v>71</v>
      </c>
      <c r="C144" s="18" t="n">
        <v>152</v>
      </c>
      <c r="D144" s="19" t="n">
        <v>0</v>
      </c>
      <c r="E144" s="19" t="n">
        <v>80</v>
      </c>
      <c r="F144" s="19" t="n">
        <v>80</v>
      </c>
      <c r="G144" s="19" t="n">
        <v>0</v>
      </c>
      <c r="H144" s="18" t="s">
        <v>2048</v>
      </c>
    </row>
    <row r="145" customFormat="false" ht="15" hidden="false" customHeight="false" outlineLevel="0" collapsed="false">
      <c r="A145" s="18" t="s">
        <v>601</v>
      </c>
      <c r="B145" s="18" t="s">
        <v>71</v>
      </c>
      <c r="C145" s="18" t="n">
        <v>153</v>
      </c>
      <c r="D145" s="19" t="n">
        <v>0</v>
      </c>
      <c r="E145" s="19" t="n">
        <v>54</v>
      </c>
      <c r="F145" s="19" t="n">
        <v>54</v>
      </c>
      <c r="G145" s="19" t="n">
        <v>0</v>
      </c>
      <c r="H145" s="18" t="s">
        <v>2048</v>
      </c>
    </row>
    <row r="146" customFormat="false" ht="15" hidden="false" customHeight="false" outlineLevel="0" collapsed="false">
      <c r="A146" s="18" t="s">
        <v>603</v>
      </c>
      <c r="B146" s="18" t="s">
        <v>71</v>
      </c>
      <c r="C146" s="18" t="n">
        <v>154</v>
      </c>
      <c r="D146" s="19" t="n">
        <v>0</v>
      </c>
      <c r="E146" s="19" t="n">
        <v>5934</v>
      </c>
      <c r="F146" s="19" t="n">
        <v>5934</v>
      </c>
      <c r="G146" s="19" t="n">
        <v>0</v>
      </c>
      <c r="H146" s="18" t="s">
        <v>2048</v>
      </c>
    </row>
    <row r="147" customFormat="false" ht="15" hidden="false" customHeight="false" outlineLevel="0" collapsed="false">
      <c r="A147" s="18" t="s">
        <v>605</v>
      </c>
      <c r="B147" s="18" t="s">
        <v>71</v>
      </c>
      <c r="C147" s="18" t="n">
        <v>155</v>
      </c>
      <c r="D147" s="19" t="n">
        <v>0</v>
      </c>
      <c r="E147" s="19" t="n">
        <v>89700</v>
      </c>
      <c r="F147" s="19" t="n">
        <v>89700</v>
      </c>
      <c r="G147" s="19" t="n">
        <v>0</v>
      </c>
      <c r="H147" s="18" t="s">
        <v>2048</v>
      </c>
    </row>
    <row r="148" customFormat="false" ht="15" hidden="false" customHeight="false" outlineLevel="0" collapsed="false">
      <c r="A148" s="18" t="s">
        <v>607</v>
      </c>
      <c r="B148" s="18" t="s">
        <v>71</v>
      </c>
      <c r="C148" s="18" t="n">
        <v>156</v>
      </c>
      <c r="D148" s="19" t="n">
        <v>0</v>
      </c>
      <c r="E148" s="19" t="n">
        <v>690</v>
      </c>
      <c r="F148" s="19" t="n">
        <v>690</v>
      </c>
      <c r="G148" s="19" t="n">
        <v>0</v>
      </c>
      <c r="H148" s="18" t="s">
        <v>2048</v>
      </c>
    </row>
    <row r="149" customFormat="false" ht="15" hidden="false" customHeight="false" outlineLevel="0" collapsed="false">
      <c r="A149" s="18" t="s">
        <v>608</v>
      </c>
      <c r="B149" s="18" t="s">
        <v>71</v>
      </c>
      <c r="C149" s="18" t="n">
        <v>158</v>
      </c>
      <c r="D149" s="19" t="n">
        <v>0</v>
      </c>
      <c r="E149" s="19" t="n">
        <v>430</v>
      </c>
      <c r="F149" s="19" t="n">
        <v>430</v>
      </c>
      <c r="G149" s="19" t="n">
        <v>0</v>
      </c>
      <c r="H149" s="18" t="s">
        <v>2048</v>
      </c>
    </row>
    <row r="150" customFormat="false" ht="15" hidden="false" customHeight="false" outlineLevel="0" collapsed="false">
      <c r="A150" s="18" t="s">
        <v>610</v>
      </c>
      <c r="B150" s="18" t="s">
        <v>71</v>
      </c>
      <c r="C150" s="18" t="n">
        <v>159</v>
      </c>
      <c r="D150" s="19" t="n">
        <v>21.75</v>
      </c>
      <c r="E150" s="19" t="n">
        <v>577</v>
      </c>
      <c r="F150" s="19" t="n">
        <v>598.75</v>
      </c>
      <c r="G150" s="19" t="n">
        <v>0</v>
      </c>
      <c r="H150" s="18" t="s">
        <v>2048</v>
      </c>
    </row>
    <row r="151" customFormat="false" ht="15" hidden="false" customHeight="false" outlineLevel="0" collapsed="false">
      <c r="A151" s="18" t="s">
        <v>612</v>
      </c>
      <c r="B151" s="18" t="s">
        <v>71</v>
      </c>
      <c r="C151" s="18" t="n">
        <v>160</v>
      </c>
      <c r="D151" s="19" t="n">
        <v>0</v>
      </c>
      <c r="E151" s="19" t="n">
        <v>21567.02</v>
      </c>
      <c r="F151" s="19" t="n">
        <v>21567.02</v>
      </c>
      <c r="G151" s="19" t="n">
        <v>0</v>
      </c>
      <c r="H151" s="18" t="s">
        <v>2048</v>
      </c>
    </row>
    <row r="152" customFormat="false" ht="15" hidden="false" customHeight="false" outlineLevel="0" collapsed="false">
      <c r="A152" s="18" t="s">
        <v>614</v>
      </c>
      <c r="B152" s="18" t="s">
        <v>71</v>
      </c>
      <c r="C152" s="18" t="n">
        <v>162</v>
      </c>
      <c r="D152" s="19" t="n">
        <v>0</v>
      </c>
      <c r="E152" s="19" t="n">
        <v>226.5</v>
      </c>
      <c r="F152" s="19" t="n">
        <v>226.5</v>
      </c>
      <c r="G152" s="19" t="n">
        <v>0</v>
      </c>
      <c r="H152" s="18" t="s">
        <v>2048</v>
      </c>
    </row>
    <row r="153" customFormat="false" ht="15" hidden="false" customHeight="false" outlineLevel="0" collapsed="false">
      <c r="A153" s="18" t="s">
        <v>616</v>
      </c>
      <c r="B153" s="18" t="s">
        <v>71</v>
      </c>
      <c r="C153" s="18" t="n">
        <v>163</v>
      </c>
      <c r="D153" s="19" t="n">
        <v>0</v>
      </c>
      <c r="E153" s="19" t="n">
        <v>4340</v>
      </c>
      <c r="F153" s="19" t="n">
        <v>4340</v>
      </c>
      <c r="G153" s="19" t="n">
        <v>0</v>
      </c>
      <c r="H153" s="18" t="s">
        <v>2048</v>
      </c>
    </row>
    <row r="154" customFormat="false" ht="15" hidden="false" customHeight="false" outlineLevel="0" collapsed="false">
      <c r="A154" s="18" t="s">
        <v>618</v>
      </c>
      <c r="B154" s="18" t="s">
        <v>71</v>
      </c>
      <c r="C154" s="18" t="n">
        <v>164</v>
      </c>
      <c r="D154" s="19" t="n">
        <v>0</v>
      </c>
      <c r="E154" s="19" t="n">
        <v>3680</v>
      </c>
      <c r="F154" s="19" t="n">
        <v>3680</v>
      </c>
      <c r="G154" s="19" t="n">
        <v>0</v>
      </c>
      <c r="H154" s="18" t="s">
        <v>2048</v>
      </c>
    </row>
    <row r="155" customFormat="false" ht="15" hidden="false" customHeight="false" outlineLevel="0" collapsed="false">
      <c r="A155" s="18" t="s">
        <v>619</v>
      </c>
      <c r="B155" s="18" t="s">
        <v>71</v>
      </c>
      <c r="C155" s="18" t="n">
        <v>165</v>
      </c>
      <c r="D155" s="19" t="n">
        <v>0</v>
      </c>
      <c r="E155" s="19" t="n">
        <v>27382.66</v>
      </c>
      <c r="F155" s="19" t="n">
        <v>27382.66</v>
      </c>
      <c r="G155" s="19" t="n">
        <v>0</v>
      </c>
      <c r="H155" s="18" t="s">
        <v>2048</v>
      </c>
    </row>
    <row r="156" customFormat="false" ht="15" hidden="false" customHeight="false" outlineLevel="0" collapsed="false">
      <c r="A156" s="18" t="s">
        <v>621</v>
      </c>
      <c r="B156" s="18" t="s">
        <v>71</v>
      </c>
      <c r="C156" s="18" t="n">
        <v>166</v>
      </c>
      <c r="D156" s="19" t="n">
        <v>0</v>
      </c>
      <c r="E156" s="19" t="n">
        <v>97404.01</v>
      </c>
      <c r="F156" s="19" t="n">
        <v>97404.01</v>
      </c>
      <c r="G156" s="19" t="n">
        <v>0</v>
      </c>
      <c r="H156" s="18" t="s">
        <v>2048</v>
      </c>
    </row>
    <row r="157" customFormat="false" ht="15" hidden="false" customHeight="false" outlineLevel="0" collapsed="false">
      <c r="A157" s="18" t="s">
        <v>623</v>
      </c>
      <c r="B157" s="18" t="s">
        <v>71</v>
      </c>
      <c r="C157" s="18" t="n">
        <v>167</v>
      </c>
      <c r="D157" s="19" t="n">
        <v>770.549999999999</v>
      </c>
      <c r="E157" s="19" t="n">
        <v>14879.4</v>
      </c>
      <c r="F157" s="19" t="n">
        <v>15649.95</v>
      </c>
      <c r="G157" s="19" t="n">
        <v>0</v>
      </c>
      <c r="H157" s="18" t="s">
        <v>2048</v>
      </c>
    </row>
    <row r="158" customFormat="false" ht="15" hidden="false" customHeight="false" outlineLevel="0" collapsed="false">
      <c r="A158" s="18" t="s">
        <v>625</v>
      </c>
      <c r="B158" s="18" t="s">
        <v>71</v>
      </c>
      <c r="C158" s="18" t="n">
        <v>168</v>
      </c>
      <c r="D158" s="19" t="n">
        <v>0</v>
      </c>
      <c r="E158" s="19" t="n">
        <v>40.25</v>
      </c>
      <c r="F158" s="19" t="n">
        <v>40.25</v>
      </c>
      <c r="G158" s="19" t="n">
        <v>0</v>
      </c>
      <c r="H158" s="18" t="s">
        <v>2048</v>
      </c>
    </row>
    <row r="159" customFormat="false" ht="15" hidden="false" customHeight="false" outlineLevel="0" collapsed="false">
      <c r="A159" s="18" t="s">
        <v>627</v>
      </c>
      <c r="B159" s="18" t="s">
        <v>71</v>
      </c>
      <c r="C159" s="18" t="n">
        <v>169</v>
      </c>
      <c r="D159" s="19" t="n">
        <v>-7497.75</v>
      </c>
      <c r="E159" s="19" t="n">
        <v>9550.35</v>
      </c>
      <c r="F159" s="19" t="n">
        <v>2052.6</v>
      </c>
      <c r="G159" s="19" t="n">
        <v>0</v>
      </c>
      <c r="H159" s="18" t="s">
        <v>2048</v>
      </c>
    </row>
    <row r="160" customFormat="false" ht="15" hidden="false" customHeight="false" outlineLevel="0" collapsed="false">
      <c r="A160" s="18" t="s">
        <v>629</v>
      </c>
      <c r="B160" s="18" t="s">
        <v>71</v>
      </c>
      <c r="C160" s="18" t="n">
        <v>170</v>
      </c>
      <c r="D160" s="19" t="n">
        <v>0</v>
      </c>
      <c r="E160" s="19" t="n">
        <v>3134.8</v>
      </c>
      <c r="F160" s="19" t="n">
        <v>3134.8</v>
      </c>
      <c r="G160" s="19" t="n">
        <v>0</v>
      </c>
      <c r="H160" s="18" t="s">
        <v>2048</v>
      </c>
    </row>
    <row r="161" customFormat="false" ht="15" hidden="false" customHeight="false" outlineLevel="0" collapsed="false">
      <c r="A161" s="18" t="s">
        <v>631</v>
      </c>
      <c r="B161" s="18" t="s">
        <v>71</v>
      </c>
      <c r="C161" s="18" t="n">
        <v>171</v>
      </c>
      <c r="D161" s="19" t="n">
        <v>0</v>
      </c>
      <c r="E161" s="19" t="n">
        <v>3577.7</v>
      </c>
      <c r="F161" s="19" t="n">
        <v>3577.7</v>
      </c>
      <c r="G161" s="19" t="n">
        <v>0</v>
      </c>
      <c r="H161" s="18" t="s">
        <v>2048</v>
      </c>
    </row>
    <row r="162" customFormat="false" ht="15" hidden="false" customHeight="false" outlineLevel="0" collapsed="false">
      <c r="A162" s="18" t="s">
        <v>633</v>
      </c>
      <c r="B162" s="18" t="s">
        <v>71</v>
      </c>
      <c r="C162" s="18" t="n">
        <v>172</v>
      </c>
      <c r="D162" s="19" t="n">
        <v>0</v>
      </c>
      <c r="E162" s="19" t="n">
        <v>92</v>
      </c>
      <c r="F162" s="19" t="n">
        <v>92</v>
      </c>
      <c r="G162" s="19" t="n">
        <v>0</v>
      </c>
      <c r="H162" s="18" t="s">
        <v>2048</v>
      </c>
    </row>
    <row r="163" customFormat="false" ht="15" hidden="false" customHeight="false" outlineLevel="0" collapsed="false">
      <c r="A163" s="18" t="s">
        <v>635</v>
      </c>
      <c r="B163" s="18" t="s">
        <v>71</v>
      </c>
      <c r="C163" s="18" t="n">
        <v>173</v>
      </c>
      <c r="D163" s="19" t="n">
        <v>0</v>
      </c>
      <c r="E163" s="19" t="n">
        <v>424</v>
      </c>
      <c r="F163" s="19" t="n">
        <v>424</v>
      </c>
      <c r="G163" s="19" t="n">
        <v>0</v>
      </c>
      <c r="H163" s="18" t="s">
        <v>2048</v>
      </c>
    </row>
    <row r="164" customFormat="false" ht="15" hidden="false" customHeight="false" outlineLevel="0" collapsed="false">
      <c r="A164" s="18" t="s">
        <v>637</v>
      </c>
      <c r="B164" s="18" t="s">
        <v>71</v>
      </c>
      <c r="C164" s="18" t="n">
        <v>174</v>
      </c>
      <c r="D164" s="19" t="n">
        <v>0</v>
      </c>
      <c r="E164" s="19" t="n">
        <v>509.15</v>
      </c>
      <c r="F164" s="19" t="n">
        <v>509.15</v>
      </c>
      <c r="G164" s="19" t="n">
        <v>0</v>
      </c>
      <c r="H164" s="18" t="s">
        <v>2048</v>
      </c>
    </row>
    <row r="165" customFormat="false" ht="15" hidden="false" customHeight="false" outlineLevel="0" collapsed="false">
      <c r="A165" s="18" t="s">
        <v>639</v>
      </c>
      <c r="B165" s="18" t="s">
        <v>71</v>
      </c>
      <c r="C165" s="18" t="n">
        <v>175</v>
      </c>
      <c r="D165" s="19" t="n">
        <v>0</v>
      </c>
      <c r="E165" s="19" t="n">
        <v>103.5</v>
      </c>
      <c r="F165" s="19" t="n">
        <v>103.5</v>
      </c>
      <c r="G165" s="19" t="n">
        <v>0</v>
      </c>
      <c r="H165" s="18" t="s">
        <v>2048</v>
      </c>
    </row>
    <row r="166" customFormat="false" ht="15" hidden="false" customHeight="false" outlineLevel="0" collapsed="false">
      <c r="A166" s="18" t="s">
        <v>641</v>
      </c>
      <c r="B166" s="18" t="s">
        <v>71</v>
      </c>
      <c r="C166" s="18" t="n">
        <v>176</v>
      </c>
      <c r="D166" s="19" t="n">
        <v>0</v>
      </c>
      <c r="E166" s="19" t="n">
        <v>281.75</v>
      </c>
      <c r="F166" s="19" t="n">
        <v>281.75</v>
      </c>
      <c r="G166" s="19" t="n">
        <v>0</v>
      </c>
      <c r="H166" s="18" t="s">
        <v>2048</v>
      </c>
    </row>
    <row r="167" customFormat="false" ht="15" hidden="false" customHeight="false" outlineLevel="0" collapsed="false">
      <c r="A167" s="18" t="s">
        <v>643</v>
      </c>
      <c r="B167" s="18" t="s">
        <v>71</v>
      </c>
      <c r="C167" s="18" t="n">
        <v>177</v>
      </c>
      <c r="D167" s="19" t="n">
        <v>0</v>
      </c>
      <c r="E167" s="19" t="n">
        <v>172</v>
      </c>
      <c r="F167" s="19" t="n">
        <v>172</v>
      </c>
      <c r="G167" s="19" t="n">
        <v>0</v>
      </c>
      <c r="H167" s="18" t="s">
        <v>2048</v>
      </c>
    </row>
    <row r="168" customFormat="false" ht="15" hidden="false" customHeight="false" outlineLevel="0" collapsed="false">
      <c r="A168" s="18" t="s">
        <v>645</v>
      </c>
      <c r="B168" s="18" t="s">
        <v>71</v>
      </c>
      <c r="C168" s="18" t="n">
        <v>178</v>
      </c>
      <c r="D168" s="19" t="n">
        <v>0</v>
      </c>
      <c r="E168" s="19" t="n">
        <v>115</v>
      </c>
      <c r="F168" s="19" t="n">
        <v>115</v>
      </c>
      <c r="G168" s="19" t="n">
        <v>0</v>
      </c>
      <c r="H168" s="18" t="s">
        <v>2048</v>
      </c>
    </row>
    <row r="169" customFormat="false" ht="15" hidden="false" customHeight="false" outlineLevel="0" collapsed="false">
      <c r="A169" s="18" t="s">
        <v>646</v>
      </c>
      <c r="B169" s="18" t="s">
        <v>71</v>
      </c>
      <c r="C169" s="18" t="n">
        <v>179</v>
      </c>
      <c r="D169" s="19" t="n">
        <v>0</v>
      </c>
      <c r="E169" s="19" t="n">
        <v>1851.8</v>
      </c>
      <c r="F169" s="19" t="n">
        <v>1851.8</v>
      </c>
      <c r="G169" s="19" t="n">
        <v>0</v>
      </c>
      <c r="H169" s="18" t="s">
        <v>2048</v>
      </c>
    </row>
    <row r="170" customFormat="false" ht="15" hidden="false" customHeight="false" outlineLevel="0" collapsed="false">
      <c r="A170" s="18" t="s">
        <v>648</v>
      </c>
      <c r="B170" s="18" t="s">
        <v>71</v>
      </c>
      <c r="C170" s="18" t="n">
        <v>180</v>
      </c>
      <c r="D170" s="19" t="n">
        <v>0</v>
      </c>
      <c r="E170" s="19" t="n">
        <v>16606</v>
      </c>
      <c r="F170" s="19" t="n">
        <v>16606</v>
      </c>
      <c r="G170" s="19" t="n">
        <v>0</v>
      </c>
      <c r="H170" s="18" t="s">
        <v>2048</v>
      </c>
    </row>
    <row r="171" customFormat="false" ht="15" hidden="false" customHeight="false" outlineLevel="0" collapsed="false">
      <c r="A171" s="18" t="s">
        <v>650</v>
      </c>
      <c r="B171" s="18" t="s">
        <v>74</v>
      </c>
      <c r="C171" s="18" t="n">
        <v>2</v>
      </c>
      <c r="D171" s="19" t="n">
        <v>5759.6</v>
      </c>
      <c r="E171" s="19" t="n">
        <v>0</v>
      </c>
      <c r="F171" s="19" t="n">
        <v>5759.6</v>
      </c>
      <c r="G171" s="19" t="n">
        <v>0</v>
      </c>
      <c r="H171" s="18" t="s">
        <v>2048</v>
      </c>
    </row>
    <row r="172" customFormat="false" ht="15" hidden="false" customHeight="false" outlineLevel="0" collapsed="false">
      <c r="A172" s="18" t="s">
        <v>652</v>
      </c>
      <c r="B172" s="18" t="s">
        <v>74</v>
      </c>
      <c r="C172" s="18" t="n">
        <v>3</v>
      </c>
      <c r="D172" s="19" t="n">
        <v>0</v>
      </c>
      <c r="E172" s="19" t="n">
        <v>4652.9</v>
      </c>
      <c r="F172" s="19" t="n">
        <v>4652.9</v>
      </c>
      <c r="G172" s="19" t="n">
        <v>0</v>
      </c>
      <c r="H172" s="18" t="s">
        <v>2048</v>
      </c>
    </row>
    <row r="173" customFormat="false" ht="15" hidden="false" customHeight="false" outlineLevel="0" collapsed="false">
      <c r="A173" s="18" t="s">
        <v>654</v>
      </c>
      <c r="B173" s="18" t="s">
        <v>74</v>
      </c>
      <c r="C173" s="18" t="n">
        <v>6</v>
      </c>
      <c r="D173" s="19" t="n">
        <v>0</v>
      </c>
      <c r="E173" s="19" t="n">
        <v>31133.28</v>
      </c>
      <c r="F173" s="19" t="n">
        <v>31133.28</v>
      </c>
      <c r="G173" s="19" t="n">
        <v>0</v>
      </c>
      <c r="H173" s="18" t="s">
        <v>2048</v>
      </c>
    </row>
    <row r="174" customFormat="false" ht="15" hidden="false" customHeight="false" outlineLevel="0" collapsed="false">
      <c r="A174" s="18" t="s">
        <v>656</v>
      </c>
      <c r="B174" s="18" t="s">
        <v>74</v>
      </c>
      <c r="C174" s="18" t="n">
        <v>7</v>
      </c>
      <c r="D174" s="19" t="n">
        <v>0</v>
      </c>
      <c r="E174" s="19" t="n">
        <v>39807.35</v>
      </c>
      <c r="F174" s="19" t="n">
        <v>39807.35</v>
      </c>
      <c r="G174" s="19" t="n">
        <v>0</v>
      </c>
      <c r="H174" s="18" t="s">
        <v>2048</v>
      </c>
    </row>
    <row r="175" customFormat="false" ht="15" hidden="false" customHeight="false" outlineLevel="0" collapsed="false">
      <c r="A175" s="18" t="s">
        <v>658</v>
      </c>
      <c r="B175" s="18" t="s">
        <v>74</v>
      </c>
      <c r="C175" s="18" t="n">
        <v>8</v>
      </c>
      <c r="D175" s="19" t="n">
        <v>0</v>
      </c>
      <c r="E175" s="19" t="n">
        <v>11575.75</v>
      </c>
      <c r="F175" s="19" t="n">
        <v>11575.75</v>
      </c>
      <c r="G175" s="19" t="n">
        <v>0</v>
      </c>
      <c r="H175" s="18" t="s">
        <v>2048</v>
      </c>
    </row>
    <row r="176" customFormat="false" ht="15" hidden="false" customHeight="false" outlineLevel="0" collapsed="false">
      <c r="A176" s="18" t="s">
        <v>660</v>
      </c>
      <c r="B176" s="18" t="s">
        <v>74</v>
      </c>
      <c r="C176" s="18" t="n">
        <v>9</v>
      </c>
      <c r="D176" s="19" t="n">
        <v>878.2</v>
      </c>
      <c r="E176" s="19" t="n">
        <v>23972.33</v>
      </c>
      <c r="F176" s="19" t="n">
        <v>24850.53</v>
      </c>
      <c r="G176" s="19" t="n">
        <v>0</v>
      </c>
      <c r="H176" s="18" t="s">
        <v>2048</v>
      </c>
    </row>
    <row r="177" customFormat="false" ht="15" hidden="false" customHeight="false" outlineLevel="0" collapsed="false">
      <c r="A177" s="18" t="s">
        <v>662</v>
      </c>
      <c r="B177" s="18" t="s">
        <v>74</v>
      </c>
      <c r="C177" s="18" t="n">
        <v>10</v>
      </c>
      <c r="D177" s="19" t="n">
        <v>0</v>
      </c>
      <c r="E177" s="19" t="n">
        <v>137476.75</v>
      </c>
      <c r="F177" s="19" t="n">
        <v>137476.75</v>
      </c>
      <c r="G177" s="19" t="n">
        <v>0</v>
      </c>
      <c r="H177" s="18" t="s">
        <v>2048</v>
      </c>
    </row>
    <row r="178" customFormat="false" ht="15" hidden="false" customHeight="false" outlineLevel="0" collapsed="false">
      <c r="A178" s="18" t="s">
        <v>664</v>
      </c>
      <c r="B178" s="18" t="s">
        <v>74</v>
      </c>
      <c r="C178" s="18" t="n">
        <v>11</v>
      </c>
      <c r="D178" s="19" t="n">
        <v>-4000</v>
      </c>
      <c r="E178" s="19" t="n">
        <v>33966.09</v>
      </c>
      <c r="F178" s="19" t="n">
        <v>29966.09</v>
      </c>
      <c r="G178" s="19" t="n">
        <v>0</v>
      </c>
      <c r="H178" s="18" t="s">
        <v>2048</v>
      </c>
    </row>
    <row r="179" customFormat="false" ht="15" hidden="false" customHeight="false" outlineLevel="0" collapsed="false">
      <c r="A179" s="18" t="s">
        <v>666</v>
      </c>
      <c r="B179" s="18" t="s">
        <v>74</v>
      </c>
      <c r="C179" s="18" t="n">
        <v>12</v>
      </c>
      <c r="D179" s="19" t="n">
        <v>0</v>
      </c>
      <c r="E179" s="19" t="n">
        <v>11639.15</v>
      </c>
      <c r="F179" s="19" t="n">
        <v>11639.15</v>
      </c>
      <c r="G179" s="19" t="n">
        <v>0</v>
      </c>
      <c r="H179" s="18" t="s">
        <v>2048</v>
      </c>
    </row>
    <row r="180" customFormat="false" ht="15" hidden="false" customHeight="false" outlineLevel="0" collapsed="false">
      <c r="A180" s="18" t="s">
        <v>668</v>
      </c>
      <c r="B180" s="18" t="s">
        <v>74</v>
      </c>
      <c r="C180" s="18" t="n">
        <v>13</v>
      </c>
      <c r="D180" s="19" t="n">
        <v>-100</v>
      </c>
      <c r="E180" s="19" t="n">
        <v>1112</v>
      </c>
      <c r="F180" s="19" t="n">
        <v>1012</v>
      </c>
      <c r="G180" s="19" t="n">
        <v>0</v>
      </c>
      <c r="H180" s="18" t="s">
        <v>2048</v>
      </c>
    </row>
    <row r="181" customFormat="false" ht="15" hidden="false" customHeight="false" outlineLevel="0" collapsed="false">
      <c r="A181" s="18" t="s">
        <v>670</v>
      </c>
      <c r="B181" s="18" t="s">
        <v>74</v>
      </c>
      <c r="C181" s="18" t="n">
        <v>14</v>
      </c>
      <c r="D181" s="19" t="n">
        <v>1610</v>
      </c>
      <c r="E181" s="19" t="n">
        <v>20569.48</v>
      </c>
      <c r="F181" s="19" t="n">
        <v>22179.48</v>
      </c>
      <c r="G181" s="19" t="n">
        <v>0</v>
      </c>
      <c r="H181" s="18" t="s">
        <v>2048</v>
      </c>
    </row>
    <row r="182" customFormat="false" ht="15" hidden="false" customHeight="false" outlineLevel="0" collapsed="false">
      <c r="A182" s="18" t="s">
        <v>672</v>
      </c>
      <c r="B182" s="18" t="s">
        <v>74</v>
      </c>
      <c r="C182" s="18" t="n">
        <v>17</v>
      </c>
      <c r="D182" s="19" t="n">
        <v>5164.25</v>
      </c>
      <c r="E182" s="19" t="n">
        <v>0</v>
      </c>
      <c r="F182" s="19" t="n">
        <v>5164.25</v>
      </c>
      <c r="G182" s="19" t="n">
        <v>0</v>
      </c>
      <c r="H182" s="18" t="s">
        <v>2048</v>
      </c>
    </row>
    <row r="183" customFormat="false" ht="15" hidden="false" customHeight="false" outlineLevel="0" collapsed="false">
      <c r="A183" s="18" t="s">
        <v>674</v>
      </c>
      <c r="B183" s="18" t="s">
        <v>74</v>
      </c>
      <c r="C183" s="18" t="n">
        <v>19</v>
      </c>
      <c r="D183" s="19" t="n">
        <v>7266.86</v>
      </c>
      <c r="E183" s="19" t="n">
        <v>0</v>
      </c>
      <c r="F183" s="19" t="n">
        <v>7266.86</v>
      </c>
      <c r="G183" s="19" t="n">
        <v>0</v>
      </c>
      <c r="H183" s="18" t="s">
        <v>2048</v>
      </c>
    </row>
    <row r="184" customFormat="false" ht="15" hidden="false" customHeight="false" outlineLevel="0" collapsed="false">
      <c r="A184" s="18" t="s">
        <v>676</v>
      </c>
      <c r="B184" s="18" t="s">
        <v>74</v>
      </c>
      <c r="C184" s="18" t="n">
        <v>20</v>
      </c>
      <c r="D184" s="19" t="n">
        <v>0</v>
      </c>
      <c r="E184" s="19" t="n">
        <v>3036</v>
      </c>
      <c r="F184" s="19" t="n">
        <v>3036</v>
      </c>
      <c r="G184" s="19" t="n">
        <v>0</v>
      </c>
      <c r="H184" s="18" t="s">
        <v>2048</v>
      </c>
    </row>
    <row r="185" customFormat="false" ht="15" hidden="false" customHeight="false" outlineLevel="0" collapsed="false">
      <c r="A185" s="18" t="s">
        <v>678</v>
      </c>
      <c r="B185" s="18" t="s">
        <v>74</v>
      </c>
      <c r="C185" s="18" t="n">
        <v>21</v>
      </c>
      <c r="D185" s="19" t="n">
        <v>-17000</v>
      </c>
      <c r="E185" s="19" t="n">
        <v>17000</v>
      </c>
      <c r="F185" s="19" t="n">
        <v>0</v>
      </c>
      <c r="G185" s="19" t="n">
        <v>0</v>
      </c>
      <c r="H185" s="18" t="s">
        <v>2048</v>
      </c>
    </row>
    <row r="186" customFormat="false" ht="15" hidden="false" customHeight="false" outlineLevel="0" collapsed="false">
      <c r="A186" s="18" t="s">
        <v>680</v>
      </c>
      <c r="B186" s="18" t="s">
        <v>74</v>
      </c>
      <c r="C186" s="18" t="n">
        <v>23</v>
      </c>
      <c r="D186" s="19" t="n">
        <v>0</v>
      </c>
      <c r="E186" s="19" t="n">
        <v>13124.5</v>
      </c>
      <c r="F186" s="19" t="n">
        <v>13124.5</v>
      </c>
      <c r="G186" s="19" t="n">
        <v>0</v>
      </c>
      <c r="H186" s="18" t="s">
        <v>2048</v>
      </c>
    </row>
    <row r="187" customFormat="false" ht="15" hidden="false" customHeight="false" outlineLevel="0" collapsed="false">
      <c r="A187" s="18" t="s">
        <v>682</v>
      </c>
      <c r="B187" s="18" t="s">
        <v>74</v>
      </c>
      <c r="C187" s="18" t="n">
        <v>24</v>
      </c>
      <c r="D187" s="19" t="n">
        <v>4674.2</v>
      </c>
      <c r="E187" s="19" t="n">
        <v>0</v>
      </c>
      <c r="F187" s="19" t="n">
        <v>4674.2</v>
      </c>
      <c r="G187" s="19" t="n">
        <v>0</v>
      </c>
      <c r="H187" s="18" t="s">
        <v>2048</v>
      </c>
    </row>
    <row r="188" customFormat="false" ht="15" hidden="false" customHeight="false" outlineLevel="0" collapsed="false">
      <c r="A188" s="18" t="s">
        <v>684</v>
      </c>
      <c r="B188" s="18" t="s">
        <v>74</v>
      </c>
      <c r="C188" s="18" t="n">
        <v>25</v>
      </c>
      <c r="D188" s="19" t="n">
        <v>0</v>
      </c>
      <c r="E188" s="19" t="n">
        <v>15</v>
      </c>
      <c r="F188" s="19" t="n">
        <v>15</v>
      </c>
      <c r="G188" s="19" t="n">
        <v>0</v>
      </c>
      <c r="H188" s="18" t="s">
        <v>2048</v>
      </c>
    </row>
    <row r="189" customFormat="false" ht="15" hidden="false" customHeight="false" outlineLevel="0" collapsed="false">
      <c r="A189" s="18" t="s">
        <v>686</v>
      </c>
      <c r="B189" s="18" t="s">
        <v>74</v>
      </c>
      <c r="C189" s="18" t="n">
        <v>27</v>
      </c>
      <c r="D189" s="19" t="n">
        <v>1903.56</v>
      </c>
      <c r="E189" s="19" t="n">
        <v>0</v>
      </c>
      <c r="F189" s="19" t="n">
        <v>1903.56</v>
      </c>
      <c r="G189" s="19" t="n">
        <v>0</v>
      </c>
      <c r="H189" s="18" t="s">
        <v>2048</v>
      </c>
    </row>
    <row r="190" customFormat="false" ht="15" hidden="false" customHeight="false" outlineLevel="0" collapsed="false">
      <c r="A190" s="18" t="s">
        <v>688</v>
      </c>
      <c r="B190" s="18" t="s">
        <v>74</v>
      </c>
      <c r="C190" s="18" t="n">
        <v>28</v>
      </c>
      <c r="D190" s="19" t="n">
        <v>0</v>
      </c>
      <c r="E190" s="19" t="n">
        <v>13353.25</v>
      </c>
      <c r="F190" s="19" t="n">
        <v>13353.25</v>
      </c>
      <c r="G190" s="19" t="n">
        <v>0</v>
      </c>
      <c r="H190" s="18" t="s">
        <v>2048</v>
      </c>
    </row>
    <row r="191" customFormat="false" ht="15" hidden="false" customHeight="false" outlineLevel="0" collapsed="false">
      <c r="A191" s="18" t="s">
        <v>690</v>
      </c>
      <c r="B191" s="18" t="s">
        <v>74</v>
      </c>
      <c r="C191" s="18" t="n">
        <v>33</v>
      </c>
      <c r="D191" s="19" t="n">
        <v>0</v>
      </c>
      <c r="E191" s="19" t="n">
        <v>12708</v>
      </c>
      <c r="F191" s="19" t="n">
        <v>12708</v>
      </c>
      <c r="G191" s="19" t="n">
        <v>0</v>
      </c>
      <c r="H191" s="18" t="s">
        <v>2048</v>
      </c>
    </row>
    <row r="192" customFormat="false" ht="15" hidden="false" customHeight="false" outlineLevel="0" collapsed="false">
      <c r="A192" s="18" t="s">
        <v>692</v>
      </c>
      <c r="B192" s="18" t="s">
        <v>74</v>
      </c>
      <c r="C192" s="18" t="n">
        <v>36</v>
      </c>
      <c r="D192" s="19" t="n">
        <v>0</v>
      </c>
      <c r="E192" s="19" t="n">
        <v>57099.85</v>
      </c>
      <c r="F192" s="19" t="n">
        <v>57099.85</v>
      </c>
      <c r="G192" s="19" t="n">
        <v>0</v>
      </c>
      <c r="H192" s="18" t="s">
        <v>2048</v>
      </c>
    </row>
    <row r="193" customFormat="false" ht="15" hidden="false" customHeight="false" outlineLevel="0" collapsed="false">
      <c r="A193" s="18" t="s">
        <v>694</v>
      </c>
      <c r="B193" s="18" t="s">
        <v>74</v>
      </c>
      <c r="C193" s="18" t="n">
        <v>37</v>
      </c>
      <c r="D193" s="19" t="n">
        <v>0</v>
      </c>
      <c r="E193" s="19" t="n">
        <v>1236.31</v>
      </c>
      <c r="F193" s="19" t="n">
        <v>1236.31</v>
      </c>
      <c r="G193" s="19" t="n">
        <v>0</v>
      </c>
      <c r="H193" s="18" t="s">
        <v>2048</v>
      </c>
    </row>
    <row r="194" customFormat="false" ht="15" hidden="false" customHeight="false" outlineLevel="0" collapsed="false">
      <c r="A194" s="18" t="s">
        <v>696</v>
      </c>
      <c r="B194" s="18" t="s">
        <v>74</v>
      </c>
      <c r="C194" s="18" t="n">
        <v>39</v>
      </c>
      <c r="D194" s="19" t="n">
        <v>-1575</v>
      </c>
      <c r="E194" s="19" t="n">
        <v>1575</v>
      </c>
      <c r="F194" s="19" t="n">
        <v>0</v>
      </c>
      <c r="G194" s="19" t="n">
        <v>0</v>
      </c>
      <c r="H194" s="18" t="s">
        <v>2048</v>
      </c>
    </row>
    <row r="195" customFormat="false" ht="15" hidden="false" customHeight="false" outlineLevel="0" collapsed="false">
      <c r="A195" s="18" t="s">
        <v>698</v>
      </c>
      <c r="B195" s="18" t="s">
        <v>74</v>
      </c>
      <c r="C195" s="18" t="n">
        <v>40</v>
      </c>
      <c r="D195" s="19" t="n">
        <v>0</v>
      </c>
      <c r="E195" s="19" t="n">
        <v>35568.35</v>
      </c>
      <c r="F195" s="19" t="n">
        <v>35568.35</v>
      </c>
      <c r="G195" s="19" t="n">
        <v>0</v>
      </c>
      <c r="H195" s="18" t="s">
        <v>2048</v>
      </c>
    </row>
    <row r="196" customFormat="false" ht="15" hidden="false" customHeight="false" outlineLevel="0" collapsed="false">
      <c r="A196" s="18" t="s">
        <v>700</v>
      </c>
      <c r="B196" s="18" t="s">
        <v>74</v>
      </c>
      <c r="C196" s="18" t="n">
        <v>41</v>
      </c>
      <c r="D196" s="19" t="n">
        <v>0</v>
      </c>
      <c r="E196" s="19" t="n">
        <v>1753.75</v>
      </c>
      <c r="F196" s="19" t="n">
        <v>1753.75</v>
      </c>
      <c r="G196" s="19" t="n">
        <v>0</v>
      </c>
      <c r="H196" s="18" t="s">
        <v>2048</v>
      </c>
    </row>
    <row r="197" customFormat="false" ht="15" hidden="false" customHeight="false" outlineLevel="0" collapsed="false">
      <c r="A197" s="18" t="s">
        <v>702</v>
      </c>
      <c r="B197" s="18" t="s">
        <v>74</v>
      </c>
      <c r="C197" s="18" t="n">
        <v>45</v>
      </c>
      <c r="D197" s="19" t="n">
        <v>0</v>
      </c>
      <c r="E197" s="19" t="n">
        <v>2206.85</v>
      </c>
      <c r="F197" s="19" t="n">
        <v>2206.85</v>
      </c>
      <c r="G197" s="19" t="n">
        <v>0</v>
      </c>
      <c r="H197" s="18" t="s">
        <v>2048</v>
      </c>
    </row>
    <row r="198" customFormat="false" ht="15" hidden="false" customHeight="false" outlineLevel="0" collapsed="false">
      <c r="A198" s="18" t="s">
        <v>704</v>
      </c>
      <c r="B198" s="18" t="s">
        <v>74</v>
      </c>
      <c r="C198" s="18" t="n">
        <v>46</v>
      </c>
      <c r="D198" s="19" t="n">
        <v>0</v>
      </c>
      <c r="E198" s="19" t="n">
        <v>6899.24</v>
      </c>
      <c r="F198" s="19" t="n">
        <v>6899.24</v>
      </c>
      <c r="G198" s="19" t="n">
        <v>0</v>
      </c>
      <c r="H198" s="18" t="s">
        <v>2048</v>
      </c>
    </row>
    <row r="199" customFormat="false" ht="15" hidden="false" customHeight="false" outlineLevel="0" collapsed="false">
      <c r="A199" s="18" t="s">
        <v>706</v>
      </c>
      <c r="B199" s="18" t="s">
        <v>74</v>
      </c>
      <c r="C199" s="18" t="n">
        <v>47</v>
      </c>
      <c r="D199" s="19" t="n">
        <v>276</v>
      </c>
      <c r="E199" s="19" t="n">
        <v>0</v>
      </c>
      <c r="F199" s="19" t="n">
        <v>276</v>
      </c>
      <c r="G199" s="19" t="n">
        <v>0</v>
      </c>
      <c r="H199" s="18" t="s">
        <v>2048</v>
      </c>
    </row>
    <row r="200" customFormat="false" ht="15" hidden="false" customHeight="false" outlineLevel="0" collapsed="false">
      <c r="A200" s="18" t="s">
        <v>708</v>
      </c>
      <c r="B200" s="18" t="s">
        <v>74</v>
      </c>
      <c r="C200" s="18" t="n">
        <v>48</v>
      </c>
      <c r="D200" s="19" t="n">
        <v>0</v>
      </c>
      <c r="E200" s="19" t="n">
        <v>33</v>
      </c>
      <c r="F200" s="19" t="n">
        <v>33</v>
      </c>
      <c r="G200" s="19" t="n">
        <v>0</v>
      </c>
      <c r="H200" s="18" t="s">
        <v>2048</v>
      </c>
    </row>
    <row r="201" customFormat="false" ht="15" hidden="false" customHeight="false" outlineLevel="0" collapsed="false">
      <c r="A201" s="18" t="s">
        <v>710</v>
      </c>
      <c r="B201" s="18" t="s">
        <v>74</v>
      </c>
      <c r="C201" s="18" t="n">
        <v>49</v>
      </c>
      <c r="D201" s="19" t="n">
        <v>-10000</v>
      </c>
      <c r="E201" s="19" t="n">
        <v>56099.75</v>
      </c>
      <c r="F201" s="19" t="n">
        <v>46099.75</v>
      </c>
      <c r="G201" s="19" t="n">
        <v>0</v>
      </c>
      <c r="H201" s="18" t="s">
        <v>2048</v>
      </c>
    </row>
    <row r="202" customFormat="false" ht="15" hidden="false" customHeight="false" outlineLevel="0" collapsed="false">
      <c r="A202" s="18" t="s">
        <v>712</v>
      </c>
      <c r="B202" s="18" t="s">
        <v>74</v>
      </c>
      <c r="C202" s="18" t="n">
        <v>50</v>
      </c>
      <c r="D202" s="19" t="n">
        <v>4081.52</v>
      </c>
      <c r="E202" s="19" t="n">
        <v>3908.15</v>
      </c>
      <c r="F202" s="19" t="n">
        <v>7989.67</v>
      </c>
      <c r="G202" s="19" t="n">
        <v>0</v>
      </c>
      <c r="H202" s="18" t="s">
        <v>2048</v>
      </c>
    </row>
    <row r="203" customFormat="false" ht="15" hidden="false" customHeight="false" outlineLevel="0" collapsed="false">
      <c r="A203" s="18" t="s">
        <v>714</v>
      </c>
      <c r="B203" s="18" t="s">
        <v>74</v>
      </c>
      <c r="C203" s="18" t="n">
        <v>52</v>
      </c>
      <c r="D203" s="19" t="n">
        <v>0</v>
      </c>
      <c r="E203" s="19" t="n">
        <v>7751.5</v>
      </c>
      <c r="F203" s="19" t="n">
        <v>7751.5</v>
      </c>
      <c r="G203" s="19" t="n">
        <v>0</v>
      </c>
      <c r="H203" s="18" t="s">
        <v>2048</v>
      </c>
    </row>
    <row r="204" customFormat="false" ht="15" hidden="false" customHeight="false" outlineLevel="0" collapsed="false">
      <c r="A204" s="18" t="s">
        <v>716</v>
      </c>
      <c r="B204" s="18" t="s">
        <v>74</v>
      </c>
      <c r="C204" s="18" t="n">
        <v>53</v>
      </c>
      <c r="D204" s="19" t="n">
        <v>0</v>
      </c>
      <c r="E204" s="19" t="n">
        <v>36131.7</v>
      </c>
      <c r="F204" s="19" t="n">
        <v>36131.7</v>
      </c>
      <c r="G204" s="19" t="n">
        <v>0</v>
      </c>
      <c r="H204" s="18" t="s">
        <v>2048</v>
      </c>
    </row>
    <row r="205" customFormat="false" ht="15" hidden="false" customHeight="false" outlineLevel="0" collapsed="false">
      <c r="A205" s="18" t="s">
        <v>718</v>
      </c>
      <c r="B205" s="18" t="s">
        <v>74</v>
      </c>
      <c r="C205" s="18" t="n">
        <v>54</v>
      </c>
      <c r="D205" s="19" t="n">
        <v>0</v>
      </c>
      <c r="E205" s="19" t="n">
        <v>4830</v>
      </c>
      <c r="F205" s="19" t="n">
        <v>4830</v>
      </c>
      <c r="G205" s="19" t="n">
        <v>0</v>
      </c>
      <c r="H205" s="18" t="s">
        <v>2048</v>
      </c>
    </row>
    <row r="206" customFormat="false" ht="15" hidden="false" customHeight="false" outlineLevel="0" collapsed="false">
      <c r="A206" s="18" t="s">
        <v>719</v>
      </c>
      <c r="B206" s="18" t="s">
        <v>74</v>
      </c>
      <c r="C206" s="18" t="n">
        <v>55</v>
      </c>
      <c r="D206" s="19" t="n">
        <v>2632.85</v>
      </c>
      <c r="E206" s="19" t="n">
        <v>0</v>
      </c>
      <c r="F206" s="19" t="n">
        <v>2632.85</v>
      </c>
      <c r="G206" s="19" t="n">
        <v>0</v>
      </c>
      <c r="H206" s="18" t="s">
        <v>2048</v>
      </c>
    </row>
    <row r="207" customFormat="false" ht="15" hidden="false" customHeight="false" outlineLevel="0" collapsed="false">
      <c r="A207" s="18" t="s">
        <v>721</v>
      </c>
      <c r="B207" s="18" t="s">
        <v>74</v>
      </c>
      <c r="C207" s="18" t="n">
        <v>56</v>
      </c>
      <c r="D207" s="19" t="n">
        <v>0</v>
      </c>
      <c r="E207" s="19" t="n">
        <v>21332.05</v>
      </c>
      <c r="F207" s="19" t="n">
        <v>21332.05</v>
      </c>
      <c r="G207" s="19" t="n">
        <v>0</v>
      </c>
      <c r="H207" s="18" t="s">
        <v>2048</v>
      </c>
    </row>
    <row r="208" customFormat="false" ht="15" hidden="false" customHeight="false" outlineLevel="0" collapsed="false">
      <c r="A208" s="18" t="s">
        <v>723</v>
      </c>
      <c r="B208" s="18" t="s">
        <v>74</v>
      </c>
      <c r="C208" s="18" t="n">
        <v>57</v>
      </c>
      <c r="D208" s="19" t="n">
        <v>250</v>
      </c>
      <c r="E208" s="19" t="n">
        <v>0</v>
      </c>
      <c r="F208" s="19" t="n">
        <v>250</v>
      </c>
      <c r="G208" s="19" t="n">
        <v>0</v>
      </c>
      <c r="H208" s="18" t="s">
        <v>2048</v>
      </c>
    </row>
    <row r="209" customFormat="false" ht="15" hidden="false" customHeight="false" outlineLevel="0" collapsed="false">
      <c r="A209" s="18" t="s">
        <v>725</v>
      </c>
      <c r="B209" s="18" t="s">
        <v>74</v>
      </c>
      <c r="C209" s="18" t="n">
        <v>58</v>
      </c>
      <c r="D209" s="19" t="n">
        <v>-50</v>
      </c>
      <c r="E209" s="19" t="n">
        <v>16332.85</v>
      </c>
      <c r="F209" s="19" t="n">
        <v>16282.85</v>
      </c>
      <c r="G209" s="19" t="n">
        <v>0</v>
      </c>
      <c r="H209" s="18" t="s">
        <v>2048</v>
      </c>
    </row>
    <row r="210" customFormat="false" ht="15" hidden="false" customHeight="false" outlineLevel="0" collapsed="false">
      <c r="A210" s="18" t="s">
        <v>727</v>
      </c>
      <c r="B210" s="18" t="s">
        <v>74</v>
      </c>
      <c r="C210" s="18" t="n">
        <v>59</v>
      </c>
      <c r="D210" s="19" t="n">
        <v>0</v>
      </c>
      <c r="E210" s="19" t="n">
        <v>317.5</v>
      </c>
      <c r="F210" s="19" t="n">
        <v>317.5</v>
      </c>
      <c r="G210" s="19" t="n">
        <v>0</v>
      </c>
      <c r="H210" s="18" t="s">
        <v>2048</v>
      </c>
    </row>
    <row r="211" customFormat="false" ht="15" hidden="false" customHeight="false" outlineLevel="0" collapsed="false">
      <c r="A211" s="18" t="s">
        <v>729</v>
      </c>
      <c r="B211" s="18" t="s">
        <v>74</v>
      </c>
      <c r="C211" s="18" t="n">
        <v>60</v>
      </c>
      <c r="D211" s="19" t="n">
        <v>-8911.10999999999</v>
      </c>
      <c r="E211" s="19" t="n">
        <v>27801.21</v>
      </c>
      <c r="F211" s="19" t="n">
        <v>18890.1</v>
      </c>
      <c r="G211" s="19" t="n">
        <v>0</v>
      </c>
      <c r="H211" s="18" t="s">
        <v>2048</v>
      </c>
    </row>
    <row r="212" customFormat="false" ht="15" hidden="false" customHeight="false" outlineLevel="0" collapsed="false">
      <c r="A212" s="18" t="s">
        <v>731</v>
      </c>
      <c r="B212" s="18" t="s">
        <v>74</v>
      </c>
      <c r="C212" s="18" t="n">
        <v>61</v>
      </c>
      <c r="D212" s="19" t="n">
        <v>1295.3</v>
      </c>
      <c r="E212" s="19" t="n">
        <v>12023.83</v>
      </c>
      <c r="F212" s="19" t="n">
        <v>13319.13</v>
      </c>
      <c r="G212" s="19" t="n">
        <v>0</v>
      </c>
      <c r="H212" s="18" t="s">
        <v>2048</v>
      </c>
    </row>
    <row r="213" customFormat="false" ht="15" hidden="false" customHeight="false" outlineLevel="0" collapsed="false">
      <c r="A213" s="18" t="s">
        <v>733</v>
      </c>
      <c r="B213" s="18" t="s">
        <v>74</v>
      </c>
      <c r="C213" s="18" t="n">
        <v>62</v>
      </c>
      <c r="D213" s="19" t="n">
        <v>0</v>
      </c>
      <c r="E213" s="19" t="n">
        <v>7935</v>
      </c>
      <c r="F213" s="19" t="n">
        <v>7935</v>
      </c>
      <c r="G213" s="19" t="n">
        <v>0</v>
      </c>
      <c r="H213" s="18" t="s">
        <v>2048</v>
      </c>
    </row>
    <row r="214" customFormat="false" ht="15" hidden="false" customHeight="false" outlineLevel="0" collapsed="false">
      <c r="A214" s="18" t="s">
        <v>735</v>
      </c>
      <c r="B214" s="18" t="s">
        <v>74</v>
      </c>
      <c r="C214" s="18" t="n">
        <v>63</v>
      </c>
      <c r="D214" s="19" t="n">
        <v>-3951.25</v>
      </c>
      <c r="E214" s="19" t="n">
        <v>5077.25</v>
      </c>
      <c r="F214" s="19" t="n">
        <v>1126</v>
      </c>
      <c r="G214" s="19" t="n">
        <v>0</v>
      </c>
      <c r="H214" s="18" t="s">
        <v>2048</v>
      </c>
    </row>
    <row r="215" customFormat="false" ht="15" hidden="false" customHeight="false" outlineLevel="0" collapsed="false">
      <c r="A215" s="18" t="s">
        <v>737</v>
      </c>
      <c r="B215" s="18" t="s">
        <v>74</v>
      </c>
      <c r="C215" s="18" t="n">
        <v>64</v>
      </c>
      <c r="D215" s="19" t="n">
        <v>0</v>
      </c>
      <c r="E215" s="19" t="n">
        <v>1752.6</v>
      </c>
      <c r="F215" s="19" t="n">
        <v>1752.6</v>
      </c>
      <c r="G215" s="19" t="n">
        <v>0</v>
      </c>
      <c r="H215" s="18" t="s">
        <v>2048</v>
      </c>
    </row>
    <row r="216" customFormat="false" ht="15" hidden="false" customHeight="false" outlineLevel="0" collapsed="false">
      <c r="A216" s="18" t="s">
        <v>739</v>
      </c>
      <c r="B216" s="18" t="s">
        <v>74</v>
      </c>
      <c r="C216" s="18" t="n">
        <v>65</v>
      </c>
      <c r="D216" s="19" t="n">
        <v>-1145</v>
      </c>
      <c r="E216" s="19" t="n">
        <v>1145</v>
      </c>
      <c r="F216" s="19" t="n">
        <v>0</v>
      </c>
      <c r="G216" s="19" t="n">
        <v>0</v>
      </c>
      <c r="H216" s="18" t="s">
        <v>2048</v>
      </c>
    </row>
    <row r="217" customFormat="false" ht="15" hidden="false" customHeight="false" outlineLevel="0" collapsed="false">
      <c r="A217" s="18" t="s">
        <v>741</v>
      </c>
      <c r="B217" s="18" t="s">
        <v>74</v>
      </c>
      <c r="C217" s="18" t="n">
        <v>66</v>
      </c>
      <c r="D217" s="19" t="n">
        <v>0</v>
      </c>
      <c r="E217" s="19" t="n">
        <v>1739.95</v>
      </c>
      <c r="F217" s="19" t="n">
        <v>1739.95</v>
      </c>
      <c r="G217" s="19" t="n">
        <v>0</v>
      </c>
      <c r="H217" s="18" t="s">
        <v>2048</v>
      </c>
    </row>
    <row r="218" customFormat="false" ht="15" hidden="false" customHeight="false" outlineLevel="0" collapsed="false">
      <c r="A218" s="18" t="s">
        <v>743</v>
      </c>
      <c r="B218" s="18" t="s">
        <v>74</v>
      </c>
      <c r="C218" s="18" t="n">
        <v>68</v>
      </c>
      <c r="D218" s="19" t="n">
        <v>747.5</v>
      </c>
      <c r="E218" s="19" t="n">
        <v>195.5</v>
      </c>
      <c r="F218" s="19" t="n">
        <v>943</v>
      </c>
      <c r="G218" s="19" t="n">
        <v>0</v>
      </c>
      <c r="H218" s="18" t="s">
        <v>2048</v>
      </c>
    </row>
    <row r="219" customFormat="false" ht="15" hidden="false" customHeight="false" outlineLevel="0" collapsed="false">
      <c r="A219" s="18" t="s">
        <v>745</v>
      </c>
      <c r="B219" s="18" t="s">
        <v>74</v>
      </c>
      <c r="C219" s="18" t="n">
        <v>69</v>
      </c>
      <c r="D219" s="19" t="n">
        <v>120.899999999998</v>
      </c>
      <c r="E219" s="19" t="n">
        <v>5025.5</v>
      </c>
      <c r="F219" s="19" t="n">
        <v>5146.4</v>
      </c>
      <c r="G219" s="19" t="n">
        <v>0</v>
      </c>
      <c r="H219" s="18" t="s">
        <v>2048</v>
      </c>
    </row>
    <row r="220" customFormat="false" ht="15" hidden="false" customHeight="false" outlineLevel="0" collapsed="false">
      <c r="A220" s="18" t="s">
        <v>747</v>
      </c>
      <c r="B220" s="18" t="s">
        <v>74</v>
      </c>
      <c r="C220" s="18" t="n">
        <v>70</v>
      </c>
      <c r="D220" s="19" t="n">
        <v>373.8</v>
      </c>
      <c r="E220" s="19" t="n">
        <v>184</v>
      </c>
      <c r="F220" s="19" t="n">
        <v>557.8</v>
      </c>
      <c r="G220" s="19" t="n">
        <v>0</v>
      </c>
      <c r="H220" s="18" t="s">
        <v>2048</v>
      </c>
    </row>
    <row r="221" customFormat="false" ht="15" hidden="false" customHeight="false" outlineLevel="0" collapsed="false">
      <c r="A221" s="18" t="s">
        <v>749</v>
      </c>
      <c r="B221" s="18" t="s">
        <v>74</v>
      </c>
      <c r="C221" s="18" t="n">
        <v>71</v>
      </c>
      <c r="D221" s="19" t="n">
        <v>0</v>
      </c>
      <c r="E221" s="19" t="n">
        <v>455.4</v>
      </c>
      <c r="F221" s="19" t="n">
        <v>455.4</v>
      </c>
      <c r="G221" s="19" t="n">
        <v>0</v>
      </c>
      <c r="H221" s="18" t="s">
        <v>2048</v>
      </c>
    </row>
    <row r="222" customFormat="false" ht="15" hidden="false" customHeight="false" outlineLevel="0" collapsed="false">
      <c r="A222" s="18" t="s">
        <v>751</v>
      </c>
      <c r="B222" s="18" t="s">
        <v>74</v>
      </c>
      <c r="C222" s="18" t="n">
        <v>72</v>
      </c>
      <c r="D222" s="19" t="n">
        <v>-250</v>
      </c>
      <c r="E222" s="19" t="n">
        <v>250</v>
      </c>
      <c r="F222" s="19" t="n">
        <v>0</v>
      </c>
      <c r="G222" s="19" t="n">
        <v>0</v>
      </c>
      <c r="H222" s="18" t="s">
        <v>2048</v>
      </c>
    </row>
    <row r="223" customFormat="false" ht="15" hidden="false" customHeight="false" outlineLevel="0" collapsed="false">
      <c r="A223" s="18" t="s">
        <v>753</v>
      </c>
      <c r="B223" s="18" t="s">
        <v>74</v>
      </c>
      <c r="C223" s="18" t="n">
        <v>74</v>
      </c>
      <c r="D223" s="19" t="n">
        <v>0</v>
      </c>
      <c r="E223" s="19" t="n">
        <v>16895.08</v>
      </c>
      <c r="F223" s="19" t="n">
        <v>16895.08</v>
      </c>
      <c r="G223" s="19" t="n">
        <v>0</v>
      </c>
      <c r="H223" s="18" t="s">
        <v>2048</v>
      </c>
    </row>
    <row r="224" customFormat="false" ht="15" hidden="false" customHeight="false" outlineLevel="0" collapsed="false">
      <c r="A224" s="18" t="s">
        <v>755</v>
      </c>
      <c r="B224" s="18" t="s">
        <v>74</v>
      </c>
      <c r="C224" s="18" t="n">
        <v>75</v>
      </c>
      <c r="D224" s="19" t="n">
        <v>0.5</v>
      </c>
      <c r="E224" s="19" t="n">
        <v>4554</v>
      </c>
      <c r="F224" s="19" t="n">
        <v>4554.5</v>
      </c>
      <c r="G224" s="19" t="n">
        <v>0</v>
      </c>
      <c r="H224" s="18" t="s">
        <v>2048</v>
      </c>
    </row>
    <row r="225" customFormat="false" ht="15" hidden="false" customHeight="false" outlineLevel="0" collapsed="false">
      <c r="A225" s="18" t="s">
        <v>757</v>
      </c>
      <c r="B225" s="18" t="s">
        <v>74</v>
      </c>
      <c r="C225" s="18" t="n">
        <v>76</v>
      </c>
      <c r="D225" s="19" t="n">
        <v>868.450000000001</v>
      </c>
      <c r="E225" s="19" t="n">
        <v>0</v>
      </c>
      <c r="F225" s="19" t="n">
        <v>868.45</v>
      </c>
      <c r="G225" s="19" t="n">
        <v>0</v>
      </c>
      <c r="H225" s="18" t="s">
        <v>2048</v>
      </c>
    </row>
    <row r="226" customFormat="false" ht="15" hidden="false" customHeight="false" outlineLevel="0" collapsed="false">
      <c r="A226" s="18" t="s">
        <v>759</v>
      </c>
      <c r="B226" s="18" t="s">
        <v>74</v>
      </c>
      <c r="C226" s="18" t="n">
        <v>77</v>
      </c>
      <c r="D226" s="19" t="n">
        <v>-115</v>
      </c>
      <c r="E226" s="19" t="n">
        <v>9755.7</v>
      </c>
      <c r="F226" s="19" t="n">
        <v>9640.7</v>
      </c>
      <c r="G226" s="19" t="n">
        <v>0</v>
      </c>
      <c r="H226" s="18" t="s">
        <v>2048</v>
      </c>
    </row>
    <row r="227" customFormat="false" ht="15" hidden="false" customHeight="false" outlineLevel="0" collapsed="false">
      <c r="A227" s="18" t="s">
        <v>761</v>
      </c>
      <c r="B227" s="18" t="s">
        <v>74</v>
      </c>
      <c r="C227" s="18" t="n">
        <v>78</v>
      </c>
      <c r="D227" s="19" t="n">
        <v>105</v>
      </c>
      <c r="E227" s="19" t="n">
        <v>0</v>
      </c>
      <c r="F227" s="19" t="n">
        <v>105</v>
      </c>
      <c r="G227" s="19" t="n">
        <v>0</v>
      </c>
      <c r="H227" s="18" t="s">
        <v>2048</v>
      </c>
    </row>
    <row r="228" customFormat="false" ht="15" hidden="false" customHeight="false" outlineLevel="0" collapsed="false">
      <c r="A228" s="18" t="s">
        <v>763</v>
      </c>
      <c r="B228" s="18" t="s">
        <v>74</v>
      </c>
      <c r="C228" s="18" t="n">
        <v>79</v>
      </c>
      <c r="D228" s="19" t="n">
        <v>0</v>
      </c>
      <c r="E228" s="19" t="n">
        <v>920</v>
      </c>
      <c r="F228" s="19" t="n">
        <v>920</v>
      </c>
      <c r="G228" s="19" t="n">
        <v>0</v>
      </c>
      <c r="H228" s="18" t="s">
        <v>2048</v>
      </c>
    </row>
    <row r="229" customFormat="false" ht="15" hidden="false" customHeight="false" outlineLevel="0" collapsed="false">
      <c r="A229" s="18" t="s">
        <v>765</v>
      </c>
      <c r="B229" s="18" t="s">
        <v>74</v>
      </c>
      <c r="C229" s="18" t="n">
        <v>83</v>
      </c>
      <c r="D229" s="19" t="n">
        <v>0</v>
      </c>
      <c r="E229" s="19" t="n">
        <v>3614.08</v>
      </c>
      <c r="F229" s="19" t="n">
        <v>3614.08</v>
      </c>
      <c r="G229" s="19" t="n">
        <v>0</v>
      </c>
      <c r="H229" s="18" t="s">
        <v>2048</v>
      </c>
    </row>
    <row r="230" customFormat="false" ht="15" hidden="false" customHeight="false" outlineLevel="0" collapsed="false">
      <c r="A230" s="18" t="s">
        <v>767</v>
      </c>
      <c r="B230" s="18" t="s">
        <v>74</v>
      </c>
      <c r="C230" s="18" t="n">
        <v>85</v>
      </c>
      <c r="D230" s="19" t="n">
        <v>-1000</v>
      </c>
      <c r="E230" s="19" t="n">
        <v>1000</v>
      </c>
      <c r="F230" s="19" t="n">
        <v>0</v>
      </c>
      <c r="G230" s="19" t="n">
        <v>0</v>
      </c>
      <c r="H230" s="18" t="s">
        <v>2048</v>
      </c>
    </row>
    <row r="231" customFormat="false" ht="15" hidden="false" customHeight="false" outlineLevel="0" collapsed="false">
      <c r="A231" s="18" t="s">
        <v>769</v>
      </c>
      <c r="B231" s="18" t="s">
        <v>74</v>
      </c>
      <c r="C231" s="18" t="n">
        <v>86</v>
      </c>
      <c r="D231" s="19" t="n">
        <v>-91</v>
      </c>
      <c r="E231" s="19" t="n">
        <v>91</v>
      </c>
      <c r="F231" s="19" t="n">
        <v>0</v>
      </c>
      <c r="G231" s="19" t="n">
        <v>0</v>
      </c>
      <c r="H231" s="18" t="s">
        <v>2048</v>
      </c>
    </row>
    <row r="232" customFormat="false" ht="15" hidden="false" customHeight="false" outlineLevel="0" collapsed="false">
      <c r="A232" s="18" t="s">
        <v>771</v>
      </c>
      <c r="B232" s="18" t="s">
        <v>74</v>
      </c>
      <c r="C232" s="18" t="n">
        <v>88</v>
      </c>
      <c r="D232" s="19" t="n">
        <v>0</v>
      </c>
      <c r="E232" s="19" t="n">
        <v>9533</v>
      </c>
      <c r="F232" s="19" t="n">
        <v>9533</v>
      </c>
      <c r="G232" s="19" t="n">
        <v>0</v>
      </c>
      <c r="H232" s="18" t="s">
        <v>2048</v>
      </c>
    </row>
    <row r="233" customFormat="false" ht="15" hidden="false" customHeight="false" outlineLevel="0" collapsed="false">
      <c r="A233" s="18" t="s">
        <v>773</v>
      </c>
      <c r="B233" s="18" t="s">
        <v>74</v>
      </c>
      <c r="C233" s="18" t="n">
        <v>89</v>
      </c>
      <c r="D233" s="19" t="n">
        <v>0</v>
      </c>
      <c r="E233" s="19" t="n">
        <v>115</v>
      </c>
      <c r="F233" s="19" t="n">
        <v>115</v>
      </c>
      <c r="G233" s="19" t="n">
        <v>0</v>
      </c>
      <c r="H233" s="18" t="s">
        <v>2048</v>
      </c>
    </row>
    <row r="234" customFormat="false" ht="15" hidden="false" customHeight="false" outlineLevel="0" collapsed="false">
      <c r="A234" s="18" t="s">
        <v>774</v>
      </c>
      <c r="B234" s="18" t="s">
        <v>74</v>
      </c>
      <c r="C234" s="18" t="n">
        <v>90</v>
      </c>
      <c r="D234" s="19" t="n">
        <v>-445</v>
      </c>
      <c r="E234" s="19" t="n">
        <v>445</v>
      </c>
      <c r="F234" s="19" t="n">
        <v>0</v>
      </c>
      <c r="G234" s="19" t="n">
        <v>0</v>
      </c>
      <c r="H234" s="18" t="s">
        <v>2048</v>
      </c>
    </row>
    <row r="235" customFormat="false" ht="15" hidden="false" customHeight="false" outlineLevel="0" collapsed="false">
      <c r="A235" s="18" t="s">
        <v>776</v>
      </c>
      <c r="B235" s="18" t="s">
        <v>74</v>
      </c>
      <c r="C235" s="18" t="n">
        <v>91</v>
      </c>
      <c r="D235" s="19" t="n">
        <v>0</v>
      </c>
      <c r="E235" s="19" t="n">
        <v>1708.25</v>
      </c>
      <c r="F235" s="19" t="n">
        <v>1708.25</v>
      </c>
      <c r="G235" s="19" t="n">
        <v>0</v>
      </c>
      <c r="H235" s="18" t="s">
        <v>2048</v>
      </c>
    </row>
    <row r="236" customFormat="false" ht="15" hidden="false" customHeight="false" outlineLevel="0" collapsed="false">
      <c r="A236" s="18" t="s">
        <v>778</v>
      </c>
      <c r="B236" s="18" t="s">
        <v>74</v>
      </c>
      <c r="C236" s="18" t="n">
        <v>93</v>
      </c>
      <c r="D236" s="19" t="n">
        <v>0</v>
      </c>
      <c r="E236" s="19" t="n">
        <v>4255</v>
      </c>
      <c r="F236" s="19" t="n">
        <v>4255</v>
      </c>
      <c r="G236" s="19" t="n">
        <v>0</v>
      </c>
      <c r="H236" s="18" t="s">
        <v>2048</v>
      </c>
    </row>
    <row r="237" customFormat="false" ht="15" hidden="false" customHeight="false" outlineLevel="0" collapsed="false">
      <c r="A237" s="18" t="s">
        <v>780</v>
      </c>
      <c r="B237" s="18" t="s">
        <v>74</v>
      </c>
      <c r="C237" s="18" t="n">
        <v>96</v>
      </c>
      <c r="D237" s="19" t="n">
        <v>0</v>
      </c>
      <c r="E237" s="19" t="n">
        <v>91</v>
      </c>
      <c r="F237" s="19" t="n">
        <v>91</v>
      </c>
      <c r="G237" s="19" t="n">
        <v>0</v>
      </c>
      <c r="H237" s="18" t="s">
        <v>2048</v>
      </c>
    </row>
    <row r="238" customFormat="false" ht="15" hidden="false" customHeight="false" outlineLevel="0" collapsed="false">
      <c r="A238" s="18" t="s">
        <v>782</v>
      </c>
      <c r="B238" s="18" t="s">
        <v>74</v>
      </c>
      <c r="C238" s="18" t="n">
        <v>97</v>
      </c>
      <c r="D238" s="19" t="n">
        <v>1550</v>
      </c>
      <c r="E238" s="19" t="n">
        <v>0</v>
      </c>
      <c r="F238" s="19" t="n">
        <v>1550</v>
      </c>
      <c r="G238" s="19" t="n">
        <v>0</v>
      </c>
      <c r="H238" s="18" t="s">
        <v>2048</v>
      </c>
    </row>
    <row r="239" customFormat="false" ht="15" hidden="false" customHeight="false" outlineLevel="0" collapsed="false">
      <c r="A239" s="18" t="s">
        <v>784</v>
      </c>
      <c r="B239" s="18" t="s">
        <v>74</v>
      </c>
      <c r="C239" s="18" t="n">
        <v>99</v>
      </c>
      <c r="D239" s="19" t="n">
        <v>0</v>
      </c>
      <c r="E239" s="19" t="n">
        <v>20735.75</v>
      </c>
      <c r="F239" s="19" t="n">
        <v>20735.75</v>
      </c>
      <c r="G239" s="19" t="n">
        <v>0</v>
      </c>
      <c r="H239" s="18" t="s">
        <v>2048</v>
      </c>
    </row>
    <row r="240" customFormat="false" ht="15" hidden="false" customHeight="false" outlineLevel="0" collapsed="false">
      <c r="A240" s="18" t="s">
        <v>786</v>
      </c>
      <c r="B240" s="18" t="s">
        <v>74</v>
      </c>
      <c r="C240" s="18" t="n">
        <v>100</v>
      </c>
      <c r="D240" s="19" t="n">
        <v>0</v>
      </c>
      <c r="E240" s="19" t="n">
        <v>8883.75</v>
      </c>
      <c r="F240" s="19" t="n">
        <v>8883.75</v>
      </c>
      <c r="G240" s="19" t="n">
        <v>0</v>
      </c>
      <c r="H240" s="18" t="s">
        <v>2048</v>
      </c>
    </row>
    <row r="241" customFormat="false" ht="15" hidden="false" customHeight="false" outlineLevel="0" collapsed="false">
      <c r="A241" s="18" t="s">
        <v>788</v>
      </c>
      <c r="B241" s="18" t="s">
        <v>74</v>
      </c>
      <c r="C241" s="18" t="n">
        <v>101</v>
      </c>
      <c r="D241" s="19" t="n">
        <v>1610</v>
      </c>
      <c r="E241" s="19" t="n">
        <v>4915.68</v>
      </c>
      <c r="F241" s="19" t="n">
        <v>6525.68</v>
      </c>
      <c r="G241" s="19" t="n">
        <v>0</v>
      </c>
      <c r="H241" s="18" t="s">
        <v>2048</v>
      </c>
    </row>
    <row r="242" customFormat="false" ht="15" hidden="false" customHeight="false" outlineLevel="0" collapsed="false">
      <c r="A242" s="18" t="s">
        <v>790</v>
      </c>
      <c r="B242" s="18" t="s">
        <v>74</v>
      </c>
      <c r="C242" s="18" t="n">
        <v>103</v>
      </c>
      <c r="D242" s="19" t="n">
        <v>690</v>
      </c>
      <c r="E242" s="19" t="n">
        <v>14160.8</v>
      </c>
      <c r="F242" s="19" t="n">
        <v>14850.8</v>
      </c>
      <c r="G242" s="19" t="n">
        <v>0</v>
      </c>
      <c r="H242" s="18" t="s">
        <v>2048</v>
      </c>
    </row>
    <row r="243" customFormat="false" ht="15" hidden="false" customHeight="false" outlineLevel="0" collapsed="false">
      <c r="A243" s="18" t="s">
        <v>792</v>
      </c>
      <c r="B243" s="18" t="s">
        <v>74</v>
      </c>
      <c r="C243" s="18" t="n">
        <v>104</v>
      </c>
      <c r="D243" s="19" t="n">
        <v>-2</v>
      </c>
      <c r="E243" s="19" t="n">
        <v>2</v>
      </c>
      <c r="F243" s="19" t="n">
        <v>0</v>
      </c>
      <c r="G243" s="19" t="n">
        <v>0</v>
      </c>
      <c r="H243" s="18" t="s">
        <v>2048</v>
      </c>
    </row>
    <row r="244" customFormat="false" ht="15" hidden="false" customHeight="false" outlineLevel="0" collapsed="false">
      <c r="A244" s="18" t="s">
        <v>794</v>
      </c>
      <c r="B244" s="18" t="s">
        <v>74</v>
      </c>
      <c r="C244" s="18" t="n">
        <v>107</v>
      </c>
      <c r="D244" s="19" t="n">
        <v>-100</v>
      </c>
      <c r="E244" s="19" t="n">
        <v>100</v>
      </c>
      <c r="F244" s="19" t="n">
        <v>0</v>
      </c>
      <c r="G244" s="19" t="n">
        <v>0</v>
      </c>
      <c r="H244" s="18" t="s">
        <v>2048</v>
      </c>
    </row>
    <row r="245" customFormat="false" ht="15" hidden="false" customHeight="false" outlineLevel="0" collapsed="false">
      <c r="A245" s="18" t="s">
        <v>796</v>
      </c>
      <c r="B245" s="18" t="s">
        <v>74</v>
      </c>
      <c r="C245" s="18" t="n">
        <v>108</v>
      </c>
      <c r="D245" s="19" t="n">
        <v>0</v>
      </c>
      <c r="E245" s="19" t="n">
        <v>502.5</v>
      </c>
      <c r="F245" s="19" t="n">
        <v>502.5</v>
      </c>
      <c r="G245" s="19" t="n">
        <v>0</v>
      </c>
      <c r="H245" s="18" t="s">
        <v>2048</v>
      </c>
    </row>
    <row r="246" customFormat="false" ht="15" hidden="false" customHeight="false" outlineLevel="0" collapsed="false">
      <c r="A246" s="18" t="s">
        <v>798</v>
      </c>
      <c r="B246" s="18" t="s">
        <v>74</v>
      </c>
      <c r="C246" s="18" t="n">
        <v>109</v>
      </c>
      <c r="D246" s="19" t="n">
        <v>0</v>
      </c>
      <c r="E246" s="19" t="n">
        <v>1076.4</v>
      </c>
      <c r="F246" s="19" t="n">
        <v>1076.4</v>
      </c>
      <c r="G246" s="19" t="n">
        <v>0</v>
      </c>
      <c r="H246" s="18" t="s">
        <v>2048</v>
      </c>
    </row>
    <row r="247" customFormat="false" ht="15" hidden="false" customHeight="false" outlineLevel="0" collapsed="false">
      <c r="A247" s="18" t="s">
        <v>800</v>
      </c>
      <c r="B247" s="18" t="s">
        <v>74</v>
      </c>
      <c r="C247" s="18" t="n">
        <v>110</v>
      </c>
      <c r="D247" s="19" t="n">
        <v>276.25</v>
      </c>
      <c r="E247" s="19" t="n">
        <v>1083.3</v>
      </c>
      <c r="F247" s="19" t="n">
        <v>1359.55</v>
      </c>
      <c r="G247" s="19" t="n">
        <v>0</v>
      </c>
      <c r="H247" s="18" t="s">
        <v>2048</v>
      </c>
    </row>
    <row r="248" customFormat="false" ht="15" hidden="false" customHeight="false" outlineLevel="0" collapsed="false">
      <c r="A248" s="18" t="s">
        <v>802</v>
      </c>
      <c r="B248" s="18" t="s">
        <v>74</v>
      </c>
      <c r="C248" s="18" t="n">
        <v>113</v>
      </c>
      <c r="D248" s="19" t="n">
        <v>0</v>
      </c>
      <c r="E248" s="19" t="n">
        <v>227.7</v>
      </c>
      <c r="F248" s="19" t="n">
        <v>227.7</v>
      </c>
      <c r="G248" s="19" t="n">
        <v>0</v>
      </c>
      <c r="H248" s="18" t="s">
        <v>2048</v>
      </c>
    </row>
    <row r="249" customFormat="false" ht="15" hidden="false" customHeight="false" outlineLevel="0" collapsed="false">
      <c r="A249" s="18" t="s">
        <v>804</v>
      </c>
      <c r="B249" s="18" t="s">
        <v>74</v>
      </c>
      <c r="C249" s="18" t="n">
        <v>114</v>
      </c>
      <c r="D249" s="19" t="n">
        <v>-200</v>
      </c>
      <c r="E249" s="19" t="n">
        <v>200</v>
      </c>
      <c r="F249" s="19" t="n">
        <v>0</v>
      </c>
      <c r="G249" s="19" t="n">
        <v>0</v>
      </c>
      <c r="H249" s="18" t="s">
        <v>2048</v>
      </c>
    </row>
    <row r="250" customFormat="false" ht="15" hidden="false" customHeight="false" outlineLevel="0" collapsed="false">
      <c r="A250" s="18" t="s">
        <v>806</v>
      </c>
      <c r="B250" s="18" t="s">
        <v>74</v>
      </c>
      <c r="C250" s="18" t="n">
        <v>116</v>
      </c>
      <c r="D250" s="19" t="n">
        <v>35.5799999999999</v>
      </c>
      <c r="E250" s="19" t="n">
        <v>35.58</v>
      </c>
      <c r="F250" s="19" t="n">
        <v>71.16</v>
      </c>
      <c r="G250" s="19" t="n">
        <v>0</v>
      </c>
      <c r="H250" s="18" t="s">
        <v>2048</v>
      </c>
    </row>
    <row r="251" customFormat="false" ht="15" hidden="false" customHeight="false" outlineLevel="0" collapsed="false">
      <c r="A251" s="18" t="s">
        <v>808</v>
      </c>
      <c r="B251" s="18" t="s">
        <v>74</v>
      </c>
      <c r="C251" s="18" t="n">
        <v>118</v>
      </c>
      <c r="D251" s="19" t="n">
        <v>0</v>
      </c>
      <c r="E251" s="19" t="n">
        <v>2802.56</v>
      </c>
      <c r="F251" s="19" t="n">
        <v>2802.56</v>
      </c>
      <c r="G251" s="19" t="n">
        <v>0</v>
      </c>
      <c r="H251" s="18" t="s">
        <v>2048</v>
      </c>
    </row>
    <row r="252" customFormat="false" ht="15" hidden="false" customHeight="false" outlineLevel="0" collapsed="false">
      <c r="A252" s="18" t="s">
        <v>810</v>
      </c>
      <c r="B252" s="18" t="s">
        <v>74</v>
      </c>
      <c r="C252" s="18" t="n">
        <v>121</v>
      </c>
      <c r="D252" s="19" t="n">
        <v>0</v>
      </c>
      <c r="E252" s="19" t="n">
        <v>4540.35</v>
      </c>
      <c r="F252" s="19" t="n">
        <v>4540.35</v>
      </c>
      <c r="G252" s="19" t="n">
        <v>0</v>
      </c>
      <c r="H252" s="18" t="s">
        <v>2048</v>
      </c>
    </row>
    <row r="253" customFormat="false" ht="15" hidden="false" customHeight="false" outlineLevel="0" collapsed="false">
      <c r="A253" s="18" t="s">
        <v>812</v>
      </c>
      <c r="B253" s="18" t="s">
        <v>74</v>
      </c>
      <c r="C253" s="18" t="n">
        <v>122</v>
      </c>
      <c r="D253" s="19" t="n">
        <v>0</v>
      </c>
      <c r="E253" s="19" t="n">
        <v>1370.8</v>
      </c>
      <c r="F253" s="19" t="n">
        <v>1370.8</v>
      </c>
      <c r="G253" s="19" t="n">
        <v>0</v>
      </c>
      <c r="H253" s="18" t="s">
        <v>2048</v>
      </c>
    </row>
    <row r="254" customFormat="false" ht="15" hidden="false" customHeight="false" outlineLevel="0" collapsed="false">
      <c r="A254" s="18" t="s">
        <v>814</v>
      </c>
      <c r="B254" s="18" t="s">
        <v>74</v>
      </c>
      <c r="C254" s="18" t="n">
        <v>125</v>
      </c>
      <c r="D254" s="19" t="n">
        <v>0</v>
      </c>
      <c r="E254" s="19" t="n">
        <v>13455</v>
      </c>
      <c r="F254" s="19" t="n">
        <v>13455</v>
      </c>
      <c r="G254" s="19" t="n">
        <v>0</v>
      </c>
      <c r="H254" s="18" t="s">
        <v>2048</v>
      </c>
    </row>
    <row r="255" customFormat="false" ht="15" hidden="false" customHeight="false" outlineLevel="0" collapsed="false">
      <c r="A255" s="18" t="s">
        <v>816</v>
      </c>
      <c r="B255" s="18" t="s">
        <v>74</v>
      </c>
      <c r="C255" s="18" t="n">
        <v>127</v>
      </c>
      <c r="D255" s="19" t="n">
        <v>0</v>
      </c>
      <c r="E255" s="19" t="n">
        <v>16450.75</v>
      </c>
      <c r="F255" s="19" t="n">
        <v>16450.75</v>
      </c>
      <c r="G255" s="19" t="n">
        <v>0</v>
      </c>
      <c r="H255" s="18" t="s">
        <v>2048</v>
      </c>
    </row>
    <row r="256" customFormat="false" ht="15" hidden="false" customHeight="false" outlineLevel="0" collapsed="false">
      <c r="A256" s="18" t="s">
        <v>818</v>
      </c>
      <c r="B256" s="18" t="s">
        <v>74</v>
      </c>
      <c r="C256" s="18" t="n">
        <v>128</v>
      </c>
      <c r="D256" s="19" t="n">
        <v>52228.4</v>
      </c>
      <c r="E256" s="19" t="n">
        <v>19338.4</v>
      </c>
      <c r="F256" s="19" t="n">
        <v>71566.8</v>
      </c>
      <c r="G256" s="19" t="n">
        <v>0</v>
      </c>
      <c r="H256" s="18" t="s">
        <v>2048</v>
      </c>
    </row>
    <row r="257" customFormat="false" ht="15" hidden="false" customHeight="false" outlineLevel="0" collapsed="false">
      <c r="A257" s="18" t="s">
        <v>820</v>
      </c>
      <c r="B257" s="18" t="s">
        <v>74</v>
      </c>
      <c r="C257" s="18" t="n">
        <v>129</v>
      </c>
      <c r="D257" s="19" t="n">
        <v>0</v>
      </c>
      <c r="E257" s="19" t="n">
        <v>387.55</v>
      </c>
      <c r="F257" s="19" t="n">
        <v>387.55</v>
      </c>
      <c r="G257" s="19" t="n">
        <v>0</v>
      </c>
      <c r="H257" s="18" t="s">
        <v>2048</v>
      </c>
    </row>
    <row r="258" customFormat="false" ht="15" hidden="false" customHeight="false" outlineLevel="0" collapsed="false">
      <c r="A258" s="18" t="s">
        <v>822</v>
      </c>
      <c r="B258" s="18" t="s">
        <v>74</v>
      </c>
      <c r="C258" s="18" t="n">
        <v>130</v>
      </c>
      <c r="D258" s="19" t="n">
        <v>-100</v>
      </c>
      <c r="E258" s="19" t="n">
        <v>100</v>
      </c>
      <c r="F258" s="19" t="n">
        <v>0</v>
      </c>
      <c r="G258" s="19" t="n">
        <v>0</v>
      </c>
      <c r="H258" s="18" t="s">
        <v>2048</v>
      </c>
    </row>
    <row r="259" customFormat="false" ht="15" hidden="false" customHeight="false" outlineLevel="0" collapsed="false">
      <c r="A259" s="18" t="s">
        <v>823</v>
      </c>
      <c r="B259" s="18" t="s">
        <v>74</v>
      </c>
      <c r="C259" s="18" t="n">
        <v>131</v>
      </c>
      <c r="D259" s="19" t="n">
        <v>-637</v>
      </c>
      <c r="E259" s="19" t="n">
        <v>32608.73</v>
      </c>
      <c r="F259" s="19" t="n">
        <v>31971.73</v>
      </c>
      <c r="G259" s="19" t="n">
        <v>0</v>
      </c>
      <c r="H259" s="18" t="s">
        <v>2048</v>
      </c>
    </row>
    <row r="260" customFormat="false" ht="15" hidden="false" customHeight="false" outlineLevel="0" collapsed="false">
      <c r="A260" s="18" t="s">
        <v>825</v>
      </c>
      <c r="B260" s="18" t="s">
        <v>74</v>
      </c>
      <c r="C260" s="18" t="n">
        <v>132</v>
      </c>
      <c r="D260" s="19" t="n">
        <v>0</v>
      </c>
      <c r="E260" s="19" t="n">
        <v>1552</v>
      </c>
      <c r="F260" s="19" t="n">
        <v>1552</v>
      </c>
      <c r="G260" s="19" t="n">
        <v>0</v>
      </c>
      <c r="H260" s="18" t="s">
        <v>2048</v>
      </c>
    </row>
    <row r="261" customFormat="false" ht="15" hidden="false" customHeight="false" outlineLevel="0" collapsed="false">
      <c r="A261" s="18" t="s">
        <v>827</v>
      </c>
      <c r="B261" s="18" t="s">
        <v>74</v>
      </c>
      <c r="C261" s="18" t="n">
        <v>134</v>
      </c>
      <c r="D261" s="19" t="n">
        <v>-500</v>
      </c>
      <c r="E261" s="19" t="n">
        <v>500</v>
      </c>
      <c r="F261" s="19" t="n">
        <v>0</v>
      </c>
      <c r="G261" s="19" t="n">
        <v>0</v>
      </c>
      <c r="H261" s="18" t="s">
        <v>2048</v>
      </c>
    </row>
    <row r="262" customFormat="false" ht="15" hidden="false" customHeight="false" outlineLevel="0" collapsed="false">
      <c r="A262" s="18" t="s">
        <v>829</v>
      </c>
      <c r="B262" s="18" t="s">
        <v>74</v>
      </c>
      <c r="C262" s="18" t="n">
        <v>135</v>
      </c>
      <c r="D262" s="19" t="n">
        <v>-3000</v>
      </c>
      <c r="E262" s="19" t="n">
        <v>3000</v>
      </c>
      <c r="F262" s="19" t="n">
        <v>0</v>
      </c>
      <c r="G262" s="19" t="n">
        <v>0</v>
      </c>
      <c r="H262" s="18" t="s">
        <v>2048</v>
      </c>
    </row>
    <row r="263" customFormat="false" ht="15" hidden="false" customHeight="false" outlineLevel="0" collapsed="false">
      <c r="A263" s="18" t="s">
        <v>831</v>
      </c>
      <c r="B263" s="18" t="s">
        <v>74</v>
      </c>
      <c r="C263" s="18" t="n">
        <v>136</v>
      </c>
      <c r="D263" s="19" t="n">
        <v>2163.14999999999</v>
      </c>
      <c r="E263" s="19" t="n">
        <v>3697.25</v>
      </c>
      <c r="F263" s="19" t="n">
        <v>5860.4</v>
      </c>
      <c r="G263" s="19" t="n">
        <v>0</v>
      </c>
      <c r="H263" s="18" t="s">
        <v>2048</v>
      </c>
    </row>
    <row r="264" customFormat="false" ht="15" hidden="false" customHeight="false" outlineLevel="0" collapsed="false">
      <c r="A264" s="18" t="s">
        <v>833</v>
      </c>
      <c r="B264" s="18" t="s">
        <v>74</v>
      </c>
      <c r="C264" s="18" t="n">
        <v>138</v>
      </c>
      <c r="D264" s="19" t="n">
        <v>0</v>
      </c>
      <c r="E264" s="19" t="n">
        <v>35.65</v>
      </c>
      <c r="F264" s="19" t="n">
        <v>35.65</v>
      </c>
      <c r="G264" s="19" t="n">
        <v>0</v>
      </c>
      <c r="H264" s="18" t="s">
        <v>2048</v>
      </c>
    </row>
    <row r="265" customFormat="false" ht="15" hidden="false" customHeight="false" outlineLevel="0" collapsed="false">
      <c r="A265" s="18" t="s">
        <v>835</v>
      </c>
      <c r="B265" s="18" t="s">
        <v>74</v>
      </c>
      <c r="C265" s="18" t="n">
        <v>139</v>
      </c>
      <c r="D265" s="19" t="n">
        <v>-7703</v>
      </c>
      <c r="E265" s="19" t="n">
        <v>11344.25</v>
      </c>
      <c r="F265" s="19" t="n">
        <v>3641.25</v>
      </c>
      <c r="G265" s="19" t="n">
        <v>0</v>
      </c>
      <c r="H265" s="18" t="s">
        <v>2048</v>
      </c>
    </row>
    <row r="266" customFormat="false" ht="15" hidden="false" customHeight="false" outlineLevel="0" collapsed="false">
      <c r="A266" s="18" t="s">
        <v>837</v>
      </c>
      <c r="B266" s="18" t="s">
        <v>74</v>
      </c>
      <c r="C266" s="18" t="n">
        <v>140</v>
      </c>
      <c r="D266" s="19" t="n">
        <v>-0.5</v>
      </c>
      <c r="E266" s="19" t="n">
        <v>0.5</v>
      </c>
      <c r="F266" s="19" t="n">
        <v>0</v>
      </c>
      <c r="G266" s="19" t="n">
        <v>0</v>
      </c>
      <c r="H266" s="18" t="s">
        <v>2048</v>
      </c>
    </row>
    <row r="267" customFormat="false" ht="15" hidden="false" customHeight="false" outlineLevel="0" collapsed="false">
      <c r="A267" s="18" t="s">
        <v>839</v>
      </c>
      <c r="B267" s="18" t="s">
        <v>74</v>
      </c>
      <c r="C267" s="18" t="n">
        <v>141</v>
      </c>
      <c r="D267" s="19" t="n">
        <v>0</v>
      </c>
      <c r="E267" s="19" t="n">
        <v>230</v>
      </c>
      <c r="F267" s="19" t="n">
        <v>230</v>
      </c>
      <c r="G267" s="19" t="n">
        <v>0</v>
      </c>
      <c r="H267" s="18" t="s">
        <v>2048</v>
      </c>
    </row>
    <row r="268" customFormat="false" ht="15" hidden="false" customHeight="false" outlineLevel="0" collapsed="false">
      <c r="A268" s="18" t="s">
        <v>841</v>
      </c>
      <c r="B268" s="18" t="s">
        <v>74</v>
      </c>
      <c r="C268" s="18" t="n">
        <v>142</v>
      </c>
      <c r="D268" s="19" t="n">
        <v>2679.5</v>
      </c>
      <c r="E268" s="19" t="n">
        <v>11578.2</v>
      </c>
      <c r="F268" s="19" t="n">
        <v>14257.7</v>
      </c>
      <c r="G268" s="19" t="n">
        <v>0</v>
      </c>
      <c r="H268" s="18" t="s">
        <v>2048</v>
      </c>
    </row>
    <row r="269" customFormat="false" ht="15" hidden="false" customHeight="false" outlineLevel="0" collapsed="false">
      <c r="A269" s="18" t="s">
        <v>843</v>
      </c>
      <c r="B269" s="18" t="s">
        <v>74</v>
      </c>
      <c r="C269" s="18" t="n">
        <v>143</v>
      </c>
      <c r="D269" s="19" t="n">
        <v>-12000</v>
      </c>
      <c r="E269" s="19" t="n">
        <v>12140</v>
      </c>
      <c r="F269" s="19" t="n">
        <v>140</v>
      </c>
      <c r="G269" s="19" t="n">
        <v>0</v>
      </c>
      <c r="H269" s="18" t="s">
        <v>2048</v>
      </c>
    </row>
    <row r="270" customFormat="false" ht="15" hidden="false" customHeight="false" outlineLevel="0" collapsed="false">
      <c r="A270" s="18" t="s">
        <v>845</v>
      </c>
      <c r="B270" s="18" t="s">
        <v>74</v>
      </c>
      <c r="C270" s="18" t="n">
        <v>144</v>
      </c>
      <c r="D270" s="19" t="n">
        <v>0</v>
      </c>
      <c r="E270" s="19" t="n">
        <v>2980</v>
      </c>
      <c r="F270" s="19" t="n">
        <v>2980</v>
      </c>
      <c r="G270" s="19" t="n">
        <v>0</v>
      </c>
      <c r="H270" s="18" t="s">
        <v>2048</v>
      </c>
    </row>
    <row r="271" customFormat="false" ht="15" hidden="false" customHeight="false" outlineLevel="0" collapsed="false">
      <c r="A271" s="18" t="s">
        <v>847</v>
      </c>
      <c r="B271" s="18" t="s">
        <v>74</v>
      </c>
      <c r="C271" s="18" t="n">
        <v>146</v>
      </c>
      <c r="D271" s="19" t="n">
        <v>0</v>
      </c>
      <c r="E271" s="19" t="n">
        <v>36000</v>
      </c>
      <c r="F271" s="19" t="n">
        <v>36000</v>
      </c>
      <c r="G271" s="19" t="n">
        <v>0</v>
      </c>
      <c r="H271" s="18" t="s">
        <v>2048</v>
      </c>
    </row>
    <row r="272" customFormat="false" ht="15" hidden="false" customHeight="false" outlineLevel="0" collapsed="false">
      <c r="A272" s="18" t="s">
        <v>849</v>
      </c>
      <c r="B272" s="18" t="s">
        <v>74</v>
      </c>
      <c r="C272" s="18" t="n">
        <v>147</v>
      </c>
      <c r="D272" s="19" t="n">
        <v>-207</v>
      </c>
      <c r="E272" s="19" t="n">
        <v>1242</v>
      </c>
      <c r="F272" s="19" t="n">
        <v>1035</v>
      </c>
      <c r="G272" s="19" t="n">
        <v>0</v>
      </c>
      <c r="H272" s="18" t="s">
        <v>2048</v>
      </c>
    </row>
    <row r="273" customFormat="false" ht="15" hidden="false" customHeight="false" outlineLevel="0" collapsed="false">
      <c r="A273" s="18" t="s">
        <v>851</v>
      </c>
      <c r="B273" s="18" t="s">
        <v>74</v>
      </c>
      <c r="C273" s="18" t="n">
        <v>148</v>
      </c>
      <c r="D273" s="19" t="n">
        <v>287.5</v>
      </c>
      <c r="E273" s="19" t="n">
        <v>0</v>
      </c>
      <c r="F273" s="19" t="n">
        <v>287.5</v>
      </c>
      <c r="G273" s="19" t="n">
        <v>0</v>
      </c>
      <c r="H273" s="18" t="s">
        <v>2048</v>
      </c>
    </row>
    <row r="274" customFormat="false" ht="15" hidden="false" customHeight="false" outlineLevel="0" collapsed="false">
      <c r="A274" s="18" t="s">
        <v>853</v>
      </c>
      <c r="B274" s="18" t="s">
        <v>74</v>
      </c>
      <c r="C274" s="18" t="n">
        <v>149</v>
      </c>
      <c r="D274" s="19" t="n">
        <v>-10455.8</v>
      </c>
      <c r="E274" s="19" t="n">
        <v>19653.5</v>
      </c>
      <c r="F274" s="19" t="n">
        <v>9197.7</v>
      </c>
      <c r="G274" s="19" t="n">
        <v>0</v>
      </c>
      <c r="H274" s="18" t="s">
        <v>2048</v>
      </c>
    </row>
    <row r="275" customFormat="false" ht="15" hidden="false" customHeight="false" outlineLevel="0" collapsed="false">
      <c r="A275" s="18" t="s">
        <v>855</v>
      </c>
      <c r="B275" s="18" t="s">
        <v>74</v>
      </c>
      <c r="C275" s="18" t="n">
        <v>150</v>
      </c>
      <c r="D275" s="19" t="n">
        <v>0</v>
      </c>
      <c r="E275" s="19" t="n">
        <v>19808.75</v>
      </c>
      <c r="F275" s="19" t="n">
        <v>19808.75</v>
      </c>
      <c r="G275" s="19" t="n">
        <v>0</v>
      </c>
      <c r="H275" s="18" t="s">
        <v>2048</v>
      </c>
    </row>
    <row r="276" customFormat="false" ht="15" hidden="false" customHeight="false" outlineLevel="0" collapsed="false">
      <c r="A276" s="18" t="s">
        <v>857</v>
      </c>
      <c r="B276" s="18" t="s">
        <v>74</v>
      </c>
      <c r="C276" s="18" t="n">
        <v>151</v>
      </c>
      <c r="D276" s="19" t="n">
        <v>227.5</v>
      </c>
      <c r="E276" s="19" t="n">
        <v>6869.94</v>
      </c>
      <c r="F276" s="19" t="n">
        <v>7097.44</v>
      </c>
      <c r="G276" s="19" t="n">
        <v>0</v>
      </c>
      <c r="H276" s="18" t="s">
        <v>2048</v>
      </c>
    </row>
    <row r="277" customFormat="false" ht="15" hidden="false" customHeight="false" outlineLevel="0" collapsed="false">
      <c r="A277" s="18" t="s">
        <v>859</v>
      </c>
      <c r="B277" s="18" t="s">
        <v>74</v>
      </c>
      <c r="C277" s="18" t="n">
        <v>152</v>
      </c>
      <c r="D277" s="19" t="n">
        <v>0</v>
      </c>
      <c r="E277" s="19" t="n">
        <v>402.5</v>
      </c>
      <c r="F277" s="19" t="n">
        <v>402.5</v>
      </c>
      <c r="G277" s="19" t="n">
        <v>0</v>
      </c>
      <c r="H277" s="18" t="s">
        <v>2048</v>
      </c>
    </row>
    <row r="278" customFormat="false" ht="15" hidden="false" customHeight="false" outlineLevel="0" collapsed="false">
      <c r="A278" s="18" t="s">
        <v>861</v>
      </c>
      <c r="B278" s="18" t="s">
        <v>74</v>
      </c>
      <c r="C278" s="18" t="n">
        <v>153</v>
      </c>
      <c r="D278" s="19" t="n">
        <v>0</v>
      </c>
      <c r="E278" s="19" t="n">
        <v>10542.05</v>
      </c>
      <c r="F278" s="19" t="n">
        <v>10542.05</v>
      </c>
      <c r="G278" s="19" t="n">
        <v>0</v>
      </c>
      <c r="H278" s="18" t="s">
        <v>2048</v>
      </c>
    </row>
    <row r="279" customFormat="false" ht="15" hidden="false" customHeight="false" outlineLevel="0" collapsed="false">
      <c r="A279" s="18" t="s">
        <v>863</v>
      </c>
      <c r="B279" s="18" t="s">
        <v>74</v>
      </c>
      <c r="C279" s="18" t="n">
        <v>154</v>
      </c>
      <c r="D279" s="19" t="n">
        <v>4140</v>
      </c>
      <c r="E279" s="19" t="n">
        <v>44269.25</v>
      </c>
      <c r="F279" s="19" t="n">
        <v>48409.25</v>
      </c>
      <c r="G279" s="19" t="n">
        <v>0</v>
      </c>
      <c r="H279" s="18" t="s">
        <v>2048</v>
      </c>
    </row>
    <row r="280" customFormat="false" ht="15" hidden="false" customHeight="false" outlineLevel="0" collapsed="false">
      <c r="A280" s="18" t="s">
        <v>865</v>
      </c>
      <c r="B280" s="18" t="s">
        <v>74</v>
      </c>
      <c r="C280" s="18" t="n">
        <v>155</v>
      </c>
      <c r="D280" s="19" t="n">
        <v>93.6299999999901</v>
      </c>
      <c r="E280" s="19" t="n">
        <v>31668.7</v>
      </c>
      <c r="F280" s="19" t="n">
        <v>31762.33</v>
      </c>
      <c r="G280" s="19" t="n">
        <v>0</v>
      </c>
      <c r="H280" s="18" t="s">
        <v>2048</v>
      </c>
    </row>
    <row r="281" customFormat="false" ht="15" hidden="false" customHeight="false" outlineLevel="0" collapsed="false">
      <c r="A281" s="18" t="s">
        <v>867</v>
      </c>
      <c r="B281" s="18" t="s">
        <v>74</v>
      </c>
      <c r="C281" s="18" t="n">
        <v>159</v>
      </c>
      <c r="D281" s="19" t="n">
        <v>0.700000000004366</v>
      </c>
      <c r="E281" s="19" t="n">
        <v>37740.98</v>
      </c>
      <c r="F281" s="19" t="n">
        <v>37741.68</v>
      </c>
      <c r="G281" s="19" t="n">
        <v>0</v>
      </c>
      <c r="H281" s="18" t="s">
        <v>2048</v>
      </c>
    </row>
    <row r="282" customFormat="false" ht="15" hidden="false" customHeight="false" outlineLevel="0" collapsed="false">
      <c r="A282" s="18" t="s">
        <v>869</v>
      </c>
      <c r="B282" s="18" t="s">
        <v>74</v>
      </c>
      <c r="C282" s="18" t="n">
        <v>160</v>
      </c>
      <c r="D282" s="19" t="n">
        <v>0</v>
      </c>
      <c r="E282" s="19" t="n">
        <v>1580</v>
      </c>
      <c r="F282" s="19" t="n">
        <v>1580</v>
      </c>
      <c r="G282" s="19" t="n">
        <v>0</v>
      </c>
      <c r="H282" s="18" t="s">
        <v>2048</v>
      </c>
    </row>
    <row r="283" customFormat="false" ht="15" hidden="false" customHeight="false" outlineLevel="0" collapsed="false">
      <c r="A283" s="18" t="s">
        <v>871</v>
      </c>
      <c r="B283" s="18" t="s">
        <v>74</v>
      </c>
      <c r="C283" s="18" t="n">
        <v>162</v>
      </c>
      <c r="D283" s="19" t="n">
        <v>0</v>
      </c>
      <c r="E283" s="19" t="n">
        <v>1218.01</v>
      </c>
      <c r="F283" s="19" t="n">
        <v>1218.01</v>
      </c>
      <c r="G283" s="19" t="n">
        <v>0</v>
      </c>
      <c r="H283" s="18" t="s">
        <v>2048</v>
      </c>
    </row>
    <row r="284" customFormat="false" ht="15" hidden="false" customHeight="false" outlineLevel="0" collapsed="false">
      <c r="A284" s="18" t="s">
        <v>873</v>
      </c>
      <c r="B284" s="18" t="s">
        <v>74</v>
      </c>
      <c r="C284" s="18" t="n">
        <v>163</v>
      </c>
      <c r="D284" s="19" t="n">
        <v>0</v>
      </c>
      <c r="E284" s="19" t="n">
        <v>34.5</v>
      </c>
      <c r="F284" s="19" t="n">
        <v>34.5</v>
      </c>
      <c r="G284" s="19" t="n">
        <v>0</v>
      </c>
      <c r="H284" s="18" t="s">
        <v>2048</v>
      </c>
    </row>
    <row r="285" customFormat="false" ht="15" hidden="false" customHeight="false" outlineLevel="0" collapsed="false">
      <c r="A285" s="18" t="s">
        <v>874</v>
      </c>
      <c r="B285" s="18" t="s">
        <v>74</v>
      </c>
      <c r="C285" s="18" t="n">
        <v>164</v>
      </c>
      <c r="D285" s="19" t="n">
        <v>-1500</v>
      </c>
      <c r="E285" s="19" t="n">
        <v>1500</v>
      </c>
      <c r="F285" s="19" t="n">
        <v>0</v>
      </c>
      <c r="G285" s="19" t="n">
        <v>0</v>
      </c>
      <c r="H285" s="18" t="s">
        <v>2048</v>
      </c>
    </row>
    <row r="286" customFormat="false" ht="15" hidden="false" customHeight="false" outlineLevel="0" collapsed="false">
      <c r="A286" s="18" t="s">
        <v>876</v>
      </c>
      <c r="B286" s="18" t="s">
        <v>74</v>
      </c>
      <c r="C286" s="18" t="n">
        <v>165</v>
      </c>
      <c r="D286" s="19" t="n">
        <v>0</v>
      </c>
      <c r="E286" s="19" t="n">
        <v>5290.8</v>
      </c>
      <c r="F286" s="19" t="n">
        <v>5290.8</v>
      </c>
      <c r="G286" s="19" t="n">
        <v>0</v>
      </c>
      <c r="H286" s="18" t="s">
        <v>2048</v>
      </c>
    </row>
    <row r="287" customFormat="false" ht="15" hidden="false" customHeight="false" outlineLevel="0" collapsed="false">
      <c r="A287" s="18" t="s">
        <v>878</v>
      </c>
      <c r="B287" s="18" t="s">
        <v>74</v>
      </c>
      <c r="C287" s="18" t="n">
        <v>166</v>
      </c>
      <c r="D287" s="19" t="n">
        <v>0</v>
      </c>
      <c r="E287" s="19" t="n">
        <v>6468.75</v>
      </c>
      <c r="F287" s="19" t="n">
        <v>6468.75</v>
      </c>
      <c r="G287" s="19" t="n">
        <v>0</v>
      </c>
      <c r="H287" s="18" t="s">
        <v>2048</v>
      </c>
    </row>
    <row r="288" customFormat="false" ht="15" hidden="false" customHeight="false" outlineLevel="0" collapsed="false">
      <c r="A288" s="18" t="s">
        <v>880</v>
      </c>
      <c r="B288" s="18" t="s">
        <v>74</v>
      </c>
      <c r="C288" s="18" t="n">
        <v>167</v>
      </c>
      <c r="D288" s="19" t="n">
        <v>0.5</v>
      </c>
      <c r="E288" s="19" t="n">
        <v>780.85</v>
      </c>
      <c r="F288" s="19" t="n">
        <v>781.35</v>
      </c>
      <c r="G288" s="19" t="n">
        <v>0</v>
      </c>
      <c r="H288" s="18" t="s">
        <v>2048</v>
      </c>
    </row>
    <row r="289" customFormat="false" ht="15" hidden="false" customHeight="false" outlineLevel="0" collapsed="false">
      <c r="A289" s="18" t="s">
        <v>882</v>
      </c>
      <c r="B289" s="18" t="s">
        <v>74</v>
      </c>
      <c r="C289" s="18" t="n">
        <v>168</v>
      </c>
      <c r="D289" s="19" t="n">
        <v>0</v>
      </c>
      <c r="E289" s="19" t="n">
        <v>1050</v>
      </c>
      <c r="F289" s="19" t="n">
        <v>1050</v>
      </c>
      <c r="G289" s="19" t="n">
        <v>0</v>
      </c>
      <c r="H289" s="18" t="s">
        <v>2048</v>
      </c>
    </row>
    <row r="290" customFormat="false" ht="15" hidden="false" customHeight="false" outlineLevel="0" collapsed="false">
      <c r="A290" s="18" t="s">
        <v>884</v>
      </c>
      <c r="B290" s="18" t="s">
        <v>74</v>
      </c>
      <c r="C290" s="18" t="n">
        <v>169</v>
      </c>
      <c r="D290" s="19" t="n">
        <v>0</v>
      </c>
      <c r="E290" s="19" t="n">
        <v>161</v>
      </c>
      <c r="F290" s="19" t="n">
        <v>161</v>
      </c>
      <c r="G290" s="19" t="n">
        <v>0</v>
      </c>
      <c r="H290" s="18" t="s">
        <v>2048</v>
      </c>
    </row>
    <row r="291" customFormat="false" ht="15" hidden="false" customHeight="false" outlineLevel="0" collapsed="false">
      <c r="A291" s="18" t="s">
        <v>885</v>
      </c>
      <c r="B291" s="18" t="s">
        <v>74</v>
      </c>
      <c r="C291" s="18" t="n">
        <v>170</v>
      </c>
      <c r="D291" s="19" t="n">
        <v>0</v>
      </c>
      <c r="E291" s="19" t="n">
        <v>30</v>
      </c>
      <c r="F291" s="19" t="n">
        <v>30</v>
      </c>
      <c r="G291" s="19" t="n">
        <v>0</v>
      </c>
      <c r="H291" s="18" t="s">
        <v>2048</v>
      </c>
    </row>
    <row r="292" customFormat="false" ht="15" hidden="false" customHeight="false" outlineLevel="0" collapsed="false">
      <c r="A292" s="18" t="s">
        <v>887</v>
      </c>
      <c r="B292" s="18" t="s">
        <v>74</v>
      </c>
      <c r="C292" s="18" t="n">
        <v>171</v>
      </c>
      <c r="D292" s="19" t="n">
        <v>-115</v>
      </c>
      <c r="E292" s="19" t="n">
        <v>3811.75</v>
      </c>
      <c r="F292" s="19" t="n">
        <v>3696.75</v>
      </c>
      <c r="G292" s="19" t="n">
        <v>0</v>
      </c>
      <c r="H292" s="18" t="s">
        <v>2048</v>
      </c>
    </row>
    <row r="293" customFormat="false" ht="15" hidden="false" customHeight="false" outlineLevel="0" collapsed="false">
      <c r="A293" s="18" t="s">
        <v>889</v>
      </c>
      <c r="B293" s="18" t="s">
        <v>74</v>
      </c>
      <c r="C293" s="18" t="n">
        <v>172</v>
      </c>
      <c r="D293" s="19" t="n">
        <v>0</v>
      </c>
      <c r="E293" s="19" t="n">
        <v>4370</v>
      </c>
      <c r="F293" s="19" t="n">
        <v>4370</v>
      </c>
      <c r="G293" s="19" t="n">
        <v>0</v>
      </c>
      <c r="H293" s="18" t="s">
        <v>2048</v>
      </c>
    </row>
    <row r="294" customFormat="false" ht="15" hidden="false" customHeight="false" outlineLevel="0" collapsed="false">
      <c r="A294" s="18" t="s">
        <v>891</v>
      </c>
      <c r="B294" s="18" t="s">
        <v>74</v>
      </c>
      <c r="C294" s="18" t="n">
        <v>173</v>
      </c>
      <c r="D294" s="19" t="n">
        <v>862.5</v>
      </c>
      <c r="E294" s="19" t="n">
        <v>0</v>
      </c>
      <c r="F294" s="19" t="n">
        <v>862.5</v>
      </c>
      <c r="G294" s="19" t="n">
        <v>0</v>
      </c>
      <c r="H294" s="18" t="s">
        <v>2048</v>
      </c>
    </row>
    <row r="295" customFormat="false" ht="15" hidden="false" customHeight="false" outlineLevel="0" collapsed="false">
      <c r="A295" s="18" t="s">
        <v>893</v>
      </c>
      <c r="B295" s="18" t="s">
        <v>74</v>
      </c>
      <c r="C295" s="18" t="n">
        <v>174</v>
      </c>
      <c r="D295" s="19" t="n">
        <v>1050</v>
      </c>
      <c r="E295" s="19" t="n">
        <v>0</v>
      </c>
      <c r="F295" s="19" t="n">
        <v>1050</v>
      </c>
      <c r="G295" s="19" t="n">
        <v>0</v>
      </c>
      <c r="H295" s="18" t="s">
        <v>2048</v>
      </c>
    </row>
    <row r="296" customFormat="false" ht="15" hidden="false" customHeight="false" outlineLevel="0" collapsed="false">
      <c r="A296" s="18" t="s">
        <v>895</v>
      </c>
      <c r="B296" s="18" t="s">
        <v>74</v>
      </c>
      <c r="C296" s="18" t="n">
        <v>175</v>
      </c>
      <c r="D296" s="19" t="n">
        <v>115</v>
      </c>
      <c r="E296" s="19" t="n">
        <v>0</v>
      </c>
      <c r="F296" s="19" t="n">
        <v>115</v>
      </c>
      <c r="G296" s="19" t="n">
        <v>0</v>
      </c>
      <c r="H296" s="18" t="s">
        <v>2048</v>
      </c>
    </row>
    <row r="297" customFormat="false" ht="15" hidden="false" customHeight="false" outlineLevel="0" collapsed="false">
      <c r="A297" s="18" t="s">
        <v>897</v>
      </c>
      <c r="B297" s="18" t="s">
        <v>74</v>
      </c>
      <c r="C297" s="18" t="n">
        <v>176</v>
      </c>
      <c r="D297" s="19" t="n">
        <v>828</v>
      </c>
      <c r="E297" s="19" t="n">
        <v>0</v>
      </c>
      <c r="F297" s="19" t="n">
        <v>828</v>
      </c>
      <c r="G297" s="19" t="n">
        <v>0</v>
      </c>
      <c r="H297" s="18" t="s">
        <v>2048</v>
      </c>
    </row>
    <row r="298" customFormat="false" ht="15" hidden="false" customHeight="false" outlineLevel="0" collapsed="false">
      <c r="A298" s="18" t="s">
        <v>899</v>
      </c>
      <c r="B298" s="18" t="s">
        <v>74</v>
      </c>
      <c r="C298" s="18" t="n">
        <v>178</v>
      </c>
      <c r="D298" s="19" t="n">
        <v>100.5</v>
      </c>
      <c r="E298" s="19" t="n">
        <v>0</v>
      </c>
      <c r="F298" s="19" t="n">
        <v>100.5</v>
      </c>
      <c r="G298" s="19" t="n">
        <v>0</v>
      </c>
      <c r="H298" s="18" t="s">
        <v>2048</v>
      </c>
    </row>
    <row r="299" customFormat="false" ht="15" hidden="false" customHeight="false" outlineLevel="0" collapsed="false">
      <c r="A299" s="18" t="s">
        <v>901</v>
      </c>
      <c r="B299" s="18" t="s">
        <v>74</v>
      </c>
      <c r="C299" s="18" t="n">
        <v>179</v>
      </c>
      <c r="D299" s="19" t="n">
        <v>430</v>
      </c>
      <c r="E299" s="19" t="n">
        <v>0</v>
      </c>
      <c r="F299" s="19" t="n">
        <v>430</v>
      </c>
      <c r="G299" s="19" t="n">
        <v>0</v>
      </c>
      <c r="H299" s="18" t="s">
        <v>2048</v>
      </c>
    </row>
    <row r="300" customFormat="false" ht="15" hidden="false" customHeight="false" outlineLevel="0" collapsed="false">
      <c r="A300" s="18" t="s">
        <v>903</v>
      </c>
      <c r="B300" s="18" t="s">
        <v>74</v>
      </c>
      <c r="C300" s="18" t="n">
        <v>180</v>
      </c>
      <c r="D300" s="19" t="n">
        <v>0</v>
      </c>
      <c r="E300" s="19" t="n">
        <v>1656</v>
      </c>
      <c r="F300" s="19" t="n">
        <v>1656</v>
      </c>
      <c r="G300" s="19" t="n">
        <v>0</v>
      </c>
      <c r="H300" s="18" t="s">
        <v>2048</v>
      </c>
    </row>
    <row r="301" customFormat="false" ht="15" hidden="false" customHeight="false" outlineLevel="0" collapsed="false">
      <c r="A301" s="18" t="s">
        <v>905</v>
      </c>
      <c r="B301" s="18" t="s">
        <v>74</v>
      </c>
      <c r="C301" s="18" t="n">
        <v>181</v>
      </c>
      <c r="D301" s="19" t="n">
        <v>400</v>
      </c>
      <c r="E301" s="19" t="n">
        <v>0</v>
      </c>
      <c r="F301" s="19" t="n">
        <v>400</v>
      </c>
      <c r="G301" s="19" t="n">
        <v>0</v>
      </c>
      <c r="H301" s="18" t="s">
        <v>2048</v>
      </c>
    </row>
    <row r="302" customFormat="false" ht="15" hidden="false" customHeight="false" outlineLevel="0" collapsed="false">
      <c r="A302" s="18" t="s">
        <v>907</v>
      </c>
      <c r="B302" s="18" t="s">
        <v>74</v>
      </c>
      <c r="C302" s="18" t="n">
        <v>182</v>
      </c>
      <c r="D302" s="19" t="n">
        <v>0</v>
      </c>
      <c r="E302" s="19" t="n">
        <v>50</v>
      </c>
      <c r="F302" s="19" t="n">
        <v>50</v>
      </c>
      <c r="G302" s="19" t="n">
        <v>0</v>
      </c>
      <c r="H302" s="18" t="s">
        <v>2048</v>
      </c>
    </row>
    <row r="303" customFormat="false" ht="15" hidden="false" customHeight="false" outlineLevel="0" collapsed="false">
      <c r="A303" s="18" t="s">
        <v>909</v>
      </c>
      <c r="B303" s="18" t="s">
        <v>74</v>
      </c>
      <c r="C303" s="18" t="n">
        <v>183</v>
      </c>
      <c r="D303" s="19" t="n">
        <v>50</v>
      </c>
      <c r="E303" s="19" t="n">
        <v>0</v>
      </c>
      <c r="F303" s="19" t="n">
        <v>50</v>
      </c>
      <c r="G303" s="19" t="n">
        <v>0</v>
      </c>
      <c r="H303" s="18" t="s">
        <v>2048</v>
      </c>
    </row>
    <row r="304" customFormat="false" ht="15" hidden="false" customHeight="false" outlineLevel="0" collapsed="false">
      <c r="A304" s="18" t="s">
        <v>911</v>
      </c>
      <c r="B304" s="18" t="s">
        <v>74</v>
      </c>
      <c r="C304" s="18" t="n">
        <v>184</v>
      </c>
      <c r="D304" s="19" t="n">
        <v>0</v>
      </c>
      <c r="E304" s="19" t="n">
        <v>6665.4</v>
      </c>
      <c r="F304" s="19" t="n">
        <v>6665.4</v>
      </c>
      <c r="G304" s="19" t="n">
        <v>0</v>
      </c>
      <c r="H304" s="18" t="s">
        <v>2048</v>
      </c>
    </row>
    <row r="305" customFormat="false" ht="15" hidden="false" customHeight="false" outlineLevel="0" collapsed="false">
      <c r="A305" s="18" t="s">
        <v>913</v>
      </c>
      <c r="B305" s="18" t="s">
        <v>74</v>
      </c>
      <c r="C305" s="18" t="n">
        <v>186</v>
      </c>
      <c r="D305" s="19" t="n">
        <v>500</v>
      </c>
      <c r="E305" s="19" t="n">
        <v>0</v>
      </c>
      <c r="F305" s="19" t="n">
        <v>500</v>
      </c>
      <c r="G305" s="19" t="n">
        <v>0</v>
      </c>
      <c r="H305" s="18" t="s">
        <v>2048</v>
      </c>
    </row>
    <row r="306" customFormat="false" ht="15" hidden="false" customHeight="false" outlineLevel="0" collapsed="false">
      <c r="A306" s="18" t="s">
        <v>915</v>
      </c>
      <c r="B306" s="18" t="s">
        <v>74</v>
      </c>
      <c r="C306" s="18" t="n">
        <v>187</v>
      </c>
      <c r="D306" s="19" t="n">
        <v>0</v>
      </c>
      <c r="E306" s="19" t="n">
        <v>920</v>
      </c>
      <c r="F306" s="19" t="n">
        <v>920</v>
      </c>
      <c r="G306" s="19" t="n">
        <v>0</v>
      </c>
      <c r="H306" s="18" t="s">
        <v>2048</v>
      </c>
    </row>
    <row r="307" customFormat="false" ht="15" hidden="false" customHeight="false" outlineLevel="0" collapsed="false">
      <c r="A307" s="18" t="s">
        <v>916</v>
      </c>
      <c r="B307" s="18" t="s">
        <v>74</v>
      </c>
      <c r="C307" s="18" t="n">
        <v>189</v>
      </c>
      <c r="D307" s="19" t="n">
        <v>40</v>
      </c>
      <c r="E307" s="19" t="n">
        <v>40</v>
      </c>
      <c r="F307" s="19" t="n">
        <v>80</v>
      </c>
      <c r="G307" s="19" t="n">
        <v>0</v>
      </c>
      <c r="H307" s="18" t="s">
        <v>2048</v>
      </c>
    </row>
    <row r="308" customFormat="false" ht="15" hidden="false" customHeight="false" outlineLevel="0" collapsed="false">
      <c r="A308" s="18" t="s">
        <v>918</v>
      </c>
      <c r="B308" s="18" t="s">
        <v>74</v>
      </c>
      <c r="C308" s="18" t="n">
        <v>190</v>
      </c>
      <c r="D308" s="19" t="n">
        <v>17.5</v>
      </c>
      <c r="E308" s="19" t="n">
        <v>460</v>
      </c>
      <c r="F308" s="19" t="n">
        <v>477.5</v>
      </c>
      <c r="G308" s="19" t="n">
        <v>0</v>
      </c>
      <c r="H308" s="18" t="s">
        <v>2048</v>
      </c>
    </row>
    <row r="309" customFormat="false" ht="15" hidden="false" customHeight="false" outlineLevel="0" collapsed="false">
      <c r="A309" s="18" t="s">
        <v>920</v>
      </c>
      <c r="B309" s="18" t="s">
        <v>74</v>
      </c>
      <c r="C309" s="18" t="n">
        <v>191</v>
      </c>
      <c r="D309" s="19" t="n">
        <v>8808.03</v>
      </c>
      <c r="E309" s="19" t="n">
        <v>6958.65</v>
      </c>
      <c r="F309" s="19" t="n">
        <v>15766.68</v>
      </c>
      <c r="G309" s="19" t="n">
        <v>0</v>
      </c>
      <c r="H309" s="18" t="s">
        <v>2048</v>
      </c>
    </row>
    <row r="310" customFormat="false" ht="15" hidden="false" customHeight="false" outlineLevel="0" collapsed="false">
      <c r="A310" s="18" t="s">
        <v>922</v>
      </c>
      <c r="B310" s="18" t="s">
        <v>74</v>
      </c>
      <c r="C310" s="18" t="n">
        <v>192</v>
      </c>
      <c r="D310" s="19" t="n">
        <v>0</v>
      </c>
      <c r="E310" s="19" t="n">
        <v>807.3</v>
      </c>
      <c r="F310" s="19" t="n">
        <v>807.3</v>
      </c>
      <c r="G310" s="19" t="n">
        <v>0</v>
      </c>
      <c r="H310" s="18" t="s">
        <v>2048</v>
      </c>
    </row>
    <row r="311" customFormat="false" ht="15" hidden="false" customHeight="false" outlineLevel="0" collapsed="false">
      <c r="A311" s="18" t="s">
        <v>924</v>
      </c>
      <c r="B311" s="18" t="s">
        <v>74</v>
      </c>
      <c r="C311" s="18" t="n">
        <v>193</v>
      </c>
      <c r="D311" s="19" t="n">
        <v>-4122</v>
      </c>
      <c r="E311" s="19" t="n">
        <v>4122</v>
      </c>
      <c r="F311" s="19" t="n">
        <v>0</v>
      </c>
      <c r="G311" s="19" t="n">
        <v>0</v>
      </c>
      <c r="H311" s="18" t="s">
        <v>2048</v>
      </c>
    </row>
    <row r="312" customFormat="false" ht="15" hidden="false" customHeight="false" outlineLevel="0" collapsed="false">
      <c r="A312" s="18" t="s">
        <v>926</v>
      </c>
      <c r="B312" s="18" t="s">
        <v>74</v>
      </c>
      <c r="C312" s="18" t="n">
        <v>194</v>
      </c>
      <c r="D312" s="19" t="n">
        <v>0</v>
      </c>
      <c r="E312" s="19" t="n">
        <v>15415.73</v>
      </c>
      <c r="F312" s="19" t="n">
        <v>15415.73</v>
      </c>
      <c r="G312" s="19" t="n">
        <v>0</v>
      </c>
      <c r="H312" s="18" t="s">
        <v>2048</v>
      </c>
    </row>
    <row r="313" customFormat="false" ht="15" hidden="false" customHeight="false" outlineLevel="0" collapsed="false">
      <c r="A313" s="18" t="s">
        <v>928</v>
      </c>
      <c r="B313" s="18" t="s">
        <v>74</v>
      </c>
      <c r="C313" s="18" t="n">
        <v>196</v>
      </c>
      <c r="D313" s="19" t="n">
        <v>0</v>
      </c>
      <c r="E313" s="19" t="n">
        <v>496.6</v>
      </c>
      <c r="F313" s="19" t="n">
        <v>496.6</v>
      </c>
      <c r="G313" s="19" t="n">
        <v>0</v>
      </c>
      <c r="H313" s="18" t="s">
        <v>2048</v>
      </c>
    </row>
    <row r="314" customFormat="false" ht="15" hidden="false" customHeight="false" outlineLevel="0" collapsed="false">
      <c r="A314" s="18" t="s">
        <v>930</v>
      </c>
      <c r="B314" s="18" t="s">
        <v>74</v>
      </c>
      <c r="C314" s="18" t="n">
        <v>197</v>
      </c>
      <c r="D314" s="19" t="n">
        <v>0</v>
      </c>
      <c r="E314" s="19" t="n">
        <v>21728.7</v>
      </c>
      <c r="F314" s="19" t="n">
        <v>21728.7</v>
      </c>
      <c r="G314" s="19" t="n">
        <v>0</v>
      </c>
      <c r="H314" s="18" t="s">
        <v>2048</v>
      </c>
    </row>
    <row r="315" customFormat="false" ht="15" hidden="false" customHeight="false" outlineLevel="0" collapsed="false">
      <c r="A315" s="18" t="s">
        <v>932</v>
      </c>
      <c r="B315" s="18" t="s">
        <v>74</v>
      </c>
      <c r="C315" s="18" t="n">
        <v>198</v>
      </c>
      <c r="D315" s="19" t="n">
        <v>0</v>
      </c>
      <c r="E315" s="19" t="n">
        <v>6940</v>
      </c>
      <c r="F315" s="19" t="n">
        <v>6940</v>
      </c>
      <c r="G315" s="19" t="n">
        <v>0</v>
      </c>
      <c r="H315" s="18" t="s">
        <v>2048</v>
      </c>
    </row>
    <row r="316" customFormat="false" ht="15" hidden="false" customHeight="false" outlineLevel="0" collapsed="false">
      <c r="A316" s="18" t="s">
        <v>934</v>
      </c>
      <c r="B316" s="18" t="s">
        <v>74</v>
      </c>
      <c r="C316" s="18" t="n">
        <v>200</v>
      </c>
      <c r="D316" s="19" t="n">
        <v>-860</v>
      </c>
      <c r="E316" s="19" t="n">
        <v>860</v>
      </c>
      <c r="F316" s="19" t="n">
        <v>0</v>
      </c>
      <c r="G316" s="19" t="n">
        <v>0</v>
      </c>
      <c r="H316" s="18" t="s">
        <v>2048</v>
      </c>
    </row>
    <row r="317" customFormat="false" ht="15" hidden="false" customHeight="false" outlineLevel="0" collapsed="false">
      <c r="A317" s="18" t="s">
        <v>936</v>
      </c>
      <c r="B317" s="18" t="s">
        <v>74</v>
      </c>
      <c r="C317" s="18" t="n">
        <v>201</v>
      </c>
      <c r="D317" s="19" t="n">
        <v>22</v>
      </c>
      <c r="E317" s="19" t="n">
        <v>0</v>
      </c>
      <c r="F317" s="19" t="n">
        <v>22</v>
      </c>
      <c r="G317" s="19" t="n">
        <v>0</v>
      </c>
      <c r="H317" s="18" t="s">
        <v>2048</v>
      </c>
    </row>
    <row r="318" customFormat="false" ht="15" hidden="false" customHeight="false" outlineLevel="0" collapsed="false">
      <c r="A318" s="18" t="s">
        <v>938</v>
      </c>
      <c r="B318" s="18" t="s">
        <v>74</v>
      </c>
      <c r="C318" s="18" t="n">
        <v>202</v>
      </c>
      <c r="D318" s="19" t="n">
        <v>0</v>
      </c>
      <c r="E318" s="19" t="n">
        <v>679.65</v>
      </c>
      <c r="F318" s="19" t="n">
        <v>679.65</v>
      </c>
      <c r="G318" s="19" t="n">
        <v>0</v>
      </c>
      <c r="H318" s="18" t="s">
        <v>2048</v>
      </c>
    </row>
    <row r="319" customFormat="false" ht="15" hidden="false" customHeight="false" outlineLevel="0" collapsed="false">
      <c r="A319" s="18" t="s">
        <v>940</v>
      </c>
      <c r="B319" s="18" t="s">
        <v>74</v>
      </c>
      <c r="C319" s="18" t="n">
        <v>203</v>
      </c>
      <c r="D319" s="19" t="n">
        <v>0</v>
      </c>
      <c r="E319" s="19" t="n">
        <v>356.5</v>
      </c>
      <c r="F319" s="19" t="n">
        <v>356.5</v>
      </c>
      <c r="G319" s="19" t="n">
        <v>0</v>
      </c>
      <c r="H319" s="18" t="s">
        <v>2048</v>
      </c>
    </row>
    <row r="320" customFormat="false" ht="15" hidden="false" customHeight="false" outlineLevel="0" collapsed="false">
      <c r="A320" s="18" t="s">
        <v>942</v>
      </c>
      <c r="B320" s="18" t="s">
        <v>74</v>
      </c>
      <c r="C320" s="18" t="n">
        <v>204</v>
      </c>
      <c r="D320" s="19" t="n">
        <v>0</v>
      </c>
      <c r="E320" s="19" t="n">
        <v>6608.48</v>
      </c>
      <c r="F320" s="19" t="n">
        <v>6608.48</v>
      </c>
      <c r="G320" s="19" t="n">
        <v>0</v>
      </c>
      <c r="H320" s="18" t="s">
        <v>2048</v>
      </c>
    </row>
    <row r="321" customFormat="false" ht="15" hidden="false" customHeight="false" outlineLevel="0" collapsed="false">
      <c r="A321" s="18" t="s">
        <v>944</v>
      </c>
      <c r="B321" s="18" t="s">
        <v>74</v>
      </c>
      <c r="C321" s="18" t="n">
        <v>205</v>
      </c>
      <c r="D321" s="19" t="n">
        <v>0</v>
      </c>
      <c r="E321" s="19" t="n">
        <v>42849</v>
      </c>
      <c r="F321" s="19" t="n">
        <v>42849</v>
      </c>
      <c r="G321" s="19" t="n">
        <v>0</v>
      </c>
      <c r="H321" s="18" t="s">
        <v>2048</v>
      </c>
    </row>
    <row r="322" customFormat="false" ht="15" hidden="false" customHeight="false" outlineLevel="0" collapsed="false">
      <c r="A322" s="18" t="s">
        <v>946</v>
      </c>
      <c r="B322" s="18" t="s">
        <v>74</v>
      </c>
      <c r="C322" s="18" t="n">
        <v>206</v>
      </c>
      <c r="D322" s="19" t="n">
        <v>50</v>
      </c>
      <c r="E322" s="19" t="n">
        <v>0</v>
      </c>
      <c r="F322" s="19" t="n">
        <v>50</v>
      </c>
      <c r="G322" s="19" t="n">
        <v>0</v>
      </c>
      <c r="H322" s="18" t="s">
        <v>2048</v>
      </c>
    </row>
    <row r="323" customFormat="false" ht="15" hidden="false" customHeight="false" outlineLevel="0" collapsed="false">
      <c r="A323" s="18" t="s">
        <v>947</v>
      </c>
      <c r="B323" s="18" t="s">
        <v>74</v>
      </c>
      <c r="C323" s="18" t="n">
        <v>207</v>
      </c>
      <c r="D323" s="19" t="n">
        <v>0</v>
      </c>
      <c r="E323" s="19" t="n">
        <v>2622</v>
      </c>
      <c r="F323" s="19" t="n">
        <v>2622</v>
      </c>
      <c r="G323" s="19" t="n">
        <v>0</v>
      </c>
      <c r="H323" s="18" t="s">
        <v>2048</v>
      </c>
    </row>
    <row r="324" customFormat="false" ht="15" hidden="false" customHeight="false" outlineLevel="0" collapsed="false">
      <c r="A324" s="18" t="s">
        <v>949</v>
      </c>
      <c r="B324" s="18" t="s">
        <v>74</v>
      </c>
      <c r="C324" s="18" t="n">
        <v>208</v>
      </c>
      <c r="D324" s="19" t="n">
        <v>0</v>
      </c>
      <c r="E324" s="19" t="n">
        <v>4997.55</v>
      </c>
      <c r="F324" s="19" t="n">
        <v>4997.55</v>
      </c>
      <c r="G324" s="19" t="n">
        <v>0</v>
      </c>
      <c r="H324" s="18" t="s">
        <v>2048</v>
      </c>
    </row>
    <row r="325" customFormat="false" ht="15" hidden="false" customHeight="false" outlineLevel="0" collapsed="false">
      <c r="A325" s="18" t="s">
        <v>951</v>
      </c>
      <c r="B325" s="18" t="s">
        <v>74</v>
      </c>
      <c r="C325" s="18" t="n">
        <v>209</v>
      </c>
      <c r="D325" s="19" t="n">
        <v>1495</v>
      </c>
      <c r="E325" s="19" t="n">
        <v>0</v>
      </c>
      <c r="F325" s="19" t="n">
        <v>1495</v>
      </c>
      <c r="G325" s="19" t="n">
        <v>0</v>
      </c>
      <c r="H325" s="18" t="s">
        <v>2048</v>
      </c>
    </row>
    <row r="326" customFormat="false" ht="15" hidden="false" customHeight="false" outlineLevel="0" collapsed="false">
      <c r="A326" s="18" t="s">
        <v>953</v>
      </c>
      <c r="B326" s="18" t="s">
        <v>74</v>
      </c>
      <c r="C326" s="18" t="n">
        <v>211</v>
      </c>
      <c r="D326" s="19" t="n">
        <v>1208</v>
      </c>
      <c r="E326" s="19" t="n">
        <v>0</v>
      </c>
      <c r="F326" s="19" t="n">
        <v>1208</v>
      </c>
      <c r="G326" s="19" t="n">
        <v>0</v>
      </c>
      <c r="H326" s="18" t="s">
        <v>2048</v>
      </c>
    </row>
    <row r="327" customFormat="false" ht="15" hidden="false" customHeight="false" outlineLevel="0" collapsed="false">
      <c r="A327" s="18" t="s">
        <v>955</v>
      </c>
      <c r="B327" s="18" t="s">
        <v>74</v>
      </c>
      <c r="C327" s="18" t="n">
        <v>212</v>
      </c>
      <c r="D327" s="19" t="n">
        <v>0</v>
      </c>
      <c r="E327" s="19" t="n">
        <v>609.5</v>
      </c>
      <c r="F327" s="19" t="n">
        <v>609.5</v>
      </c>
      <c r="G327" s="19" t="n">
        <v>0</v>
      </c>
      <c r="H327" s="18" t="s">
        <v>2048</v>
      </c>
    </row>
    <row r="328" customFormat="false" ht="15" hidden="false" customHeight="false" outlineLevel="0" collapsed="false">
      <c r="A328" s="18" t="s">
        <v>957</v>
      </c>
      <c r="B328" s="18" t="s">
        <v>74</v>
      </c>
      <c r="C328" s="18" t="n">
        <v>213</v>
      </c>
      <c r="D328" s="19" t="n">
        <v>-3000</v>
      </c>
      <c r="E328" s="19" t="n">
        <v>3264.5</v>
      </c>
      <c r="F328" s="19" t="n">
        <v>264.5</v>
      </c>
      <c r="G328" s="19" t="n">
        <v>0</v>
      </c>
      <c r="H328" s="18" t="s">
        <v>2048</v>
      </c>
    </row>
    <row r="329" customFormat="false" ht="15" hidden="false" customHeight="false" outlineLevel="0" collapsed="false">
      <c r="A329" s="18" t="s">
        <v>959</v>
      </c>
      <c r="B329" s="18" t="s">
        <v>74</v>
      </c>
      <c r="C329" s="18" t="n">
        <v>214</v>
      </c>
      <c r="D329" s="19" t="n">
        <v>0</v>
      </c>
      <c r="E329" s="19" t="n">
        <v>3200</v>
      </c>
      <c r="F329" s="19" t="n">
        <v>3200</v>
      </c>
      <c r="G329" s="19" t="n">
        <v>0</v>
      </c>
      <c r="H329" s="18" t="s">
        <v>2048</v>
      </c>
    </row>
    <row r="330" customFormat="false" ht="15" hidden="false" customHeight="false" outlineLevel="0" collapsed="false">
      <c r="A330" s="18" t="s">
        <v>961</v>
      </c>
      <c r="B330" s="18" t="s">
        <v>74</v>
      </c>
      <c r="C330" s="18" t="n">
        <v>215</v>
      </c>
      <c r="D330" s="19" t="n">
        <v>0</v>
      </c>
      <c r="E330" s="19" t="n">
        <v>3697.25</v>
      </c>
      <c r="F330" s="19" t="n">
        <v>3697.25</v>
      </c>
      <c r="G330" s="19" t="n">
        <v>0</v>
      </c>
      <c r="H330" s="18" t="s">
        <v>2048</v>
      </c>
    </row>
    <row r="331" customFormat="false" ht="15" hidden="false" customHeight="false" outlineLevel="0" collapsed="false">
      <c r="A331" s="18" t="s">
        <v>963</v>
      </c>
      <c r="B331" s="18" t="s">
        <v>74</v>
      </c>
      <c r="C331" s="18" t="n">
        <v>217</v>
      </c>
      <c r="D331" s="19" t="n">
        <v>0</v>
      </c>
      <c r="E331" s="19" t="n">
        <v>1035</v>
      </c>
      <c r="F331" s="19" t="n">
        <v>1035</v>
      </c>
      <c r="G331" s="19" t="n">
        <v>0</v>
      </c>
      <c r="H331" s="18" t="s">
        <v>2048</v>
      </c>
    </row>
    <row r="332" customFormat="false" ht="15" hidden="false" customHeight="false" outlineLevel="0" collapsed="false">
      <c r="A332" s="18" t="s">
        <v>965</v>
      </c>
      <c r="B332" s="18" t="s">
        <v>74</v>
      </c>
      <c r="C332" s="18" t="n">
        <v>218</v>
      </c>
      <c r="D332" s="19" t="n">
        <v>0</v>
      </c>
      <c r="E332" s="19" t="n">
        <v>532.9</v>
      </c>
      <c r="F332" s="19" t="n">
        <v>532.9</v>
      </c>
      <c r="G332" s="19" t="n">
        <v>0</v>
      </c>
      <c r="H332" s="18" t="s">
        <v>2048</v>
      </c>
    </row>
    <row r="333" customFormat="false" ht="15" hidden="false" customHeight="false" outlineLevel="0" collapsed="false">
      <c r="A333" s="18" t="s">
        <v>967</v>
      </c>
      <c r="B333" s="18" t="s">
        <v>74</v>
      </c>
      <c r="C333" s="18" t="n">
        <v>219</v>
      </c>
      <c r="D333" s="19" t="n">
        <v>2037.5</v>
      </c>
      <c r="E333" s="19" t="n">
        <v>0</v>
      </c>
      <c r="F333" s="19" t="n">
        <v>2037.5</v>
      </c>
      <c r="G333" s="19" t="n">
        <v>0</v>
      </c>
      <c r="H333" s="18" t="s">
        <v>2048</v>
      </c>
    </row>
    <row r="334" customFormat="false" ht="15" hidden="false" customHeight="false" outlineLevel="0" collapsed="false">
      <c r="A334" s="18" t="s">
        <v>969</v>
      </c>
      <c r="B334" s="18" t="s">
        <v>74</v>
      </c>
      <c r="C334" s="18" t="n">
        <v>220</v>
      </c>
      <c r="D334" s="19" t="n">
        <v>0</v>
      </c>
      <c r="E334" s="19" t="n">
        <v>6760.28</v>
      </c>
      <c r="F334" s="19" t="n">
        <v>6760.28</v>
      </c>
      <c r="G334" s="19" t="n">
        <v>0</v>
      </c>
      <c r="H334" s="18" t="s">
        <v>2048</v>
      </c>
    </row>
    <row r="335" customFormat="false" ht="15" hidden="false" customHeight="false" outlineLevel="0" collapsed="false">
      <c r="A335" s="18" t="s">
        <v>971</v>
      </c>
      <c r="B335" s="18" t="s">
        <v>74</v>
      </c>
      <c r="C335" s="18" t="n">
        <v>221</v>
      </c>
      <c r="D335" s="19" t="n">
        <v>0</v>
      </c>
      <c r="E335" s="19" t="n">
        <v>50</v>
      </c>
      <c r="F335" s="19" t="n">
        <v>50</v>
      </c>
      <c r="G335" s="19" t="n">
        <v>0</v>
      </c>
      <c r="H335" s="18" t="s">
        <v>2048</v>
      </c>
    </row>
    <row r="336" customFormat="false" ht="15" hidden="false" customHeight="false" outlineLevel="0" collapsed="false">
      <c r="A336" s="18" t="s">
        <v>972</v>
      </c>
      <c r="B336" s="18" t="s">
        <v>74</v>
      </c>
      <c r="C336" s="18" t="n">
        <v>222</v>
      </c>
      <c r="D336" s="19" t="n">
        <v>0</v>
      </c>
      <c r="E336" s="19" t="n">
        <v>6179.5</v>
      </c>
      <c r="F336" s="19" t="n">
        <v>6179.5</v>
      </c>
      <c r="G336" s="19" t="n">
        <v>0</v>
      </c>
      <c r="H336" s="18" t="s">
        <v>2048</v>
      </c>
    </row>
    <row r="337" customFormat="false" ht="15" hidden="false" customHeight="false" outlineLevel="0" collapsed="false">
      <c r="A337" s="18" t="s">
        <v>974</v>
      </c>
      <c r="B337" s="18" t="s">
        <v>74</v>
      </c>
      <c r="C337" s="18" t="n">
        <v>224</v>
      </c>
      <c r="D337" s="19" t="n">
        <v>0.400000000000091</v>
      </c>
      <c r="E337" s="19" t="n">
        <v>1045.5</v>
      </c>
      <c r="F337" s="19" t="n">
        <v>1045.9</v>
      </c>
      <c r="G337" s="19" t="n">
        <v>0</v>
      </c>
      <c r="H337" s="18" t="s">
        <v>2048</v>
      </c>
    </row>
    <row r="338" customFormat="false" ht="15" hidden="false" customHeight="false" outlineLevel="0" collapsed="false">
      <c r="A338" s="18" t="s">
        <v>976</v>
      </c>
      <c r="B338" s="18" t="s">
        <v>74</v>
      </c>
      <c r="C338" s="18" t="n">
        <v>225</v>
      </c>
      <c r="D338" s="19" t="n">
        <v>0</v>
      </c>
      <c r="E338" s="19" t="n">
        <v>11005.5</v>
      </c>
      <c r="F338" s="19" t="n">
        <v>11005.5</v>
      </c>
      <c r="G338" s="19" t="n">
        <v>0</v>
      </c>
      <c r="H338" s="18" t="s">
        <v>2048</v>
      </c>
    </row>
    <row r="339" customFormat="false" ht="15" hidden="false" customHeight="false" outlineLevel="0" collapsed="false">
      <c r="A339" s="18" t="s">
        <v>978</v>
      </c>
      <c r="B339" s="18" t="s">
        <v>74</v>
      </c>
      <c r="C339" s="18" t="n">
        <v>226</v>
      </c>
      <c r="D339" s="19" t="n">
        <v>0</v>
      </c>
      <c r="E339" s="19" t="n">
        <v>28.75</v>
      </c>
      <c r="F339" s="19" t="n">
        <v>28.75</v>
      </c>
      <c r="G339" s="19" t="n">
        <v>0</v>
      </c>
      <c r="H339" s="18" t="s">
        <v>2048</v>
      </c>
    </row>
    <row r="340" customFormat="false" ht="15" hidden="false" customHeight="false" outlineLevel="0" collapsed="false">
      <c r="A340" s="18" t="s">
        <v>980</v>
      </c>
      <c r="B340" s="18" t="s">
        <v>74</v>
      </c>
      <c r="C340" s="18" t="n">
        <v>227</v>
      </c>
      <c r="D340" s="19" t="n">
        <v>460</v>
      </c>
      <c r="E340" s="19" t="n">
        <v>0</v>
      </c>
      <c r="F340" s="19" t="n">
        <v>460</v>
      </c>
      <c r="G340" s="19" t="n">
        <v>0</v>
      </c>
      <c r="H340" s="18" t="s">
        <v>2048</v>
      </c>
    </row>
    <row r="341" customFormat="false" ht="15" hidden="false" customHeight="false" outlineLevel="0" collapsed="false">
      <c r="A341" s="18" t="s">
        <v>982</v>
      </c>
      <c r="B341" s="18" t="s">
        <v>74</v>
      </c>
      <c r="C341" s="18" t="n">
        <v>228</v>
      </c>
      <c r="D341" s="19" t="n">
        <v>0</v>
      </c>
      <c r="E341" s="19" t="n">
        <v>1004.8</v>
      </c>
      <c r="F341" s="19" t="n">
        <v>1004.8</v>
      </c>
      <c r="G341" s="19" t="n">
        <v>0</v>
      </c>
      <c r="H341" s="18" t="s">
        <v>2048</v>
      </c>
    </row>
    <row r="342" customFormat="false" ht="15" hidden="false" customHeight="false" outlineLevel="0" collapsed="false">
      <c r="A342" s="18" t="s">
        <v>984</v>
      </c>
      <c r="B342" s="18" t="s">
        <v>74</v>
      </c>
      <c r="C342" s="18" t="n">
        <v>230</v>
      </c>
      <c r="D342" s="19" t="n">
        <v>0</v>
      </c>
      <c r="E342" s="19" t="n">
        <v>230</v>
      </c>
      <c r="F342" s="19" t="n">
        <v>230</v>
      </c>
      <c r="G342" s="19" t="n">
        <v>0</v>
      </c>
      <c r="H342" s="18" t="s">
        <v>2048</v>
      </c>
    </row>
    <row r="343" customFormat="false" ht="15" hidden="false" customHeight="false" outlineLevel="0" collapsed="false">
      <c r="A343" s="18" t="s">
        <v>985</v>
      </c>
      <c r="B343" s="18" t="s">
        <v>74</v>
      </c>
      <c r="C343" s="18" t="n">
        <v>231</v>
      </c>
      <c r="D343" s="19" t="n">
        <v>2415</v>
      </c>
      <c r="E343" s="19" t="n">
        <v>3271.75</v>
      </c>
      <c r="F343" s="19" t="n">
        <v>5686.75</v>
      </c>
      <c r="G343" s="19" t="n">
        <v>0</v>
      </c>
      <c r="H343" s="18" t="s">
        <v>2048</v>
      </c>
    </row>
    <row r="344" customFormat="false" ht="15" hidden="false" customHeight="false" outlineLevel="0" collapsed="false">
      <c r="A344" s="18" t="s">
        <v>987</v>
      </c>
      <c r="B344" s="18" t="s">
        <v>74</v>
      </c>
      <c r="C344" s="18" t="n">
        <v>232</v>
      </c>
      <c r="D344" s="19" t="n">
        <v>0</v>
      </c>
      <c r="E344" s="19" t="n">
        <v>34.5</v>
      </c>
      <c r="F344" s="19" t="n">
        <v>34.5</v>
      </c>
      <c r="G344" s="19" t="n">
        <v>0</v>
      </c>
      <c r="H344" s="18" t="s">
        <v>2048</v>
      </c>
    </row>
    <row r="345" customFormat="false" ht="15" hidden="false" customHeight="false" outlineLevel="0" collapsed="false">
      <c r="A345" s="18" t="s">
        <v>988</v>
      </c>
      <c r="B345" s="18" t="s">
        <v>74</v>
      </c>
      <c r="C345" s="18" t="n">
        <v>233</v>
      </c>
      <c r="D345" s="19" t="n">
        <v>-30636</v>
      </c>
      <c r="E345" s="19" t="n">
        <v>58494.08</v>
      </c>
      <c r="F345" s="19" t="n">
        <v>27858.08</v>
      </c>
      <c r="G345" s="19" t="n">
        <v>0</v>
      </c>
      <c r="H345" s="18" t="s">
        <v>2048</v>
      </c>
    </row>
    <row r="346" customFormat="false" ht="15" hidden="false" customHeight="false" outlineLevel="0" collapsed="false">
      <c r="A346" s="18" t="s">
        <v>990</v>
      </c>
      <c r="B346" s="18" t="s">
        <v>74</v>
      </c>
      <c r="C346" s="18" t="n">
        <v>234</v>
      </c>
      <c r="D346" s="19" t="n">
        <v>1293.75</v>
      </c>
      <c r="E346" s="19" t="n">
        <v>0</v>
      </c>
      <c r="F346" s="19" t="n">
        <v>1293.75</v>
      </c>
      <c r="G346" s="19" t="n">
        <v>0</v>
      </c>
      <c r="H346" s="18" t="s">
        <v>2048</v>
      </c>
    </row>
    <row r="347" customFormat="false" ht="15" hidden="false" customHeight="false" outlineLevel="0" collapsed="false">
      <c r="A347" s="18" t="s">
        <v>992</v>
      </c>
      <c r="B347" s="18" t="s">
        <v>74</v>
      </c>
      <c r="C347" s="18" t="n">
        <v>235</v>
      </c>
      <c r="D347" s="19" t="n">
        <v>-2242.5</v>
      </c>
      <c r="E347" s="19" t="n">
        <v>2242.5</v>
      </c>
      <c r="F347" s="19" t="n">
        <v>0</v>
      </c>
      <c r="G347" s="19" t="n">
        <v>0</v>
      </c>
      <c r="H347" s="18" t="s">
        <v>2048</v>
      </c>
    </row>
    <row r="348" customFormat="false" ht="15" hidden="false" customHeight="false" outlineLevel="0" collapsed="false">
      <c r="A348" s="18" t="s">
        <v>994</v>
      </c>
      <c r="B348" s="18" t="s">
        <v>74</v>
      </c>
      <c r="C348" s="18" t="n">
        <v>236</v>
      </c>
      <c r="D348" s="19" t="n">
        <v>0</v>
      </c>
      <c r="E348" s="19" t="n">
        <v>7473.2</v>
      </c>
      <c r="F348" s="19" t="n">
        <v>7473.2</v>
      </c>
      <c r="G348" s="19" t="n">
        <v>0</v>
      </c>
      <c r="H348" s="18" t="s">
        <v>2048</v>
      </c>
    </row>
    <row r="349" customFormat="false" ht="15" hidden="false" customHeight="false" outlineLevel="0" collapsed="false">
      <c r="A349" s="18" t="s">
        <v>996</v>
      </c>
      <c r="B349" s="18" t="s">
        <v>74</v>
      </c>
      <c r="C349" s="18" t="n">
        <v>237</v>
      </c>
      <c r="D349" s="19" t="n">
        <v>0</v>
      </c>
      <c r="E349" s="19" t="n">
        <v>2000</v>
      </c>
      <c r="F349" s="19" t="n">
        <v>2000</v>
      </c>
      <c r="G349" s="19" t="n">
        <v>0</v>
      </c>
      <c r="H349" s="18" t="s">
        <v>2048</v>
      </c>
    </row>
    <row r="350" customFormat="false" ht="15" hidden="false" customHeight="false" outlineLevel="0" collapsed="false">
      <c r="A350" s="18" t="s">
        <v>998</v>
      </c>
      <c r="B350" s="18" t="s">
        <v>74</v>
      </c>
      <c r="C350" s="18" t="n">
        <v>238</v>
      </c>
      <c r="D350" s="19" t="n">
        <v>0</v>
      </c>
      <c r="E350" s="19" t="n">
        <v>5339.7</v>
      </c>
      <c r="F350" s="19" t="n">
        <v>5339.7</v>
      </c>
      <c r="G350" s="19" t="n">
        <v>0</v>
      </c>
      <c r="H350" s="18" t="s">
        <v>2048</v>
      </c>
    </row>
    <row r="351" customFormat="false" ht="15" hidden="false" customHeight="false" outlineLevel="0" collapsed="false">
      <c r="A351" s="18" t="s">
        <v>1000</v>
      </c>
      <c r="B351" s="18" t="s">
        <v>74</v>
      </c>
      <c r="C351" s="18" t="n">
        <v>240</v>
      </c>
      <c r="D351" s="19" t="n">
        <v>-500</v>
      </c>
      <c r="E351" s="19" t="n">
        <v>500</v>
      </c>
      <c r="F351" s="19" t="n">
        <v>0</v>
      </c>
      <c r="G351" s="19" t="n">
        <v>0</v>
      </c>
      <c r="H351" s="18" t="s">
        <v>2048</v>
      </c>
    </row>
    <row r="352" customFormat="false" ht="15" hidden="false" customHeight="false" outlineLevel="0" collapsed="false">
      <c r="A352" s="18" t="s">
        <v>1001</v>
      </c>
      <c r="B352" s="18" t="s">
        <v>74</v>
      </c>
      <c r="C352" s="18" t="n">
        <v>242</v>
      </c>
      <c r="D352" s="19" t="n">
        <v>0</v>
      </c>
      <c r="E352" s="19" t="n">
        <v>362.25</v>
      </c>
      <c r="F352" s="19" t="n">
        <v>362.25</v>
      </c>
      <c r="G352" s="19" t="n">
        <v>0</v>
      </c>
      <c r="H352" s="18" t="s">
        <v>2048</v>
      </c>
    </row>
    <row r="353" customFormat="false" ht="15" hidden="false" customHeight="false" outlineLevel="0" collapsed="false">
      <c r="A353" s="18" t="s">
        <v>1003</v>
      </c>
      <c r="B353" s="18" t="s">
        <v>74</v>
      </c>
      <c r="C353" s="18" t="n">
        <v>243</v>
      </c>
      <c r="D353" s="19" t="n">
        <v>0</v>
      </c>
      <c r="E353" s="19" t="n">
        <v>116396.1</v>
      </c>
      <c r="F353" s="19" t="n">
        <v>116396.1</v>
      </c>
      <c r="G353" s="19" t="n">
        <v>0</v>
      </c>
      <c r="H353" s="18" t="s">
        <v>2048</v>
      </c>
    </row>
    <row r="354" customFormat="false" ht="15" hidden="false" customHeight="false" outlineLevel="0" collapsed="false">
      <c r="A354" s="18" t="s">
        <v>1005</v>
      </c>
      <c r="B354" s="18" t="s">
        <v>74</v>
      </c>
      <c r="C354" s="18" t="n">
        <v>245</v>
      </c>
      <c r="D354" s="19" t="n">
        <v>1186.8</v>
      </c>
      <c r="E354" s="19" t="n">
        <v>3887</v>
      </c>
      <c r="F354" s="19" t="n">
        <v>5073.8</v>
      </c>
      <c r="G354" s="19" t="n">
        <v>0</v>
      </c>
      <c r="H354" s="18" t="s">
        <v>2048</v>
      </c>
    </row>
    <row r="355" customFormat="false" ht="15" hidden="false" customHeight="false" outlineLevel="0" collapsed="false">
      <c r="A355" s="18" t="s">
        <v>1007</v>
      </c>
      <c r="B355" s="18" t="s">
        <v>74</v>
      </c>
      <c r="C355" s="18" t="n">
        <v>246</v>
      </c>
      <c r="D355" s="19" t="n">
        <v>0</v>
      </c>
      <c r="E355" s="19" t="n">
        <v>38611.83</v>
      </c>
      <c r="F355" s="19" t="n">
        <v>38611.83</v>
      </c>
      <c r="G355" s="19" t="n">
        <v>0</v>
      </c>
      <c r="H355" s="18" t="s">
        <v>2048</v>
      </c>
    </row>
    <row r="356" customFormat="false" ht="15" hidden="false" customHeight="false" outlineLevel="0" collapsed="false">
      <c r="A356" s="18" t="s">
        <v>1009</v>
      </c>
      <c r="B356" s="18" t="s">
        <v>74</v>
      </c>
      <c r="C356" s="18" t="n">
        <v>247</v>
      </c>
      <c r="D356" s="19" t="n">
        <v>517.5</v>
      </c>
      <c r="E356" s="19" t="n">
        <v>0</v>
      </c>
      <c r="F356" s="19" t="n">
        <v>517.5</v>
      </c>
      <c r="G356" s="19" t="n">
        <v>0</v>
      </c>
      <c r="H356" s="18" t="s">
        <v>2048</v>
      </c>
    </row>
    <row r="357" customFormat="false" ht="15" hidden="false" customHeight="false" outlineLevel="0" collapsed="false">
      <c r="A357" s="18" t="s">
        <v>1011</v>
      </c>
      <c r="B357" s="18" t="s">
        <v>74</v>
      </c>
      <c r="C357" s="18" t="n">
        <v>248</v>
      </c>
      <c r="D357" s="19" t="n">
        <v>178</v>
      </c>
      <c r="E357" s="19" t="n">
        <v>12282.4</v>
      </c>
      <c r="F357" s="19" t="n">
        <v>12460.4</v>
      </c>
      <c r="G357" s="19" t="n">
        <v>0</v>
      </c>
      <c r="H357" s="18" t="s">
        <v>2048</v>
      </c>
    </row>
    <row r="358" customFormat="false" ht="15" hidden="false" customHeight="false" outlineLevel="0" collapsed="false">
      <c r="A358" s="18" t="s">
        <v>1013</v>
      </c>
      <c r="B358" s="18" t="s">
        <v>74</v>
      </c>
      <c r="C358" s="18" t="n">
        <v>249</v>
      </c>
      <c r="D358" s="19" t="n">
        <v>0</v>
      </c>
      <c r="E358" s="19" t="n">
        <v>7492.25</v>
      </c>
      <c r="F358" s="19" t="n">
        <v>7492.25</v>
      </c>
      <c r="G358" s="19" t="n">
        <v>0</v>
      </c>
      <c r="H358" s="18" t="s">
        <v>2048</v>
      </c>
    </row>
    <row r="359" customFormat="false" ht="15" hidden="false" customHeight="false" outlineLevel="0" collapsed="false">
      <c r="A359" s="18" t="s">
        <v>1015</v>
      </c>
      <c r="B359" s="18" t="s">
        <v>74</v>
      </c>
      <c r="C359" s="18" t="n">
        <v>250</v>
      </c>
      <c r="D359" s="19" t="n">
        <v>600.25</v>
      </c>
      <c r="E359" s="19" t="n">
        <v>0</v>
      </c>
      <c r="F359" s="19" t="n">
        <v>600.25</v>
      </c>
      <c r="G359" s="19" t="n">
        <v>0</v>
      </c>
      <c r="H359" s="18" t="s">
        <v>2048</v>
      </c>
    </row>
    <row r="360" customFormat="false" ht="15" hidden="false" customHeight="false" outlineLevel="0" collapsed="false">
      <c r="A360" s="18" t="s">
        <v>1017</v>
      </c>
      <c r="B360" s="18" t="s">
        <v>74</v>
      </c>
      <c r="C360" s="18" t="n">
        <v>251</v>
      </c>
      <c r="D360" s="19" t="n">
        <v>0</v>
      </c>
      <c r="E360" s="19" t="n">
        <v>8022.4</v>
      </c>
      <c r="F360" s="19" t="n">
        <v>8022.4</v>
      </c>
      <c r="G360" s="19" t="n">
        <v>0</v>
      </c>
      <c r="H360" s="18" t="s">
        <v>2048</v>
      </c>
    </row>
    <row r="361" customFormat="false" ht="15" hidden="false" customHeight="false" outlineLevel="0" collapsed="false">
      <c r="A361" s="18" t="s">
        <v>1019</v>
      </c>
      <c r="B361" s="18" t="s">
        <v>74</v>
      </c>
      <c r="C361" s="18" t="n">
        <v>252</v>
      </c>
      <c r="D361" s="19" t="n">
        <v>-6000</v>
      </c>
      <c r="E361" s="19" t="n">
        <v>6000</v>
      </c>
      <c r="F361" s="19" t="n">
        <v>0</v>
      </c>
      <c r="G361" s="19" t="n">
        <v>0</v>
      </c>
      <c r="H361" s="18" t="s">
        <v>2048</v>
      </c>
    </row>
    <row r="362" customFormat="false" ht="15" hidden="false" customHeight="false" outlineLevel="0" collapsed="false">
      <c r="A362" s="18" t="s">
        <v>1021</v>
      </c>
      <c r="B362" s="18" t="s">
        <v>74</v>
      </c>
      <c r="C362" s="18" t="n">
        <v>253</v>
      </c>
      <c r="D362" s="19" t="n">
        <v>0</v>
      </c>
      <c r="E362" s="19" t="n">
        <v>9660</v>
      </c>
      <c r="F362" s="19" t="n">
        <v>9660</v>
      </c>
      <c r="G362" s="19" t="n">
        <v>0</v>
      </c>
      <c r="H362" s="18" t="s">
        <v>2048</v>
      </c>
    </row>
    <row r="363" customFormat="false" ht="15" hidden="false" customHeight="false" outlineLevel="0" collapsed="false">
      <c r="A363" s="18" t="s">
        <v>1023</v>
      </c>
      <c r="B363" s="18" t="s">
        <v>74</v>
      </c>
      <c r="C363" s="18" t="n">
        <v>254</v>
      </c>
      <c r="D363" s="19" t="n">
        <v>0</v>
      </c>
      <c r="E363" s="19" t="n">
        <v>40606.5</v>
      </c>
      <c r="F363" s="19" t="n">
        <v>40606.5</v>
      </c>
      <c r="G363" s="19" t="n">
        <v>0</v>
      </c>
      <c r="H363" s="18" t="s">
        <v>2048</v>
      </c>
    </row>
    <row r="364" customFormat="false" ht="15" hidden="false" customHeight="false" outlineLevel="0" collapsed="false">
      <c r="A364" s="18" t="s">
        <v>1025</v>
      </c>
      <c r="B364" s="18" t="s">
        <v>74</v>
      </c>
      <c r="C364" s="18" t="n">
        <v>255</v>
      </c>
      <c r="D364" s="19" t="n">
        <v>-0.5</v>
      </c>
      <c r="E364" s="19" t="n">
        <v>0.5</v>
      </c>
      <c r="F364" s="19" t="n">
        <v>0</v>
      </c>
      <c r="G364" s="19" t="n">
        <v>0</v>
      </c>
      <c r="H364" s="18" t="s">
        <v>2048</v>
      </c>
    </row>
    <row r="365" customFormat="false" ht="15" hidden="false" customHeight="false" outlineLevel="0" collapsed="false">
      <c r="A365" s="18" t="s">
        <v>1026</v>
      </c>
      <c r="B365" s="18" t="s">
        <v>74</v>
      </c>
      <c r="C365" s="18" t="n">
        <v>257</v>
      </c>
      <c r="D365" s="19" t="n">
        <v>0.5</v>
      </c>
      <c r="E365" s="19" t="n">
        <v>99.5</v>
      </c>
      <c r="F365" s="19" t="n">
        <v>100</v>
      </c>
      <c r="G365" s="19" t="n">
        <v>0</v>
      </c>
      <c r="H365" s="18" t="s">
        <v>2048</v>
      </c>
    </row>
    <row r="366" customFormat="false" ht="15" hidden="false" customHeight="false" outlineLevel="0" collapsed="false">
      <c r="A366" s="18" t="s">
        <v>1028</v>
      </c>
      <c r="B366" s="18" t="s">
        <v>74</v>
      </c>
      <c r="C366" s="18" t="n">
        <v>258</v>
      </c>
      <c r="D366" s="19" t="n">
        <v>-500</v>
      </c>
      <c r="E366" s="19" t="n">
        <v>500</v>
      </c>
      <c r="F366" s="19" t="n">
        <v>0</v>
      </c>
      <c r="G366" s="19" t="n">
        <v>0</v>
      </c>
      <c r="H366" s="18" t="s">
        <v>2048</v>
      </c>
    </row>
    <row r="367" customFormat="false" ht="15" hidden="false" customHeight="false" outlineLevel="0" collapsed="false">
      <c r="A367" s="18" t="s">
        <v>1029</v>
      </c>
      <c r="B367" s="18" t="s">
        <v>74</v>
      </c>
      <c r="C367" s="18" t="n">
        <v>259</v>
      </c>
      <c r="D367" s="19" t="n">
        <v>0</v>
      </c>
      <c r="E367" s="19" t="n">
        <v>100.63</v>
      </c>
      <c r="F367" s="19" t="n">
        <v>100.63</v>
      </c>
      <c r="G367" s="19" t="n">
        <v>0</v>
      </c>
      <c r="H367" s="18" t="s">
        <v>2048</v>
      </c>
    </row>
    <row r="368" customFormat="false" ht="15" hidden="false" customHeight="false" outlineLevel="0" collapsed="false">
      <c r="A368" s="18" t="s">
        <v>1031</v>
      </c>
      <c r="B368" s="18" t="s">
        <v>74</v>
      </c>
      <c r="C368" s="18" t="n">
        <v>260</v>
      </c>
      <c r="D368" s="19" t="n">
        <v>0</v>
      </c>
      <c r="E368" s="19" t="n">
        <v>1195</v>
      </c>
      <c r="F368" s="19" t="n">
        <v>1195</v>
      </c>
      <c r="G368" s="19" t="n">
        <v>0</v>
      </c>
      <c r="H368" s="18" t="s">
        <v>2048</v>
      </c>
    </row>
    <row r="369" customFormat="false" ht="15" hidden="false" customHeight="false" outlineLevel="0" collapsed="false">
      <c r="A369" s="18" t="s">
        <v>1033</v>
      </c>
      <c r="B369" s="18" t="s">
        <v>74</v>
      </c>
      <c r="C369" s="18" t="n">
        <v>261</v>
      </c>
      <c r="D369" s="19" t="n">
        <v>0</v>
      </c>
      <c r="E369" s="19" t="n">
        <v>552</v>
      </c>
      <c r="F369" s="19" t="n">
        <v>552</v>
      </c>
      <c r="G369" s="19" t="n">
        <v>0</v>
      </c>
      <c r="H369" s="18" t="s">
        <v>2048</v>
      </c>
    </row>
    <row r="370" customFormat="false" ht="15" hidden="false" customHeight="false" outlineLevel="0" collapsed="false">
      <c r="A370" s="18" t="s">
        <v>1035</v>
      </c>
      <c r="B370" s="18" t="s">
        <v>74</v>
      </c>
      <c r="C370" s="18" t="n">
        <v>262</v>
      </c>
      <c r="D370" s="19" t="n">
        <v>0</v>
      </c>
      <c r="E370" s="19" t="n">
        <v>403.65</v>
      </c>
      <c r="F370" s="19" t="n">
        <v>403.65</v>
      </c>
      <c r="G370" s="19" t="n">
        <v>0</v>
      </c>
      <c r="H370" s="18" t="s">
        <v>2048</v>
      </c>
    </row>
    <row r="371" customFormat="false" ht="15" hidden="false" customHeight="false" outlineLevel="0" collapsed="false">
      <c r="A371" s="18" t="s">
        <v>1037</v>
      </c>
      <c r="B371" s="18" t="s">
        <v>74</v>
      </c>
      <c r="C371" s="18" t="n">
        <v>263</v>
      </c>
      <c r="D371" s="19" t="n">
        <v>0</v>
      </c>
      <c r="E371" s="19" t="n">
        <v>9927.51</v>
      </c>
      <c r="F371" s="19" t="n">
        <v>9927.51</v>
      </c>
      <c r="G371" s="19" t="n">
        <v>0</v>
      </c>
      <c r="H371" s="18" t="s">
        <v>2048</v>
      </c>
    </row>
    <row r="372" customFormat="false" ht="15" hidden="false" customHeight="false" outlineLevel="0" collapsed="false">
      <c r="A372" s="18" t="s">
        <v>1039</v>
      </c>
      <c r="B372" s="18" t="s">
        <v>74</v>
      </c>
      <c r="C372" s="18" t="n">
        <v>264</v>
      </c>
      <c r="D372" s="19" t="n">
        <v>0</v>
      </c>
      <c r="E372" s="19" t="n">
        <v>30590</v>
      </c>
      <c r="F372" s="19" t="n">
        <v>30590</v>
      </c>
      <c r="G372" s="19" t="n">
        <v>0</v>
      </c>
      <c r="H372" s="18" t="s">
        <v>2048</v>
      </c>
    </row>
    <row r="373" customFormat="false" ht="15" hidden="false" customHeight="false" outlineLevel="0" collapsed="false">
      <c r="A373" s="18" t="s">
        <v>1041</v>
      </c>
      <c r="B373" s="18" t="s">
        <v>74</v>
      </c>
      <c r="C373" s="18" t="n">
        <v>265</v>
      </c>
      <c r="D373" s="19" t="n">
        <v>0</v>
      </c>
      <c r="E373" s="19" t="n">
        <v>115</v>
      </c>
      <c r="F373" s="19" t="n">
        <v>115</v>
      </c>
      <c r="G373" s="19" t="n">
        <v>0</v>
      </c>
      <c r="H373" s="18" t="s">
        <v>2048</v>
      </c>
    </row>
    <row r="374" customFormat="false" ht="15" hidden="false" customHeight="false" outlineLevel="0" collapsed="false">
      <c r="A374" s="18" t="s">
        <v>1042</v>
      </c>
      <c r="B374" s="18" t="s">
        <v>74</v>
      </c>
      <c r="C374" s="18" t="n">
        <v>266</v>
      </c>
      <c r="D374" s="19" t="n">
        <v>0</v>
      </c>
      <c r="E374" s="19" t="n">
        <v>19311.66</v>
      </c>
      <c r="F374" s="19" t="n">
        <v>19311.66</v>
      </c>
      <c r="G374" s="19" t="n">
        <v>0</v>
      </c>
      <c r="H374" s="18" t="s">
        <v>2048</v>
      </c>
    </row>
    <row r="375" customFormat="false" ht="15" hidden="false" customHeight="false" outlineLevel="0" collapsed="false">
      <c r="A375" s="18" t="s">
        <v>1044</v>
      </c>
      <c r="B375" s="18" t="s">
        <v>74</v>
      </c>
      <c r="C375" s="18" t="n">
        <v>267</v>
      </c>
      <c r="D375" s="19" t="n">
        <v>-1700</v>
      </c>
      <c r="E375" s="19" t="n">
        <v>1700</v>
      </c>
      <c r="F375" s="19" t="n">
        <v>0</v>
      </c>
      <c r="G375" s="19" t="n">
        <v>0</v>
      </c>
      <c r="H375" s="18" t="s">
        <v>2048</v>
      </c>
    </row>
    <row r="376" customFormat="false" ht="15" hidden="false" customHeight="false" outlineLevel="0" collapsed="false">
      <c r="A376" s="18" t="s">
        <v>1046</v>
      </c>
      <c r="B376" s="18" t="s">
        <v>74</v>
      </c>
      <c r="C376" s="18" t="n">
        <v>268</v>
      </c>
      <c r="D376" s="19" t="n">
        <v>0</v>
      </c>
      <c r="E376" s="19" t="n">
        <v>57.5</v>
      </c>
      <c r="F376" s="19" t="n">
        <v>57.5</v>
      </c>
      <c r="G376" s="19" t="n">
        <v>0</v>
      </c>
      <c r="H376" s="18" t="s">
        <v>2048</v>
      </c>
    </row>
    <row r="377" customFormat="false" ht="15" hidden="false" customHeight="false" outlineLevel="0" collapsed="false">
      <c r="A377" s="18" t="s">
        <v>1048</v>
      </c>
      <c r="B377" s="18" t="s">
        <v>74</v>
      </c>
      <c r="C377" s="18" t="n">
        <v>269</v>
      </c>
      <c r="D377" s="19" t="n">
        <v>0</v>
      </c>
      <c r="E377" s="19" t="n">
        <v>3390</v>
      </c>
      <c r="F377" s="19" t="n">
        <v>3390</v>
      </c>
      <c r="G377" s="19" t="n">
        <v>0</v>
      </c>
      <c r="H377" s="18" t="s">
        <v>2048</v>
      </c>
    </row>
    <row r="378" customFormat="false" ht="15" hidden="false" customHeight="false" outlineLevel="0" collapsed="false">
      <c r="A378" s="18" t="s">
        <v>1050</v>
      </c>
      <c r="B378" s="18" t="s">
        <v>74</v>
      </c>
      <c r="C378" s="18" t="n">
        <v>270</v>
      </c>
      <c r="D378" s="19" t="n">
        <v>345</v>
      </c>
      <c r="E378" s="19" t="n">
        <v>0</v>
      </c>
      <c r="F378" s="19" t="n">
        <v>345</v>
      </c>
      <c r="G378" s="19" t="n">
        <v>0</v>
      </c>
      <c r="H378" s="18" t="s">
        <v>2048</v>
      </c>
    </row>
    <row r="379" customFormat="false" ht="15" hidden="false" customHeight="false" outlineLevel="0" collapsed="false">
      <c r="A379" s="18" t="s">
        <v>1052</v>
      </c>
      <c r="B379" s="18" t="s">
        <v>74</v>
      </c>
      <c r="C379" s="18" t="n">
        <v>271</v>
      </c>
      <c r="D379" s="19" t="n">
        <v>-25</v>
      </c>
      <c r="E379" s="19" t="n">
        <v>270</v>
      </c>
      <c r="F379" s="19" t="n">
        <v>245</v>
      </c>
      <c r="G379" s="19" t="n">
        <v>0</v>
      </c>
      <c r="H379" s="18" t="s">
        <v>2048</v>
      </c>
    </row>
    <row r="380" customFormat="false" ht="15" hidden="false" customHeight="false" outlineLevel="0" collapsed="false">
      <c r="A380" s="18" t="s">
        <v>1054</v>
      </c>
      <c r="B380" s="18" t="s">
        <v>74</v>
      </c>
      <c r="C380" s="18" t="n">
        <v>272</v>
      </c>
      <c r="D380" s="19" t="n">
        <v>0.600000000000364</v>
      </c>
      <c r="E380" s="19" t="n">
        <v>2050.45</v>
      </c>
      <c r="F380" s="19" t="n">
        <v>2051.05</v>
      </c>
      <c r="G380" s="19" t="n">
        <v>0</v>
      </c>
      <c r="H380" s="18" t="s">
        <v>2048</v>
      </c>
    </row>
    <row r="381" customFormat="false" ht="15" hidden="false" customHeight="false" outlineLevel="0" collapsed="false">
      <c r="A381" s="18" t="s">
        <v>1056</v>
      </c>
      <c r="B381" s="18" t="s">
        <v>74</v>
      </c>
      <c r="C381" s="18" t="n">
        <v>273</v>
      </c>
      <c r="D381" s="19" t="n">
        <v>0</v>
      </c>
      <c r="E381" s="19" t="n">
        <v>3141.85</v>
      </c>
      <c r="F381" s="19" t="n">
        <v>3141.85</v>
      </c>
      <c r="G381" s="19" t="n">
        <v>0</v>
      </c>
      <c r="H381" s="18" t="s">
        <v>2048</v>
      </c>
    </row>
    <row r="382" customFormat="false" ht="15" hidden="false" customHeight="false" outlineLevel="0" collapsed="false">
      <c r="A382" s="18" t="s">
        <v>1058</v>
      </c>
      <c r="B382" s="18" t="s">
        <v>74</v>
      </c>
      <c r="C382" s="18" t="n">
        <v>274</v>
      </c>
      <c r="D382" s="19" t="n">
        <v>-8500</v>
      </c>
      <c r="E382" s="19" t="n">
        <v>8500</v>
      </c>
      <c r="F382" s="19" t="n">
        <v>0</v>
      </c>
      <c r="G382" s="19" t="n">
        <v>0</v>
      </c>
      <c r="H382" s="18" t="s">
        <v>2048</v>
      </c>
    </row>
    <row r="383" customFormat="false" ht="15" hidden="false" customHeight="false" outlineLevel="0" collapsed="false">
      <c r="A383" s="18" t="s">
        <v>1060</v>
      </c>
      <c r="B383" s="18" t="s">
        <v>74</v>
      </c>
      <c r="C383" s="18" t="n">
        <v>275</v>
      </c>
      <c r="D383" s="19" t="n">
        <v>0</v>
      </c>
      <c r="E383" s="19" t="n">
        <v>3605.25</v>
      </c>
      <c r="F383" s="19" t="n">
        <v>3605.25</v>
      </c>
      <c r="G383" s="19" t="n">
        <v>0</v>
      </c>
      <c r="H383" s="18" t="s">
        <v>2048</v>
      </c>
    </row>
    <row r="384" customFormat="false" ht="15" hidden="false" customHeight="false" outlineLevel="0" collapsed="false">
      <c r="A384" s="18" t="s">
        <v>1062</v>
      </c>
      <c r="B384" s="18" t="s">
        <v>74</v>
      </c>
      <c r="C384" s="18" t="n">
        <v>278</v>
      </c>
      <c r="D384" s="19" t="n">
        <v>0</v>
      </c>
      <c r="E384" s="19" t="n">
        <v>42297</v>
      </c>
      <c r="F384" s="19" t="n">
        <v>42297</v>
      </c>
      <c r="G384" s="19" t="n">
        <v>0</v>
      </c>
      <c r="H384" s="18" t="s">
        <v>2048</v>
      </c>
    </row>
    <row r="385" customFormat="false" ht="15" hidden="false" customHeight="false" outlineLevel="0" collapsed="false">
      <c r="A385" s="18" t="s">
        <v>1064</v>
      </c>
      <c r="B385" s="18" t="s">
        <v>74</v>
      </c>
      <c r="C385" s="18" t="n">
        <v>279</v>
      </c>
      <c r="D385" s="19" t="n">
        <v>0</v>
      </c>
      <c r="E385" s="19" t="n">
        <v>276</v>
      </c>
      <c r="F385" s="19" t="n">
        <v>276</v>
      </c>
      <c r="G385" s="19" t="n">
        <v>0</v>
      </c>
      <c r="H385" s="18" t="s">
        <v>2048</v>
      </c>
    </row>
    <row r="386" customFormat="false" ht="15" hidden="false" customHeight="false" outlineLevel="0" collapsed="false">
      <c r="A386" s="18" t="s">
        <v>1065</v>
      </c>
      <c r="B386" s="18" t="s">
        <v>74</v>
      </c>
      <c r="C386" s="18" t="n">
        <v>280</v>
      </c>
      <c r="D386" s="19" t="n">
        <v>0</v>
      </c>
      <c r="E386" s="19" t="n">
        <v>3122</v>
      </c>
      <c r="F386" s="19" t="n">
        <v>3122</v>
      </c>
      <c r="G386" s="19" t="n">
        <v>0</v>
      </c>
      <c r="H386" s="18" t="s">
        <v>2048</v>
      </c>
    </row>
    <row r="387" customFormat="false" ht="15" hidden="false" customHeight="false" outlineLevel="0" collapsed="false">
      <c r="A387" s="18" t="s">
        <v>1067</v>
      </c>
      <c r="B387" s="18" t="s">
        <v>74</v>
      </c>
      <c r="C387" s="18" t="n">
        <v>281</v>
      </c>
      <c r="D387" s="19" t="n">
        <v>0</v>
      </c>
      <c r="E387" s="19" t="n">
        <v>300</v>
      </c>
      <c r="F387" s="19" t="n">
        <v>300</v>
      </c>
      <c r="G387" s="19" t="n">
        <v>0</v>
      </c>
      <c r="H387" s="18" t="s">
        <v>2048</v>
      </c>
    </row>
    <row r="388" customFormat="false" ht="15" hidden="false" customHeight="false" outlineLevel="0" collapsed="false">
      <c r="A388" s="18" t="s">
        <v>1069</v>
      </c>
      <c r="B388" s="18" t="s">
        <v>74</v>
      </c>
      <c r="C388" s="18" t="n">
        <v>282</v>
      </c>
      <c r="D388" s="19" t="n">
        <v>0</v>
      </c>
      <c r="E388" s="19" t="n">
        <v>46</v>
      </c>
      <c r="F388" s="19" t="n">
        <v>46</v>
      </c>
      <c r="G388" s="19" t="n">
        <v>0</v>
      </c>
      <c r="H388" s="18" t="s">
        <v>2048</v>
      </c>
    </row>
    <row r="389" customFormat="false" ht="15" hidden="false" customHeight="false" outlineLevel="0" collapsed="false">
      <c r="A389" s="18" t="s">
        <v>1071</v>
      </c>
      <c r="B389" s="18" t="s">
        <v>74</v>
      </c>
      <c r="C389" s="18" t="n">
        <v>283</v>
      </c>
      <c r="D389" s="19" t="n">
        <v>0</v>
      </c>
      <c r="E389" s="19" t="n">
        <v>1758.32</v>
      </c>
      <c r="F389" s="19" t="n">
        <v>1758.32</v>
      </c>
      <c r="G389" s="19" t="n">
        <v>0</v>
      </c>
      <c r="H389" s="18" t="s">
        <v>2048</v>
      </c>
    </row>
    <row r="390" customFormat="false" ht="15" hidden="false" customHeight="false" outlineLevel="0" collapsed="false">
      <c r="A390" s="18" t="s">
        <v>1073</v>
      </c>
      <c r="B390" s="18" t="s">
        <v>74</v>
      </c>
      <c r="C390" s="18" t="n">
        <v>284</v>
      </c>
      <c r="D390" s="19" t="n">
        <v>-1554</v>
      </c>
      <c r="E390" s="19" t="n">
        <v>9357.55</v>
      </c>
      <c r="F390" s="19" t="n">
        <v>7803.55</v>
      </c>
      <c r="G390" s="19" t="n">
        <v>0</v>
      </c>
      <c r="H390" s="18" t="s">
        <v>2048</v>
      </c>
    </row>
    <row r="391" customFormat="false" ht="15" hidden="false" customHeight="false" outlineLevel="0" collapsed="false">
      <c r="A391" s="18" t="s">
        <v>1075</v>
      </c>
      <c r="B391" s="18" t="s">
        <v>74</v>
      </c>
      <c r="C391" s="18" t="n">
        <v>287</v>
      </c>
      <c r="D391" s="19" t="n">
        <v>0</v>
      </c>
      <c r="E391" s="19" t="n">
        <v>414</v>
      </c>
      <c r="F391" s="19" t="n">
        <v>414</v>
      </c>
      <c r="G391" s="19" t="n">
        <v>0</v>
      </c>
      <c r="H391" s="18" t="s">
        <v>2048</v>
      </c>
    </row>
    <row r="392" customFormat="false" ht="15" hidden="false" customHeight="false" outlineLevel="0" collapsed="false">
      <c r="A392" s="18" t="s">
        <v>1077</v>
      </c>
      <c r="B392" s="18" t="s">
        <v>74</v>
      </c>
      <c r="C392" s="18" t="n">
        <v>288</v>
      </c>
      <c r="D392" s="19" t="n">
        <v>0</v>
      </c>
      <c r="E392" s="19" t="n">
        <v>414</v>
      </c>
      <c r="F392" s="19" t="n">
        <v>414</v>
      </c>
      <c r="G392" s="19" t="n">
        <v>0</v>
      </c>
      <c r="H392" s="18" t="s">
        <v>2048</v>
      </c>
    </row>
    <row r="393" customFormat="false" ht="15" hidden="false" customHeight="false" outlineLevel="0" collapsed="false">
      <c r="A393" s="18" t="s">
        <v>1078</v>
      </c>
      <c r="B393" s="18" t="s">
        <v>74</v>
      </c>
      <c r="C393" s="18" t="n">
        <v>289</v>
      </c>
      <c r="D393" s="19" t="n">
        <v>0</v>
      </c>
      <c r="E393" s="19" t="n">
        <v>172.5</v>
      </c>
      <c r="F393" s="19" t="n">
        <v>172.5</v>
      </c>
      <c r="G393" s="19" t="n">
        <v>0</v>
      </c>
      <c r="H393" s="18" t="s">
        <v>2048</v>
      </c>
    </row>
    <row r="394" customFormat="false" ht="15" hidden="false" customHeight="false" outlineLevel="0" collapsed="false">
      <c r="A394" s="18" t="s">
        <v>1080</v>
      </c>
      <c r="B394" s="18" t="s">
        <v>74</v>
      </c>
      <c r="C394" s="18" t="n">
        <v>290</v>
      </c>
      <c r="D394" s="19" t="n">
        <v>0</v>
      </c>
      <c r="E394" s="19" t="n">
        <v>391</v>
      </c>
      <c r="F394" s="19" t="n">
        <v>391</v>
      </c>
      <c r="G394" s="19" t="n">
        <v>0</v>
      </c>
      <c r="H394" s="18" t="s">
        <v>2048</v>
      </c>
    </row>
    <row r="395" customFormat="false" ht="15" hidden="false" customHeight="false" outlineLevel="0" collapsed="false">
      <c r="A395" s="18" t="s">
        <v>1082</v>
      </c>
      <c r="B395" s="18" t="s">
        <v>74</v>
      </c>
      <c r="C395" s="18" t="n">
        <v>291</v>
      </c>
      <c r="D395" s="19" t="n">
        <v>0</v>
      </c>
      <c r="E395" s="19" t="n">
        <v>34.5</v>
      </c>
      <c r="F395" s="19" t="n">
        <v>34.5</v>
      </c>
      <c r="G395" s="19" t="n">
        <v>0</v>
      </c>
      <c r="H395" s="18" t="s">
        <v>2048</v>
      </c>
    </row>
    <row r="396" customFormat="false" ht="15" hidden="false" customHeight="false" outlineLevel="0" collapsed="false">
      <c r="A396" s="18" t="s">
        <v>1083</v>
      </c>
      <c r="B396" s="18" t="s">
        <v>74</v>
      </c>
      <c r="C396" s="18" t="n">
        <v>292</v>
      </c>
      <c r="D396" s="19" t="n">
        <v>0</v>
      </c>
      <c r="E396" s="19" t="n">
        <v>345</v>
      </c>
      <c r="F396" s="19" t="n">
        <v>345</v>
      </c>
      <c r="G396" s="19" t="n">
        <v>0</v>
      </c>
      <c r="H396" s="18" t="s">
        <v>2048</v>
      </c>
    </row>
    <row r="397" customFormat="false" ht="15" hidden="false" customHeight="false" outlineLevel="0" collapsed="false">
      <c r="A397" s="18" t="s">
        <v>1084</v>
      </c>
      <c r="B397" s="18" t="s">
        <v>74</v>
      </c>
      <c r="C397" s="18" t="n">
        <v>293</v>
      </c>
      <c r="D397" s="19" t="n">
        <v>60.01</v>
      </c>
      <c r="E397" s="19" t="n">
        <v>0</v>
      </c>
      <c r="F397" s="19" t="n">
        <v>60.01</v>
      </c>
      <c r="G397" s="19" t="n">
        <v>0</v>
      </c>
      <c r="H397" s="18" t="s">
        <v>2048</v>
      </c>
    </row>
    <row r="398" customFormat="false" ht="15" hidden="false" customHeight="false" outlineLevel="0" collapsed="false">
      <c r="A398" s="18" t="s">
        <v>1086</v>
      </c>
      <c r="B398" s="18" t="s">
        <v>74</v>
      </c>
      <c r="C398" s="18" t="n">
        <v>294</v>
      </c>
      <c r="D398" s="19" t="n">
        <v>0</v>
      </c>
      <c r="E398" s="19" t="n">
        <v>30</v>
      </c>
      <c r="F398" s="19" t="n">
        <v>30</v>
      </c>
      <c r="G398" s="19" t="n">
        <v>0</v>
      </c>
      <c r="H398" s="18" t="s">
        <v>2048</v>
      </c>
    </row>
    <row r="399" customFormat="false" ht="15" hidden="false" customHeight="false" outlineLevel="0" collapsed="false">
      <c r="A399" s="18" t="s">
        <v>1087</v>
      </c>
      <c r="B399" s="18" t="s">
        <v>74</v>
      </c>
      <c r="C399" s="18" t="n">
        <v>295</v>
      </c>
      <c r="D399" s="19" t="n">
        <v>0</v>
      </c>
      <c r="E399" s="19" t="n">
        <v>34.5</v>
      </c>
      <c r="F399" s="19" t="n">
        <v>34.5</v>
      </c>
      <c r="G399" s="19" t="n">
        <v>0</v>
      </c>
      <c r="H399" s="18" t="s">
        <v>2048</v>
      </c>
    </row>
    <row r="400" customFormat="false" ht="15" hidden="false" customHeight="false" outlineLevel="0" collapsed="false">
      <c r="A400" s="18" t="s">
        <v>1088</v>
      </c>
      <c r="B400" s="18" t="s">
        <v>74</v>
      </c>
      <c r="C400" s="18" t="n">
        <v>296</v>
      </c>
      <c r="D400" s="19" t="n">
        <v>-150</v>
      </c>
      <c r="E400" s="19" t="n">
        <v>21514.2</v>
      </c>
      <c r="F400" s="19" t="n">
        <v>21364.2</v>
      </c>
      <c r="G400" s="19" t="n">
        <v>0</v>
      </c>
      <c r="H400" s="18" t="s">
        <v>2048</v>
      </c>
    </row>
    <row r="401" customFormat="false" ht="15" hidden="false" customHeight="false" outlineLevel="0" collapsed="false">
      <c r="A401" s="18" t="s">
        <v>1090</v>
      </c>
      <c r="B401" s="18" t="s">
        <v>74</v>
      </c>
      <c r="C401" s="18" t="n">
        <v>297</v>
      </c>
      <c r="D401" s="19" t="n">
        <v>-400</v>
      </c>
      <c r="E401" s="19" t="n">
        <v>400</v>
      </c>
      <c r="F401" s="19" t="n">
        <v>0</v>
      </c>
      <c r="G401" s="19" t="n">
        <v>0</v>
      </c>
      <c r="H401" s="18" t="s">
        <v>2048</v>
      </c>
    </row>
    <row r="402" customFormat="false" ht="15" hidden="false" customHeight="false" outlineLevel="0" collapsed="false">
      <c r="A402" s="18" t="s">
        <v>1092</v>
      </c>
      <c r="B402" s="18" t="s">
        <v>74</v>
      </c>
      <c r="C402" s="18" t="n">
        <v>298</v>
      </c>
      <c r="D402" s="19" t="n">
        <v>975</v>
      </c>
      <c r="E402" s="19" t="n">
        <v>0</v>
      </c>
      <c r="F402" s="19" t="n">
        <v>975</v>
      </c>
      <c r="G402" s="19" t="n">
        <v>0</v>
      </c>
      <c r="H402" s="18" t="s">
        <v>2048</v>
      </c>
    </row>
    <row r="403" customFormat="false" ht="15" hidden="false" customHeight="false" outlineLevel="0" collapsed="false">
      <c r="A403" s="18" t="s">
        <v>1094</v>
      </c>
      <c r="B403" s="18" t="s">
        <v>74</v>
      </c>
      <c r="C403" s="18" t="n">
        <v>299</v>
      </c>
      <c r="D403" s="19" t="n">
        <v>0</v>
      </c>
      <c r="E403" s="19" t="n">
        <v>5364.75</v>
      </c>
      <c r="F403" s="19" t="n">
        <v>5364.75</v>
      </c>
      <c r="G403" s="19" t="n">
        <v>0</v>
      </c>
      <c r="H403" s="18" t="s">
        <v>2048</v>
      </c>
    </row>
    <row r="404" customFormat="false" ht="15" hidden="false" customHeight="false" outlineLevel="0" collapsed="false">
      <c r="A404" s="18" t="s">
        <v>1096</v>
      </c>
      <c r="B404" s="18" t="s">
        <v>74</v>
      </c>
      <c r="C404" s="18" t="n">
        <v>300</v>
      </c>
      <c r="D404" s="19" t="n">
        <v>0</v>
      </c>
      <c r="E404" s="19" t="n">
        <v>2208</v>
      </c>
      <c r="F404" s="19" t="n">
        <v>2208</v>
      </c>
      <c r="G404" s="19" t="n">
        <v>0</v>
      </c>
      <c r="H404" s="18" t="s">
        <v>2048</v>
      </c>
    </row>
    <row r="405" customFormat="false" ht="15" hidden="false" customHeight="false" outlineLevel="0" collapsed="false">
      <c r="A405" s="18" t="s">
        <v>1098</v>
      </c>
      <c r="B405" s="18" t="s">
        <v>74</v>
      </c>
      <c r="C405" s="18" t="n">
        <v>302</v>
      </c>
      <c r="D405" s="19" t="n">
        <v>187.05</v>
      </c>
      <c r="E405" s="19" t="n">
        <v>200</v>
      </c>
      <c r="F405" s="19" t="n">
        <v>387.05</v>
      </c>
      <c r="G405" s="19" t="n">
        <v>0</v>
      </c>
      <c r="H405" s="18" t="s">
        <v>2048</v>
      </c>
    </row>
    <row r="406" customFormat="false" ht="15" hidden="false" customHeight="false" outlineLevel="0" collapsed="false">
      <c r="A406" s="18" t="s">
        <v>1100</v>
      </c>
      <c r="B406" s="18" t="s">
        <v>74</v>
      </c>
      <c r="C406" s="18" t="n">
        <v>303</v>
      </c>
      <c r="D406" s="19" t="n">
        <v>0</v>
      </c>
      <c r="E406" s="19" t="n">
        <v>1745.2</v>
      </c>
      <c r="F406" s="19" t="n">
        <v>1745.2</v>
      </c>
      <c r="G406" s="19" t="n">
        <v>0</v>
      </c>
      <c r="H406" s="18" t="s">
        <v>2048</v>
      </c>
    </row>
    <row r="407" customFormat="false" ht="15" hidden="false" customHeight="false" outlineLevel="0" collapsed="false">
      <c r="A407" s="18" t="s">
        <v>1102</v>
      </c>
      <c r="B407" s="18" t="s">
        <v>74</v>
      </c>
      <c r="C407" s="18" t="n">
        <v>304</v>
      </c>
      <c r="D407" s="19" t="n">
        <v>0</v>
      </c>
      <c r="E407" s="19" t="n">
        <v>207</v>
      </c>
      <c r="F407" s="19" t="n">
        <v>207</v>
      </c>
      <c r="G407" s="19" t="n">
        <v>0</v>
      </c>
      <c r="H407" s="18" t="s">
        <v>2048</v>
      </c>
    </row>
    <row r="408" customFormat="false" ht="15" hidden="false" customHeight="false" outlineLevel="0" collapsed="false">
      <c r="A408" s="18" t="s">
        <v>1104</v>
      </c>
      <c r="B408" s="18" t="s">
        <v>74</v>
      </c>
      <c r="C408" s="18" t="n">
        <v>305</v>
      </c>
      <c r="D408" s="19" t="n">
        <v>0</v>
      </c>
      <c r="E408" s="19" t="n">
        <v>98.9</v>
      </c>
      <c r="F408" s="19" t="n">
        <v>98.9</v>
      </c>
      <c r="G408" s="19" t="n">
        <v>0</v>
      </c>
      <c r="H408" s="18" t="s">
        <v>2048</v>
      </c>
    </row>
    <row r="409" customFormat="false" ht="15" hidden="false" customHeight="false" outlineLevel="0" collapsed="false">
      <c r="A409" s="18" t="s">
        <v>1106</v>
      </c>
      <c r="B409" s="18" t="s">
        <v>74</v>
      </c>
      <c r="C409" s="18" t="n">
        <v>306</v>
      </c>
      <c r="D409" s="19" t="n">
        <v>-500</v>
      </c>
      <c r="E409" s="19" t="n">
        <v>500</v>
      </c>
      <c r="F409" s="19" t="n">
        <v>0</v>
      </c>
      <c r="G409" s="19" t="n">
        <v>0</v>
      </c>
      <c r="H409" s="18" t="s">
        <v>2048</v>
      </c>
    </row>
    <row r="410" customFormat="false" ht="15" hidden="false" customHeight="false" outlineLevel="0" collapsed="false">
      <c r="A410" s="18" t="s">
        <v>1107</v>
      </c>
      <c r="B410" s="18" t="s">
        <v>74</v>
      </c>
      <c r="C410" s="18" t="n">
        <v>307</v>
      </c>
      <c r="D410" s="19" t="n">
        <v>0</v>
      </c>
      <c r="E410" s="19" t="n">
        <v>2276</v>
      </c>
      <c r="F410" s="19" t="n">
        <v>2276</v>
      </c>
      <c r="G410" s="19" t="n">
        <v>0</v>
      </c>
      <c r="H410" s="18" t="s">
        <v>2048</v>
      </c>
    </row>
    <row r="411" customFormat="false" ht="15" hidden="false" customHeight="false" outlineLevel="0" collapsed="false">
      <c r="A411" s="18" t="s">
        <v>1109</v>
      </c>
      <c r="B411" s="18" t="s">
        <v>74</v>
      </c>
      <c r="C411" s="18" t="n">
        <v>308</v>
      </c>
      <c r="D411" s="19" t="n">
        <v>0</v>
      </c>
      <c r="E411" s="19" t="n">
        <v>874</v>
      </c>
      <c r="F411" s="19" t="n">
        <v>874</v>
      </c>
      <c r="G411" s="19" t="n">
        <v>0</v>
      </c>
      <c r="H411" s="18" t="s">
        <v>2048</v>
      </c>
    </row>
    <row r="412" customFormat="false" ht="15" hidden="false" customHeight="false" outlineLevel="0" collapsed="false">
      <c r="A412" s="18" t="s">
        <v>1111</v>
      </c>
      <c r="B412" s="18" t="s">
        <v>74</v>
      </c>
      <c r="C412" s="18" t="n">
        <v>309</v>
      </c>
      <c r="D412" s="19" t="n">
        <v>0</v>
      </c>
      <c r="E412" s="19" t="n">
        <v>12282</v>
      </c>
      <c r="F412" s="19" t="n">
        <v>12282</v>
      </c>
      <c r="G412" s="19" t="n">
        <v>0</v>
      </c>
      <c r="H412" s="18" t="s">
        <v>2048</v>
      </c>
    </row>
    <row r="413" customFormat="false" ht="15" hidden="false" customHeight="false" outlineLevel="0" collapsed="false">
      <c r="A413" s="18" t="s">
        <v>1113</v>
      </c>
      <c r="B413" s="18" t="s">
        <v>74</v>
      </c>
      <c r="C413" s="18" t="n">
        <v>310</v>
      </c>
      <c r="D413" s="19" t="n">
        <v>-100</v>
      </c>
      <c r="E413" s="19" t="n">
        <v>100</v>
      </c>
      <c r="F413" s="19" t="n">
        <v>0</v>
      </c>
      <c r="G413" s="19" t="n">
        <v>0</v>
      </c>
      <c r="H413" s="18" t="s">
        <v>2048</v>
      </c>
    </row>
    <row r="414" customFormat="false" ht="15" hidden="false" customHeight="false" outlineLevel="0" collapsed="false">
      <c r="A414" s="18" t="s">
        <v>1114</v>
      </c>
      <c r="B414" s="18" t="s">
        <v>74</v>
      </c>
      <c r="C414" s="18" t="n">
        <v>311</v>
      </c>
      <c r="D414" s="19" t="n">
        <v>0</v>
      </c>
      <c r="E414" s="19" t="n">
        <v>4054</v>
      </c>
      <c r="F414" s="19" t="n">
        <v>4054</v>
      </c>
      <c r="G414" s="19" t="n">
        <v>0</v>
      </c>
      <c r="H414" s="18" t="s">
        <v>2048</v>
      </c>
    </row>
    <row r="415" customFormat="false" ht="15" hidden="false" customHeight="false" outlineLevel="0" collapsed="false">
      <c r="A415" s="18" t="s">
        <v>1116</v>
      </c>
      <c r="B415" s="18" t="s">
        <v>74</v>
      </c>
      <c r="C415" s="18" t="n">
        <v>312</v>
      </c>
      <c r="D415" s="19" t="n">
        <v>-50</v>
      </c>
      <c r="E415" s="19" t="n">
        <v>50</v>
      </c>
      <c r="F415" s="19" t="n">
        <v>0</v>
      </c>
      <c r="G415" s="19" t="n">
        <v>0</v>
      </c>
      <c r="H415" s="18" t="s">
        <v>2048</v>
      </c>
    </row>
    <row r="416" customFormat="false" ht="15" hidden="false" customHeight="false" outlineLevel="0" collapsed="false">
      <c r="A416" s="18" t="s">
        <v>1118</v>
      </c>
      <c r="B416" s="18" t="s">
        <v>74</v>
      </c>
      <c r="C416" s="18" t="n">
        <v>313</v>
      </c>
      <c r="D416" s="19" t="n">
        <v>0</v>
      </c>
      <c r="E416" s="19" t="n">
        <v>34.5</v>
      </c>
      <c r="F416" s="19" t="n">
        <v>34.5</v>
      </c>
      <c r="G416" s="19" t="n">
        <v>0</v>
      </c>
      <c r="H416" s="18" t="s">
        <v>2048</v>
      </c>
    </row>
    <row r="417" customFormat="false" ht="15" hidden="false" customHeight="false" outlineLevel="0" collapsed="false">
      <c r="A417" s="18" t="s">
        <v>1119</v>
      </c>
      <c r="B417" s="18" t="s">
        <v>74</v>
      </c>
      <c r="C417" s="18" t="n">
        <v>314</v>
      </c>
      <c r="D417" s="19" t="n">
        <v>0</v>
      </c>
      <c r="E417" s="19" t="n">
        <v>960.25</v>
      </c>
      <c r="F417" s="19" t="n">
        <v>960.25</v>
      </c>
      <c r="G417" s="19" t="n">
        <v>0</v>
      </c>
      <c r="H417" s="18" t="s">
        <v>2048</v>
      </c>
    </row>
    <row r="418" customFormat="false" ht="15" hidden="false" customHeight="false" outlineLevel="0" collapsed="false">
      <c r="A418" s="18" t="s">
        <v>1121</v>
      </c>
      <c r="B418" s="18" t="s">
        <v>74</v>
      </c>
      <c r="C418" s="18" t="n">
        <v>315</v>
      </c>
      <c r="D418" s="19" t="n">
        <v>1173.5</v>
      </c>
      <c r="E418" s="19" t="n">
        <v>0</v>
      </c>
      <c r="F418" s="19" t="n">
        <v>1173.5</v>
      </c>
      <c r="G418" s="19" t="n">
        <v>0</v>
      </c>
      <c r="H418" s="18" t="s">
        <v>2048</v>
      </c>
    </row>
    <row r="419" customFormat="false" ht="15" hidden="false" customHeight="false" outlineLevel="0" collapsed="false">
      <c r="A419" s="18" t="s">
        <v>1123</v>
      </c>
      <c r="B419" s="18" t="s">
        <v>74</v>
      </c>
      <c r="C419" s="18" t="n">
        <v>316</v>
      </c>
      <c r="D419" s="19" t="n">
        <v>-100</v>
      </c>
      <c r="E419" s="19" t="n">
        <v>100</v>
      </c>
      <c r="F419" s="19" t="n">
        <v>0</v>
      </c>
      <c r="G419" s="19" t="n">
        <v>0</v>
      </c>
      <c r="H419" s="18" t="s">
        <v>2048</v>
      </c>
    </row>
    <row r="420" customFormat="false" ht="15" hidden="false" customHeight="false" outlineLevel="0" collapsed="false">
      <c r="A420" s="18" t="s">
        <v>1124</v>
      </c>
      <c r="B420" s="18" t="s">
        <v>74</v>
      </c>
      <c r="C420" s="18" t="n">
        <v>317</v>
      </c>
      <c r="D420" s="19" t="n">
        <v>2035.5</v>
      </c>
      <c r="E420" s="19" t="n">
        <v>0</v>
      </c>
      <c r="F420" s="19" t="n">
        <v>2035.5</v>
      </c>
      <c r="G420" s="19" t="n">
        <v>0</v>
      </c>
      <c r="H420" s="18" t="s">
        <v>2048</v>
      </c>
    </row>
    <row r="421" customFormat="false" ht="15" hidden="false" customHeight="false" outlineLevel="0" collapsed="false">
      <c r="A421" s="18" t="s">
        <v>1126</v>
      </c>
      <c r="B421" s="18" t="s">
        <v>74</v>
      </c>
      <c r="C421" s="18" t="n">
        <v>318</v>
      </c>
      <c r="D421" s="19" t="n">
        <v>0</v>
      </c>
      <c r="E421" s="19" t="n">
        <v>8308.75</v>
      </c>
      <c r="F421" s="19" t="n">
        <v>8308.75</v>
      </c>
      <c r="G421" s="19" t="n">
        <v>0</v>
      </c>
      <c r="H421" s="18" t="s">
        <v>2048</v>
      </c>
    </row>
    <row r="422" customFormat="false" ht="15" hidden="false" customHeight="false" outlineLevel="0" collapsed="false">
      <c r="A422" s="18" t="s">
        <v>1128</v>
      </c>
      <c r="B422" s="18" t="s">
        <v>74</v>
      </c>
      <c r="C422" s="18" t="n">
        <v>319</v>
      </c>
      <c r="D422" s="19" t="n">
        <v>0</v>
      </c>
      <c r="E422" s="19" t="n">
        <v>5429.8</v>
      </c>
      <c r="F422" s="19" t="n">
        <v>5429.8</v>
      </c>
      <c r="G422" s="19" t="n">
        <v>0</v>
      </c>
      <c r="H422" s="18" t="s">
        <v>2048</v>
      </c>
    </row>
    <row r="423" customFormat="false" ht="15" hidden="false" customHeight="false" outlineLevel="0" collapsed="false">
      <c r="A423" s="18" t="s">
        <v>1130</v>
      </c>
      <c r="B423" s="18" t="s">
        <v>74</v>
      </c>
      <c r="C423" s="18" t="n">
        <v>320</v>
      </c>
      <c r="D423" s="19" t="n">
        <v>0</v>
      </c>
      <c r="E423" s="19" t="n">
        <v>717.25</v>
      </c>
      <c r="F423" s="19" t="n">
        <v>717.25</v>
      </c>
      <c r="G423" s="19" t="n">
        <v>0</v>
      </c>
      <c r="H423" s="18" t="s">
        <v>2048</v>
      </c>
    </row>
    <row r="424" customFormat="false" ht="15" hidden="false" customHeight="false" outlineLevel="0" collapsed="false">
      <c r="A424" s="18" t="s">
        <v>1132</v>
      </c>
      <c r="B424" s="18" t="s">
        <v>74</v>
      </c>
      <c r="C424" s="18" t="n">
        <v>321</v>
      </c>
      <c r="D424" s="19" t="n">
        <v>0</v>
      </c>
      <c r="E424" s="19" t="n">
        <v>285</v>
      </c>
      <c r="F424" s="19" t="n">
        <v>285</v>
      </c>
      <c r="G424" s="19" t="n">
        <v>0</v>
      </c>
      <c r="H424" s="18" t="s">
        <v>2048</v>
      </c>
    </row>
    <row r="425" customFormat="false" ht="15" hidden="false" customHeight="false" outlineLevel="0" collapsed="false">
      <c r="A425" s="18" t="s">
        <v>1134</v>
      </c>
      <c r="B425" s="18" t="s">
        <v>74</v>
      </c>
      <c r="C425" s="18" t="n">
        <v>322</v>
      </c>
      <c r="D425" s="19" t="n">
        <v>100</v>
      </c>
      <c r="E425" s="19" t="n">
        <v>1550.2</v>
      </c>
      <c r="F425" s="19" t="n">
        <v>1650.2</v>
      </c>
      <c r="G425" s="19" t="n">
        <v>0</v>
      </c>
      <c r="H425" s="18" t="s">
        <v>2048</v>
      </c>
    </row>
    <row r="426" customFormat="false" ht="15" hidden="false" customHeight="false" outlineLevel="0" collapsed="false">
      <c r="A426" s="18" t="s">
        <v>1136</v>
      </c>
      <c r="B426" s="18" t="s">
        <v>74</v>
      </c>
      <c r="C426" s="18" t="n">
        <v>325</v>
      </c>
      <c r="D426" s="19" t="n">
        <v>292</v>
      </c>
      <c r="E426" s="19" t="n">
        <v>0</v>
      </c>
      <c r="F426" s="19" t="n">
        <v>292</v>
      </c>
      <c r="G426" s="19" t="n">
        <v>0</v>
      </c>
      <c r="H426" s="18" t="s">
        <v>2048</v>
      </c>
    </row>
    <row r="427" customFormat="false" ht="15" hidden="false" customHeight="false" outlineLevel="0" collapsed="false">
      <c r="A427" s="18" t="s">
        <v>1138</v>
      </c>
      <c r="B427" s="18" t="s">
        <v>74</v>
      </c>
      <c r="C427" s="18" t="n">
        <v>326</v>
      </c>
      <c r="D427" s="19" t="n">
        <v>0</v>
      </c>
      <c r="E427" s="19" t="n">
        <v>2597.5</v>
      </c>
      <c r="F427" s="19" t="n">
        <v>2597.5</v>
      </c>
      <c r="G427" s="19" t="n">
        <v>0</v>
      </c>
      <c r="H427" s="18" t="s">
        <v>2048</v>
      </c>
    </row>
    <row r="428" customFormat="false" ht="15" hidden="false" customHeight="false" outlineLevel="0" collapsed="false">
      <c r="A428" s="18" t="s">
        <v>1140</v>
      </c>
      <c r="B428" s="18" t="s">
        <v>74</v>
      </c>
      <c r="C428" s="18" t="n">
        <v>327</v>
      </c>
      <c r="D428" s="19" t="n">
        <v>0</v>
      </c>
      <c r="E428" s="19" t="n">
        <v>10465</v>
      </c>
      <c r="F428" s="19" t="n">
        <v>10465</v>
      </c>
      <c r="G428" s="19" t="n">
        <v>0</v>
      </c>
      <c r="H428" s="18" t="s">
        <v>2048</v>
      </c>
    </row>
    <row r="429" customFormat="false" ht="15" hidden="false" customHeight="false" outlineLevel="0" collapsed="false">
      <c r="A429" s="18" t="s">
        <v>1142</v>
      </c>
      <c r="B429" s="18" t="s">
        <v>74</v>
      </c>
      <c r="C429" s="18" t="n">
        <v>328</v>
      </c>
      <c r="D429" s="19" t="n">
        <v>0</v>
      </c>
      <c r="E429" s="19" t="n">
        <v>9775</v>
      </c>
      <c r="F429" s="19" t="n">
        <v>9775</v>
      </c>
      <c r="G429" s="19" t="n">
        <v>0</v>
      </c>
      <c r="H429" s="18" t="s">
        <v>2048</v>
      </c>
    </row>
    <row r="430" customFormat="false" ht="15" hidden="false" customHeight="false" outlineLevel="0" collapsed="false">
      <c r="A430" s="18" t="s">
        <v>1143</v>
      </c>
      <c r="B430" s="18" t="s">
        <v>74</v>
      </c>
      <c r="C430" s="18" t="n">
        <v>329</v>
      </c>
      <c r="D430" s="19" t="n">
        <v>0</v>
      </c>
      <c r="E430" s="19" t="n">
        <v>184</v>
      </c>
      <c r="F430" s="19" t="n">
        <v>184</v>
      </c>
      <c r="G430" s="19" t="n">
        <v>0</v>
      </c>
      <c r="H430" s="18" t="s">
        <v>2048</v>
      </c>
    </row>
    <row r="431" customFormat="false" ht="15" hidden="false" customHeight="false" outlineLevel="0" collapsed="false">
      <c r="A431" s="18" t="s">
        <v>1145</v>
      </c>
      <c r="B431" s="18" t="s">
        <v>74</v>
      </c>
      <c r="C431" s="18" t="n">
        <v>330</v>
      </c>
      <c r="D431" s="19" t="n">
        <v>0</v>
      </c>
      <c r="E431" s="19" t="n">
        <v>184</v>
      </c>
      <c r="F431" s="19" t="n">
        <v>184</v>
      </c>
      <c r="G431" s="19" t="n">
        <v>0</v>
      </c>
      <c r="H431" s="18" t="s">
        <v>2048</v>
      </c>
    </row>
    <row r="432" customFormat="false" ht="15" hidden="false" customHeight="false" outlineLevel="0" collapsed="false">
      <c r="A432" s="18" t="s">
        <v>1146</v>
      </c>
      <c r="B432" s="18" t="s">
        <v>74</v>
      </c>
      <c r="C432" s="18" t="n">
        <v>331</v>
      </c>
      <c r="D432" s="19" t="n">
        <v>0</v>
      </c>
      <c r="E432" s="19" t="n">
        <v>422</v>
      </c>
      <c r="F432" s="19" t="n">
        <v>422</v>
      </c>
      <c r="G432" s="19" t="n">
        <v>0</v>
      </c>
      <c r="H432" s="18" t="s">
        <v>2048</v>
      </c>
    </row>
    <row r="433" customFormat="false" ht="15" hidden="false" customHeight="false" outlineLevel="0" collapsed="false">
      <c r="A433" s="18" t="s">
        <v>1148</v>
      </c>
      <c r="B433" s="18" t="s">
        <v>74</v>
      </c>
      <c r="C433" s="18" t="n">
        <v>332</v>
      </c>
      <c r="D433" s="19" t="n">
        <v>0</v>
      </c>
      <c r="E433" s="19" t="n">
        <v>36359.19</v>
      </c>
      <c r="F433" s="19" t="n">
        <v>36359.19</v>
      </c>
      <c r="G433" s="19" t="n">
        <v>0</v>
      </c>
      <c r="H433" s="18" t="s">
        <v>2048</v>
      </c>
    </row>
    <row r="434" customFormat="false" ht="15" hidden="false" customHeight="false" outlineLevel="0" collapsed="false">
      <c r="A434" s="18" t="s">
        <v>1150</v>
      </c>
      <c r="B434" s="18" t="s">
        <v>74</v>
      </c>
      <c r="C434" s="18" t="n">
        <v>333</v>
      </c>
      <c r="D434" s="19" t="n">
        <v>0</v>
      </c>
      <c r="E434" s="19" t="n">
        <v>523.25</v>
      </c>
      <c r="F434" s="19" t="n">
        <v>523.25</v>
      </c>
      <c r="G434" s="19" t="n">
        <v>0</v>
      </c>
      <c r="H434" s="18" t="s">
        <v>2048</v>
      </c>
    </row>
    <row r="435" customFormat="false" ht="15" hidden="false" customHeight="false" outlineLevel="0" collapsed="false">
      <c r="A435" s="18" t="s">
        <v>1152</v>
      </c>
      <c r="B435" s="18" t="s">
        <v>74</v>
      </c>
      <c r="C435" s="18" t="n">
        <v>334</v>
      </c>
      <c r="D435" s="19" t="n">
        <v>0</v>
      </c>
      <c r="E435" s="19" t="n">
        <v>136.85</v>
      </c>
      <c r="F435" s="19" t="n">
        <v>136.85</v>
      </c>
      <c r="G435" s="19" t="n">
        <v>0</v>
      </c>
      <c r="H435" s="18" t="s">
        <v>2048</v>
      </c>
    </row>
    <row r="436" customFormat="false" ht="15" hidden="false" customHeight="false" outlineLevel="0" collapsed="false">
      <c r="A436" s="18" t="s">
        <v>1154</v>
      </c>
      <c r="B436" s="18" t="s">
        <v>74</v>
      </c>
      <c r="C436" s="18" t="n">
        <v>335</v>
      </c>
      <c r="D436" s="19" t="n">
        <v>0</v>
      </c>
      <c r="E436" s="19" t="n">
        <v>2426.5</v>
      </c>
      <c r="F436" s="19" t="n">
        <v>2426.5</v>
      </c>
      <c r="G436" s="19" t="n">
        <v>0</v>
      </c>
      <c r="H436" s="18" t="s">
        <v>2048</v>
      </c>
    </row>
    <row r="437" customFormat="false" ht="15" hidden="false" customHeight="false" outlineLevel="0" collapsed="false">
      <c r="A437" s="18" t="s">
        <v>1156</v>
      </c>
      <c r="B437" s="18" t="s">
        <v>74</v>
      </c>
      <c r="C437" s="18" t="n">
        <v>336</v>
      </c>
      <c r="D437" s="19" t="n">
        <v>0</v>
      </c>
      <c r="E437" s="19" t="n">
        <v>1104</v>
      </c>
      <c r="F437" s="19" t="n">
        <v>1104</v>
      </c>
      <c r="G437" s="19" t="n">
        <v>0</v>
      </c>
      <c r="H437" s="18" t="s">
        <v>2048</v>
      </c>
    </row>
    <row r="438" customFormat="false" ht="15" hidden="false" customHeight="false" outlineLevel="0" collapsed="false">
      <c r="A438" s="18" t="s">
        <v>1158</v>
      </c>
      <c r="B438" s="18" t="s">
        <v>74</v>
      </c>
      <c r="C438" s="18" t="n">
        <v>337</v>
      </c>
      <c r="D438" s="19" t="n">
        <v>0</v>
      </c>
      <c r="E438" s="19" t="n">
        <v>69</v>
      </c>
      <c r="F438" s="19" t="n">
        <v>69</v>
      </c>
      <c r="G438" s="19" t="n">
        <v>0</v>
      </c>
      <c r="H438" s="18" t="s">
        <v>2048</v>
      </c>
    </row>
    <row r="439" customFormat="false" ht="15" hidden="false" customHeight="false" outlineLevel="0" collapsed="false">
      <c r="A439" s="18" t="s">
        <v>1160</v>
      </c>
      <c r="B439" s="18" t="s">
        <v>74</v>
      </c>
      <c r="C439" s="18" t="n">
        <v>338</v>
      </c>
      <c r="D439" s="19" t="n">
        <v>1437.5</v>
      </c>
      <c r="E439" s="19" t="n">
        <v>0</v>
      </c>
      <c r="F439" s="19" t="n">
        <v>1437.5</v>
      </c>
      <c r="G439" s="19" t="n">
        <v>0</v>
      </c>
      <c r="H439" s="18" t="s">
        <v>2048</v>
      </c>
    </row>
    <row r="440" customFormat="false" ht="15" hidden="false" customHeight="false" outlineLevel="0" collapsed="false">
      <c r="A440" s="18" t="s">
        <v>1162</v>
      </c>
      <c r="B440" s="18" t="s">
        <v>74</v>
      </c>
      <c r="C440" s="18" t="n">
        <v>339</v>
      </c>
      <c r="D440" s="19" t="n">
        <v>0</v>
      </c>
      <c r="E440" s="19" t="n">
        <v>696</v>
      </c>
      <c r="F440" s="19" t="n">
        <v>696</v>
      </c>
      <c r="G440" s="19" t="n">
        <v>0</v>
      </c>
      <c r="H440" s="18" t="s">
        <v>2048</v>
      </c>
    </row>
    <row r="441" customFormat="false" ht="15" hidden="false" customHeight="false" outlineLevel="0" collapsed="false">
      <c r="A441" s="18" t="s">
        <v>1164</v>
      </c>
      <c r="B441" s="18" t="s">
        <v>74</v>
      </c>
      <c r="C441" s="18" t="n">
        <v>340</v>
      </c>
      <c r="D441" s="19" t="n">
        <v>0</v>
      </c>
      <c r="E441" s="19" t="n">
        <v>1078</v>
      </c>
      <c r="F441" s="19" t="n">
        <v>1078</v>
      </c>
      <c r="G441" s="19" t="n">
        <v>0</v>
      </c>
      <c r="H441" s="18" t="s">
        <v>2048</v>
      </c>
    </row>
    <row r="442" customFormat="false" ht="15" hidden="false" customHeight="false" outlineLevel="0" collapsed="false">
      <c r="A442" s="18" t="s">
        <v>1166</v>
      </c>
      <c r="B442" s="18" t="s">
        <v>74</v>
      </c>
      <c r="C442" s="18" t="n">
        <v>341</v>
      </c>
      <c r="D442" s="19" t="n">
        <v>13226.15</v>
      </c>
      <c r="E442" s="19" t="n">
        <v>16519.75</v>
      </c>
      <c r="F442" s="19" t="n">
        <v>29745.9</v>
      </c>
      <c r="G442" s="19" t="n">
        <v>0</v>
      </c>
      <c r="H442" s="18" t="s">
        <v>2048</v>
      </c>
    </row>
    <row r="443" customFormat="false" ht="15" hidden="false" customHeight="false" outlineLevel="0" collapsed="false">
      <c r="A443" s="18" t="s">
        <v>1168</v>
      </c>
      <c r="B443" s="18" t="s">
        <v>74</v>
      </c>
      <c r="C443" s="18" t="n">
        <v>342</v>
      </c>
      <c r="D443" s="19" t="n">
        <v>0</v>
      </c>
      <c r="E443" s="19" t="n">
        <v>11339</v>
      </c>
      <c r="F443" s="19" t="n">
        <v>11339</v>
      </c>
      <c r="G443" s="19" t="n">
        <v>0</v>
      </c>
      <c r="H443" s="18" t="s">
        <v>2048</v>
      </c>
    </row>
    <row r="444" customFormat="false" ht="15" hidden="false" customHeight="false" outlineLevel="0" collapsed="false">
      <c r="A444" s="18" t="s">
        <v>1170</v>
      </c>
      <c r="B444" s="18" t="s">
        <v>74</v>
      </c>
      <c r="C444" s="18" t="n">
        <v>343</v>
      </c>
      <c r="D444" s="19" t="n">
        <v>0</v>
      </c>
      <c r="E444" s="19" t="n">
        <v>1000</v>
      </c>
      <c r="F444" s="19" t="n">
        <v>1000</v>
      </c>
      <c r="G444" s="19" t="n">
        <v>0</v>
      </c>
      <c r="H444" s="18" t="s">
        <v>2048</v>
      </c>
    </row>
    <row r="445" customFormat="false" ht="15" hidden="false" customHeight="false" outlineLevel="0" collapsed="false">
      <c r="A445" s="18" t="s">
        <v>1172</v>
      </c>
      <c r="B445" s="18" t="s">
        <v>74</v>
      </c>
      <c r="C445" s="18" t="n">
        <v>344</v>
      </c>
      <c r="D445" s="19" t="n">
        <v>0</v>
      </c>
      <c r="E445" s="19" t="n">
        <v>151.8</v>
      </c>
      <c r="F445" s="19" t="n">
        <v>151.8</v>
      </c>
      <c r="G445" s="19" t="n">
        <v>0</v>
      </c>
      <c r="H445" s="18" t="s">
        <v>2048</v>
      </c>
    </row>
    <row r="446" customFormat="false" ht="15" hidden="false" customHeight="false" outlineLevel="0" collapsed="false">
      <c r="A446" s="18" t="s">
        <v>1174</v>
      </c>
      <c r="B446" s="18" t="s">
        <v>74</v>
      </c>
      <c r="C446" s="18" t="n">
        <v>345</v>
      </c>
      <c r="D446" s="19" t="n">
        <v>-100</v>
      </c>
      <c r="E446" s="19" t="n">
        <v>100</v>
      </c>
      <c r="F446" s="19" t="n">
        <v>0</v>
      </c>
      <c r="G446" s="19" t="n">
        <v>0</v>
      </c>
      <c r="H446" s="18" t="s">
        <v>2048</v>
      </c>
    </row>
    <row r="447" customFormat="false" ht="15" hidden="false" customHeight="false" outlineLevel="0" collapsed="false">
      <c r="A447" s="18" t="s">
        <v>1175</v>
      </c>
      <c r="B447" s="18" t="s">
        <v>74</v>
      </c>
      <c r="C447" s="18" t="n">
        <v>346</v>
      </c>
      <c r="D447" s="19" t="n">
        <v>2219.5</v>
      </c>
      <c r="E447" s="19" t="n">
        <v>241.5</v>
      </c>
      <c r="F447" s="19" t="n">
        <v>2461</v>
      </c>
      <c r="G447" s="19" t="n">
        <v>0</v>
      </c>
      <c r="H447" s="18" t="s">
        <v>2048</v>
      </c>
    </row>
    <row r="448" customFormat="false" ht="15" hidden="false" customHeight="false" outlineLevel="0" collapsed="false">
      <c r="A448" s="18" t="s">
        <v>1177</v>
      </c>
      <c r="B448" s="18" t="s">
        <v>74</v>
      </c>
      <c r="C448" s="18" t="n">
        <v>347</v>
      </c>
      <c r="D448" s="19" t="n">
        <v>0</v>
      </c>
      <c r="E448" s="19" t="n">
        <v>5675.25</v>
      </c>
      <c r="F448" s="19" t="n">
        <v>5675.25</v>
      </c>
      <c r="G448" s="19" t="n">
        <v>0</v>
      </c>
      <c r="H448" s="18" t="s">
        <v>2048</v>
      </c>
    </row>
    <row r="449" customFormat="false" ht="15" hidden="false" customHeight="false" outlineLevel="0" collapsed="false">
      <c r="A449" s="18" t="s">
        <v>1179</v>
      </c>
      <c r="B449" s="18" t="s">
        <v>74</v>
      </c>
      <c r="C449" s="18" t="n">
        <v>348</v>
      </c>
      <c r="D449" s="19" t="n">
        <v>50</v>
      </c>
      <c r="E449" s="19" t="n">
        <v>0</v>
      </c>
      <c r="F449" s="19" t="n">
        <v>50</v>
      </c>
      <c r="G449" s="19" t="n">
        <v>0</v>
      </c>
      <c r="H449" s="18" t="s">
        <v>2048</v>
      </c>
    </row>
    <row r="450" customFormat="false" ht="15" hidden="false" customHeight="false" outlineLevel="0" collapsed="false">
      <c r="A450" s="18" t="s">
        <v>1180</v>
      </c>
      <c r="B450" s="18" t="s">
        <v>74</v>
      </c>
      <c r="C450" s="18" t="n">
        <v>349</v>
      </c>
      <c r="D450" s="19" t="n">
        <v>-100</v>
      </c>
      <c r="E450" s="19" t="n">
        <v>100</v>
      </c>
      <c r="F450" s="19" t="n">
        <v>0</v>
      </c>
      <c r="G450" s="19" t="n">
        <v>0</v>
      </c>
      <c r="H450" s="18" t="s">
        <v>2048</v>
      </c>
    </row>
    <row r="451" customFormat="false" ht="15" hidden="false" customHeight="false" outlineLevel="0" collapsed="false">
      <c r="A451" s="18" t="s">
        <v>1181</v>
      </c>
      <c r="B451" s="18" t="s">
        <v>74</v>
      </c>
      <c r="C451" s="18" t="n">
        <v>350</v>
      </c>
      <c r="D451" s="19" t="n">
        <v>0</v>
      </c>
      <c r="E451" s="19" t="n">
        <v>7245</v>
      </c>
      <c r="F451" s="19" t="n">
        <v>7245</v>
      </c>
      <c r="G451" s="19" t="n">
        <v>0</v>
      </c>
      <c r="H451" s="18" t="s">
        <v>2048</v>
      </c>
    </row>
    <row r="452" customFormat="false" ht="15" hidden="false" customHeight="false" outlineLevel="0" collapsed="false">
      <c r="A452" s="18" t="s">
        <v>1183</v>
      </c>
      <c r="B452" s="18" t="s">
        <v>74</v>
      </c>
      <c r="C452" s="18" t="n">
        <v>351</v>
      </c>
      <c r="D452" s="19" t="n">
        <v>0</v>
      </c>
      <c r="E452" s="19" t="n">
        <v>1029</v>
      </c>
      <c r="F452" s="19" t="n">
        <v>1029</v>
      </c>
      <c r="G452" s="19" t="n">
        <v>0</v>
      </c>
      <c r="H452" s="18" t="s">
        <v>2048</v>
      </c>
    </row>
    <row r="453" customFormat="false" ht="15" hidden="false" customHeight="false" outlineLevel="0" collapsed="false">
      <c r="A453" s="18" t="s">
        <v>1185</v>
      </c>
      <c r="B453" s="18" t="s">
        <v>74</v>
      </c>
      <c r="C453" s="18" t="n">
        <v>353</v>
      </c>
      <c r="D453" s="19" t="n">
        <v>0</v>
      </c>
      <c r="E453" s="19" t="n">
        <v>1201.75</v>
      </c>
      <c r="F453" s="19" t="n">
        <v>1201.75</v>
      </c>
      <c r="G453" s="19" t="n">
        <v>0</v>
      </c>
      <c r="H453" s="18" t="s">
        <v>2048</v>
      </c>
    </row>
    <row r="454" customFormat="false" ht="15" hidden="false" customHeight="false" outlineLevel="0" collapsed="false">
      <c r="A454" s="18" t="s">
        <v>1187</v>
      </c>
      <c r="B454" s="18" t="s">
        <v>74</v>
      </c>
      <c r="C454" s="18" t="n">
        <v>354</v>
      </c>
      <c r="D454" s="19" t="n">
        <v>-90</v>
      </c>
      <c r="E454" s="19" t="n">
        <v>90</v>
      </c>
      <c r="F454" s="19" t="n">
        <v>0</v>
      </c>
      <c r="G454" s="19" t="n">
        <v>0</v>
      </c>
      <c r="H454" s="18" t="s">
        <v>2048</v>
      </c>
    </row>
    <row r="455" customFormat="false" ht="15" hidden="false" customHeight="false" outlineLevel="0" collapsed="false">
      <c r="A455" s="18" t="s">
        <v>1189</v>
      </c>
      <c r="B455" s="18" t="s">
        <v>74</v>
      </c>
      <c r="C455" s="18" t="n">
        <v>355</v>
      </c>
      <c r="D455" s="19" t="n">
        <v>0</v>
      </c>
      <c r="E455" s="19" t="n">
        <v>253</v>
      </c>
      <c r="F455" s="19" t="n">
        <v>253</v>
      </c>
      <c r="G455" s="19" t="n">
        <v>0</v>
      </c>
      <c r="H455" s="18" t="s">
        <v>2048</v>
      </c>
    </row>
    <row r="456" customFormat="false" ht="15" hidden="false" customHeight="false" outlineLevel="0" collapsed="false">
      <c r="A456" s="18" t="s">
        <v>1191</v>
      </c>
      <c r="B456" s="18" t="s">
        <v>74</v>
      </c>
      <c r="C456" s="18" t="n">
        <v>356</v>
      </c>
      <c r="D456" s="19" t="n">
        <v>483</v>
      </c>
      <c r="E456" s="19" t="n">
        <v>0</v>
      </c>
      <c r="F456" s="19" t="n">
        <v>483</v>
      </c>
      <c r="G456" s="19" t="n">
        <v>0</v>
      </c>
      <c r="H456" s="18" t="s">
        <v>2048</v>
      </c>
    </row>
    <row r="457" customFormat="false" ht="15" hidden="false" customHeight="false" outlineLevel="0" collapsed="false">
      <c r="A457" s="18" t="s">
        <v>1193</v>
      </c>
      <c r="B457" s="18" t="s">
        <v>74</v>
      </c>
      <c r="C457" s="18" t="n">
        <v>357</v>
      </c>
      <c r="D457" s="19" t="n">
        <v>-1000</v>
      </c>
      <c r="E457" s="19" t="n">
        <v>1000</v>
      </c>
      <c r="F457" s="19" t="n">
        <v>0</v>
      </c>
      <c r="G457" s="19" t="n">
        <v>0</v>
      </c>
      <c r="H457" s="18" t="s">
        <v>2048</v>
      </c>
    </row>
    <row r="458" customFormat="false" ht="15" hidden="false" customHeight="false" outlineLevel="0" collapsed="false">
      <c r="A458" s="18" t="s">
        <v>1194</v>
      </c>
      <c r="B458" s="18" t="s">
        <v>74</v>
      </c>
      <c r="C458" s="18" t="n">
        <v>358</v>
      </c>
      <c r="D458" s="19" t="n">
        <v>0</v>
      </c>
      <c r="E458" s="19" t="n">
        <v>115</v>
      </c>
      <c r="F458" s="19" t="n">
        <v>115</v>
      </c>
      <c r="G458" s="19" t="n">
        <v>0</v>
      </c>
      <c r="H458" s="18" t="s">
        <v>2048</v>
      </c>
    </row>
    <row r="459" customFormat="false" ht="15" hidden="false" customHeight="false" outlineLevel="0" collapsed="false">
      <c r="A459" s="18" t="s">
        <v>1195</v>
      </c>
      <c r="B459" s="18" t="s">
        <v>74</v>
      </c>
      <c r="C459" s="18" t="n">
        <v>359</v>
      </c>
      <c r="D459" s="19" t="n">
        <v>1</v>
      </c>
      <c r="E459" s="19" t="n">
        <v>0</v>
      </c>
      <c r="F459" s="19" t="n">
        <v>1</v>
      </c>
      <c r="G459" s="19" t="n">
        <v>0</v>
      </c>
      <c r="H459" s="18" t="s">
        <v>2048</v>
      </c>
    </row>
    <row r="460" customFormat="false" ht="15" hidden="false" customHeight="false" outlineLevel="0" collapsed="false">
      <c r="A460" s="18" t="s">
        <v>1197</v>
      </c>
      <c r="B460" s="18" t="s">
        <v>74</v>
      </c>
      <c r="C460" s="18" t="n">
        <v>360</v>
      </c>
      <c r="D460" s="19" t="n">
        <v>0</v>
      </c>
      <c r="E460" s="19" t="n">
        <v>53751</v>
      </c>
      <c r="F460" s="19" t="n">
        <v>53751</v>
      </c>
      <c r="G460" s="19" t="n">
        <v>0</v>
      </c>
      <c r="H460" s="18" t="s">
        <v>2048</v>
      </c>
    </row>
    <row r="461" customFormat="false" ht="15" hidden="false" customHeight="false" outlineLevel="0" collapsed="false">
      <c r="A461" s="18" t="s">
        <v>1199</v>
      </c>
      <c r="B461" s="18" t="s">
        <v>74</v>
      </c>
      <c r="C461" s="18" t="n">
        <v>361</v>
      </c>
      <c r="D461" s="19" t="n">
        <v>0</v>
      </c>
      <c r="E461" s="19" t="n">
        <v>115</v>
      </c>
      <c r="F461" s="19" t="n">
        <v>115</v>
      </c>
      <c r="G461" s="19" t="n">
        <v>0</v>
      </c>
      <c r="H461" s="18" t="s">
        <v>2048</v>
      </c>
    </row>
    <row r="462" customFormat="false" ht="15" hidden="false" customHeight="false" outlineLevel="0" collapsed="false">
      <c r="A462" s="18" t="s">
        <v>1200</v>
      </c>
      <c r="B462" s="18" t="s">
        <v>74</v>
      </c>
      <c r="C462" s="18" t="n">
        <v>362</v>
      </c>
      <c r="D462" s="19" t="n">
        <v>0</v>
      </c>
      <c r="E462" s="19" t="n">
        <v>18980.01</v>
      </c>
      <c r="F462" s="19" t="n">
        <v>18980.01</v>
      </c>
      <c r="G462" s="19" t="n">
        <v>0</v>
      </c>
      <c r="H462" s="18" t="s">
        <v>2048</v>
      </c>
    </row>
    <row r="463" customFormat="false" ht="15" hidden="false" customHeight="false" outlineLevel="0" collapsed="false">
      <c r="A463" s="18" t="s">
        <v>1202</v>
      </c>
      <c r="B463" s="18" t="s">
        <v>74</v>
      </c>
      <c r="C463" s="18" t="n">
        <v>364</v>
      </c>
      <c r="D463" s="19" t="n">
        <v>0</v>
      </c>
      <c r="E463" s="19" t="n">
        <v>320</v>
      </c>
      <c r="F463" s="19" t="n">
        <v>320</v>
      </c>
      <c r="G463" s="19" t="n">
        <v>0</v>
      </c>
      <c r="H463" s="18" t="s">
        <v>2048</v>
      </c>
    </row>
    <row r="464" customFormat="false" ht="15" hidden="false" customHeight="false" outlineLevel="0" collapsed="false">
      <c r="A464" s="18" t="s">
        <v>1204</v>
      </c>
      <c r="B464" s="18" t="s">
        <v>74</v>
      </c>
      <c r="C464" s="18" t="n">
        <v>365</v>
      </c>
      <c r="D464" s="19" t="n">
        <v>0</v>
      </c>
      <c r="E464" s="19" t="n">
        <v>4400</v>
      </c>
      <c r="F464" s="19" t="n">
        <v>4400</v>
      </c>
      <c r="G464" s="19" t="n">
        <v>0</v>
      </c>
      <c r="H464" s="18" t="s">
        <v>2048</v>
      </c>
    </row>
    <row r="465" customFormat="false" ht="15" hidden="false" customHeight="false" outlineLevel="0" collapsed="false">
      <c r="A465" s="18" t="s">
        <v>1206</v>
      </c>
      <c r="B465" s="18" t="s">
        <v>74</v>
      </c>
      <c r="C465" s="18" t="n">
        <v>366</v>
      </c>
      <c r="D465" s="19" t="n">
        <v>0</v>
      </c>
      <c r="E465" s="19" t="n">
        <v>6440</v>
      </c>
      <c r="F465" s="19" t="n">
        <v>6440</v>
      </c>
      <c r="G465" s="19" t="n">
        <v>0</v>
      </c>
      <c r="H465" s="18" t="s">
        <v>2048</v>
      </c>
    </row>
    <row r="466" customFormat="false" ht="15" hidden="false" customHeight="false" outlineLevel="0" collapsed="false">
      <c r="A466" s="18" t="s">
        <v>1208</v>
      </c>
      <c r="B466" s="18" t="s">
        <v>74</v>
      </c>
      <c r="C466" s="18" t="n">
        <v>367</v>
      </c>
      <c r="D466" s="19" t="n">
        <v>0</v>
      </c>
      <c r="E466" s="19" t="n">
        <v>10781.25</v>
      </c>
      <c r="F466" s="19" t="n">
        <v>10781.25</v>
      </c>
      <c r="G466" s="19" t="n">
        <v>0</v>
      </c>
      <c r="H466" s="18" t="s">
        <v>2048</v>
      </c>
    </row>
    <row r="467" customFormat="false" ht="15" hidden="false" customHeight="false" outlineLevel="0" collapsed="false">
      <c r="A467" s="18" t="s">
        <v>1210</v>
      </c>
      <c r="B467" s="18" t="s">
        <v>74</v>
      </c>
      <c r="C467" s="18" t="n">
        <v>368</v>
      </c>
      <c r="D467" s="19" t="n">
        <v>0</v>
      </c>
      <c r="E467" s="19" t="n">
        <v>948.75</v>
      </c>
      <c r="F467" s="19" t="n">
        <v>948.75</v>
      </c>
      <c r="G467" s="19" t="n">
        <v>0</v>
      </c>
      <c r="H467" s="18" t="s">
        <v>2048</v>
      </c>
    </row>
    <row r="468" customFormat="false" ht="15" hidden="false" customHeight="false" outlineLevel="0" collapsed="false">
      <c r="A468" s="18" t="s">
        <v>1212</v>
      </c>
      <c r="B468" s="18" t="s">
        <v>74</v>
      </c>
      <c r="C468" s="18" t="n">
        <v>369</v>
      </c>
      <c r="D468" s="19" t="n">
        <v>-119</v>
      </c>
      <c r="E468" s="19" t="n">
        <v>119</v>
      </c>
      <c r="F468" s="19" t="n">
        <v>0</v>
      </c>
      <c r="G468" s="19" t="n">
        <v>0</v>
      </c>
      <c r="H468" s="18" t="s">
        <v>2048</v>
      </c>
    </row>
    <row r="469" customFormat="false" ht="15" hidden="false" customHeight="false" outlineLevel="0" collapsed="false">
      <c r="A469" s="18" t="s">
        <v>1214</v>
      </c>
      <c r="B469" s="18" t="s">
        <v>74</v>
      </c>
      <c r="C469" s="18" t="n">
        <v>371</v>
      </c>
      <c r="D469" s="19" t="n">
        <v>0</v>
      </c>
      <c r="E469" s="19" t="n">
        <v>345</v>
      </c>
      <c r="F469" s="19" t="n">
        <v>345</v>
      </c>
      <c r="G469" s="19" t="n">
        <v>0</v>
      </c>
      <c r="H469" s="18" t="s">
        <v>2048</v>
      </c>
    </row>
    <row r="470" customFormat="false" ht="15" hidden="false" customHeight="false" outlineLevel="0" collapsed="false">
      <c r="A470" s="18" t="s">
        <v>1215</v>
      </c>
      <c r="B470" s="18" t="s">
        <v>74</v>
      </c>
      <c r="C470" s="18" t="n">
        <v>373</v>
      </c>
      <c r="D470" s="19" t="n">
        <v>1782.5</v>
      </c>
      <c r="E470" s="19" t="n">
        <v>0</v>
      </c>
      <c r="F470" s="19" t="n">
        <v>1782.5</v>
      </c>
      <c r="G470" s="19" t="n">
        <v>0</v>
      </c>
      <c r="H470" s="18" t="s">
        <v>2048</v>
      </c>
    </row>
    <row r="471" customFormat="false" ht="15" hidden="false" customHeight="false" outlineLevel="0" collapsed="false">
      <c r="A471" s="18" t="s">
        <v>1217</v>
      </c>
      <c r="B471" s="18" t="s">
        <v>74</v>
      </c>
      <c r="C471" s="18" t="n">
        <v>374</v>
      </c>
      <c r="D471" s="19" t="n">
        <v>0</v>
      </c>
      <c r="E471" s="19" t="n">
        <v>6736.7</v>
      </c>
      <c r="F471" s="19" t="n">
        <v>6736.7</v>
      </c>
      <c r="G471" s="19" t="n">
        <v>0</v>
      </c>
      <c r="H471" s="18" t="s">
        <v>2048</v>
      </c>
    </row>
    <row r="472" customFormat="false" ht="15" hidden="false" customHeight="false" outlineLevel="0" collapsed="false">
      <c r="A472" s="18" t="s">
        <v>1219</v>
      </c>
      <c r="B472" s="18" t="s">
        <v>74</v>
      </c>
      <c r="C472" s="18" t="n">
        <v>375</v>
      </c>
      <c r="D472" s="19" t="n">
        <v>0</v>
      </c>
      <c r="E472" s="19" t="n">
        <v>14433.75</v>
      </c>
      <c r="F472" s="19" t="n">
        <v>14433.75</v>
      </c>
      <c r="G472" s="19" t="n">
        <v>0</v>
      </c>
      <c r="H472" s="18" t="s">
        <v>2048</v>
      </c>
    </row>
    <row r="473" customFormat="false" ht="15" hidden="false" customHeight="false" outlineLevel="0" collapsed="false">
      <c r="A473" s="18" t="s">
        <v>1221</v>
      </c>
      <c r="B473" s="18" t="s">
        <v>74</v>
      </c>
      <c r="C473" s="18" t="n">
        <v>377</v>
      </c>
      <c r="D473" s="19" t="n">
        <v>0</v>
      </c>
      <c r="E473" s="19" t="n">
        <v>850</v>
      </c>
      <c r="F473" s="19" t="n">
        <v>850</v>
      </c>
      <c r="G473" s="19" t="n">
        <v>0</v>
      </c>
      <c r="H473" s="18" t="s">
        <v>2048</v>
      </c>
    </row>
    <row r="474" customFormat="false" ht="15" hidden="false" customHeight="false" outlineLevel="0" collapsed="false">
      <c r="A474" s="18" t="s">
        <v>1223</v>
      </c>
      <c r="B474" s="18" t="s">
        <v>74</v>
      </c>
      <c r="C474" s="18" t="n">
        <v>378</v>
      </c>
      <c r="D474" s="19" t="n">
        <v>591.5</v>
      </c>
      <c r="E474" s="19" t="n">
        <v>6865</v>
      </c>
      <c r="F474" s="19" t="n">
        <v>7456.5</v>
      </c>
      <c r="G474" s="19" t="n">
        <v>0</v>
      </c>
      <c r="H474" s="18" t="s">
        <v>2048</v>
      </c>
    </row>
    <row r="475" customFormat="false" ht="15" hidden="false" customHeight="false" outlineLevel="0" collapsed="false">
      <c r="A475" s="18" t="s">
        <v>1225</v>
      </c>
      <c r="B475" s="18" t="s">
        <v>74</v>
      </c>
      <c r="C475" s="18" t="n">
        <v>379</v>
      </c>
      <c r="D475" s="19" t="n">
        <v>0</v>
      </c>
      <c r="E475" s="19" t="n">
        <v>10177.5</v>
      </c>
      <c r="F475" s="19" t="n">
        <v>10177.5</v>
      </c>
      <c r="G475" s="19" t="n">
        <v>0</v>
      </c>
      <c r="H475" s="18" t="s">
        <v>2048</v>
      </c>
    </row>
    <row r="476" customFormat="false" ht="15" hidden="false" customHeight="false" outlineLevel="0" collapsed="false">
      <c r="A476" s="18" t="s">
        <v>1227</v>
      </c>
      <c r="B476" s="18" t="s">
        <v>74</v>
      </c>
      <c r="C476" s="18" t="n">
        <v>380</v>
      </c>
      <c r="D476" s="19" t="n">
        <v>759</v>
      </c>
      <c r="E476" s="19" t="n">
        <v>0</v>
      </c>
      <c r="F476" s="19" t="n">
        <v>759</v>
      </c>
      <c r="G476" s="19" t="n">
        <v>0</v>
      </c>
      <c r="H476" s="18" t="s">
        <v>2048</v>
      </c>
    </row>
    <row r="477" customFormat="false" ht="15" hidden="false" customHeight="false" outlineLevel="0" collapsed="false">
      <c r="A477" s="18" t="s">
        <v>1229</v>
      </c>
      <c r="B477" s="18" t="s">
        <v>74</v>
      </c>
      <c r="C477" s="18" t="n">
        <v>381</v>
      </c>
      <c r="D477" s="19" t="n">
        <v>0</v>
      </c>
      <c r="E477" s="19" t="n">
        <v>320</v>
      </c>
      <c r="F477" s="19" t="n">
        <v>320</v>
      </c>
      <c r="G477" s="19" t="n">
        <v>0</v>
      </c>
      <c r="H477" s="18" t="s">
        <v>2048</v>
      </c>
    </row>
    <row r="478" customFormat="false" ht="15" hidden="false" customHeight="false" outlineLevel="0" collapsed="false">
      <c r="A478" s="18" t="s">
        <v>1230</v>
      </c>
      <c r="B478" s="18" t="s">
        <v>74</v>
      </c>
      <c r="C478" s="18" t="n">
        <v>382</v>
      </c>
      <c r="D478" s="19" t="n">
        <v>0</v>
      </c>
      <c r="E478" s="19" t="n">
        <v>192</v>
      </c>
      <c r="F478" s="19" t="n">
        <v>192</v>
      </c>
      <c r="G478" s="19" t="n">
        <v>0</v>
      </c>
      <c r="H478" s="18" t="s">
        <v>2048</v>
      </c>
    </row>
    <row r="479" customFormat="false" ht="15" hidden="false" customHeight="false" outlineLevel="0" collapsed="false">
      <c r="A479" s="18" t="s">
        <v>1232</v>
      </c>
      <c r="B479" s="18" t="s">
        <v>74</v>
      </c>
      <c r="C479" s="18" t="n">
        <v>383</v>
      </c>
      <c r="D479" s="19" t="n">
        <v>0</v>
      </c>
      <c r="E479" s="19" t="n">
        <v>289.8</v>
      </c>
      <c r="F479" s="19" t="n">
        <v>289.8</v>
      </c>
      <c r="G479" s="19" t="n">
        <v>0</v>
      </c>
      <c r="H479" s="18" t="s">
        <v>2048</v>
      </c>
    </row>
    <row r="480" customFormat="false" ht="15" hidden="false" customHeight="false" outlineLevel="0" collapsed="false">
      <c r="A480" s="18" t="s">
        <v>1234</v>
      </c>
      <c r="B480" s="18" t="s">
        <v>74</v>
      </c>
      <c r="C480" s="18" t="n">
        <v>384</v>
      </c>
      <c r="D480" s="19" t="n">
        <v>0</v>
      </c>
      <c r="E480" s="19" t="n">
        <v>276</v>
      </c>
      <c r="F480" s="19" t="n">
        <v>276</v>
      </c>
      <c r="G480" s="19" t="n">
        <v>0</v>
      </c>
      <c r="H480" s="18" t="s">
        <v>2048</v>
      </c>
    </row>
    <row r="481" customFormat="false" ht="15" hidden="false" customHeight="false" outlineLevel="0" collapsed="false">
      <c r="A481" s="18" t="s">
        <v>1235</v>
      </c>
      <c r="B481" s="18" t="s">
        <v>74</v>
      </c>
      <c r="C481" s="18" t="n">
        <v>385</v>
      </c>
      <c r="D481" s="19" t="n">
        <v>0</v>
      </c>
      <c r="E481" s="19" t="n">
        <v>101.2</v>
      </c>
      <c r="F481" s="19" t="n">
        <v>101.2</v>
      </c>
      <c r="G481" s="19" t="n">
        <v>0</v>
      </c>
      <c r="H481" s="18" t="s">
        <v>2048</v>
      </c>
    </row>
    <row r="482" customFormat="false" ht="15" hidden="false" customHeight="false" outlineLevel="0" collapsed="false">
      <c r="A482" s="18" t="s">
        <v>1237</v>
      </c>
      <c r="B482" s="18" t="s">
        <v>74</v>
      </c>
      <c r="C482" s="18" t="n">
        <v>386</v>
      </c>
      <c r="D482" s="19" t="n">
        <v>-130</v>
      </c>
      <c r="E482" s="19" t="n">
        <v>130</v>
      </c>
      <c r="F482" s="19" t="n">
        <v>0</v>
      </c>
      <c r="G482" s="19" t="n">
        <v>0</v>
      </c>
      <c r="H482" s="18" t="s">
        <v>2048</v>
      </c>
    </row>
    <row r="483" customFormat="false" ht="15" hidden="false" customHeight="false" outlineLevel="0" collapsed="false">
      <c r="A483" s="18" t="s">
        <v>1239</v>
      </c>
      <c r="B483" s="18" t="s">
        <v>74</v>
      </c>
      <c r="C483" s="18" t="n">
        <v>387</v>
      </c>
      <c r="D483" s="19" t="n">
        <v>0</v>
      </c>
      <c r="E483" s="19" t="n">
        <v>34.5</v>
      </c>
      <c r="F483" s="19" t="n">
        <v>34.5</v>
      </c>
      <c r="G483" s="19" t="n">
        <v>0</v>
      </c>
      <c r="H483" s="18" t="s">
        <v>2048</v>
      </c>
    </row>
    <row r="484" customFormat="false" ht="15" hidden="false" customHeight="false" outlineLevel="0" collapsed="false">
      <c r="A484" s="18" t="s">
        <v>1240</v>
      </c>
      <c r="B484" s="18" t="s">
        <v>74</v>
      </c>
      <c r="C484" s="18" t="n">
        <v>388</v>
      </c>
      <c r="D484" s="19" t="n">
        <v>0</v>
      </c>
      <c r="E484" s="19" t="n">
        <v>3105</v>
      </c>
      <c r="F484" s="19" t="n">
        <v>3105</v>
      </c>
      <c r="G484" s="19" t="n">
        <v>0</v>
      </c>
      <c r="H484" s="18" t="s">
        <v>2048</v>
      </c>
    </row>
    <row r="485" customFormat="false" ht="15" hidden="false" customHeight="false" outlineLevel="0" collapsed="false">
      <c r="A485" s="18" t="s">
        <v>1242</v>
      </c>
      <c r="B485" s="18" t="s">
        <v>74</v>
      </c>
      <c r="C485" s="18" t="n">
        <v>389</v>
      </c>
      <c r="D485" s="19" t="n">
        <v>0</v>
      </c>
      <c r="E485" s="19" t="n">
        <v>310.5</v>
      </c>
      <c r="F485" s="19" t="n">
        <v>310.5</v>
      </c>
      <c r="G485" s="19" t="n">
        <v>0</v>
      </c>
      <c r="H485" s="18" t="s">
        <v>2048</v>
      </c>
    </row>
    <row r="486" customFormat="false" ht="15" hidden="false" customHeight="false" outlineLevel="0" collapsed="false">
      <c r="A486" s="18" t="s">
        <v>1244</v>
      </c>
      <c r="B486" s="18" t="s">
        <v>74</v>
      </c>
      <c r="C486" s="18" t="n">
        <v>390</v>
      </c>
      <c r="D486" s="19" t="n">
        <v>0</v>
      </c>
      <c r="E486" s="19" t="n">
        <v>110.4</v>
      </c>
      <c r="F486" s="19" t="n">
        <v>110.4</v>
      </c>
      <c r="G486" s="19" t="n">
        <v>0</v>
      </c>
      <c r="H486" s="18" t="s">
        <v>2048</v>
      </c>
    </row>
    <row r="487" customFormat="false" ht="15" hidden="false" customHeight="false" outlineLevel="0" collapsed="false">
      <c r="A487" s="18" t="s">
        <v>1246</v>
      </c>
      <c r="B487" s="18" t="s">
        <v>74</v>
      </c>
      <c r="C487" s="18" t="n">
        <v>392</v>
      </c>
      <c r="D487" s="19" t="n">
        <v>0.5</v>
      </c>
      <c r="E487" s="19" t="n">
        <v>0</v>
      </c>
      <c r="F487" s="19" t="n">
        <v>0.5</v>
      </c>
      <c r="G487" s="19" t="n">
        <v>0</v>
      </c>
      <c r="H487" s="18" t="s">
        <v>2048</v>
      </c>
    </row>
    <row r="488" customFormat="false" ht="15" hidden="false" customHeight="false" outlineLevel="0" collapsed="false">
      <c r="A488" s="18" t="s">
        <v>1248</v>
      </c>
      <c r="B488" s="18" t="s">
        <v>74</v>
      </c>
      <c r="C488" s="18" t="n">
        <v>393</v>
      </c>
      <c r="D488" s="19" t="n">
        <v>0</v>
      </c>
      <c r="E488" s="19" t="n">
        <v>50</v>
      </c>
      <c r="F488" s="19" t="n">
        <v>50</v>
      </c>
      <c r="G488" s="19" t="n">
        <v>0</v>
      </c>
      <c r="H488" s="18" t="s">
        <v>2048</v>
      </c>
    </row>
    <row r="489" customFormat="false" ht="15" hidden="false" customHeight="false" outlineLevel="0" collapsed="false">
      <c r="A489" s="18" t="s">
        <v>1249</v>
      </c>
      <c r="B489" s="18" t="s">
        <v>74</v>
      </c>
      <c r="C489" s="18" t="n">
        <v>394</v>
      </c>
      <c r="D489" s="19" t="n">
        <v>0</v>
      </c>
      <c r="E489" s="19" t="n">
        <v>1552.5</v>
      </c>
      <c r="F489" s="19" t="n">
        <v>1552.5</v>
      </c>
      <c r="G489" s="19" t="n">
        <v>0</v>
      </c>
      <c r="H489" s="18" t="s">
        <v>2048</v>
      </c>
    </row>
    <row r="490" customFormat="false" ht="15" hidden="false" customHeight="false" outlineLevel="0" collapsed="false">
      <c r="A490" s="18" t="s">
        <v>1251</v>
      </c>
      <c r="B490" s="18" t="s">
        <v>74</v>
      </c>
      <c r="C490" s="18" t="n">
        <v>396</v>
      </c>
      <c r="D490" s="19" t="n">
        <v>0</v>
      </c>
      <c r="E490" s="19" t="n">
        <v>1242</v>
      </c>
      <c r="F490" s="19" t="n">
        <v>1242</v>
      </c>
      <c r="G490" s="19" t="n">
        <v>0</v>
      </c>
      <c r="H490" s="18" t="s">
        <v>2048</v>
      </c>
    </row>
    <row r="491" customFormat="false" ht="15" hidden="false" customHeight="false" outlineLevel="0" collapsed="false">
      <c r="A491" s="18" t="s">
        <v>1253</v>
      </c>
      <c r="B491" s="18" t="s">
        <v>74</v>
      </c>
      <c r="C491" s="18" t="n">
        <v>397</v>
      </c>
      <c r="D491" s="19" t="n">
        <v>0</v>
      </c>
      <c r="E491" s="19" t="n">
        <v>1884.26</v>
      </c>
      <c r="F491" s="19" t="n">
        <v>1884.26</v>
      </c>
      <c r="G491" s="19" t="n">
        <v>0</v>
      </c>
      <c r="H491" s="18" t="s">
        <v>2048</v>
      </c>
    </row>
    <row r="492" customFormat="false" ht="15" hidden="false" customHeight="false" outlineLevel="0" collapsed="false">
      <c r="A492" s="18" t="s">
        <v>1255</v>
      </c>
      <c r="B492" s="18" t="s">
        <v>74</v>
      </c>
      <c r="C492" s="18" t="n">
        <v>398</v>
      </c>
      <c r="D492" s="19" t="n">
        <v>0</v>
      </c>
      <c r="E492" s="19" t="n">
        <v>25</v>
      </c>
      <c r="F492" s="19" t="n">
        <v>25</v>
      </c>
      <c r="G492" s="19" t="n">
        <v>0</v>
      </c>
      <c r="H492" s="18" t="s">
        <v>2048</v>
      </c>
    </row>
    <row r="493" customFormat="false" ht="15" hidden="false" customHeight="false" outlineLevel="0" collapsed="false">
      <c r="A493" s="18" t="s">
        <v>1257</v>
      </c>
      <c r="B493" s="18" t="s">
        <v>74</v>
      </c>
      <c r="C493" s="18" t="n">
        <v>400</v>
      </c>
      <c r="D493" s="19" t="n">
        <v>0</v>
      </c>
      <c r="E493" s="19" t="n">
        <v>161</v>
      </c>
      <c r="F493" s="19" t="n">
        <v>161</v>
      </c>
      <c r="G493" s="19" t="n">
        <v>0</v>
      </c>
      <c r="H493" s="18" t="s">
        <v>2048</v>
      </c>
    </row>
    <row r="494" customFormat="false" ht="15" hidden="false" customHeight="false" outlineLevel="0" collapsed="false">
      <c r="A494" s="18" t="s">
        <v>1258</v>
      </c>
      <c r="B494" s="18" t="s">
        <v>74</v>
      </c>
      <c r="C494" s="18" t="n">
        <v>401</v>
      </c>
      <c r="D494" s="19" t="n">
        <v>0</v>
      </c>
      <c r="E494" s="19" t="n">
        <v>960</v>
      </c>
      <c r="F494" s="19" t="n">
        <v>960</v>
      </c>
      <c r="G494" s="19" t="n">
        <v>0</v>
      </c>
      <c r="H494" s="18" t="s">
        <v>2048</v>
      </c>
    </row>
    <row r="495" customFormat="false" ht="15" hidden="false" customHeight="false" outlineLevel="0" collapsed="false">
      <c r="A495" s="18" t="s">
        <v>1260</v>
      </c>
      <c r="B495" s="18" t="s">
        <v>74</v>
      </c>
      <c r="C495" s="18" t="n">
        <v>403</v>
      </c>
      <c r="D495" s="19" t="n">
        <v>0</v>
      </c>
      <c r="E495" s="19" t="n">
        <v>840.01</v>
      </c>
      <c r="F495" s="19" t="n">
        <v>840.01</v>
      </c>
      <c r="G495" s="19" t="n">
        <v>0</v>
      </c>
      <c r="H495" s="18" t="s">
        <v>2048</v>
      </c>
    </row>
    <row r="496" customFormat="false" ht="15" hidden="false" customHeight="false" outlineLevel="0" collapsed="false">
      <c r="A496" s="18" t="s">
        <v>1262</v>
      </c>
      <c r="B496" s="18" t="s">
        <v>74</v>
      </c>
      <c r="C496" s="18" t="n">
        <v>404</v>
      </c>
      <c r="D496" s="19" t="n">
        <v>0</v>
      </c>
      <c r="E496" s="19" t="n">
        <v>210</v>
      </c>
      <c r="F496" s="19" t="n">
        <v>210</v>
      </c>
      <c r="G496" s="19" t="n">
        <v>0</v>
      </c>
      <c r="H496" s="18" t="s">
        <v>2048</v>
      </c>
    </row>
    <row r="497" customFormat="false" ht="15" hidden="false" customHeight="false" outlineLevel="0" collapsed="false">
      <c r="A497" s="18" t="s">
        <v>1264</v>
      </c>
      <c r="B497" s="18" t="s">
        <v>74</v>
      </c>
      <c r="C497" s="18" t="n">
        <v>405</v>
      </c>
      <c r="D497" s="19" t="n">
        <v>0</v>
      </c>
      <c r="E497" s="19" t="n">
        <v>640</v>
      </c>
      <c r="F497" s="19" t="n">
        <v>640</v>
      </c>
      <c r="G497" s="19" t="n">
        <v>0</v>
      </c>
      <c r="H497" s="18" t="s">
        <v>2048</v>
      </c>
    </row>
    <row r="498" customFormat="false" ht="15" hidden="false" customHeight="false" outlineLevel="0" collapsed="false">
      <c r="A498" s="18" t="s">
        <v>1266</v>
      </c>
      <c r="B498" s="18" t="s">
        <v>74</v>
      </c>
      <c r="C498" s="18" t="n">
        <v>406</v>
      </c>
      <c r="D498" s="19" t="n">
        <v>-1050</v>
      </c>
      <c r="E498" s="19" t="n">
        <v>1370</v>
      </c>
      <c r="F498" s="19" t="n">
        <v>320</v>
      </c>
      <c r="G498" s="19" t="n">
        <v>0</v>
      </c>
      <c r="H498" s="18" t="s">
        <v>2048</v>
      </c>
    </row>
    <row r="499" customFormat="false" ht="15" hidden="false" customHeight="false" outlineLevel="0" collapsed="false">
      <c r="A499" s="18" t="s">
        <v>1268</v>
      </c>
      <c r="B499" s="18" t="s">
        <v>74</v>
      </c>
      <c r="C499" s="18" t="n">
        <v>407</v>
      </c>
      <c r="D499" s="19" t="n">
        <v>0</v>
      </c>
      <c r="E499" s="19" t="n">
        <v>870.08</v>
      </c>
      <c r="F499" s="19" t="n">
        <v>870.08</v>
      </c>
      <c r="G499" s="19" t="n">
        <v>0</v>
      </c>
      <c r="H499" s="18" t="s">
        <v>2048</v>
      </c>
    </row>
    <row r="500" customFormat="false" ht="15" hidden="false" customHeight="false" outlineLevel="0" collapsed="false">
      <c r="A500" s="18" t="s">
        <v>1270</v>
      </c>
      <c r="B500" s="18" t="s">
        <v>74</v>
      </c>
      <c r="C500" s="18" t="n">
        <v>408</v>
      </c>
      <c r="D500" s="19" t="n">
        <v>0</v>
      </c>
      <c r="E500" s="19" t="n">
        <v>952.2</v>
      </c>
      <c r="F500" s="19" t="n">
        <v>952.2</v>
      </c>
      <c r="G500" s="19" t="n">
        <v>0</v>
      </c>
      <c r="H500" s="18" t="s">
        <v>2048</v>
      </c>
    </row>
    <row r="501" customFormat="false" ht="15" hidden="false" customHeight="false" outlineLevel="0" collapsed="false">
      <c r="A501" s="18" t="s">
        <v>1272</v>
      </c>
      <c r="B501" s="18" t="s">
        <v>74</v>
      </c>
      <c r="C501" s="18" t="n">
        <v>410</v>
      </c>
      <c r="D501" s="19" t="n">
        <v>0</v>
      </c>
      <c r="E501" s="19" t="n">
        <v>2300</v>
      </c>
      <c r="F501" s="19" t="n">
        <v>2300</v>
      </c>
      <c r="G501" s="19" t="n">
        <v>0</v>
      </c>
      <c r="H501" s="18" t="s">
        <v>2048</v>
      </c>
    </row>
    <row r="502" customFormat="false" ht="15" hidden="false" customHeight="false" outlineLevel="0" collapsed="false">
      <c r="A502" s="18" t="s">
        <v>1274</v>
      </c>
      <c r="B502" s="18" t="s">
        <v>74</v>
      </c>
      <c r="C502" s="18" t="n">
        <v>411</v>
      </c>
      <c r="D502" s="19" t="n">
        <v>27</v>
      </c>
      <c r="E502" s="19" t="n">
        <v>0</v>
      </c>
      <c r="F502" s="19" t="n">
        <v>27</v>
      </c>
      <c r="G502" s="19" t="n">
        <v>0</v>
      </c>
      <c r="H502" s="18" t="s">
        <v>2048</v>
      </c>
    </row>
    <row r="503" customFormat="false" ht="15" hidden="false" customHeight="false" outlineLevel="0" collapsed="false">
      <c r="A503" s="18" t="s">
        <v>1276</v>
      </c>
      <c r="B503" s="18" t="s">
        <v>74</v>
      </c>
      <c r="C503" s="18" t="n">
        <v>412</v>
      </c>
      <c r="D503" s="19" t="n">
        <v>0</v>
      </c>
      <c r="E503" s="19" t="n">
        <v>23719.9</v>
      </c>
      <c r="F503" s="19" t="n">
        <v>23719.9</v>
      </c>
      <c r="G503" s="19" t="n">
        <v>0</v>
      </c>
      <c r="H503" s="18" t="s">
        <v>2048</v>
      </c>
    </row>
    <row r="504" customFormat="false" ht="15" hidden="false" customHeight="false" outlineLevel="0" collapsed="false">
      <c r="A504" s="18" t="s">
        <v>1278</v>
      </c>
      <c r="B504" s="18" t="s">
        <v>74</v>
      </c>
      <c r="C504" s="18" t="n">
        <v>415</v>
      </c>
      <c r="D504" s="19" t="n">
        <v>-1000</v>
      </c>
      <c r="E504" s="19" t="n">
        <v>8466.53</v>
      </c>
      <c r="F504" s="19" t="n">
        <v>7466.53</v>
      </c>
      <c r="G504" s="19" t="n">
        <v>0</v>
      </c>
      <c r="H504" s="18" t="s">
        <v>2048</v>
      </c>
    </row>
    <row r="505" customFormat="false" ht="15" hidden="false" customHeight="false" outlineLevel="0" collapsed="false">
      <c r="A505" s="18" t="s">
        <v>1280</v>
      </c>
      <c r="B505" s="18" t="s">
        <v>74</v>
      </c>
      <c r="C505" s="18" t="n">
        <v>416</v>
      </c>
      <c r="D505" s="19" t="n">
        <v>0</v>
      </c>
      <c r="E505" s="19" t="n">
        <v>30</v>
      </c>
      <c r="F505" s="19" t="n">
        <v>30</v>
      </c>
      <c r="G505" s="19" t="n">
        <v>0</v>
      </c>
      <c r="H505" s="18" t="s">
        <v>2048</v>
      </c>
    </row>
    <row r="506" customFormat="false" ht="15" hidden="false" customHeight="false" outlineLevel="0" collapsed="false">
      <c r="A506" s="18" t="s">
        <v>1281</v>
      </c>
      <c r="B506" s="18" t="s">
        <v>74</v>
      </c>
      <c r="C506" s="18" t="n">
        <v>417</v>
      </c>
      <c r="D506" s="19" t="n">
        <v>0</v>
      </c>
      <c r="E506" s="19" t="n">
        <v>3357.25</v>
      </c>
      <c r="F506" s="19" t="n">
        <v>3357.25</v>
      </c>
      <c r="G506" s="19" t="n">
        <v>0</v>
      </c>
      <c r="H506" s="18" t="s">
        <v>2048</v>
      </c>
    </row>
    <row r="507" customFormat="false" ht="15" hidden="false" customHeight="false" outlineLevel="0" collapsed="false">
      <c r="A507" s="18" t="s">
        <v>1283</v>
      </c>
      <c r="B507" s="18" t="s">
        <v>74</v>
      </c>
      <c r="C507" s="18" t="n">
        <v>418</v>
      </c>
      <c r="D507" s="19" t="n">
        <v>0</v>
      </c>
      <c r="E507" s="19" t="n">
        <v>3215.4</v>
      </c>
      <c r="F507" s="19" t="n">
        <v>3215.4</v>
      </c>
      <c r="G507" s="19" t="n">
        <v>0</v>
      </c>
      <c r="H507" s="18" t="s">
        <v>2048</v>
      </c>
    </row>
    <row r="508" customFormat="false" ht="15" hidden="false" customHeight="false" outlineLevel="0" collapsed="false">
      <c r="A508" s="18" t="s">
        <v>1285</v>
      </c>
      <c r="B508" s="18" t="s">
        <v>74</v>
      </c>
      <c r="C508" s="18" t="n">
        <v>419</v>
      </c>
      <c r="D508" s="19" t="n">
        <v>0</v>
      </c>
      <c r="E508" s="19" t="n">
        <v>14135.8</v>
      </c>
      <c r="F508" s="19" t="n">
        <v>14135.8</v>
      </c>
      <c r="G508" s="19" t="n">
        <v>0</v>
      </c>
      <c r="H508" s="18" t="s">
        <v>2048</v>
      </c>
    </row>
    <row r="509" customFormat="false" ht="15" hidden="false" customHeight="false" outlineLevel="0" collapsed="false">
      <c r="A509" s="18" t="s">
        <v>1287</v>
      </c>
      <c r="B509" s="18" t="s">
        <v>74</v>
      </c>
      <c r="C509" s="18" t="n">
        <v>421</v>
      </c>
      <c r="D509" s="19" t="n">
        <v>0</v>
      </c>
      <c r="E509" s="19" t="n">
        <v>1039.6</v>
      </c>
      <c r="F509" s="19" t="n">
        <v>1039.6</v>
      </c>
      <c r="G509" s="19" t="n">
        <v>0</v>
      </c>
      <c r="H509" s="18" t="s">
        <v>2048</v>
      </c>
    </row>
    <row r="510" customFormat="false" ht="15" hidden="false" customHeight="false" outlineLevel="0" collapsed="false">
      <c r="A510" s="18" t="s">
        <v>1289</v>
      </c>
      <c r="B510" s="18" t="s">
        <v>74</v>
      </c>
      <c r="C510" s="18" t="n">
        <v>422</v>
      </c>
      <c r="D510" s="19" t="n">
        <v>-2226.4</v>
      </c>
      <c r="E510" s="19" t="n">
        <v>2226.4</v>
      </c>
      <c r="F510" s="19" t="n">
        <v>0</v>
      </c>
      <c r="G510" s="19" t="n">
        <v>0</v>
      </c>
      <c r="H510" s="18" t="s">
        <v>2048</v>
      </c>
    </row>
    <row r="511" customFormat="false" ht="15" hidden="false" customHeight="false" outlineLevel="0" collapsed="false">
      <c r="A511" s="18" t="s">
        <v>1291</v>
      </c>
      <c r="B511" s="18" t="s">
        <v>74</v>
      </c>
      <c r="C511" s="18" t="n">
        <v>423</v>
      </c>
      <c r="D511" s="19" t="n">
        <v>0</v>
      </c>
      <c r="E511" s="19" t="n">
        <v>1150</v>
      </c>
      <c r="F511" s="19" t="n">
        <v>1150</v>
      </c>
      <c r="G511" s="19" t="n">
        <v>0</v>
      </c>
      <c r="H511" s="18" t="s">
        <v>2048</v>
      </c>
    </row>
    <row r="512" customFormat="false" ht="15" hidden="false" customHeight="false" outlineLevel="0" collapsed="false">
      <c r="A512" s="18" t="s">
        <v>1293</v>
      </c>
      <c r="B512" s="18" t="s">
        <v>74</v>
      </c>
      <c r="C512" s="18" t="n">
        <v>424</v>
      </c>
      <c r="D512" s="19" t="n">
        <v>-200</v>
      </c>
      <c r="E512" s="19" t="n">
        <v>1150</v>
      </c>
      <c r="F512" s="19" t="n">
        <v>950</v>
      </c>
      <c r="G512" s="19" t="n">
        <v>0</v>
      </c>
      <c r="H512" s="18" t="s">
        <v>2048</v>
      </c>
    </row>
    <row r="513" customFormat="false" ht="15" hidden="false" customHeight="false" outlineLevel="0" collapsed="false">
      <c r="A513" s="18" t="s">
        <v>1295</v>
      </c>
      <c r="B513" s="18" t="s">
        <v>74</v>
      </c>
      <c r="C513" s="18" t="n">
        <v>425</v>
      </c>
      <c r="D513" s="19" t="n">
        <v>0</v>
      </c>
      <c r="E513" s="19" t="n">
        <v>3197</v>
      </c>
      <c r="F513" s="19" t="n">
        <v>3197</v>
      </c>
      <c r="G513" s="19" t="n">
        <v>0</v>
      </c>
      <c r="H513" s="18" t="s">
        <v>2048</v>
      </c>
    </row>
    <row r="514" customFormat="false" ht="15" hidden="false" customHeight="false" outlineLevel="0" collapsed="false">
      <c r="A514" s="18" t="s">
        <v>1297</v>
      </c>
      <c r="B514" s="18" t="s">
        <v>74</v>
      </c>
      <c r="C514" s="18" t="n">
        <v>426</v>
      </c>
      <c r="D514" s="19" t="n">
        <v>0</v>
      </c>
      <c r="E514" s="19" t="n">
        <v>5155.5</v>
      </c>
      <c r="F514" s="19" t="n">
        <v>5155.5</v>
      </c>
      <c r="G514" s="19" t="n">
        <v>0</v>
      </c>
      <c r="H514" s="18" t="s">
        <v>2048</v>
      </c>
    </row>
    <row r="515" customFormat="false" ht="15" hidden="false" customHeight="false" outlineLevel="0" collapsed="false">
      <c r="A515" s="18" t="s">
        <v>1299</v>
      </c>
      <c r="B515" s="18" t="s">
        <v>74</v>
      </c>
      <c r="C515" s="18" t="n">
        <v>427</v>
      </c>
      <c r="D515" s="19" t="n">
        <v>0</v>
      </c>
      <c r="E515" s="19" t="n">
        <v>4650.6</v>
      </c>
      <c r="F515" s="19" t="n">
        <v>4650.6</v>
      </c>
      <c r="G515" s="19" t="n">
        <v>0</v>
      </c>
      <c r="H515" s="18" t="s">
        <v>2048</v>
      </c>
    </row>
    <row r="516" customFormat="false" ht="15" hidden="false" customHeight="false" outlineLevel="0" collapsed="false">
      <c r="A516" s="18" t="s">
        <v>1301</v>
      </c>
      <c r="B516" s="18" t="s">
        <v>74</v>
      </c>
      <c r="C516" s="18" t="n">
        <v>428</v>
      </c>
      <c r="D516" s="19" t="n">
        <v>0</v>
      </c>
      <c r="E516" s="19" t="n">
        <v>437</v>
      </c>
      <c r="F516" s="19" t="n">
        <v>437</v>
      </c>
      <c r="G516" s="19" t="n">
        <v>0</v>
      </c>
      <c r="H516" s="18" t="s">
        <v>2048</v>
      </c>
    </row>
    <row r="517" customFormat="false" ht="15" hidden="false" customHeight="false" outlineLevel="0" collapsed="false">
      <c r="A517" s="18" t="s">
        <v>1303</v>
      </c>
      <c r="B517" s="18" t="s">
        <v>74</v>
      </c>
      <c r="C517" s="18" t="n">
        <v>429</v>
      </c>
      <c r="D517" s="19" t="n">
        <v>0</v>
      </c>
      <c r="E517" s="19" t="n">
        <v>82.8</v>
      </c>
      <c r="F517" s="19" t="n">
        <v>82.8</v>
      </c>
      <c r="G517" s="19" t="n">
        <v>0</v>
      </c>
      <c r="H517" s="18" t="s">
        <v>2048</v>
      </c>
    </row>
    <row r="518" customFormat="false" ht="15" hidden="false" customHeight="false" outlineLevel="0" collapsed="false">
      <c r="A518" s="18" t="s">
        <v>1305</v>
      </c>
      <c r="B518" s="18" t="s">
        <v>74</v>
      </c>
      <c r="C518" s="18" t="n">
        <v>430</v>
      </c>
      <c r="D518" s="19" t="n">
        <v>0</v>
      </c>
      <c r="E518" s="19" t="n">
        <v>398.48</v>
      </c>
      <c r="F518" s="19" t="n">
        <v>398.48</v>
      </c>
      <c r="G518" s="19" t="n">
        <v>0</v>
      </c>
      <c r="H518" s="18" t="s">
        <v>2048</v>
      </c>
    </row>
    <row r="519" customFormat="false" ht="15" hidden="false" customHeight="false" outlineLevel="0" collapsed="false">
      <c r="A519" s="18" t="s">
        <v>1307</v>
      </c>
      <c r="B519" s="18" t="s">
        <v>74</v>
      </c>
      <c r="C519" s="18" t="n">
        <v>431</v>
      </c>
      <c r="D519" s="19" t="n">
        <v>0</v>
      </c>
      <c r="E519" s="19" t="n">
        <v>514.28</v>
      </c>
      <c r="F519" s="19" t="n">
        <v>514.28</v>
      </c>
      <c r="G519" s="19" t="n">
        <v>0</v>
      </c>
      <c r="H519" s="18" t="s">
        <v>2048</v>
      </c>
    </row>
    <row r="520" customFormat="false" ht="15" hidden="false" customHeight="false" outlineLevel="0" collapsed="false">
      <c r="A520" s="18" t="s">
        <v>1309</v>
      </c>
      <c r="B520" s="18" t="s">
        <v>74</v>
      </c>
      <c r="C520" s="18" t="n">
        <v>432</v>
      </c>
      <c r="D520" s="19" t="n">
        <v>0</v>
      </c>
      <c r="E520" s="19" t="n">
        <v>1400.01</v>
      </c>
      <c r="F520" s="19" t="n">
        <v>1400.01</v>
      </c>
      <c r="G520" s="19" t="n">
        <v>0</v>
      </c>
      <c r="H520" s="18" t="s">
        <v>2048</v>
      </c>
    </row>
    <row r="521" customFormat="false" ht="15" hidden="false" customHeight="false" outlineLevel="0" collapsed="false">
      <c r="A521" s="18" t="s">
        <v>1311</v>
      </c>
      <c r="B521" s="18" t="s">
        <v>74</v>
      </c>
      <c r="C521" s="18" t="n">
        <v>433</v>
      </c>
      <c r="D521" s="19" t="n">
        <v>0</v>
      </c>
      <c r="E521" s="19" t="n">
        <v>402.5</v>
      </c>
      <c r="F521" s="19" t="n">
        <v>402.5</v>
      </c>
      <c r="G521" s="19" t="n">
        <v>0</v>
      </c>
      <c r="H521" s="18" t="s">
        <v>2048</v>
      </c>
    </row>
    <row r="522" customFormat="false" ht="15" hidden="false" customHeight="false" outlineLevel="0" collapsed="false">
      <c r="A522" s="18" t="s">
        <v>1312</v>
      </c>
      <c r="B522" s="18" t="s">
        <v>74</v>
      </c>
      <c r="C522" s="18" t="n">
        <v>434</v>
      </c>
      <c r="D522" s="19" t="n">
        <v>0</v>
      </c>
      <c r="E522" s="19" t="n">
        <v>5888</v>
      </c>
      <c r="F522" s="19" t="n">
        <v>5888</v>
      </c>
      <c r="G522" s="19" t="n">
        <v>0</v>
      </c>
      <c r="H522" s="18" t="s">
        <v>2048</v>
      </c>
    </row>
    <row r="523" customFormat="false" ht="15" hidden="false" customHeight="false" outlineLevel="0" collapsed="false">
      <c r="A523" s="18" t="s">
        <v>1314</v>
      </c>
      <c r="B523" s="18" t="s">
        <v>74</v>
      </c>
      <c r="C523" s="18" t="n">
        <v>435</v>
      </c>
      <c r="D523" s="19" t="n">
        <v>0</v>
      </c>
      <c r="E523" s="19" t="n">
        <v>690</v>
      </c>
      <c r="F523" s="19" t="n">
        <v>690</v>
      </c>
      <c r="G523" s="19" t="n">
        <v>0</v>
      </c>
      <c r="H523" s="18" t="s">
        <v>2048</v>
      </c>
    </row>
    <row r="524" customFormat="false" ht="15" hidden="false" customHeight="false" outlineLevel="0" collapsed="false">
      <c r="A524" s="18" t="s">
        <v>1315</v>
      </c>
      <c r="B524" s="18" t="s">
        <v>74</v>
      </c>
      <c r="C524" s="18" t="n">
        <v>436</v>
      </c>
      <c r="D524" s="19" t="n">
        <v>0</v>
      </c>
      <c r="E524" s="19" t="n">
        <v>161</v>
      </c>
      <c r="F524" s="19" t="n">
        <v>161</v>
      </c>
      <c r="G524" s="19" t="n">
        <v>0</v>
      </c>
      <c r="H524" s="18" t="s">
        <v>2048</v>
      </c>
    </row>
    <row r="525" customFormat="false" ht="15" hidden="false" customHeight="false" outlineLevel="0" collapsed="false">
      <c r="A525" s="18" t="s">
        <v>1316</v>
      </c>
      <c r="B525" s="18" t="s">
        <v>74</v>
      </c>
      <c r="C525" s="18" t="n">
        <v>437</v>
      </c>
      <c r="D525" s="19" t="n">
        <v>0</v>
      </c>
      <c r="E525" s="19" t="n">
        <v>69</v>
      </c>
      <c r="F525" s="19" t="n">
        <v>69</v>
      </c>
      <c r="G525" s="19" t="n">
        <v>0</v>
      </c>
      <c r="H525" s="18" t="s">
        <v>2048</v>
      </c>
    </row>
    <row r="526" customFormat="false" ht="15" hidden="false" customHeight="false" outlineLevel="0" collapsed="false">
      <c r="A526" s="18" t="s">
        <v>1317</v>
      </c>
      <c r="B526" s="18" t="s">
        <v>74</v>
      </c>
      <c r="C526" s="18" t="n">
        <v>438</v>
      </c>
      <c r="D526" s="19" t="n">
        <v>0</v>
      </c>
      <c r="E526" s="19" t="n">
        <v>230</v>
      </c>
      <c r="F526" s="19" t="n">
        <v>230</v>
      </c>
      <c r="G526" s="19" t="n">
        <v>0</v>
      </c>
      <c r="H526" s="18" t="s">
        <v>2048</v>
      </c>
    </row>
    <row r="527" customFormat="false" ht="15" hidden="false" customHeight="false" outlineLevel="0" collapsed="false">
      <c r="A527" s="18" t="s">
        <v>1318</v>
      </c>
      <c r="B527" s="18" t="s">
        <v>74</v>
      </c>
      <c r="C527" s="18" t="n">
        <v>439</v>
      </c>
      <c r="D527" s="19" t="n">
        <v>0</v>
      </c>
      <c r="E527" s="19" t="n">
        <v>460</v>
      </c>
      <c r="F527" s="19" t="n">
        <v>460</v>
      </c>
      <c r="G527" s="19" t="n">
        <v>0</v>
      </c>
      <c r="H527" s="18" t="s">
        <v>2048</v>
      </c>
    </row>
    <row r="528" customFormat="false" ht="15" hidden="false" customHeight="false" outlineLevel="0" collapsed="false">
      <c r="A528" s="18" t="s">
        <v>1320</v>
      </c>
      <c r="B528" s="18" t="s">
        <v>74</v>
      </c>
      <c r="C528" s="18" t="n">
        <v>440</v>
      </c>
      <c r="D528" s="19" t="n">
        <v>0</v>
      </c>
      <c r="E528" s="19" t="n">
        <v>1259.25</v>
      </c>
      <c r="F528" s="19" t="n">
        <v>1259.25</v>
      </c>
      <c r="G528" s="19" t="n">
        <v>0</v>
      </c>
      <c r="H528" s="18" t="s">
        <v>2048</v>
      </c>
    </row>
    <row r="529" customFormat="false" ht="15" hidden="false" customHeight="false" outlineLevel="0" collapsed="false">
      <c r="A529" s="18" t="s">
        <v>1322</v>
      </c>
      <c r="B529" s="18" t="s">
        <v>74</v>
      </c>
      <c r="C529" s="18" t="n">
        <v>441</v>
      </c>
      <c r="D529" s="19" t="n">
        <v>0</v>
      </c>
      <c r="E529" s="19" t="n">
        <v>8683.6</v>
      </c>
      <c r="F529" s="19" t="n">
        <v>8683.6</v>
      </c>
      <c r="G529" s="19" t="n">
        <v>0</v>
      </c>
      <c r="H529" s="18" t="s">
        <v>2048</v>
      </c>
    </row>
    <row r="530" customFormat="false" ht="15" hidden="false" customHeight="false" outlineLevel="0" collapsed="false">
      <c r="A530" s="18" t="s">
        <v>1324</v>
      </c>
      <c r="B530" s="18" t="s">
        <v>74</v>
      </c>
      <c r="C530" s="18" t="n">
        <v>442</v>
      </c>
      <c r="D530" s="19" t="n">
        <v>0</v>
      </c>
      <c r="E530" s="19" t="n">
        <v>253</v>
      </c>
      <c r="F530" s="19" t="n">
        <v>253</v>
      </c>
      <c r="G530" s="19" t="n">
        <v>0</v>
      </c>
      <c r="H530" s="18" t="s">
        <v>2048</v>
      </c>
    </row>
    <row r="531" customFormat="false" ht="15" hidden="false" customHeight="false" outlineLevel="0" collapsed="false">
      <c r="A531" s="18" t="s">
        <v>1325</v>
      </c>
      <c r="B531" s="18" t="s">
        <v>74</v>
      </c>
      <c r="C531" s="18" t="n">
        <v>443</v>
      </c>
      <c r="D531" s="19" t="n">
        <v>0</v>
      </c>
      <c r="E531" s="19" t="n">
        <v>276</v>
      </c>
      <c r="F531" s="19" t="n">
        <v>276</v>
      </c>
      <c r="G531" s="19" t="n">
        <v>0</v>
      </c>
      <c r="H531" s="18" t="s">
        <v>2048</v>
      </c>
    </row>
    <row r="532" customFormat="false" ht="15" hidden="false" customHeight="false" outlineLevel="0" collapsed="false">
      <c r="A532" s="18" t="s">
        <v>1326</v>
      </c>
      <c r="B532" s="18" t="s">
        <v>74</v>
      </c>
      <c r="C532" s="18" t="n">
        <v>444</v>
      </c>
      <c r="D532" s="19" t="n">
        <v>0</v>
      </c>
      <c r="E532" s="19" t="n">
        <v>200</v>
      </c>
      <c r="F532" s="19" t="n">
        <v>200</v>
      </c>
      <c r="G532" s="19" t="n">
        <v>0</v>
      </c>
      <c r="H532" s="18" t="s">
        <v>2048</v>
      </c>
    </row>
    <row r="533" customFormat="false" ht="15" hidden="false" customHeight="false" outlineLevel="0" collapsed="false">
      <c r="A533" s="18" t="s">
        <v>1328</v>
      </c>
      <c r="B533" s="18" t="s">
        <v>74</v>
      </c>
      <c r="C533" s="18" t="n">
        <v>445</v>
      </c>
      <c r="D533" s="19" t="n">
        <v>0</v>
      </c>
      <c r="E533" s="19" t="n">
        <v>80.5</v>
      </c>
      <c r="F533" s="19" t="n">
        <v>80.5</v>
      </c>
      <c r="G533" s="19" t="n">
        <v>0</v>
      </c>
      <c r="H533" s="18" t="s">
        <v>2048</v>
      </c>
    </row>
    <row r="534" customFormat="false" ht="15" hidden="false" customHeight="false" outlineLevel="0" collapsed="false">
      <c r="A534" s="18" t="s">
        <v>1330</v>
      </c>
      <c r="B534" s="18" t="s">
        <v>74</v>
      </c>
      <c r="C534" s="18" t="n">
        <v>447</v>
      </c>
      <c r="D534" s="19" t="n">
        <v>0</v>
      </c>
      <c r="E534" s="19" t="n">
        <v>1000</v>
      </c>
      <c r="F534" s="19" t="n">
        <v>1000</v>
      </c>
      <c r="G534" s="19" t="n">
        <v>0</v>
      </c>
      <c r="H534" s="18" t="s">
        <v>2048</v>
      </c>
    </row>
    <row r="535" customFormat="false" ht="15" hidden="false" customHeight="false" outlineLevel="0" collapsed="false">
      <c r="A535" s="18" t="s">
        <v>1331</v>
      </c>
      <c r="B535" s="18" t="s">
        <v>74</v>
      </c>
      <c r="C535" s="18" t="n">
        <v>448</v>
      </c>
      <c r="D535" s="19" t="n">
        <v>0</v>
      </c>
      <c r="E535" s="19" t="n">
        <v>2185</v>
      </c>
      <c r="F535" s="19" t="n">
        <v>2185</v>
      </c>
      <c r="G535" s="19" t="n">
        <v>0</v>
      </c>
      <c r="H535" s="18" t="s">
        <v>2048</v>
      </c>
    </row>
    <row r="536" customFormat="false" ht="15" hidden="false" customHeight="false" outlineLevel="0" collapsed="false">
      <c r="A536" s="18" t="s">
        <v>1333</v>
      </c>
      <c r="B536" s="18" t="s">
        <v>74</v>
      </c>
      <c r="C536" s="18" t="n">
        <v>449</v>
      </c>
      <c r="D536" s="19" t="n">
        <v>0</v>
      </c>
      <c r="E536" s="19" t="n">
        <v>17.25</v>
      </c>
      <c r="F536" s="19" t="n">
        <v>17.25</v>
      </c>
      <c r="G536" s="19" t="n">
        <v>0</v>
      </c>
      <c r="H536" s="18" t="s">
        <v>2048</v>
      </c>
    </row>
    <row r="537" customFormat="false" ht="15" hidden="false" customHeight="false" outlineLevel="0" collapsed="false">
      <c r="A537" s="18" t="s">
        <v>1335</v>
      </c>
      <c r="B537" s="18" t="s">
        <v>74</v>
      </c>
      <c r="C537" s="18" t="n">
        <v>450</v>
      </c>
      <c r="D537" s="19" t="n">
        <v>0</v>
      </c>
      <c r="E537" s="19" t="n">
        <v>620</v>
      </c>
      <c r="F537" s="19" t="n">
        <v>620</v>
      </c>
      <c r="G537" s="19" t="n">
        <v>0</v>
      </c>
      <c r="H537" s="18" t="s">
        <v>2048</v>
      </c>
    </row>
    <row r="538" customFormat="false" ht="15" hidden="false" customHeight="false" outlineLevel="0" collapsed="false">
      <c r="A538" s="18" t="s">
        <v>1337</v>
      </c>
      <c r="B538" s="18" t="s">
        <v>74</v>
      </c>
      <c r="C538" s="18" t="n">
        <v>451</v>
      </c>
      <c r="D538" s="19" t="n">
        <v>0</v>
      </c>
      <c r="E538" s="19" t="n">
        <v>100</v>
      </c>
      <c r="F538" s="19" t="n">
        <v>100</v>
      </c>
      <c r="G538" s="19" t="n">
        <v>0</v>
      </c>
      <c r="H538" s="18" t="s">
        <v>2048</v>
      </c>
    </row>
    <row r="539" customFormat="false" ht="15" hidden="false" customHeight="false" outlineLevel="0" collapsed="false">
      <c r="A539" s="18" t="s">
        <v>1338</v>
      </c>
      <c r="B539" s="18" t="s">
        <v>74</v>
      </c>
      <c r="C539" s="18" t="n">
        <v>452</v>
      </c>
      <c r="D539" s="19" t="n">
        <v>0</v>
      </c>
      <c r="E539" s="19" t="n">
        <v>300</v>
      </c>
      <c r="F539" s="19" t="n">
        <v>300</v>
      </c>
      <c r="G539" s="19" t="n">
        <v>0</v>
      </c>
      <c r="H539" s="18" t="s">
        <v>2048</v>
      </c>
    </row>
    <row r="540" customFormat="false" ht="15" hidden="false" customHeight="false" outlineLevel="0" collapsed="false">
      <c r="A540" s="18" t="s">
        <v>1339</v>
      </c>
      <c r="B540" s="18" t="s">
        <v>74</v>
      </c>
      <c r="C540" s="18" t="n">
        <v>453</v>
      </c>
      <c r="D540" s="19" t="n">
        <v>0</v>
      </c>
      <c r="E540" s="19" t="n">
        <v>2859</v>
      </c>
      <c r="F540" s="19" t="n">
        <v>2859</v>
      </c>
      <c r="G540" s="19" t="n">
        <v>0</v>
      </c>
      <c r="H540" s="18" t="s">
        <v>2048</v>
      </c>
    </row>
    <row r="541" customFormat="false" ht="15" hidden="false" customHeight="false" outlineLevel="0" collapsed="false">
      <c r="A541" s="18" t="s">
        <v>1341</v>
      </c>
      <c r="B541" s="18" t="s">
        <v>74</v>
      </c>
      <c r="C541" s="18" t="n">
        <v>455</v>
      </c>
      <c r="D541" s="19" t="n">
        <v>0</v>
      </c>
      <c r="E541" s="19" t="n">
        <v>800</v>
      </c>
      <c r="F541" s="19" t="n">
        <v>800</v>
      </c>
      <c r="G541" s="19" t="n">
        <v>0</v>
      </c>
      <c r="H541" s="18" t="s">
        <v>2048</v>
      </c>
    </row>
    <row r="542" customFormat="false" ht="15" hidden="false" customHeight="false" outlineLevel="0" collapsed="false">
      <c r="A542" s="18" t="s">
        <v>1343</v>
      </c>
      <c r="B542" s="18" t="s">
        <v>74</v>
      </c>
      <c r="C542" s="18" t="n">
        <v>457</v>
      </c>
      <c r="D542" s="19" t="n">
        <v>0</v>
      </c>
      <c r="E542" s="19" t="n">
        <v>120</v>
      </c>
      <c r="F542" s="19" t="n">
        <v>120</v>
      </c>
      <c r="G542" s="19" t="n">
        <v>0</v>
      </c>
      <c r="H542" s="18" t="s">
        <v>2048</v>
      </c>
    </row>
    <row r="543" customFormat="false" ht="15" hidden="false" customHeight="false" outlineLevel="0" collapsed="false">
      <c r="A543" s="18" t="s">
        <v>1345</v>
      </c>
      <c r="B543" s="18" t="s">
        <v>74</v>
      </c>
      <c r="C543" s="18" t="n">
        <v>458</v>
      </c>
      <c r="D543" s="19" t="n">
        <v>0</v>
      </c>
      <c r="E543" s="19" t="n">
        <v>350</v>
      </c>
      <c r="F543" s="19" t="n">
        <v>350</v>
      </c>
      <c r="G543" s="19" t="n">
        <v>0</v>
      </c>
      <c r="H543" s="18" t="s">
        <v>2048</v>
      </c>
    </row>
    <row r="544" customFormat="false" ht="15" hidden="false" customHeight="false" outlineLevel="0" collapsed="false">
      <c r="A544" s="18" t="s">
        <v>1347</v>
      </c>
      <c r="B544" s="18" t="s">
        <v>74</v>
      </c>
      <c r="C544" s="18" t="n">
        <v>459</v>
      </c>
      <c r="D544" s="19" t="n">
        <v>0</v>
      </c>
      <c r="E544" s="19" t="n">
        <v>21624.6</v>
      </c>
      <c r="F544" s="19" t="n">
        <v>21624.6</v>
      </c>
      <c r="G544" s="19" t="n">
        <v>0</v>
      </c>
      <c r="H544" s="18" t="s">
        <v>2048</v>
      </c>
    </row>
    <row r="545" customFormat="false" ht="15" hidden="false" customHeight="false" outlineLevel="0" collapsed="false">
      <c r="A545" s="18" t="s">
        <v>1349</v>
      </c>
      <c r="B545" s="18" t="s">
        <v>74</v>
      </c>
      <c r="C545" s="18" t="n">
        <v>460</v>
      </c>
      <c r="D545" s="19" t="n">
        <v>0</v>
      </c>
      <c r="E545" s="19" t="n">
        <v>8009.8</v>
      </c>
      <c r="F545" s="19" t="n">
        <v>8009.8</v>
      </c>
      <c r="G545" s="19" t="n">
        <v>0</v>
      </c>
      <c r="H545" s="18" t="s">
        <v>2048</v>
      </c>
    </row>
    <row r="546" customFormat="false" ht="15" hidden="false" customHeight="false" outlineLevel="0" collapsed="false">
      <c r="A546" s="18" t="s">
        <v>1351</v>
      </c>
      <c r="B546" s="18" t="s">
        <v>74</v>
      </c>
      <c r="C546" s="18" t="n">
        <v>461</v>
      </c>
      <c r="D546" s="19" t="n">
        <v>0</v>
      </c>
      <c r="E546" s="19" t="n">
        <v>310.5</v>
      </c>
      <c r="F546" s="19" t="n">
        <v>310.5</v>
      </c>
      <c r="G546" s="19" t="n">
        <v>0</v>
      </c>
      <c r="H546" s="18" t="s">
        <v>2048</v>
      </c>
    </row>
    <row r="547" customFormat="false" ht="15" hidden="false" customHeight="false" outlineLevel="0" collapsed="false">
      <c r="A547" s="18" t="s">
        <v>1352</v>
      </c>
      <c r="B547" s="18" t="s">
        <v>74</v>
      </c>
      <c r="C547" s="18" t="n">
        <v>462</v>
      </c>
      <c r="D547" s="19" t="n">
        <v>0</v>
      </c>
      <c r="E547" s="19" t="n">
        <v>4183.5</v>
      </c>
      <c r="F547" s="19" t="n">
        <v>4183.5</v>
      </c>
      <c r="G547" s="19" t="n">
        <v>0</v>
      </c>
      <c r="H547" s="18" t="s">
        <v>2048</v>
      </c>
    </row>
    <row r="548" customFormat="false" ht="15" hidden="false" customHeight="false" outlineLevel="0" collapsed="false">
      <c r="A548" s="18" t="s">
        <v>1354</v>
      </c>
      <c r="B548" s="18" t="s">
        <v>74</v>
      </c>
      <c r="C548" s="18" t="n">
        <v>463</v>
      </c>
      <c r="D548" s="19" t="n">
        <v>0</v>
      </c>
      <c r="E548" s="19" t="n">
        <v>207</v>
      </c>
      <c r="F548" s="19" t="n">
        <v>207</v>
      </c>
      <c r="G548" s="19" t="n">
        <v>0</v>
      </c>
      <c r="H548" s="18" t="s">
        <v>2048</v>
      </c>
    </row>
    <row r="549" customFormat="false" ht="15" hidden="false" customHeight="false" outlineLevel="0" collapsed="false">
      <c r="A549" s="18" t="s">
        <v>1355</v>
      </c>
      <c r="B549" s="18" t="s">
        <v>74</v>
      </c>
      <c r="C549" s="18" t="n">
        <v>464</v>
      </c>
      <c r="D549" s="19" t="n">
        <v>0</v>
      </c>
      <c r="E549" s="19" t="n">
        <v>345</v>
      </c>
      <c r="F549" s="19" t="n">
        <v>345</v>
      </c>
      <c r="G549" s="19" t="n">
        <v>0</v>
      </c>
      <c r="H549" s="18" t="s">
        <v>2048</v>
      </c>
    </row>
    <row r="550" customFormat="false" ht="15" hidden="false" customHeight="false" outlineLevel="0" collapsed="false">
      <c r="A550" s="18" t="s">
        <v>1356</v>
      </c>
      <c r="B550" s="18" t="s">
        <v>74</v>
      </c>
      <c r="C550" s="18" t="n">
        <v>467</v>
      </c>
      <c r="D550" s="19" t="n">
        <v>0</v>
      </c>
      <c r="E550" s="19" t="n">
        <v>299</v>
      </c>
      <c r="F550" s="19" t="n">
        <v>299</v>
      </c>
      <c r="G550" s="19" t="n">
        <v>0</v>
      </c>
      <c r="H550" s="18" t="s">
        <v>2048</v>
      </c>
    </row>
    <row r="551" customFormat="false" ht="15" hidden="false" customHeight="false" outlineLevel="0" collapsed="false">
      <c r="A551" s="18" t="s">
        <v>1358</v>
      </c>
      <c r="B551" s="18" t="s">
        <v>74</v>
      </c>
      <c r="C551" s="18" t="n">
        <v>468</v>
      </c>
      <c r="D551" s="19" t="n">
        <v>0</v>
      </c>
      <c r="E551" s="19" t="n">
        <v>437</v>
      </c>
      <c r="F551" s="19" t="n">
        <v>437</v>
      </c>
      <c r="G551" s="19" t="n">
        <v>0</v>
      </c>
      <c r="H551" s="18" t="s">
        <v>2048</v>
      </c>
    </row>
    <row r="552" customFormat="false" ht="15" hidden="false" customHeight="false" outlineLevel="0" collapsed="false">
      <c r="A552" s="18" t="s">
        <v>1359</v>
      </c>
      <c r="B552" s="18" t="s">
        <v>74</v>
      </c>
      <c r="C552" s="18" t="n">
        <v>469</v>
      </c>
      <c r="D552" s="19" t="n">
        <v>0</v>
      </c>
      <c r="E552" s="19" t="n">
        <v>161</v>
      </c>
      <c r="F552" s="19" t="n">
        <v>161</v>
      </c>
      <c r="G552" s="19" t="n">
        <v>0</v>
      </c>
      <c r="H552" s="18" t="s">
        <v>2048</v>
      </c>
    </row>
    <row r="553" customFormat="false" ht="15" hidden="false" customHeight="false" outlineLevel="0" collapsed="false">
      <c r="A553" s="18" t="s">
        <v>1360</v>
      </c>
      <c r="B553" s="18" t="s">
        <v>74</v>
      </c>
      <c r="C553" s="18" t="n">
        <v>470</v>
      </c>
      <c r="D553" s="19" t="n">
        <v>0</v>
      </c>
      <c r="E553" s="19" t="n">
        <v>80.5</v>
      </c>
      <c r="F553" s="19" t="n">
        <v>80.5</v>
      </c>
      <c r="G553" s="19" t="n">
        <v>0</v>
      </c>
      <c r="H553" s="18" t="s">
        <v>2048</v>
      </c>
    </row>
    <row r="554" customFormat="false" ht="15" hidden="false" customHeight="false" outlineLevel="0" collapsed="false">
      <c r="A554" s="18" t="s">
        <v>1361</v>
      </c>
      <c r="B554" s="18" t="s">
        <v>74</v>
      </c>
      <c r="C554" s="18" t="n">
        <v>471</v>
      </c>
      <c r="D554" s="19" t="n">
        <v>0</v>
      </c>
      <c r="E554" s="19" t="n">
        <v>207</v>
      </c>
      <c r="F554" s="19" t="n">
        <v>207</v>
      </c>
      <c r="G554" s="19" t="n">
        <v>0</v>
      </c>
      <c r="H554" s="18" t="s">
        <v>2048</v>
      </c>
    </row>
    <row r="555" customFormat="false" ht="15" hidden="false" customHeight="false" outlineLevel="0" collapsed="false">
      <c r="A555" s="18" t="s">
        <v>1362</v>
      </c>
      <c r="B555" s="18" t="s">
        <v>74</v>
      </c>
      <c r="C555" s="18" t="n">
        <v>472</v>
      </c>
      <c r="D555" s="19" t="n">
        <v>0</v>
      </c>
      <c r="E555" s="19" t="n">
        <v>172.5</v>
      </c>
      <c r="F555" s="19" t="n">
        <v>172.5</v>
      </c>
      <c r="G555" s="19" t="n">
        <v>0</v>
      </c>
      <c r="H555" s="18" t="s">
        <v>2048</v>
      </c>
    </row>
    <row r="556" customFormat="false" ht="15" hidden="false" customHeight="false" outlineLevel="0" collapsed="false">
      <c r="A556" s="18" t="s">
        <v>1363</v>
      </c>
      <c r="B556" s="18" t="s">
        <v>74</v>
      </c>
      <c r="C556" s="18" t="n">
        <v>473</v>
      </c>
      <c r="D556" s="19" t="n">
        <v>0</v>
      </c>
      <c r="E556" s="19" t="n">
        <v>4715</v>
      </c>
      <c r="F556" s="19" t="n">
        <v>4715</v>
      </c>
      <c r="G556" s="19" t="n">
        <v>0</v>
      </c>
      <c r="H556" s="18" t="s">
        <v>2048</v>
      </c>
    </row>
    <row r="557" customFormat="false" ht="15" hidden="false" customHeight="false" outlineLevel="0" collapsed="false">
      <c r="A557" s="18" t="s">
        <v>1365</v>
      </c>
      <c r="B557" s="18" t="s">
        <v>74</v>
      </c>
      <c r="C557" s="18" t="n">
        <v>474</v>
      </c>
      <c r="D557" s="19" t="n">
        <v>0</v>
      </c>
      <c r="E557" s="19" t="n">
        <v>1092.5</v>
      </c>
      <c r="F557" s="19" t="n">
        <v>1092.5</v>
      </c>
      <c r="G557" s="19" t="n">
        <v>0</v>
      </c>
      <c r="H557" s="18" t="s">
        <v>2048</v>
      </c>
    </row>
    <row r="558" customFormat="false" ht="15" hidden="false" customHeight="false" outlineLevel="0" collapsed="false">
      <c r="A558" s="18" t="s">
        <v>1367</v>
      </c>
      <c r="B558" s="18" t="s">
        <v>74</v>
      </c>
      <c r="C558" s="18" t="n">
        <v>475</v>
      </c>
      <c r="D558" s="19" t="n">
        <v>0</v>
      </c>
      <c r="E558" s="19" t="n">
        <v>2771.5</v>
      </c>
      <c r="F558" s="19" t="n">
        <v>2771.5</v>
      </c>
      <c r="G558" s="19" t="n">
        <v>0</v>
      </c>
      <c r="H558" s="18" t="s">
        <v>2048</v>
      </c>
    </row>
    <row r="559" customFormat="false" ht="15" hidden="false" customHeight="false" outlineLevel="0" collapsed="false">
      <c r="A559" s="18" t="s">
        <v>1369</v>
      </c>
      <c r="B559" s="18" t="s">
        <v>74</v>
      </c>
      <c r="C559" s="18" t="n">
        <v>476</v>
      </c>
      <c r="D559" s="19" t="n">
        <v>0</v>
      </c>
      <c r="E559" s="19" t="n">
        <v>1817</v>
      </c>
      <c r="F559" s="19" t="n">
        <v>1817</v>
      </c>
      <c r="G559" s="19" t="n">
        <v>0</v>
      </c>
      <c r="H559" s="18" t="s">
        <v>2048</v>
      </c>
    </row>
    <row r="560" customFormat="false" ht="15" hidden="false" customHeight="false" outlineLevel="0" collapsed="false">
      <c r="A560" s="18" t="s">
        <v>1371</v>
      </c>
      <c r="B560" s="18" t="s">
        <v>74</v>
      </c>
      <c r="C560" s="18" t="n">
        <v>477</v>
      </c>
      <c r="D560" s="19" t="n">
        <v>0</v>
      </c>
      <c r="E560" s="19" t="n">
        <v>7678.2</v>
      </c>
      <c r="F560" s="19" t="n">
        <v>7678.2</v>
      </c>
      <c r="G560" s="19" t="n">
        <v>0</v>
      </c>
      <c r="H560" s="18" t="s">
        <v>2048</v>
      </c>
    </row>
    <row r="561" customFormat="false" ht="15" hidden="false" customHeight="false" outlineLevel="0" collapsed="false">
      <c r="A561" s="18" t="s">
        <v>1373</v>
      </c>
      <c r="B561" s="18" t="s">
        <v>74</v>
      </c>
      <c r="C561" s="18" t="n">
        <v>479</v>
      </c>
      <c r="D561" s="19" t="n">
        <v>0</v>
      </c>
      <c r="E561" s="19" t="n">
        <v>350</v>
      </c>
      <c r="F561" s="19" t="n">
        <v>350</v>
      </c>
      <c r="G561" s="19" t="n">
        <v>0</v>
      </c>
      <c r="H561" s="18" t="s">
        <v>2048</v>
      </c>
    </row>
    <row r="562" customFormat="false" ht="15" hidden="false" customHeight="false" outlineLevel="0" collapsed="false">
      <c r="A562" s="18" t="s">
        <v>1374</v>
      </c>
      <c r="B562" s="18" t="s">
        <v>74</v>
      </c>
      <c r="C562" s="18" t="n">
        <v>480</v>
      </c>
      <c r="D562" s="19" t="n">
        <v>0</v>
      </c>
      <c r="E562" s="19" t="n">
        <v>24346.1</v>
      </c>
      <c r="F562" s="19" t="n">
        <v>24346.1</v>
      </c>
      <c r="G562" s="19" t="n">
        <v>0</v>
      </c>
      <c r="H562" s="18" t="s">
        <v>2048</v>
      </c>
    </row>
    <row r="563" customFormat="false" ht="15" hidden="false" customHeight="false" outlineLevel="0" collapsed="false">
      <c r="A563" s="18" t="s">
        <v>1376</v>
      </c>
      <c r="B563" s="18" t="s">
        <v>74</v>
      </c>
      <c r="C563" s="18" t="n">
        <v>481</v>
      </c>
      <c r="D563" s="19" t="n">
        <v>0</v>
      </c>
      <c r="E563" s="19" t="n">
        <v>1396.1</v>
      </c>
      <c r="F563" s="19" t="n">
        <v>1396.1</v>
      </c>
      <c r="G563" s="19" t="n">
        <v>0</v>
      </c>
      <c r="H563" s="18" t="s">
        <v>2048</v>
      </c>
    </row>
    <row r="564" customFormat="false" ht="15" hidden="false" customHeight="false" outlineLevel="0" collapsed="false">
      <c r="A564" s="18" t="s">
        <v>1378</v>
      </c>
      <c r="B564" s="18" t="s">
        <v>74</v>
      </c>
      <c r="C564" s="18" t="n">
        <v>482</v>
      </c>
      <c r="D564" s="19" t="n">
        <v>0</v>
      </c>
      <c r="E564" s="19" t="n">
        <v>632.5</v>
      </c>
      <c r="F564" s="19" t="n">
        <v>632.5</v>
      </c>
      <c r="G564" s="19" t="n">
        <v>0</v>
      </c>
      <c r="H564" s="18" t="s">
        <v>2048</v>
      </c>
    </row>
    <row r="565" customFormat="false" ht="15" hidden="false" customHeight="false" outlineLevel="0" collapsed="false">
      <c r="A565" s="18" t="s">
        <v>1380</v>
      </c>
      <c r="B565" s="18" t="s">
        <v>74</v>
      </c>
      <c r="C565" s="18" t="n">
        <v>483</v>
      </c>
      <c r="D565" s="19" t="n">
        <v>0</v>
      </c>
      <c r="E565" s="19" t="n">
        <v>239</v>
      </c>
      <c r="F565" s="19" t="n">
        <v>239</v>
      </c>
      <c r="G565" s="19" t="n">
        <v>0</v>
      </c>
      <c r="H565" s="18" t="s">
        <v>2048</v>
      </c>
    </row>
    <row r="566" customFormat="false" ht="15" hidden="false" customHeight="false" outlineLevel="0" collapsed="false">
      <c r="A566" s="18" t="s">
        <v>1382</v>
      </c>
      <c r="B566" s="18" t="s">
        <v>74</v>
      </c>
      <c r="C566" s="18" t="n">
        <v>484</v>
      </c>
      <c r="D566" s="19" t="n">
        <v>0</v>
      </c>
      <c r="E566" s="19" t="n">
        <v>25599</v>
      </c>
      <c r="F566" s="19" t="n">
        <v>25599</v>
      </c>
      <c r="G566" s="19" t="n">
        <v>0</v>
      </c>
      <c r="H566" s="18" t="s">
        <v>2048</v>
      </c>
    </row>
    <row r="567" customFormat="false" ht="15" hidden="false" customHeight="false" outlineLevel="0" collapsed="false">
      <c r="A567" s="18" t="s">
        <v>1384</v>
      </c>
      <c r="B567" s="18" t="s">
        <v>74</v>
      </c>
      <c r="C567" s="18" t="n">
        <v>485</v>
      </c>
      <c r="D567" s="19" t="n">
        <v>0</v>
      </c>
      <c r="E567" s="19" t="n">
        <v>14869.5</v>
      </c>
      <c r="F567" s="19" t="n">
        <v>14869.5</v>
      </c>
      <c r="G567" s="19" t="n">
        <v>0</v>
      </c>
      <c r="H567" s="18" t="s">
        <v>2048</v>
      </c>
    </row>
    <row r="568" customFormat="false" ht="15" hidden="false" customHeight="false" outlineLevel="0" collapsed="false">
      <c r="A568" s="18" t="s">
        <v>1386</v>
      </c>
      <c r="B568" s="18" t="s">
        <v>74</v>
      </c>
      <c r="C568" s="18" t="n">
        <v>486</v>
      </c>
      <c r="D568" s="19" t="n">
        <v>0</v>
      </c>
      <c r="E568" s="19" t="n">
        <v>12820</v>
      </c>
      <c r="F568" s="19" t="n">
        <v>12820</v>
      </c>
      <c r="G568" s="19" t="n">
        <v>0</v>
      </c>
      <c r="H568" s="18" t="s">
        <v>2048</v>
      </c>
    </row>
    <row r="569" customFormat="false" ht="15" hidden="false" customHeight="false" outlineLevel="0" collapsed="false">
      <c r="A569" s="18" t="s">
        <v>1388</v>
      </c>
      <c r="B569" s="18" t="s">
        <v>74</v>
      </c>
      <c r="C569" s="18" t="n">
        <v>487</v>
      </c>
      <c r="D569" s="19" t="n">
        <v>0</v>
      </c>
      <c r="E569" s="19" t="n">
        <v>138</v>
      </c>
      <c r="F569" s="19" t="n">
        <v>138</v>
      </c>
      <c r="G569" s="19" t="n">
        <v>0</v>
      </c>
      <c r="H569" s="18" t="s">
        <v>2048</v>
      </c>
    </row>
    <row r="570" customFormat="false" ht="15" hidden="false" customHeight="false" outlineLevel="0" collapsed="false">
      <c r="A570" s="18" t="s">
        <v>1390</v>
      </c>
      <c r="B570" s="18" t="s">
        <v>74</v>
      </c>
      <c r="C570" s="18" t="n">
        <v>488</v>
      </c>
      <c r="D570" s="19" t="n">
        <v>0</v>
      </c>
      <c r="E570" s="19" t="n">
        <v>280</v>
      </c>
      <c r="F570" s="19" t="n">
        <v>280</v>
      </c>
      <c r="G570" s="19" t="n">
        <v>0</v>
      </c>
      <c r="H570" s="18" t="s">
        <v>2048</v>
      </c>
    </row>
    <row r="571" customFormat="false" ht="15" hidden="false" customHeight="false" outlineLevel="0" collapsed="false">
      <c r="A571" s="18" t="s">
        <v>1392</v>
      </c>
      <c r="B571" s="18" t="s">
        <v>74</v>
      </c>
      <c r="C571" s="18" t="n">
        <v>489</v>
      </c>
      <c r="D571" s="19" t="n">
        <v>0</v>
      </c>
      <c r="E571" s="19" t="n">
        <v>50</v>
      </c>
      <c r="F571" s="19" t="n">
        <v>50</v>
      </c>
      <c r="G571" s="19" t="n">
        <v>0</v>
      </c>
      <c r="H571" s="18" t="s">
        <v>2048</v>
      </c>
    </row>
    <row r="572" customFormat="false" ht="15" hidden="false" customHeight="false" outlineLevel="0" collapsed="false">
      <c r="A572" s="18" t="s">
        <v>1393</v>
      </c>
      <c r="B572" s="18" t="s">
        <v>74</v>
      </c>
      <c r="C572" s="18" t="n">
        <v>490</v>
      </c>
      <c r="D572" s="19" t="n">
        <v>0</v>
      </c>
      <c r="E572" s="19" t="n">
        <v>805</v>
      </c>
      <c r="F572" s="19" t="n">
        <v>805</v>
      </c>
      <c r="G572" s="19" t="n">
        <v>0</v>
      </c>
      <c r="H572" s="18" t="s">
        <v>2048</v>
      </c>
    </row>
    <row r="573" customFormat="false" ht="15" hidden="false" customHeight="false" outlineLevel="0" collapsed="false">
      <c r="A573" s="18" t="s">
        <v>1395</v>
      </c>
      <c r="B573" s="18" t="s">
        <v>74</v>
      </c>
      <c r="C573" s="18" t="n">
        <v>491</v>
      </c>
      <c r="D573" s="19" t="n">
        <v>0</v>
      </c>
      <c r="E573" s="19" t="n">
        <v>2530</v>
      </c>
      <c r="F573" s="19" t="n">
        <v>2530</v>
      </c>
      <c r="G573" s="19" t="n">
        <v>0</v>
      </c>
      <c r="H573" s="18" t="s">
        <v>2048</v>
      </c>
    </row>
    <row r="574" customFormat="false" ht="15" hidden="false" customHeight="false" outlineLevel="0" collapsed="false">
      <c r="A574" s="18" t="s">
        <v>1396</v>
      </c>
      <c r="B574" s="18" t="s">
        <v>74</v>
      </c>
      <c r="C574" s="18" t="n">
        <v>492</v>
      </c>
      <c r="D574" s="19" t="n">
        <v>0</v>
      </c>
      <c r="E574" s="19" t="n">
        <v>235</v>
      </c>
      <c r="F574" s="19" t="n">
        <v>235</v>
      </c>
      <c r="G574" s="19" t="n">
        <v>0</v>
      </c>
      <c r="H574" s="18" t="s">
        <v>2048</v>
      </c>
    </row>
    <row r="575" customFormat="false" ht="15" hidden="false" customHeight="false" outlineLevel="0" collapsed="false">
      <c r="A575" s="18" t="s">
        <v>1398</v>
      </c>
      <c r="B575" s="18" t="s">
        <v>74</v>
      </c>
      <c r="C575" s="18" t="n">
        <v>493</v>
      </c>
      <c r="D575" s="19" t="n">
        <v>0</v>
      </c>
      <c r="E575" s="19" t="n">
        <v>148.93</v>
      </c>
      <c r="F575" s="19" t="n">
        <v>148.93</v>
      </c>
      <c r="G575" s="19" t="n">
        <v>0</v>
      </c>
      <c r="H575" s="18" t="s">
        <v>2048</v>
      </c>
    </row>
    <row r="576" customFormat="false" ht="15" hidden="false" customHeight="false" outlineLevel="0" collapsed="false">
      <c r="A576" s="18" t="s">
        <v>1400</v>
      </c>
      <c r="B576" s="18" t="s">
        <v>74</v>
      </c>
      <c r="C576" s="18" t="n">
        <v>494</v>
      </c>
      <c r="D576" s="19" t="n">
        <v>0</v>
      </c>
      <c r="E576" s="19" t="n">
        <v>1322.5</v>
      </c>
      <c r="F576" s="19" t="n">
        <v>1322.5</v>
      </c>
      <c r="G576" s="19" t="n">
        <v>0</v>
      </c>
      <c r="H576" s="18" t="s">
        <v>2048</v>
      </c>
    </row>
    <row r="577" customFormat="false" ht="15" hidden="false" customHeight="false" outlineLevel="0" collapsed="false">
      <c r="A577" s="18" t="s">
        <v>1402</v>
      </c>
      <c r="B577" s="18" t="s">
        <v>74</v>
      </c>
      <c r="C577" s="18" t="n">
        <v>495</v>
      </c>
      <c r="D577" s="19" t="n">
        <v>0</v>
      </c>
      <c r="E577" s="19" t="n">
        <v>1316</v>
      </c>
      <c r="F577" s="19" t="n">
        <v>1316</v>
      </c>
      <c r="G577" s="19" t="n">
        <v>0</v>
      </c>
      <c r="H577" s="18" t="s">
        <v>2048</v>
      </c>
    </row>
    <row r="578" customFormat="false" ht="15" hidden="false" customHeight="false" outlineLevel="0" collapsed="false">
      <c r="A578" s="18" t="s">
        <v>1404</v>
      </c>
      <c r="B578" s="18" t="s">
        <v>74</v>
      </c>
      <c r="C578" s="18" t="n">
        <v>496</v>
      </c>
      <c r="D578" s="19" t="n">
        <v>0</v>
      </c>
      <c r="E578" s="19" t="n">
        <v>50</v>
      </c>
      <c r="F578" s="19" t="n">
        <v>50</v>
      </c>
      <c r="G578" s="19" t="n">
        <v>0</v>
      </c>
      <c r="H578" s="18" t="s">
        <v>2048</v>
      </c>
    </row>
    <row r="579" customFormat="false" ht="15" hidden="false" customHeight="false" outlineLevel="0" collapsed="false">
      <c r="A579" s="18" t="s">
        <v>1405</v>
      </c>
      <c r="B579" s="18" t="s">
        <v>74</v>
      </c>
      <c r="C579" s="18" t="n">
        <v>497</v>
      </c>
      <c r="D579" s="19" t="n">
        <v>0</v>
      </c>
      <c r="E579" s="19" t="n">
        <v>115</v>
      </c>
      <c r="F579" s="19" t="n">
        <v>115</v>
      </c>
      <c r="G579" s="19" t="n">
        <v>0</v>
      </c>
      <c r="H579" s="18" t="s">
        <v>2048</v>
      </c>
    </row>
    <row r="580" customFormat="false" ht="15" hidden="false" customHeight="false" outlineLevel="0" collapsed="false">
      <c r="A580" s="18" t="s">
        <v>1406</v>
      </c>
      <c r="B580" s="18" t="s">
        <v>74</v>
      </c>
      <c r="C580" s="18" t="n">
        <v>498</v>
      </c>
      <c r="D580" s="19" t="n">
        <v>0</v>
      </c>
      <c r="E580" s="19" t="n">
        <v>603.75</v>
      </c>
      <c r="F580" s="19" t="n">
        <v>603.75</v>
      </c>
      <c r="G580" s="19" t="n">
        <v>0</v>
      </c>
      <c r="H580" s="18" t="s">
        <v>2048</v>
      </c>
    </row>
    <row r="581" customFormat="false" ht="15" hidden="false" customHeight="false" outlineLevel="0" collapsed="false">
      <c r="A581" s="18" t="s">
        <v>1408</v>
      </c>
      <c r="B581" s="18" t="s">
        <v>74</v>
      </c>
      <c r="C581" s="18" t="n">
        <v>499</v>
      </c>
      <c r="D581" s="19" t="n">
        <v>0</v>
      </c>
      <c r="E581" s="19" t="n">
        <v>24937.75</v>
      </c>
      <c r="F581" s="19" t="n">
        <v>24937.75</v>
      </c>
      <c r="G581" s="19" t="n">
        <v>0</v>
      </c>
      <c r="H581" s="18" t="s">
        <v>2048</v>
      </c>
    </row>
    <row r="582" customFormat="false" ht="15" hidden="false" customHeight="false" outlineLevel="0" collapsed="false">
      <c r="A582" s="18" t="s">
        <v>1410</v>
      </c>
      <c r="B582" s="18" t="s">
        <v>74</v>
      </c>
      <c r="C582" s="18" t="n">
        <v>500</v>
      </c>
      <c r="D582" s="19" t="n">
        <v>0</v>
      </c>
      <c r="E582" s="19" t="n">
        <v>3018</v>
      </c>
      <c r="F582" s="19" t="n">
        <v>3018</v>
      </c>
      <c r="G582" s="19" t="n">
        <v>0</v>
      </c>
      <c r="H582" s="18" t="s">
        <v>2048</v>
      </c>
    </row>
    <row r="583" customFormat="false" ht="15" hidden="false" customHeight="false" outlineLevel="0" collapsed="false">
      <c r="A583" s="18" t="s">
        <v>1412</v>
      </c>
      <c r="B583" s="18" t="s">
        <v>74</v>
      </c>
      <c r="C583" s="18" t="n">
        <v>501</v>
      </c>
      <c r="D583" s="19" t="n">
        <v>0</v>
      </c>
      <c r="E583" s="19" t="n">
        <v>130</v>
      </c>
      <c r="F583" s="19" t="n">
        <v>130</v>
      </c>
      <c r="G583" s="19" t="n">
        <v>0</v>
      </c>
      <c r="H583" s="18" t="s">
        <v>2048</v>
      </c>
    </row>
    <row r="584" customFormat="false" ht="15" hidden="false" customHeight="false" outlineLevel="0" collapsed="false">
      <c r="A584" s="18" t="s">
        <v>1414</v>
      </c>
      <c r="B584" s="18" t="s">
        <v>74</v>
      </c>
      <c r="C584" s="18" t="n">
        <v>502</v>
      </c>
      <c r="D584" s="19" t="n">
        <v>0</v>
      </c>
      <c r="E584" s="19" t="n">
        <v>9487.5</v>
      </c>
      <c r="F584" s="19" t="n">
        <v>9487.5</v>
      </c>
      <c r="G584" s="19" t="n">
        <v>0</v>
      </c>
      <c r="H584" s="18" t="s">
        <v>2048</v>
      </c>
    </row>
    <row r="585" customFormat="false" ht="15" hidden="false" customHeight="false" outlineLevel="0" collapsed="false">
      <c r="A585" s="18" t="s">
        <v>1416</v>
      </c>
      <c r="B585" s="18" t="s">
        <v>74</v>
      </c>
      <c r="C585" s="18" t="n">
        <v>503</v>
      </c>
      <c r="D585" s="19" t="n">
        <v>0</v>
      </c>
      <c r="E585" s="19" t="n">
        <v>575</v>
      </c>
      <c r="F585" s="19" t="n">
        <v>575</v>
      </c>
      <c r="G585" s="19" t="n">
        <v>0</v>
      </c>
      <c r="H585" s="18" t="s">
        <v>2048</v>
      </c>
    </row>
    <row r="586" customFormat="false" ht="15" hidden="false" customHeight="false" outlineLevel="0" collapsed="false">
      <c r="A586" s="18" t="s">
        <v>1417</v>
      </c>
      <c r="B586" s="18" t="s">
        <v>74</v>
      </c>
      <c r="C586" s="18" t="n">
        <v>504</v>
      </c>
      <c r="D586" s="19" t="n">
        <v>0</v>
      </c>
      <c r="E586" s="19" t="n">
        <v>776.25</v>
      </c>
      <c r="F586" s="19" t="n">
        <v>776.25</v>
      </c>
      <c r="G586" s="19" t="n">
        <v>0</v>
      </c>
      <c r="H586" s="18" t="s">
        <v>2048</v>
      </c>
    </row>
    <row r="587" customFormat="false" ht="15" hidden="false" customHeight="false" outlineLevel="0" collapsed="false">
      <c r="A587" s="18" t="s">
        <v>1419</v>
      </c>
      <c r="B587" s="18" t="s">
        <v>74</v>
      </c>
      <c r="C587" s="18" t="n">
        <v>505</v>
      </c>
      <c r="D587" s="19" t="n">
        <v>0</v>
      </c>
      <c r="E587" s="19" t="n">
        <v>968.3</v>
      </c>
      <c r="F587" s="19" t="n">
        <v>968.3</v>
      </c>
      <c r="G587" s="19" t="n">
        <v>0</v>
      </c>
      <c r="H587" s="18" t="s">
        <v>2048</v>
      </c>
    </row>
    <row r="588" customFormat="false" ht="15" hidden="false" customHeight="false" outlineLevel="0" collapsed="false">
      <c r="A588" s="18" t="s">
        <v>1421</v>
      </c>
      <c r="B588" s="18" t="s">
        <v>74</v>
      </c>
      <c r="C588" s="18" t="n">
        <v>506</v>
      </c>
      <c r="D588" s="19" t="n">
        <v>0</v>
      </c>
      <c r="E588" s="19" t="n">
        <v>253</v>
      </c>
      <c r="F588" s="19" t="n">
        <v>253</v>
      </c>
      <c r="G588" s="19" t="n">
        <v>0</v>
      </c>
      <c r="H588" s="18" t="s">
        <v>2048</v>
      </c>
    </row>
    <row r="589" customFormat="false" ht="15" hidden="false" customHeight="false" outlineLevel="0" collapsed="false">
      <c r="A589" s="18" t="s">
        <v>1422</v>
      </c>
      <c r="B589" s="18" t="s">
        <v>74</v>
      </c>
      <c r="C589" s="18" t="n">
        <v>507</v>
      </c>
      <c r="D589" s="19" t="n">
        <v>0</v>
      </c>
      <c r="E589" s="19" t="n">
        <v>7779.25</v>
      </c>
      <c r="F589" s="19" t="n">
        <v>7779.25</v>
      </c>
      <c r="G589" s="19" t="n">
        <v>0</v>
      </c>
      <c r="H589" s="18" t="s">
        <v>2048</v>
      </c>
    </row>
    <row r="590" customFormat="false" ht="15" hidden="false" customHeight="false" outlineLevel="0" collapsed="false">
      <c r="A590" s="18" t="s">
        <v>1424</v>
      </c>
      <c r="B590" s="18" t="s">
        <v>74</v>
      </c>
      <c r="C590" s="18" t="n">
        <v>508</v>
      </c>
      <c r="D590" s="19" t="n">
        <v>0</v>
      </c>
      <c r="E590" s="19" t="n">
        <v>356.5</v>
      </c>
      <c r="F590" s="19" t="n">
        <v>356.5</v>
      </c>
      <c r="G590" s="19" t="n">
        <v>0</v>
      </c>
      <c r="H590" s="18" t="s">
        <v>2048</v>
      </c>
    </row>
    <row r="591" customFormat="false" ht="15" hidden="false" customHeight="false" outlineLevel="0" collapsed="false">
      <c r="A591" s="18" t="s">
        <v>1425</v>
      </c>
      <c r="B591" s="18" t="s">
        <v>74</v>
      </c>
      <c r="C591" s="18" t="n">
        <v>509</v>
      </c>
      <c r="D591" s="19" t="n">
        <v>0</v>
      </c>
      <c r="E591" s="19" t="n">
        <v>483</v>
      </c>
      <c r="F591" s="19" t="n">
        <v>483</v>
      </c>
      <c r="G591" s="19" t="n">
        <v>0</v>
      </c>
      <c r="H591" s="18" t="s">
        <v>2048</v>
      </c>
    </row>
    <row r="592" customFormat="false" ht="15" hidden="false" customHeight="false" outlineLevel="0" collapsed="false">
      <c r="A592" s="18" t="s">
        <v>1427</v>
      </c>
      <c r="B592" s="18" t="s">
        <v>74</v>
      </c>
      <c r="C592" s="18" t="n">
        <v>510</v>
      </c>
      <c r="D592" s="19" t="n">
        <v>0</v>
      </c>
      <c r="E592" s="19" t="n">
        <v>732.55</v>
      </c>
      <c r="F592" s="19" t="n">
        <v>732.55</v>
      </c>
      <c r="G592" s="19" t="n">
        <v>0</v>
      </c>
      <c r="H592" s="18" t="s">
        <v>2048</v>
      </c>
    </row>
    <row r="593" customFormat="false" ht="15" hidden="false" customHeight="false" outlineLevel="0" collapsed="false">
      <c r="A593" s="18" t="s">
        <v>1429</v>
      </c>
      <c r="B593" s="18" t="s">
        <v>74</v>
      </c>
      <c r="C593" s="18" t="n">
        <v>511</v>
      </c>
      <c r="D593" s="19" t="n">
        <v>0</v>
      </c>
      <c r="E593" s="19" t="n">
        <v>38079.85</v>
      </c>
      <c r="F593" s="19" t="n">
        <v>38079.85</v>
      </c>
      <c r="G593" s="19" t="n">
        <v>0</v>
      </c>
      <c r="H593" s="18" t="s">
        <v>2048</v>
      </c>
    </row>
    <row r="594" customFormat="false" ht="15" hidden="false" customHeight="false" outlineLevel="0" collapsed="false">
      <c r="A594" s="18" t="s">
        <v>1431</v>
      </c>
      <c r="B594" s="18" t="s">
        <v>74</v>
      </c>
      <c r="C594" s="18" t="n">
        <v>512</v>
      </c>
      <c r="D594" s="19" t="n">
        <v>0</v>
      </c>
      <c r="E594" s="19" t="n">
        <v>260</v>
      </c>
      <c r="F594" s="19" t="n">
        <v>260</v>
      </c>
      <c r="G594" s="19" t="n">
        <v>0</v>
      </c>
      <c r="H594" s="18" t="s">
        <v>2048</v>
      </c>
    </row>
    <row r="595" customFormat="false" ht="15" hidden="false" customHeight="false" outlineLevel="0" collapsed="false">
      <c r="A595" s="18" t="s">
        <v>1433</v>
      </c>
      <c r="B595" s="18" t="s">
        <v>74</v>
      </c>
      <c r="C595" s="18" t="n">
        <v>513</v>
      </c>
      <c r="D595" s="19" t="n">
        <v>0</v>
      </c>
      <c r="E595" s="19" t="n">
        <v>86.25</v>
      </c>
      <c r="F595" s="19" t="n">
        <v>86.25</v>
      </c>
      <c r="G595" s="19" t="n">
        <v>0</v>
      </c>
      <c r="H595" s="18" t="s">
        <v>2048</v>
      </c>
    </row>
    <row r="596" customFormat="false" ht="15" hidden="false" customHeight="false" outlineLevel="0" collapsed="false">
      <c r="A596" s="18" t="s">
        <v>1434</v>
      </c>
      <c r="B596" s="18" t="s">
        <v>74</v>
      </c>
      <c r="C596" s="18" t="n">
        <v>514</v>
      </c>
      <c r="D596" s="19" t="n">
        <v>0</v>
      </c>
      <c r="E596" s="19" t="n">
        <v>57.5</v>
      </c>
      <c r="F596" s="19" t="n">
        <v>57.5</v>
      </c>
      <c r="G596" s="19" t="n">
        <v>0</v>
      </c>
      <c r="H596" s="18" t="s">
        <v>2048</v>
      </c>
    </row>
    <row r="597" customFormat="false" ht="15" hidden="false" customHeight="false" outlineLevel="0" collapsed="false">
      <c r="A597" s="18" t="s">
        <v>1435</v>
      </c>
      <c r="B597" s="18" t="s">
        <v>74</v>
      </c>
      <c r="C597" s="18" t="n">
        <v>515</v>
      </c>
      <c r="D597" s="19" t="n">
        <v>0</v>
      </c>
      <c r="E597" s="19" t="n">
        <v>200</v>
      </c>
      <c r="F597" s="19" t="n">
        <v>200</v>
      </c>
      <c r="G597" s="19" t="n">
        <v>0</v>
      </c>
      <c r="H597" s="18" t="s">
        <v>2048</v>
      </c>
    </row>
    <row r="598" customFormat="false" ht="15" hidden="false" customHeight="false" outlineLevel="0" collapsed="false">
      <c r="A598" s="18" t="s">
        <v>1436</v>
      </c>
      <c r="B598" s="18" t="s">
        <v>74</v>
      </c>
      <c r="C598" s="18" t="n">
        <v>516</v>
      </c>
      <c r="D598" s="19" t="n">
        <v>0</v>
      </c>
      <c r="E598" s="19" t="n">
        <v>33540.9</v>
      </c>
      <c r="F598" s="19" t="n">
        <v>33540.9</v>
      </c>
      <c r="G598" s="19" t="n">
        <v>0</v>
      </c>
      <c r="H598" s="18" t="s">
        <v>2048</v>
      </c>
    </row>
    <row r="599" customFormat="false" ht="15" hidden="false" customHeight="false" outlineLevel="0" collapsed="false">
      <c r="A599" s="18" t="s">
        <v>1438</v>
      </c>
      <c r="B599" s="18" t="s">
        <v>74</v>
      </c>
      <c r="C599" s="18" t="n">
        <v>517</v>
      </c>
      <c r="D599" s="19" t="n">
        <v>0</v>
      </c>
      <c r="E599" s="19" t="n">
        <v>115</v>
      </c>
      <c r="F599" s="19" t="n">
        <v>115</v>
      </c>
      <c r="G599" s="19" t="n">
        <v>0</v>
      </c>
      <c r="H599" s="18" t="s">
        <v>2048</v>
      </c>
    </row>
    <row r="600" customFormat="false" ht="15" hidden="false" customHeight="false" outlineLevel="0" collapsed="false">
      <c r="A600" s="18" t="s">
        <v>1439</v>
      </c>
      <c r="B600" s="18" t="s">
        <v>74</v>
      </c>
      <c r="C600" s="18" t="n">
        <v>518</v>
      </c>
      <c r="D600" s="19" t="n">
        <v>0</v>
      </c>
      <c r="E600" s="19" t="n">
        <v>776.25</v>
      </c>
      <c r="F600" s="19" t="n">
        <v>776.25</v>
      </c>
      <c r="G600" s="19" t="n">
        <v>0</v>
      </c>
      <c r="H600" s="18" t="s">
        <v>2048</v>
      </c>
    </row>
    <row r="601" customFormat="false" ht="15" hidden="false" customHeight="false" outlineLevel="0" collapsed="false">
      <c r="A601" s="18" t="s">
        <v>1440</v>
      </c>
      <c r="B601" s="18" t="s">
        <v>74</v>
      </c>
      <c r="C601" s="18" t="n">
        <v>519</v>
      </c>
      <c r="D601" s="19" t="n">
        <v>0</v>
      </c>
      <c r="E601" s="19" t="n">
        <v>14685.5</v>
      </c>
      <c r="F601" s="19" t="n">
        <v>14685.5</v>
      </c>
      <c r="G601" s="19" t="n">
        <v>0</v>
      </c>
      <c r="H601" s="18" t="s">
        <v>2048</v>
      </c>
    </row>
    <row r="602" customFormat="false" ht="15" hidden="false" customHeight="false" outlineLevel="0" collapsed="false">
      <c r="A602" s="18" t="s">
        <v>1442</v>
      </c>
      <c r="B602" s="18" t="s">
        <v>74</v>
      </c>
      <c r="C602" s="18" t="n">
        <v>520</v>
      </c>
      <c r="D602" s="19" t="n">
        <v>0</v>
      </c>
      <c r="E602" s="19" t="n">
        <v>511.75</v>
      </c>
      <c r="F602" s="19" t="n">
        <v>511.75</v>
      </c>
      <c r="G602" s="19" t="n">
        <v>0</v>
      </c>
      <c r="H602" s="18" t="s">
        <v>2048</v>
      </c>
    </row>
    <row r="603" customFormat="false" ht="15" hidden="false" customHeight="false" outlineLevel="0" collapsed="false">
      <c r="A603" s="18" t="s">
        <v>1443</v>
      </c>
      <c r="B603" s="18" t="s">
        <v>74</v>
      </c>
      <c r="C603" s="18" t="n">
        <v>521</v>
      </c>
      <c r="D603" s="19" t="n">
        <v>0</v>
      </c>
      <c r="E603" s="19" t="n">
        <v>517.5</v>
      </c>
      <c r="F603" s="19" t="n">
        <v>517.5</v>
      </c>
      <c r="G603" s="19" t="n">
        <v>0</v>
      </c>
      <c r="H603" s="18" t="s">
        <v>2048</v>
      </c>
    </row>
    <row r="604" customFormat="false" ht="15" hidden="false" customHeight="false" outlineLevel="0" collapsed="false">
      <c r="A604" s="18" t="s">
        <v>1444</v>
      </c>
      <c r="B604" s="18" t="s">
        <v>74</v>
      </c>
      <c r="C604" s="18" t="n">
        <v>523</v>
      </c>
      <c r="D604" s="19" t="n">
        <v>0</v>
      </c>
      <c r="E604" s="19" t="n">
        <v>120.75</v>
      </c>
      <c r="F604" s="19" t="n">
        <v>120.75</v>
      </c>
      <c r="G604" s="19" t="n">
        <v>0</v>
      </c>
      <c r="H604" s="18" t="s">
        <v>2048</v>
      </c>
    </row>
    <row r="605" customFormat="false" ht="15" hidden="false" customHeight="false" outlineLevel="0" collapsed="false">
      <c r="A605" s="18" t="s">
        <v>1446</v>
      </c>
      <c r="B605" s="18" t="s">
        <v>74</v>
      </c>
      <c r="C605" s="18" t="n">
        <v>524</v>
      </c>
      <c r="D605" s="19" t="n">
        <v>0</v>
      </c>
      <c r="E605" s="19" t="n">
        <v>945</v>
      </c>
      <c r="F605" s="19" t="n">
        <v>945</v>
      </c>
      <c r="G605" s="19" t="n">
        <v>0</v>
      </c>
      <c r="H605" s="18" t="s">
        <v>2048</v>
      </c>
    </row>
    <row r="606" customFormat="false" ht="15" hidden="false" customHeight="false" outlineLevel="0" collapsed="false">
      <c r="A606" s="18" t="s">
        <v>1448</v>
      </c>
      <c r="B606" s="18" t="s">
        <v>74</v>
      </c>
      <c r="C606" s="18" t="n">
        <v>525</v>
      </c>
      <c r="D606" s="19" t="n">
        <v>0</v>
      </c>
      <c r="E606" s="19" t="n">
        <v>2676</v>
      </c>
      <c r="F606" s="19" t="n">
        <v>2676</v>
      </c>
      <c r="G606" s="19" t="n">
        <v>0</v>
      </c>
      <c r="H606" s="18" t="s">
        <v>2048</v>
      </c>
    </row>
    <row r="607" customFormat="false" ht="15" hidden="false" customHeight="false" outlineLevel="0" collapsed="false">
      <c r="A607" s="18" t="s">
        <v>1450</v>
      </c>
      <c r="B607" s="18" t="s">
        <v>74</v>
      </c>
      <c r="C607" s="18" t="n">
        <v>526</v>
      </c>
      <c r="D607" s="19" t="n">
        <v>0</v>
      </c>
      <c r="E607" s="19" t="n">
        <v>13450</v>
      </c>
      <c r="F607" s="19" t="n">
        <v>13450</v>
      </c>
      <c r="G607" s="19" t="n">
        <v>0</v>
      </c>
      <c r="H607" s="18" t="s">
        <v>2048</v>
      </c>
    </row>
    <row r="608" customFormat="false" ht="15" hidden="false" customHeight="false" outlineLevel="0" collapsed="false">
      <c r="A608" s="18" t="s">
        <v>1452</v>
      </c>
      <c r="B608" s="18" t="s">
        <v>74</v>
      </c>
      <c r="C608" s="18" t="n">
        <v>527</v>
      </c>
      <c r="D608" s="19" t="n">
        <v>0</v>
      </c>
      <c r="E608" s="19" t="n">
        <v>805</v>
      </c>
      <c r="F608" s="19" t="n">
        <v>805</v>
      </c>
      <c r="G608" s="19" t="n">
        <v>0</v>
      </c>
      <c r="H608" s="18" t="s">
        <v>2048</v>
      </c>
    </row>
    <row r="609" customFormat="false" ht="15" hidden="false" customHeight="false" outlineLevel="0" collapsed="false">
      <c r="A609" s="18" t="s">
        <v>1453</v>
      </c>
      <c r="B609" s="18" t="s">
        <v>74</v>
      </c>
      <c r="C609" s="18" t="n">
        <v>528</v>
      </c>
      <c r="D609" s="19" t="n">
        <v>0</v>
      </c>
      <c r="E609" s="19" t="n">
        <v>2645</v>
      </c>
      <c r="F609" s="19" t="n">
        <v>2645</v>
      </c>
      <c r="G609" s="19" t="n">
        <v>0</v>
      </c>
      <c r="H609" s="18" t="s">
        <v>2048</v>
      </c>
    </row>
    <row r="610" customFormat="false" ht="15" hidden="false" customHeight="false" outlineLevel="0" collapsed="false">
      <c r="A610" s="18" t="s">
        <v>1455</v>
      </c>
      <c r="B610" s="18" t="s">
        <v>74</v>
      </c>
      <c r="C610" s="18" t="n">
        <v>529</v>
      </c>
      <c r="D610" s="19" t="n">
        <v>0</v>
      </c>
      <c r="E610" s="19" t="n">
        <v>26658.25</v>
      </c>
      <c r="F610" s="19" t="n">
        <v>26658.25</v>
      </c>
      <c r="G610" s="19" t="n">
        <v>0</v>
      </c>
      <c r="H610" s="18" t="s">
        <v>2048</v>
      </c>
    </row>
    <row r="611" customFormat="false" ht="15" hidden="false" customHeight="false" outlineLevel="0" collapsed="false">
      <c r="A611" s="18" t="s">
        <v>1457</v>
      </c>
      <c r="B611" s="18" t="s">
        <v>74</v>
      </c>
      <c r="C611" s="18" t="n">
        <v>530</v>
      </c>
      <c r="D611" s="19" t="n">
        <v>0</v>
      </c>
      <c r="E611" s="19" t="n">
        <v>7101.5</v>
      </c>
      <c r="F611" s="19" t="n">
        <v>7101.5</v>
      </c>
      <c r="G611" s="19" t="n">
        <v>0</v>
      </c>
      <c r="H611" s="18" t="s">
        <v>2048</v>
      </c>
    </row>
    <row r="612" customFormat="false" ht="15" hidden="false" customHeight="false" outlineLevel="0" collapsed="false">
      <c r="A612" s="18" t="s">
        <v>1459</v>
      </c>
      <c r="B612" s="18" t="s">
        <v>74</v>
      </c>
      <c r="C612" s="18" t="n">
        <v>531</v>
      </c>
      <c r="D612" s="19" t="n">
        <v>0</v>
      </c>
      <c r="E612" s="19" t="n">
        <v>345</v>
      </c>
      <c r="F612" s="19" t="n">
        <v>345</v>
      </c>
      <c r="G612" s="19" t="n">
        <v>0</v>
      </c>
      <c r="H612" s="18" t="s">
        <v>2048</v>
      </c>
    </row>
    <row r="613" customFormat="false" ht="15" hidden="false" customHeight="false" outlineLevel="0" collapsed="false">
      <c r="A613" s="18" t="s">
        <v>1460</v>
      </c>
      <c r="B613" s="18" t="s">
        <v>74</v>
      </c>
      <c r="C613" s="18" t="n">
        <v>532</v>
      </c>
      <c r="D613" s="19" t="n">
        <v>0</v>
      </c>
      <c r="E613" s="19" t="n">
        <v>632.5</v>
      </c>
      <c r="F613" s="19" t="n">
        <v>632.5</v>
      </c>
      <c r="G613" s="19" t="n">
        <v>0</v>
      </c>
      <c r="H613" s="18" t="s">
        <v>2048</v>
      </c>
    </row>
    <row r="614" customFormat="false" ht="15" hidden="false" customHeight="false" outlineLevel="0" collapsed="false">
      <c r="A614" s="18" t="s">
        <v>1461</v>
      </c>
      <c r="B614" s="18" t="s">
        <v>74</v>
      </c>
      <c r="C614" s="18" t="n">
        <v>533</v>
      </c>
      <c r="D614" s="19" t="n">
        <v>0</v>
      </c>
      <c r="E614" s="19" t="n">
        <v>64</v>
      </c>
      <c r="F614" s="19" t="n">
        <v>64</v>
      </c>
      <c r="G614" s="19" t="n">
        <v>0</v>
      </c>
      <c r="H614" s="18" t="s">
        <v>2048</v>
      </c>
    </row>
    <row r="615" customFormat="false" ht="15" hidden="false" customHeight="false" outlineLevel="0" collapsed="false">
      <c r="A615" s="18" t="s">
        <v>1463</v>
      </c>
      <c r="B615" s="18" t="s">
        <v>74</v>
      </c>
      <c r="C615" s="18" t="n">
        <v>534</v>
      </c>
      <c r="D615" s="19" t="n">
        <v>0</v>
      </c>
      <c r="E615" s="19" t="n">
        <v>1426</v>
      </c>
      <c r="F615" s="19" t="n">
        <v>1426</v>
      </c>
      <c r="G615" s="19" t="n">
        <v>0</v>
      </c>
      <c r="H615" s="18" t="s">
        <v>2048</v>
      </c>
    </row>
    <row r="616" customFormat="false" ht="15" hidden="false" customHeight="false" outlineLevel="0" collapsed="false">
      <c r="A616" s="18" t="s">
        <v>1465</v>
      </c>
      <c r="B616" s="18" t="s">
        <v>74</v>
      </c>
      <c r="C616" s="18" t="n">
        <v>535</v>
      </c>
      <c r="D616" s="19" t="n">
        <v>0</v>
      </c>
      <c r="E616" s="19" t="n">
        <v>32476</v>
      </c>
      <c r="F616" s="19" t="n">
        <v>32476</v>
      </c>
      <c r="G616" s="19" t="n">
        <v>0</v>
      </c>
      <c r="H616" s="18" t="s">
        <v>2048</v>
      </c>
    </row>
    <row r="617" customFormat="false" ht="15" hidden="false" customHeight="false" outlineLevel="0" collapsed="false">
      <c r="A617" s="18" t="s">
        <v>1467</v>
      </c>
      <c r="B617" s="18" t="s">
        <v>74</v>
      </c>
      <c r="C617" s="18" t="n">
        <v>536</v>
      </c>
      <c r="D617" s="19" t="n">
        <v>0</v>
      </c>
      <c r="E617" s="19" t="n">
        <v>17019.25</v>
      </c>
      <c r="F617" s="19" t="n">
        <v>17019.25</v>
      </c>
      <c r="G617" s="19" t="n">
        <v>0</v>
      </c>
      <c r="H617" s="18" t="s">
        <v>2048</v>
      </c>
    </row>
    <row r="618" customFormat="false" ht="15" hidden="false" customHeight="false" outlineLevel="0" collapsed="false">
      <c r="A618" s="18" t="s">
        <v>1469</v>
      </c>
      <c r="B618" s="18" t="s">
        <v>74</v>
      </c>
      <c r="C618" s="18" t="n">
        <v>537</v>
      </c>
      <c r="D618" s="19" t="n">
        <v>0</v>
      </c>
      <c r="E618" s="19" t="n">
        <v>1374.25</v>
      </c>
      <c r="F618" s="19" t="n">
        <v>1374.25</v>
      </c>
      <c r="G618" s="19" t="n">
        <v>0</v>
      </c>
      <c r="H618" s="18" t="s">
        <v>2048</v>
      </c>
    </row>
    <row r="619" customFormat="false" ht="15" hidden="false" customHeight="false" outlineLevel="0" collapsed="false">
      <c r="A619" s="18" t="s">
        <v>1471</v>
      </c>
      <c r="B619" s="18" t="s">
        <v>74</v>
      </c>
      <c r="C619" s="18" t="n">
        <v>538</v>
      </c>
      <c r="D619" s="19" t="n">
        <v>0</v>
      </c>
      <c r="E619" s="19" t="n">
        <v>1113</v>
      </c>
      <c r="F619" s="19" t="n">
        <v>1113</v>
      </c>
      <c r="G619" s="19" t="n">
        <v>0</v>
      </c>
      <c r="H619" s="18" t="s">
        <v>2048</v>
      </c>
    </row>
    <row r="620" customFormat="false" ht="15" hidden="false" customHeight="false" outlineLevel="0" collapsed="false">
      <c r="A620" s="18" t="s">
        <v>1473</v>
      </c>
      <c r="B620" s="18" t="s">
        <v>74</v>
      </c>
      <c r="C620" s="18" t="n">
        <v>539</v>
      </c>
      <c r="D620" s="19" t="n">
        <v>0</v>
      </c>
      <c r="E620" s="19" t="n">
        <v>368</v>
      </c>
      <c r="F620" s="19" t="n">
        <v>368</v>
      </c>
      <c r="G620" s="19" t="n">
        <v>0</v>
      </c>
      <c r="H620" s="18" t="s">
        <v>2048</v>
      </c>
    </row>
    <row r="621" customFormat="false" ht="15" hidden="false" customHeight="false" outlineLevel="0" collapsed="false">
      <c r="A621" s="18" t="s">
        <v>1475</v>
      </c>
      <c r="B621" s="18" t="s">
        <v>74</v>
      </c>
      <c r="C621" s="18" t="n">
        <v>540</v>
      </c>
      <c r="D621" s="19" t="n">
        <v>0</v>
      </c>
      <c r="E621" s="19" t="n">
        <v>200</v>
      </c>
      <c r="F621" s="19" t="n">
        <v>200</v>
      </c>
      <c r="G621" s="19" t="n">
        <v>0</v>
      </c>
      <c r="H621" s="18" t="s">
        <v>2048</v>
      </c>
    </row>
    <row r="622" customFormat="false" ht="15" hidden="false" customHeight="false" outlineLevel="0" collapsed="false">
      <c r="A622" s="18" t="s">
        <v>1476</v>
      </c>
      <c r="B622" s="18" t="s">
        <v>74</v>
      </c>
      <c r="C622" s="18" t="n">
        <v>541</v>
      </c>
      <c r="D622" s="19" t="n">
        <v>0</v>
      </c>
      <c r="E622" s="19" t="n">
        <v>355</v>
      </c>
      <c r="F622" s="19" t="n">
        <v>355</v>
      </c>
      <c r="G622" s="19" t="n">
        <v>0</v>
      </c>
      <c r="H622" s="18" t="s">
        <v>2048</v>
      </c>
    </row>
    <row r="623" customFormat="false" ht="15" hidden="false" customHeight="false" outlineLevel="0" collapsed="false">
      <c r="A623" s="18" t="s">
        <v>1478</v>
      </c>
      <c r="B623" s="18" t="s">
        <v>74</v>
      </c>
      <c r="C623" s="18" t="n">
        <v>542</v>
      </c>
      <c r="D623" s="19" t="n">
        <v>0</v>
      </c>
      <c r="E623" s="19" t="n">
        <v>585</v>
      </c>
      <c r="F623" s="19" t="n">
        <v>585</v>
      </c>
      <c r="G623" s="19" t="n">
        <v>0</v>
      </c>
      <c r="H623" s="18" t="s">
        <v>2048</v>
      </c>
    </row>
    <row r="624" customFormat="false" ht="15" hidden="false" customHeight="false" outlineLevel="0" collapsed="false">
      <c r="A624" s="18" t="s">
        <v>1480</v>
      </c>
      <c r="B624" s="18" t="s">
        <v>74</v>
      </c>
      <c r="C624" s="18" t="n">
        <v>543</v>
      </c>
      <c r="D624" s="19" t="n">
        <v>0</v>
      </c>
      <c r="E624" s="19" t="n">
        <v>12880</v>
      </c>
      <c r="F624" s="19" t="n">
        <v>12880</v>
      </c>
      <c r="G624" s="19" t="n">
        <v>0</v>
      </c>
      <c r="H624" s="18" t="s">
        <v>2048</v>
      </c>
    </row>
    <row r="625" customFormat="false" ht="15" hidden="false" customHeight="false" outlineLevel="0" collapsed="false">
      <c r="A625" s="18" t="s">
        <v>1482</v>
      </c>
      <c r="B625" s="18" t="s">
        <v>74</v>
      </c>
      <c r="C625" s="18" t="n">
        <v>544</v>
      </c>
      <c r="D625" s="19" t="n">
        <v>0</v>
      </c>
      <c r="E625" s="19" t="n">
        <v>830.5</v>
      </c>
      <c r="F625" s="19" t="n">
        <v>830.5</v>
      </c>
      <c r="G625" s="19" t="n">
        <v>0</v>
      </c>
      <c r="H625" s="18" t="s">
        <v>2048</v>
      </c>
    </row>
    <row r="626" customFormat="false" ht="15" hidden="false" customHeight="false" outlineLevel="0" collapsed="false">
      <c r="A626" s="18" t="s">
        <v>1484</v>
      </c>
      <c r="B626" s="18" t="s">
        <v>74</v>
      </c>
      <c r="C626" s="18" t="n">
        <v>545</v>
      </c>
      <c r="D626" s="19" t="n">
        <v>0</v>
      </c>
      <c r="E626" s="19" t="n">
        <v>4814.82</v>
      </c>
      <c r="F626" s="19" t="n">
        <v>4814.82</v>
      </c>
      <c r="G626" s="19" t="n">
        <v>0</v>
      </c>
      <c r="H626" s="18" t="s">
        <v>2048</v>
      </c>
    </row>
    <row r="627" customFormat="false" ht="15" hidden="false" customHeight="false" outlineLevel="0" collapsed="false">
      <c r="A627" s="18" t="s">
        <v>1486</v>
      </c>
      <c r="B627" s="18" t="s">
        <v>74</v>
      </c>
      <c r="C627" s="18" t="n">
        <v>546</v>
      </c>
      <c r="D627" s="19" t="n">
        <v>0</v>
      </c>
      <c r="E627" s="19" t="n">
        <v>145</v>
      </c>
      <c r="F627" s="19" t="n">
        <v>145</v>
      </c>
      <c r="G627" s="19" t="n">
        <v>0</v>
      </c>
      <c r="H627" s="18" t="s">
        <v>2048</v>
      </c>
    </row>
    <row r="628" customFormat="false" ht="15" hidden="false" customHeight="false" outlineLevel="0" collapsed="false">
      <c r="A628" s="18" t="s">
        <v>1487</v>
      </c>
      <c r="B628" s="18" t="s">
        <v>74</v>
      </c>
      <c r="C628" s="18" t="n">
        <v>547</v>
      </c>
      <c r="D628" s="19" t="n">
        <v>0</v>
      </c>
      <c r="E628" s="19" t="n">
        <v>284.5</v>
      </c>
      <c r="F628" s="19" t="n">
        <v>284.5</v>
      </c>
      <c r="G628" s="19" t="n">
        <v>0</v>
      </c>
      <c r="H628" s="18" t="s">
        <v>2048</v>
      </c>
    </row>
    <row r="629" customFormat="false" ht="15" hidden="false" customHeight="false" outlineLevel="0" collapsed="false">
      <c r="A629" s="18" t="s">
        <v>1489</v>
      </c>
      <c r="B629" s="18" t="s">
        <v>74</v>
      </c>
      <c r="C629" s="18" t="n">
        <v>548</v>
      </c>
      <c r="D629" s="19" t="n">
        <v>0</v>
      </c>
      <c r="E629" s="19" t="n">
        <v>235.01</v>
      </c>
      <c r="F629" s="19" t="n">
        <v>235.01</v>
      </c>
      <c r="G629" s="19" t="n">
        <v>0</v>
      </c>
      <c r="H629" s="18" t="s">
        <v>2048</v>
      </c>
    </row>
    <row r="630" customFormat="false" ht="15" hidden="false" customHeight="false" outlineLevel="0" collapsed="false">
      <c r="A630" s="18" t="s">
        <v>1491</v>
      </c>
      <c r="B630" s="18" t="s">
        <v>74</v>
      </c>
      <c r="C630" s="18" t="n">
        <v>549</v>
      </c>
      <c r="D630" s="19" t="n">
        <v>0</v>
      </c>
      <c r="E630" s="19" t="n">
        <v>92</v>
      </c>
      <c r="F630" s="19" t="n">
        <v>92</v>
      </c>
      <c r="G630" s="19" t="n">
        <v>0</v>
      </c>
      <c r="H630" s="18" t="s">
        <v>2048</v>
      </c>
    </row>
    <row r="631" customFormat="false" ht="15" hidden="false" customHeight="false" outlineLevel="0" collapsed="false">
      <c r="A631" s="18" t="s">
        <v>1492</v>
      </c>
      <c r="B631" s="18" t="s">
        <v>74</v>
      </c>
      <c r="C631" s="18" t="n">
        <v>550</v>
      </c>
      <c r="D631" s="19" t="n">
        <v>0</v>
      </c>
      <c r="E631" s="19" t="n">
        <v>2070</v>
      </c>
      <c r="F631" s="19" t="n">
        <v>2070</v>
      </c>
      <c r="G631" s="19" t="n">
        <v>0</v>
      </c>
      <c r="H631" s="18" t="s">
        <v>2048</v>
      </c>
    </row>
    <row r="632" customFormat="false" ht="15" hidden="false" customHeight="false" outlineLevel="0" collapsed="false">
      <c r="A632" s="18" t="s">
        <v>1494</v>
      </c>
      <c r="B632" s="18" t="s">
        <v>74</v>
      </c>
      <c r="C632" s="18" t="n">
        <v>552</v>
      </c>
      <c r="D632" s="19" t="n">
        <v>0</v>
      </c>
      <c r="E632" s="19" t="n">
        <v>19180</v>
      </c>
      <c r="F632" s="19" t="n">
        <v>19180</v>
      </c>
      <c r="G632" s="19" t="n">
        <v>0</v>
      </c>
      <c r="H632" s="18" t="s">
        <v>2048</v>
      </c>
    </row>
    <row r="633" customFormat="false" ht="15" hidden="false" customHeight="false" outlineLevel="0" collapsed="false">
      <c r="A633" s="18" t="s">
        <v>1496</v>
      </c>
      <c r="B633" s="18" t="s">
        <v>74</v>
      </c>
      <c r="C633" s="18" t="n">
        <v>553</v>
      </c>
      <c r="D633" s="19" t="n">
        <v>0</v>
      </c>
      <c r="E633" s="19" t="n">
        <v>2149.62</v>
      </c>
      <c r="F633" s="19" t="n">
        <v>2149.62</v>
      </c>
      <c r="G633" s="19" t="n">
        <v>0</v>
      </c>
      <c r="H633" s="18" t="s">
        <v>2048</v>
      </c>
    </row>
    <row r="634" customFormat="false" ht="15" hidden="false" customHeight="false" outlineLevel="0" collapsed="false">
      <c r="A634" s="18" t="s">
        <v>1498</v>
      </c>
      <c r="B634" s="18" t="s">
        <v>74</v>
      </c>
      <c r="C634" s="18" t="n">
        <v>554</v>
      </c>
      <c r="D634" s="19" t="n">
        <v>0</v>
      </c>
      <c r="E634" s="19" t="n">
        <v>80</v>
      </c>
      <c r="F634" s="19" t="n">
        <v>80</v>
      </c>
      <c r="G634" s="19" t="n">
        <v>0</v>
      </c>
      <c r="H634" s="18" t="s">
        <v>2048</v>
      </c>
    </row>
    <row r="635" customFormat="false" ht="15" hidden="false" customHeight="false" outlineLevel="0" collapsed="false">
      <c r="A635" s="18" t="s">
        <v>1499</v>
      </c>
      <c r="B635" s="18" t="s">
        <v>74</v>
      </c>
      <c r="C635" s="18" t="n">
        <v>555</v>
      </c>
      <c r="D635" s="19" t="n">
        <v>0</v>
      </c>
      <c r="E635" s="19" t="n">
        <v>345</v>
      </c>
      <c r="F635" s="19" t="n">
        <v>345</v>
      </c>
      <c r="G635" s="19" t="n">
        <v>0</v>
      </c>
      <c r="H635" s="18" t="s">
        <v>2048</v>
      </c>
    </row>
    <row r="636" customFormat="false" ht="15" hidden="false" customHeight="false" outlineLevel="0" collapsed="false">
      <c r="A636" s="18" t="s">
        <v>1500</v>
      </c>
      <c r="B636" s="18" t="s">
        <v>74</v>
      </c>
      <c r="C636" s="18" t="n">
        <v>556</v>
      </c>
      <c r="D636" s="19" t="n">
        <v>0</v>
      </c>
      <c r="E636" s="19" t="n">
        <v>6166</v>
      </c>
      <c r="F636" s="19" t="n">
        <v>6166</v>
      </c>
      <c r="G636" s="19" t="n">
        <v>0</v>
      </c>
      <c r="H636" s="18" t="s">
        <v>2048</v>
      </c>
    </row>
    <row r="637" customFormat="false" ht="15" hidden="false" customHeight="false" outlineLevel="0" collapsed="false">
      <c r="A637" s="18" t="s">
        <v>1502</v>
      </c>
      <c r="B637" s="18" t="s">
        <v>74</v>
      </c>
      <c r="C637" s="18" t="n">
        <v>557</v>
      </c>
      <c r="D637" s="19" t="n">
        <v>0</v>
      </c>
      <c r="E637" s="19" t="n">
        <v>18400</v>
      </c>
      <c r="F637" s="19" t="n">
        <v>18400</v>
      </c>
      <c r="G637" s="19" t="n">
        <v>0</v>
      </c>
      <c r="H637" s="18" t="s">
        <v>2048</v>
      </c>
    </row>
    <row r="638" customFormat="false" ht="15" hidden="false" customHeight="false" outlineLevel="0" collapsed="false">
      <c r="A638" s="18" t="s">
        <v>1504</v>
      </c>
      <c r="B638" s="18" t="s">
        <v>74</v>
      </c>
      <c r="C638" s="18" t="n">
        <v>558</v>
      </c>
      <c r="D638" s="19" t="n">
        <v>0</v>
      </c>
      <c r="E638" s="19" t="n">
        <v>977.5</v>
      </c>
      <c r="F638" s="19" t="n">
        <v>977.5</v>
      </c>
      <c r="G638" s="19" t="n">
        <v>0</v>
      </c>
      <c r="H638" s="18" t="s">
        <v>2048</v>
      </c>
    </row>
    <row r="639" customFormat="false" ht="15" hidden="false" customHeight="false" outlineLevel="0" collapsed="false">
      <c r="A639" s="18" t="s">
        <v>1506</v>
      </c>
      <c r="B639" s="18" t="s">
        <v>74</v>
      </c>
      <c r="C639" s="18" t="n">
        <v>559</v>
      </c>
      <c r="D639" s="19" t="n">
        <v>0</v>
      </c>
      <c r="E639" s="19" t="n">
        <v>575</v>
      </c>
      <c r="F639" s="19" t="n">
        <v>575</v>
      </c>
      <c r="G639" s="19" t="n">
        <v>0</v>
      </c>
      <c r="H639" s="18" t="s">
        <v>2048</v>
      </c>
    </row>
    <row r="640" customFormat="false" ht="15" hidden="false" customHeight="false" outlineLevel="0" collapsed="false">
      <c r="A640" s="18" t="s">
        <v>1507</v>
      </c>
      <c r="B640" s="18" t="s">
        <v>74</v>
      </c>
      <c r="C640" s="18" t="n">
        <v>560</v>
      </c>
      <c r="D640" s="19" t="n">
        <v>0</v>
      </c>
      <c r="E640" s="19" t="n">
        <v>862.5</v>
      </c>
      <c r="F640" s="19" t="n">
        <v>862.5</v>
      </c>
      <c r="G640" s="19" t="n">
        <v>0</v>
      </c>
      <c r="H640" s="18" t="s">
        <v>2048</v>
      </c>
    </row>
    <row r="641" customFormat="false" ht="15" hidden="false" customHeight="false" outlineLevel="0" collapsed="false">
      <c r="A641" s="18" t="s">
        <v>1509</v>
      </c>
      <c r="B641" s="18" t="s">
        <v>74</v>
      </c>
      <c r="C641" s="18" t="n">
        <v>561</v>
      </c>
      <c r="D641" s="19" t="n">
        <v>0</v>
      </c>
      <c r="E641" s="19" t="n">
        <v>1141.5</v>
      </c>
      <c r="F641" s="19" t="n">
        <v>1141.5</v>
      </c>
      <c r="G641" s="19" t="n">
        <v>0</v>
      </c>
      <c r="H641" s="18" t="s">
        <v>2048</v>
      </c>
    </row>
    <row r="642" customFormat="false" ht="15" hidden="false" customHeight="false" outlineLevel="0" collapsed="false">
      <c r="A642" s="18" t="s">
        <v>1511</v>
      </c>
      <c r="B642" s="18" t="s">
        <v>74</v>
      </c>
      <c r="C642" s="18" t="n">
        <v>562</v>
      </c>
      <c r="D642" s="19" t="n">
        <v>0</v>
      </c>
      <c r="E642" s="19" t="n">
        <v>455.4</v>
      </c>
      <c r="F642" s="19" t="n">
        <v>455.4</v>
      </c>
      <c r="G642" s="19" t="n">
        <v>0</v>
      </c>
      <c r="H642" s="18" t="s">
        <v>2048</v>
      </c>
    </row>
    <row r="643" customFormat="false" ht="15" hidden="false" customHeight="false" outlineLevel="0" collapsed="false">
      <c r="A643" s="18" t="s">
        <v>1512</v>
      </c>
      <c r="B643" s="18" t="s">
        <v>74</v>
      </c>
      <c r="C643" s="18" t="n">
        <v>564</v>
      </c>
      <c r="D643" s="19" t="n">
        <v>0</v>
      </c>
      <c r="E643" s="19" t="n">
        <v>2760</v>
      </c>
      <c r="F643" s="19" t="n">
        <v>2760</v>
      </c>
      <c r="G643" s="19" t="n">
        <v>0</v>
      </c>
      <c r="H643" s="18" t="s">
        <v>2048</v>
      </c>
    </row>
    <row r="644" customFormat="false" ht="15" hidden="false" customHeight="false" outlineLevel="0" collapsed="false">
      <c r="A644" s="18" t="s">
        <v>1514</v>
      </c>
      <c r="B644" s="18" t="s">
        <v>74</v>
      </c>
      <c r="C644" s="18" t="n">
        <v>565</v>
      </c>
      <c r="D644" s="19" t="n">
        <v>0</v>
      </c>
      <c r="E644" s="19" t="n">
        <v>1000</v>
      </c>
      <c r="F644" s="19" t="n">
        <v>1000</v>
      </c>
      <c r="G644" s="19" t="n">
        <v>0</v>
      </c>
      <c r="H644" s="18" t="s">
        <v>2048</v>
      </c>
    </row>
    <row r="645" customFormat="false" ht="15" hidden="false" customHeight="false" outlineLevel="0" collapsed="false">
      <c r="A645" s="18" t="s">
        <v>1515</v>
      </c>
      <c r="B645" s="18" t="s">
        <v>74</v>
      </c>
      <c r="C645" s="18" t="n">
        <v>566</v>
      </c>
      <c r="D645" s="19" t="n">
        <v>0</v>
      </c>
      <c r="E645" s="19" t="n">
        <v>138</v>
      </c>
      <c r="F645" s="19" t="n">
        <v>138</v>
      </c>
      <c r="G645" s="19" t="n">
        <v>0</v>
      </c>
      <c r="H645" s="18" t="s">
        <v>2048</v>
      </c>
    </row>
    <row r="646" customFormat="false" ht="15" hidden="false" customHeight="false" outlineLevel="0" collapsed="false">
      <c r="A646" s="18" t="s">
        <v>1516</v>
      </c>
      <c r="B646" s="18" t="s">
        <v>74</v>
      </c>
      <c r="C646" s="18" t="n">
        <v>567</v>
      </c>
      <c r="D646" s="19" t="n">
        <v>0</v>
      </c>
      <c r="E646" s="19" t="n">
        <v>914.02</v>
      </c>
      <c r="F646" s="19" t="n">
        <v>914.02</v>
      </c>
      <c r="G646" s="19" t="n">
        <v>0</v>
      </c>
      <c r="H646" s="18" t="s">
        <v>2048</v>
      </c>
    </row>
    <row r="647" customFormat="false" ht="15" hidden="false" customHeight="false" outlineLevel="0" collapsed="false">
      <c r="A647" s="18" t="s">
        <v>1518</v>
      </c>
      <c r="B647" s="18" t="s">
        <v>74</v>
      </c>
      <c r="C647" s="18" t="n">
        <v>568</v>
      </c>
      <c r="D647" s="19" t="n">
        <v>0</v>
      </c>
      <c r="E647" s="19" t="n">
        <v>89</v>
      </c>
      <c r="F647" s="19" t="n">
        <v>89</v>
      </c>
      <c r="G647" s="19" t="n">
        <v>0</v>
      </c>
      <c r="H647" s="18" t="s">
        <v>2048</v>
      </c>
    </row>
    <row r="648" customFormat="false" ht="15" hidden="false" customHeight="false" outlineLevel="0" collapsed="false">
      <c r="A648" s="18" t="s">
        <v>1520</v>
      </c>
      <c r="B648" s="18" t="s">
        <v>74</v>
      </c>
      <c r="C648" s="18" t="n">
        <v>569</v>
      </c>
      <c r="D648" s="19" t="n">
        <v>0</v>
      </c>
      <c r="E648" s="19" t="n">
        <v>1952.7</v>
      </c>
      <c r="F648" s="19" t="n">
        <v>1952.7</v>
      </c>
      <c r="G648" s="19" t="n">
        <v>0</v>
      </c>
      <c r="H648" s="18" t="s">
        <v>2048</v>
      </c>
    </row>
    <row r="649" customFormat="false" ht="15" hidden="false" customHeight="false" outlineLevel="0" collapsed="false">
      <c r="A649" s="18" t="s">
        <v>1522</v>
      </c>
      <c r="B649" s="18" t="s">
        <v>74</v>
      </c>
      <c r="C649" s="18" t="n">
        <v>570</v>
      </c>
      <c r="D649" s="19" t="n">
        <v>0</v>
      </c>
      <c r="E649" s="19" t="n">
        <v>700</v>
      </c>
      <c r="F649" s="19" t="n">
        <v>700</v>
      </c>
      <c r="G649" s="19" t="n">
        <v>0</v>
      </c>
      <c r="H649" s="18" t="s">
        <v>2048</v>
      </c>
    </row>
    <row r="650" customFormat="false" ht="15" hidden="false" customHeight="false" outlineLevel="0" collapsed="false">
      <c r="A650" s="18" t="s">
        <v>1524</v>
      </c>
      <c r="B650" s="18" t="s">
        <v>74</v>
      </c>
      <c r="C650" s="18" t="n">
        <v>571</v>
      </c>
      <c r="D650" s="19" t="n">
        <v>0</v>
      </c>
      <c r="E650" s="19" t="n">
        <v>3333.2</v>
      </c>
      <c r="F650" s="19" t="n">
        <v>3333.2</v>
      </c>
      <c r="G650" s="19" t="n">
        <v>0</v>
      </c>
      <c r="H650" s="18" t="s">
        <v>2048</v>
      </c>
    </row>
    <row r="651" customFormat="false" ht="15" hidden="false" customHeight="false" outlineLevel="0" collapsed="false">
      <c r="A651" s="18" t="s">
        <v>1526</v>
      </c>
      <c r="B651" s="18" t="s">
        <v>74</v>
      </c>
      <c r="C651" s="18" t="n">
        <v>572</v>
      </c>
      <c r="D651" s="19" t="n">
        <v>0</v>
      </c>
      <c r="E651" s="19" t="n">
        <v>322</v>
      </c>
      <c r="F651" s="19" t="n">
        <v>322</v>
      </c>
      <c r="G651" s="19" t="n">
        <v>0</v>
      </c>
      <c r="H651" s="18" t="s">
        <v>2048</v>
      </c>
    </row>
    <row r="652" customFormat="false" ht="15" hidden="false" customHeight="false" outlineLevel="0" collapsed="false">
      <c r="A652" s="18" t="s">
        <v>1528</v>
      </c>
      <c r="B652" s="18" t="s">
        <v>74</v>
      </c>
      <c r="C652" s="18" t="n">
        <v>574</v>
      </c>
      <c r="D652" s="19" t="n">
        <v>0</v>
      </c>
      <c r="E652" s="19" t="n">
        <v>776.25</v>
      </c>
      <c r="F652" s="19" t="n">
        <v>776.25</v>
      </c>
      <c r="G652" s="19" t="n">
        <v>0</v>
      </c>
      <c r="H652" s="18" t="s">
        <v>2048</v>
      </c>
    </row>
    <row r="653" customFormat="false" ht="15" hidden="false" customHeight="false" outlineLevel="0" collapsed="false">
      <c r="A653" s="18" t="s">
        <v>1529</v>
      </c>
      <c r="B653" s="18" t="s">
        <v>74</v>
      </c>
      <c r="C653" s="18" t="n">
        <v>575</v>
      </c>
      <c r="D653" s="19" t="n">
        <v>0</v>
      </c>
      <c r="E653" s="19" t="n">
        <v>126.5</v>
      </c>
      <c r="F653" s="19" t="n">
        <v>126.5</v>
      </c>
      <c r="G653" s="19" t="n">
        <v>0</v>
      </c>
      <c r="H653" s="18" t="s">
        <v>2048</v>
      </c>
    </row>
    <row r="654" customFormat="false" ht="15" hidden="false" customHeight="false" outlineLevel="0" collapsed="false">
      <c r="A654" s="18" t="s">
        <v>1531</v>
      </c>
      <c r="B654" s="18" t="s">
        <v>74</v>
      </c>
      <c r="C654" s="18" t="n">
        <v>576</v>
      </c>
      <c r="D654" s="19" t="n">
        <v>0</v>
      </c>
      <c r="E654" s="19" t="n">
        <v>120.33</v>
      </c>
      <c r="F654" s="19" t="n">
        <v>120.33</v>
      </c>
      <c r="G654" s="19" t="n">
        <v>0</v>
      </c>
      <c r="H654" s="18" t="s">
        <v>2048</v>
      </c>
    </row>
    <row r="655" customFormat="false" ht="15" hidden="false" customHeight="false" outlineLevel="0" collapsed="false">
      <c r="A655" s="18" t="s">
        <v>1533</v>
      </c>
      <c r="B655" s="18" t="s">
        <v>74</v>
      </c>
      <c r="C655" s="18" t="n">
        <v>577</v>
      </c>
      <c r="D655" s="19" t="n">
        <v>0</v>
      </c>
      <c r="E655" s="19" t="n">
        <v>15032.75</v>
      </c>
      <c r="F655" s="19" t="n">
        <v>15032.75</v>
      </c>
      <c r="G655" s="19" t="n">
        <v>0</v>
      </c>
      <c r="H655" s="18" t="s">
        <v>2048</v>
      </c>
    </row>
    <row r="656" customFormat="false" ht="15" hidden="false" customHeight="false" outlineLevel="0" collapsed="false">
      <c r="A656" s="18" t="s">
        <v>1535</v>
      </c>
      <c r="B656" s="18" t="s">
        <v>74</v>
      </c>
      <c r="C656" s="18" t="n">
        <v>579</v>
      </c>
      <c r="D656" s="19" t="n">
        <v>0</v>
      </c>
      <c r="E656" s="19" t="n">
        <v>1368.26</v>
      </c>
      <c r="F656" s="19" t="n">
        <v>1368.26</v>
      </c>
      <c r="G656" s="19" t="n">
        <v>0</v>
      </c>
      <c r="H656" s="18" t="s">
        <v>2048</v>
      </c>
    </row>
    <row r="657" customFormat="false" ht="15" hidden="false" customHeight="false" outlineLevel="0" collapsed="false">
      <c r="A657" s="18" t="s">
        <v>1537</v>
      </c>
      <c r="B657" s="18" t="s">
        <v>74</v>
      </c>
      <c r="C657" s="18" t="n">
        <v>580</v>
      </c>
      <c r="D657" s="19" t="n">
        <v>0</v>
      </c>
      <c r="E657" s="19" t="n">
        <v>184</v>
      </c>
      <c r="F657" s="19" t="n">
        <v>184</v>
      </c>
      <c r="G657" s="19" t="n">
        <v>0</v>
      </c>
      <c r="H657" s="18" t="s">
        <v>2048</v>
      </c>
    </row>
    <row r="658" customFormat="false" ht="15" hidden="false" customHeight="false" outlineLevel="0" collapsed="false">
      <c r="A658" s="18" t="s">
        <v>1538</v>
      </c>
      <c r="B658" s="18" t="s">
        <v>74</v>
      </c>
      <c r="C658" s="18" t="n">
        <v>581</v>
      </c>
      <c r="D658" s="19" t="n">
        <v>0</v>
      </c>
      <c r="E658" s="19" t="n">
        <v>34.5</v>
      </c>
      <c r="F658" s="19" t="n">
        <v>34.5</v>
      </c>
      <c r="G658" s="19" t="n">
        <v>0</v>
      </c>
      <c r="H658" s="18" t="s">
        <v>2048</v>
      </c>
    </row>
    <row r="659" customFormat="false" ht="15" hidden="false" customHeight="false" outlineLevel="0" collapsed="false">
      <c r="A659" s="18" t="s">
        <v>1539</v>
      </c>
      <c r="B659" s="18" t="s">
        <v>74</v>
      </c>
      <c r="C659" s="18" t="n">
        <v>582</v>
      </c>
      <c r="D659" s="19" t="n">
        <v>0</v>
      </c>
      <c r="E659" s="19" t="n">
        <v>657.8</v>
      </c>
      <c r="F659" s="19" t="n">
        <v>657.8</v>
      </c>
      <c r="G659" s="19" t="n">
        <v>0</v>
      </c>
      <c r="H659" s="18" t="s">
        <v>2048</v>
      </c>
    </row>
    <row r="660" customFormat="false" ht="15" hidden="false" customHeight="false" outlineLevel="0" collapsed="false">
      <c r="A660" s="18" t="s">
        <v>1541</v>
      </c>
      <c r="B660" s="18" t="s">
        <v>74</v>
      </c>
      <c r="C660" s="18" t="n">
        <v>583</v>
      </c>
      <c r="D660" s="19" t="n">
        <v>0</v>
      </c>
      <c r="E660" s="19" t="n">
        <v>333.5</v>
      </c>
      <c r="F660" s="19" t="n">
        <v>333.5</v>
      </c>
      <c r="G660" s="19" t="n">
        <v>0</v>
      </c>
      <c r="H660" s="18" t="s">
        <v>2048</v>
      </c>
    </row>
    <row r="661" customFormat="false" ht="15" hidden="false" customHeight="false" outlineLevel="0" collapsed="false">
      <c r="A661" s="18" t="s">
        <v>1543</v>
      </c>
      <c r="B661" s="18" t="s">
        <v>74</v>
      </c>
      <c r="C661" s="18" t="n">
        <v>584</v>
      </c>
      <c r="D661" s="19" t="n">
        <v>0</v>
      </c>
      <c r="E661" s="19" t="n">
        <v>100</v>
      </c>
      <c r="F661" s="19" t="n">
        <v>100</v>
      </c>
      <c r="G661" s="19" t="n">
        <v>0</v>
      </c>
      <c r="H661" s="18" t="s">
        <v>2048</v>
      </c>
    </row>
    <row r="662" customFormat="false" ht="15" hidden="false" customHeight="false" outlineLevel="0" collapsed="false">
      <c r="A662" s="18" t="s">
        <v>1544</v>
      </c>
      <c r="B662" s="18" t="s">
        <v>74</v>
      </c>
      <c r="C662" s="18" t="n">
        <v>585</v>
      </c>
      <c r="D662" s="19" t="n">
        <v>0</v>
      </c>
      <c r="E662" s="19" t="n">
        <v>2116</v>
      </c>
      <c r="F662" s="19" t="n">
        <v>2116</v>
      </c>
      <c r="G662" s="19" t="n">
        <v>0</v>
      </c>
      <c r="H662" s="18" t="s">
        <v>2048</v>
      </c>
    </row>
    <row r="663" customFormat="false" ht="15" hidden="false" customHeight="false" outlineLevel="0" collapsed="false">
      <c r="A663" s="18" t="s">
        <v>1546</v>
      </c>
      <c r="B663" s="18" t="s">
        <v>74</v>
      </c>
      <c r="C663" s="18" t="n">
        <v>587</v>
      </c>
      <c r="D663" s="19" t="n">
        <v>0</v>
      </c>
      <c r="E663" s="19" t="n">
        <v>12650.01</v>
      </c>
      <c r="F663" s="19" t="n">
        <v>12650.01</v>
      </c>
      <c r="G663" s="19" t="n">
        <v>0</v>
      </c>
      <c r="H663" s="18" t="s">
        <v>2048</v>
      </c>
    </row>
    <row r="664" customFormat="false" ht="15" hidden="false" customHeight="false" outlineLevel="0" collapsed="false">
      <c r="A664" s="18" t="s">
        <v>1548</v>
      </c>
      <c r="B664" s="18" t="s">
        <v>74</v>
      </c>
      <c r="C664" s="18" t="n">
        <v>588</v>
      </c>
      <c r="D664" s="19" t="n">
        <v>0</v>
      </c>
      <c r="E664" s="19" t="n">
        <v>80.5</v>
      </c>
      <c r="F664" s="19" t="n">
        <v>80.5</v>
      </c>
      <c r="G664" s="19" t="n">
        <v>0</v>
      </c>
      <c r="H664" s="18" t="s">
        <v>2048</v>
      </c>
    </row>
    <row r="665" customFormat="false" ht="15" hidden="false" customHeight="false" outlineLevel="0" collapsed="false">
      <c r="A665" s="18" t="s">
        <v>1549</v>
      </c>
      <c r="B665" s="18" t="s">
        <v>74</v>
      </c>
      <c r="C665" s="18" t="n">
        <v>589</v>
      </c>
      <c r="D665" s="19" t="n">
        <v>0</v>
      </c>
      <c r="E665" s="19" t="n">
        <v>920</v>
      </c>
      <c r="F665" s="19" t="n">
        <v>920</v>
      </c>
      <c r="G665" s="19" t="n">
        <v>0</v>
      </c>
      <c r="H665" s="18" t="s">
        <v>2048</v>
      </c>
    </row>
    <row r="666" customFormat="false" ht="15" hidden="false" customHeight="false" outlineLevel="0" collapsed="false">
      <c r="A666" s="18" t="s">
        <v>1550</v>
      </c>
      <c r="B666" s="18" t="s">
        <v>74</v>
      </c>
      <c r="C666" s="18" t="n">
        <v>590</v>
      </c>
      <c r="D666" s="19" t="n">
        <v>0</v>
      </c>
      <c r="E666" s="19" t="n">
        <v>860</v>
      </c>
      <c r="F666" s="19" t="n">
        <v>860</v>
      </c>
      <c r="G666" s="19" t="n">
        <v>0</v>
      </c>
      <c r="H666" s="18" t="s">
        <v>2048</v>
      </c>
    </row>
    <row r="667" customFormat="false" ht="15" hidden="false" customHeight="false" outlineLevel="0" collapsed="false">
      <c r="A667" s="18" t="s">
        <v>1552</v>
      </c>
      <c r="B667" s="18" t="s">
        <v>74</v>
      </c>
      <c r="C667" s="18" t="n">
        <v>591</v>
      </c>
      <c r="D667" s="19" t="n">
        <v>0</v>
      </c>
      <c r="E667" s="19" t="n">
        <v>1160</v>
      </c>
      <c r="F667" s="19" t="n">
        <v>1160</v>
      </c>
      <c r="G667" s="19" t="n">
        <v>0</v>
      </c>
      <c r="H667" s="18" t="s">
        <v>2048</v>
      </c>
    </row>
    <row r="668" customFormat="false" ht="15" hidden="false" customHeight="false" outlineLevel="0" collapsed="false">
      <c r="A668" s="18" t="s">
        <v>1554</v>
      </c>
      <c r="B668" s="18" t="s">
        <v>74</v>
      </c>
      <c r="C668" s="18" t="n">
        <v>592</v>
      </c>
      <c r="D668" s="19" t="n">
        <v>0</v>
      </c>
      <c r="E668" s="19" t="n">
        <v>1600</v>
      </c>
      <c r="F668" s="19" t="n">
        <v>1600</v>
      </c>
      <c r="G668" s="19" t="n">
        <v>0</v>
      </c>
      <c r="H668" s="18" t="s">
        <v>2048</v>
      </c>
    </row>
    <row r="669" customFormat="false" ht="15" hidden="false" customHeight="false" outlineLevel="0" collapsed="false">
      <c r="A669" s="18" t="s">
        <v>1556</v>
      </c>
      <c r="B669" s="18" t="s">
        <v>74</v>
      </c>
      <c r="C669" s="18" t="n">
        <v>593</v>
      </c>
      <c r="D669" s="19" t="n">
        <v>0</v>
      </c>
      <c r="E669" s="19" t="n">
        <v>309.5</v>
      </c>
      <c r="F669" s="19" t="n">
        <v>309.5</v>
      </c>
      <c r="G669" s="19" t="n">
        <v>0</v>
      </c>
      <c r="H669" s="18" t="s">
        <v>2048</v>
      </c>
    </row>
    <row r="670" customFormat="false" ht="15" hidden="false" customHeight="false" outlineLevel="0" collapsed="false">
      <c r="A670" s="18" t="s">
        <v>1558</v>
      </c>
      <c r="B670" s="18" t="s">
        <v>74</v>
      </c>
      <c r="C670" s="18" t="n">
        <v>594</v>
      </c>
      <c r="D670" s="19" t="n">
        <v>0</v>
      </c>
      <c r="E670" s="19" t="n">
        <v>6900</v>
      </c>
      <c r="F670" s="19" t="n">
        <v>6900</v>
      </c>
      <c r="G670" s="19" t="n">
        <v>0</v>
      </c>
      <c r="H670" s="18" t="s">
        <v>2048</v>
      </c>
    </row>
    <row r="671" customFormat="false" ht="15" hidden="false" customHeight="false" outlineLevel="0" collapsed="false">
      <c r="A671" s="18" t="s">
        <v>1560</v>
      </c>
      <c r="B671" s="18" t="s">
        <v>74</v>
      </c>
      <c r="C671" s="18" t="n">
        <v>595</v>
      </c>
      <c r="D671" s="19" t="n">
        <v>0</v>
      </c>
      <c r="E671" s="19" t="n">
        <v>555</v>
      </c>
      <c r="F671" s="19" t="n">
        <v>555</v>
      </c>
      <c r="G671" s="19" t="n">
        <v>0</v>
      </c>
      <c r="H671" s="18" t="s">
        <v>2048</v>
      </c>
    </row>
    <row r="672" customFormat="false" ht="15" hidden="false" customHeight="false" outlineLevel="0" collapsed="false">
      <c r="A672" s="18" t="s">
        <v>1562</v>
      </c>
      <c r="B672" s="18" t="s">
        <v>74</v>
      </c>
      <c r="C672" s="18" t="n">
        <v>596</v>
      </c>
      <c r="D672" s="19" t="n">
        <v>0</v>
      </c>
      <c r="E672" s="19" t="n">
        <v>510</v>
      </c>
      <c r="F672" s="19" t="n">
        <v>510</v>
      </c>
      <c r="G672" s="19" t="n">
        <v>0</v>
      </c>
      <c r="H672" s="18" t="s">
        <v>2048</v>
      </c>
    </row>
    <row r="673" customFormat="false" ht="15" hidden="false" customHeight="false" outlineLevel="0" collapsed="false">
      <c r="A673" s="18" t="s">
        <v>1564</v>
      </c>
      <c r="B673" s="18" t="s">
        <v>74</v>
      </c>
      <c r="C673" s="18" t="n">
        <v>597</v>
      </c>
      <c r="D673" s="19" t="n">
        <v>0</v>
      </c>
      <c r="E673" s="19" t="n">
        <v>34.5</v>
      </c>
      <c r="F673" s="19" t="n">
        <v>34.5</v>
      </c>
      <c r="G673" s="19" t="n">
        <v>0</v>
      </c>
      <c r="H673" s="18" t="s">
        <v>2048</v>
      </c>
    </row>
    <row r="674" customFormat="false" ht="15" hidden="false" customHeight="false" outlineLevel="0" collapsed="false">
      <c r="A674" s="18" t="s">
        <v>1565</v>
      </c>
      <c r="B674" s="18" t="s">
        <v>74</v>
      </c>
      <c r="C674" s="18" t="n">
        <v>598</v>
      </c>
      <c r="D674" s="19" t="n">
        <v>0</v>
      </c>
      <c r="E674" s="19" t="n">
        <v>461</v>
      </c>
      <c r="F674" s="19" t="n">
        <v>461</v>
      </c>
      <c r="G674" s="19" t="n">
        <v>0</v>
      </c>
      <c r="H674" s="18" t="s">
        <v>2048</v>
      </c>
    </row>
    <row r="675" customFormat="false" ht="15" hidden="false" customHeight="false" outlineLevel="0" collapsed="false">
      <c r="A675" s="18" t="s">
        <v>1567</v>
      </c>
      <c r="B675" s="18" t="s">
        <v>74</v>
      </c>
      <c r="C675" s="18" t="n">
        <v>599</v>
      </c>
      <c r="D675" s="19" t="n">
        <v>0</v>
      </c>
      <c r="E675" s="19" t="n">
        <v>7299.05</v>
      </c>
      <c r="F675" s="19" t="n">
        <v>7299.05</v>
      </c>
      <c r="G675" s="19" t="n">
        <v>0</v>
      </c>
      <c r="H675" s="18" t="s">
        <v>2048</v>
      </c>
    </row>
    <row r="676" customFormat="false" ht="15" hidden="false" customHeight="false" outlineLevel="0" collapsed="false">
      <c r="A676" s="18" t="s">
        <v>1569</v>
      </c>
      <c r="B676" s="18" t="s">
        <v>74</v>
      </c>
      <c r="C676" s="18" t="n">
        <v>600</v>
      </c>
      <c r="D676" s="19" t="n">
        <v>0</v>
      </c>
      <c r="E676" s="19" t="n">
        <v>350</v>
      </c>
      <c r="F676" s="19" t="n">
        <v>350</v>
      </c>
      <c r="G676" s="19" t="n">
        <v>0</v>
      </c>
      <c r="H676" s="18" t="s">
        <v>2048</v>
      </c>
    </row>
    <row r="677" customFormat="false" ht="15" hidden="false" customHeight="false" outlineLevel="0" collapsed="false">
      <c r="A677" s="18" t="s">
        <v>1570</v>
      </c>
      <c r="B677" s="18" t="s">
        <v>74</v>
      </c>
      <c r="C677" s="18" t="n">
        <v>601</v>
      </c>
      <c r="D677" s="19" t="n">
        <v>0</v>
      </c>
      <c r="E677" s="19" t="n">
        <v>280.05</v>
      </c>
      <c r="F677" s="19" t="n">
        <v>280.05</v>
      </c>
      <c r="G677" s="19" t="n">
        <v>0</v>
      </c>
      <c r="H677" s="18" t="s">
        <v>2048</v>
      </c>
    </row>
    <row r="678" customFormat="false" ht="15" hidden="false" customHeight="false" outlineLevel="0" collapsed="false">
      <c r="A678" s="18" t="s">
        <v>1572</v>
      </c>
      <c r="B678" s="18" t="s">
        <v>74</v>
      </c>
      <c r="C678" s="18" t="n">
        <v>602</v>
      </c>
      <c r="D678" s="19" t="n">
        <v>0</v>
      </c>
      <c r="E678" s="19" t="n">
        <v>207</v>
      </c>
      <c r="F678" s="19" t="n">
        <v>207</v>
      </c>
      <c r="G678" s="19" t="n">
        <v>0</v>
      </c>
      <c r="H678" s="18" t="s">
        <v>2048</v>
      </c>
    </row>
    <row r="679" customFormat="false" ht="15" hidden="false" customHeight="false" outlineLevel="0" collapsed="false">
      <c r="A679" s="18" t="s">
        <v>1573</v>
      </c>
      <c r="B679" s="18" t="s">
        <v>74</v>
      </c>
      <c r="C679" s="18" t="n">
        <v>603</v>
      </c>
      <c r="D679" s="19" t="n">
        <v>0</v>
      </c>
      <c r="E679" s="19" t="n">
        <v>1748</v>
      </c>
      <c r="F679" s="19" t="n">
        <v>1748</v>
      </c>
      <c r="G679" s="19" t="n">
        <v>0</v>
      </c>
      <c r="H679" s="18" t="s">
        <v>2048</v>
      </c>
    </row>
    <row r="680" customFormat="false" ht="15" hidden="false" customHeight="false" outlineLevel="0" collapsed="false">
      <c r="A680" s="18" t="s">
        <v>1575</v>
      </c>
      <c r="B680" s="18" t="s">
        <v>74</v>
      </c>
      <c r="C680" s="18" t="n">
        <v>604</v>
      </c>
      <c r="D680" s="19" t="n">
        <v>0</v>
      </c>
      <c r="E680" s="19" t="n">
        <v>92</v>
      </c>
      <c r="F680" s="19" t="n">
        <v>92</v>
      </c>
      <c r="G680" s="19" t="n">
        <v>0</v>
      </c>
      <c r="H680" s="18" t="s">
        <v>2048</v>
      </c>
    </row>
    <row r="681" customFormat="false" ht="15" hidden="false" customHeight="false" outlineLevel="0" collapsed="false">
      <c r="A681" s="18" t="s">
        <v>1576</v>
      </c>
      <c r="B681" s="18" t="s">
        <v>74</v>
      </c>
      <c r="C681" s="18" t="n">
        <v>605</v>
      </c>
      <c r="D681" s="19" t="n">
        <v>0</v>
      </c>
      <c r="E681" s="19" t="n">
        <v>180</v>
      </c>
      <c r="F681" s="19" t="n">
        <v>180</v>
      </c>
      <c r="G681" s="19" t="n">
        <v>0</v>
      </c>
      <c r="H681" s="18" t="s">
        <v>2048</v>
      </c>
    </row>
    <row r="682" customFormat="false" ht="15" hidden="false" customHeight="false" outlineLevel="0" collapsed="false">
      <c r="A682" s="18" t="s">
        <v>1578</v>
      </c>
      <c r="B682" s="18" t="s">
        <v>74</v>
      </c>
      <c r="C682" s="18" t="n">
        <v>606</v>
      </c>
      <c r="D682" s="19" t="n">
        <v>0</v>
      </c>
      <c r="E682" s="19" t="n">
        <v>57.5</v>
      </c>
      <c r="F682" s="19" t="n">
        <v>57.5</v>
      </c>
      <c r="G682" s="19" t="n">
        <v>0</v>
      </c>
      <c r="H682" s="18" t="s">
        <v>2048</v>
      </c>
    </row>
    <row r="683" customFormat="false" ht="15" hidden="false" customHeight="false" outlineLevel="0" collapsed="false">
      <c r="A683" s="18" t="s">
        <v>1579</v>
      </c>
      <c r="B683" s="18" t="s">
        <v>74</v>
      </c>
      <c r="C683" s="18" t="n">
        <v>607</v>
      </c>
      <c r="D683" s="19" t="n">
        <v>0</v>
      </c>
      <c r="E683" s="19" t="n">
        <v>509.5</v>
      </c>
      <c r="F683" s="19" t="n">
        <v>509.5</v>
      </c>
      <c r="G683" s="19" t="n">
        <v>0</v>
      </c>
      <c r="H683" s="18" t="s">
        <v>2048</v>
      </c>
    </row>
    <row r="684" customFormat="false" ht="15" hidden="false" customHeight="false" outlineLevel="0" collapsed="false">
      <c r="A684" s="18" t="s">
        <v>1581</v>
      </c>
      <c r="B684" s="18" t="s">
        <v>74</v>
      </c>
      <c r="C684" s="18" t="n">
        <v>608</v>
      </c>
      <c r="D684" s="19" t="n">
        <v>0</v>
      </c>
      <c r="E684" s="19" t="n">
        <v>92</v>
      </c>
      <c r="F684" s="19" t="n">
        <v>92</v>
      </c>
      <c r="G684" s="19" t="n">
        <v>0</v>
      </c>
      <c r="H684" s="18" t="s">
        <v>2048</v>
      </c>
    </row>
    <row r="685" customFormat="false" ht="15" hidden="false" customHeight="false" outlineLevel="0" collapsed="false">
      <c r="A685" s="18" t="s">
        <v>1582</v>
      </c>
      <c r="B685" s="18" t="s">
        <v>74</v>
      </c>
      <c r="C685" s="18" t="n">
        <v>609</v>
      </c>
      <c r="D685" s="19" t="n">
        <v>0</v>
      </c>
      <c r="E685" s="19" t="n">
        <v>172.5</v>
      </c>
      <c r="F685" s="19" t="n">
        <v>172.5</v>
      </c>
      <c r="G685" s="19" t="n">
        <v>0</v>
      </c>
      <c r="H685" s="18" t="s">
        <v>2048</v>
      </c>
    </row>
    <row r="686" customFormat="false" ht="15" hidden="false" customHeight="false" outlineLevel="0" collapsed="false">
      <c r="A686" s="18" t="s">
        <v>1583</v>
      </c>
      <c r="B686" s="18" t="s">
        <v>74</v>
      </c>
      <c r="C686" s="18" t="n">
        <v>611</v>
      </c>
      <c r="D686" s="19" t="n">
        <v>0</v>
      </c>
      <c r="E686" s="19" t="n">
        <v>2512.75</v>
      </c>
      <c r="F686" s="19" t="n">
        <v>2512.75</v>
      </c>
      <c r="G686" s="19" t="n">
        <v>0</v>
      </c>
      <c r="H686" s="18" t="s">
        <v>2048</v>
      </c>
    </row>
    <row r="687" customFormat="false" ht="15" hidden="false" customHeight="false" outlineLevel="0" collapsed="false">
      <c r="A687" s="18" t="s">
        <v>1585</v>
      </c>
      <c r="B687" s="18" t="s">
        <v>74</v>
      </c>
      <c r="C687" s="18" t="n">
        <v>612</v>
      </c>
      <c r="D687" s="19" t="n">
        <v>0</v>
      </c>
      <c r="E687" s="19" t="n">
        <v>945.3</v>
      </c>
      <c r="F687" s="19" t="n">
        <v>945.3</v>
      </c>
      <c r="G687" s="19" t="n">
        <v>0</v>
      </c>
      <c r="H687" s="18" t="s">
        <v>2048</v>
      </c>
    </row>
    <row r="688" customFormat="false" ht="15" hidden="false" customHeight="false" outlineLevel="0" collapsed="false">
      <c r="A688" s="18" t="s">
        <v>1587</v>
      </c>
      <c r="B688" s="18" t="s">
        <v>74</v>
      </c>
      <c r="C688" s="18" t="n">
        <v>613</v>
      </c>
      <c r="D688" s="19" t="n">
        <v>0</v>
      </c>
      <c r="E688" s="19" t="n">
        <v>185</v>
      </c>
      <c r="F688" s="19" t="n">
        <v>185</v>
      </c>
      <c r="G688" s="19" t="n">
        <v>0</v>
      </c>
      <c r="H688" s="18" t="s">
        <v>2048</v>
      </c>
    </row>
    <row r="689" customFormat="false" ht="15" hidden="false" customHeight="false" outlineLevel="0" collapsed="false">
      <c r="A689" s="18" t="s">
        <v>1589</v>
      </c>
      <c r="B689" s="18" t="s">
        <v>74</v>
      </c>
      <c r="C689" s="18" t="n">
        <v>614</v>
      </c>
      <c r="D689" s="19" t="n">
        <v>0</v>
      </c>
      <c r="E689" s="19" t="n">
        <v>796.02</v>
      </c>
      <c r="F689" s="19" t="n">
        <v>796.02</v>
      </c>
      <c r="G689" s="19" t="n">
        <v>0</v>
      </c>
      <c r="H689" s="18" t="s">
        <v>2048</v>
      </c>
    </row>
    <row r="690" customFormat="false" ht="15" hidden="false" customHeight="false" outlineLevel="0" collapsed="false">
      <c r="A690" s="18" t="s">
        <v>1591</v>
      </c>
      <c r="B690" s="18" t="s">
        <v>74</v>
      </c>
      <c r="C690" s="18" t="n">
        <v>615</v>
      </c>
      <c r="D690" s="19" t="n">
        <v>0</v>
      </c>
      <c r="E690" s="19" t="n">
        <v>4450.5</v>
      </c>
      <c r="F690" s="19" t="n">
        <v>4450.5</v>
      </c>
      <c r="G690" s="19" t="n">
        <v>0</v>
      </c>
      <c r="H690" s="18" t="s">
        <v>2048</v>
      </c>
    </row>
    <row r="691" customFormat="false" ht="15" hidden="false" customHeight="false" outlineLevel="0" collapsed="false">
      <c r="A691" s="18" t="s">
        <v>1593</v>
      </c>
      <c r="B691" s="18" t="s">
        <v>74</v>
      </c>
      <c r="C691" s="18" t="n">
        <v>616</v>
      </c>
      <c r="D691" s="19" t="n">
        <v>0</v>
      </c>
      <c r="E691" s="19" t="n">
        <v>57.5</v>
      </c>
      <c r="F691" s="19" t="n">
        <v>57.5</v>
      </c>
      <c r="G691" s="19" t="n">
        <v>0</v>
      </c>
      <c r="H691" s="18" t="s">
        <v>2048</v>
      </c>
    </row>
    <row r="692" customFormat="false" ht="15" hidden="false" customHeight="false" outlineLevel="0" collapsed="false">
      <c r="A692" s="18" t="s">
        <v>1594</v>
      </c>
      <c r="B692" s="18" t="s">
        <v>74</v>
      </c>
      <c r="C692" s="18" t="n">
        <v>617</v>
      </c>
      <c r="D692" s="19" t="n">
        <v>0</v>
      </c>
      <c r="E692" s="19" t="n">
        <v>69</v>
      </c>
      <c r="F692" s="19" t="n">
        <v>69</v>
      </c>
      <c r="G692" s="19" t="n">
        <v>0</v>
      </c>
      <c r="H692" s="18" t="s">
        <v>2048</v>
      </c>
    </row>
    <row r="693" customFormat="false" ht="15" hidden="false" customHeight="false" outlineLevel="0" collapsed="false">
      <c r="A693" s="18" t="s">
        <v>1595</v>
      </c>
      <c r="B693" s="18" t="s">
        <v>74</v>
      </c>
      <c r="C693" s="18" t="n">
        <v>618</v>
      </c>
      <c r="D693" s="19" t="n">
        <v>0</v>
      </c>
      <c r="E693" s="19" t="n">
        <v>3220</v>
      </c>
      <c r="F693" s="19" t="n">
        <v>3220</v>
      </c>
      <c r="G693" s="19" t="n">
        <v>0</v>
      </c>
      <c r="H693" s="18" t="s">
        <v>2048</v>
      </c>
    </row>
    <row r="694" customFormat="false" ht="15" hidden="false" customHeight="false" outlineLevel="0" collapsed="false">
      <c r="A694" s="18" t="s">
        <v>1597</v>
      </c>
      <c r="B694" s="18" t="s">
        <v>74</v>
      </c>
      <c r="C694" s="18" t="n">
        <v>619</v>
      </c>
      <c r="D694" s="19" t="n">
        <v>0</v>
      </c>
      <c r="E694" s="19" t="n">
        <v>316.25</v>
      </c>
      <c r="F694" s="19" t="n">
        <v>316.25</v>
      </c>
      <c r="G694" s="19" t="n">
        <v>0</v>
      </c>
      <c r="H694" s="18" t="s">
        <v>2048</v>
      </c>
    </row>
    <row r="695" customFormat="false" ht="15" hidden="false" customHeight="false" outlineLevel="0" collapsed="false">
      <c r="A695" s="18" t="s">
        <v>1599</v>
      </c>
      <c r="B695" s="18" t="s">
        <v>74</v>
      </c>
      <c r="C695" s="18" t="n">
        <v>620</v>
      </c>
      <c r="D695" s="19" t="n">
        <v>0</v>
      </c>
      <c r="E695" s="19" t="n">
        <v>1200</v>
      </c>
      <c r="F695" s="19" t="n">
        <v>1200</v>
      </c>
      <c r="G695" s="19" t="n">
        <v>0</v>
      </c>
      <c r="H695" s="18" t="s">
        <v>2048</v>
      </c>
    </row>
    <row r="696" customFormat="false" ht="15" hidden="false" customHeight="false" outlineLevel="0" collapsed="false">
      <c r="A696" s="18" t="s">
        <v>1601</v>
      </c>
      <c r="B696" s="18" t="s">
        <v>74</v>
      </c>
      <c r="C696" s="18" t="n">
        <v>621</v>
      </c>
      <c r="D696" s="19" t="n">
        <v>0</v>
      </c>
      <c r="E696" s="19" t="n">
        <v>299</v>
      </c>
      <c r="F696" s="19" t="n">
        <v>299</v>
      </c>
      <c r="G696" s="19" t="n">
        <v>0</v>
      </c>
      <c r="H696" s="18" t="s">
        <v>2048</v>
      </c>
    </row>
    <row r="697" customFormat="false" ht="15" hidden="false" customHeight="false" outlineLevel="0" collapsed="false">
      <c r="A697" s="18" t="s">
        <v>1602</v>
      </c>
      <c r="B697" s="18" t="s">
        <v>74</v>
      </c>
      <c r="C697" s="18" t="n">
        <v>622</v>
      </c>
      <c r="D697" s="19" t="n">
        <v>0</v>
      </c>
      <c r="E697" s="19" t="n">
        <v>238</v>
      </c>
      <c r="F697" s="19" t="n">
        <v>238</v>
      </c>
      <c r="G697" s="19" t="n">
        <v>0</v>
      </c>
      <c r="H697" s="18" t="s">
        <v>2048</v>
      </c>
    </row>
    <row r="698" customFormat="false" ht="15" hidden="false" customHeight="false" outlineLevel="0" collapsed="false">
      <c r="A698" s="18" t="s">
        <v>1604</v>
      </c>
      <c r="B698" s="18" t="s">
        <v>74</v>
      </c>
      <c r="C698" s="18" t="n">
        <v>623</v>
      </c>
      <c r="D698" s="19" t="n">
        <v>0</v>
      </c>
      <c r="E698" s="19" t="n">
        <v>75</v>
      </c>
      <c r="F698" s="19" t="n">
        <v>75</v>
      </c>
      <c r="G698" s="19" t="n">
        <v>0</v>
      </c>
      <c r="H698" s="18" t="s">
        <v>2048</v>
      </c>
    </row>
    <row r="699" customFormat="false" ht="15" hidden="false" customHeight="false" outlineLevel="0" collapsed="false">
      <c r="A699" s="18" t="s">
        <v>1605</v>
      </c>
      <c r="B699" s="18" t="s">
        <v>74</v>
      </c>
      <c r="C699" s="18" t="n">
        <v>624</v>
      </c>
      <c r="D699" s="19" t="n">
        <v>0</v>
      </c>
      <c r="E699" s="19" t="n">
        <v>598</v>
      </c>
      <c r="F699" s="19" t="n">
        <v>598</v>
      </c>
      <c r="G699" s="19" t="n">
        <v>0</v>
      </c>
      <c r="H699" s="18" t="s">
        <v>2048</v>
      </c>
    </row>
    <row r="700" customFormat="false" ht="15" hidden="false" customHeight="false" outlineLevel="0" collapsed="false">
      <c r="A700" s="18" t="s">
        <v>1607</v>
      </c>
      <c r="B700" s="18" t="s">
        <v>74</v>
      </c>
      <c r="C700" s="18" t="n">
        <v>625</v>
      </c>
      <c r="D700" s="19" t="n">
        <v>0</v>
      </c>
      <c r="E700" s="19" t="n">
        <v>150</v>
      </c>
      <c r="F700" s="19" t="n">
        <v>150</v>
      </c>
      <c r="G700" s="19" t="n">
        <v>0</v>
      </c>
      <c r="H700" s="18" t="s">
        <v>2048</v>
      </c>
    </row>
    <row r="701" customFormat="false" ht="15" hidden="false" customHeight="false" outlineLevel="0" collapsed="false">
      <c r="A701" s="18" t="s">
        <v>1609</v>
      </c>
      <c r="B701" s="18" t="s">
        <v>74</v>
      </c>
      <c r="C701" s="18" t="n">
        <v>626</v>
      </c>
      <c r="D701" s="19" t="n">
        <v>0</v>
      </c>
      <c r="E701" s="19" t="n">
        <v>1207.5</v>
      </c>
      <c r="F701" s="19" t="n">
        <v>1207.5</v>
      </c>
      <c r="G701" s="19" t="n">
        <v>0</v>
      </c>
      <c r="H701" s="18" t="s">
        <v>2048</v>
      </c>
    </row>
    <row r="702" customFormat="false" ht="15" hidden="false" customHeight="false" outlineLevel="0" collapsed="false">
      <c r="A702" s="18" t="s">
        <v>1611</v>
      </c>
      <c r="B702" s="18" t="s">
        <v>74</v>
      </c>
      <c r="C702" s="18" t="n">
        <v>627</v>
      </c>
      <c r="D702" s="19" t="n">
        <v>0</v>
      </c>
      <c r="E702" s="19" t="n">
        <v>100</v>
      </c>
      <c r="F702" s="19" t="n">
        <v>100</v>
      </c>
      <c r="G702" s="19" t="n">
        <v>0</v>
      </c>
      <c r="H702" s="18" t="s">
        <v>2048</v>
      </c>
    </row>
    <row r="703" customFormat="false" ht="15" hidden="false" customHeight="false" outlineLevel="0" collapsed="false">
      <c r="A703" s="18" t="s">
        <v>1612</v>
      </c>
      <c r="B703" s="18" t="s">
        <v>74</v>
      </c>
      <c r="C703" s="18" t="n">
        <v>628</v>
      </c>
      <c r="D703" s="19" t="n">
        <v>0</v>
      </c>
      <c r="E703" s="19" t="n">
        <v>348.5</v>
      </c>
      <c r="F703" s="19" t="n">
        <v>348.5</v>
      </c>
      <c r="G703" s="19" t="n">
        <v>0</v>
      </c>
      <c r="H703" s="18" t="s">
        <v>2048</v>
      </c>
    </row>
    <row r="704" customFormat="false" ht="15" hidden="false" customHeight="false" outlineLevel="0" collapsed="false">
      <c r="A704" s="18" t="s">
        <v>1614</v>
      </c>
      <c r="B704" s="18" t="s">
        <v>74</v>
      </c>
      <c r="C704" s="18" t="n">
        <v>629</v>
      </c>
      <c r="D704" s="19" t="n">
        <v>0</v>
      </c>
      <c r="E704" s="19" t="n">
        <v>2875</v>
      </c>
      <c r="F704" s="19" t="n">
        <v>2875</v>
      </c>
      <c r="G704" s="19" t="n">
        <v>0</v>
      </c>
      <c r="H704" s="18" t="s">
        <v>2048</v>
      </c>
    </row>
    <row r="705" customFormat="false" ht="15" hidden="false" customHeight="false" outlineLevel="0" collapsed="false">
      <c r="A705" s="18" t="s">
        <v>1616</v>
      </c>
      <c r="B705" s="18" t="s">
        <v>74</v>
      </c>
      <c r="C705" s="18" t="n">
        <v>630</v>
      </c>
      <c r="D705" s="19" t="n">
        <v>0</v>
      </c>
      <c r="E705" s="19" t="n">
        <v>1150</v>
      </c>
      <c r="F705" s="19" t="n">
        <v>1150</v>
      </c>
      <c r="G705" s="19" t="n">
        <v>0</v>
      </c>
      <c r="H705" s="18" t="s">
        <v>2048</v>
      </c>
    </row>
    <row r="706" customFormat="false" ht="15" hidden="false" customHeight="false" outlineLevel="0" collapsed="false">
      <c r="A706" s="18" t="s">
        <v>1617</v>
      </c>
      <c r="B706" s="18" t="s">
        <v>74</v>
      </c>
      <c r="C706" s="18" t="n">
        <v>631</v>
      </c>
      <c r="D706" s="19" t="n">
        <v>0</v>
      </c>
      <c r="E706" s="19" t="n">
        <v>6590.4</v>
      </c>
      <c r="F706" s="19" t="n">
        <v>6590.4</v>
      </c>
      <c r="G706" s="19" t="n">
        <v>0</v>
      </c>
      <c r="H706" s="18" t="s">
        <v>2048</v>
      </c>
    </row>
    <row r="707" customFormat="false" ht="15" hidden="false" customHeight="false" outlineLevel="0" collapsed="false">
      <c r="A707" s="18" t="s">
        <v>1619</v>
      </c>
      <c r="B707" s="18" t="s">
        <v>74</v>
      </c>
      <c r="C707" s="18" t="n">
        <v>632</v>
      </c>
      <c r="D707" s="19" t="n">
        <v>0</v>
      </c>
      <c r="E707" s="19" t="n">
        <v>1070</v>
      </c>
      <c r="F707" s="19" t="n">
        <v>1070</v>
      </c>
      <c r="G707" s="19" t="n">
        <v>0</v>
      </c>
      <c r="H707" s="18" t="s">
        <v>2048</v>
      </c>
    </row>
    <row r="708" customFormat="false" ht="15" hidden="false" customHeight="false" outlineLevel="0" collapsed="false">
      <c r="A708" s="18" t="s">
        <v>1621</v>
      </c>
      <c r="B708" s="18" t="s">
        <v>74</v>
      </c>
      <c r="C708" s="18" t="n">
        <v>633</v>
      </c>
      <c r="D708" s="19" t="n">
        <v>0</v>
      </c>
      <c r="E708" s="19" t="n">
        <v>230</v>
      </c>
      <c r="F708" s="19" t="n">
        <v>230</v>
      </c>
      <c r="G708" s="19" t="n">
        <v>0</v>
      </c>
      <c r="H708" s="18" t="s">
        <v>2048</v>
      </c>
    </row>
    <row r="709" customFormat="false" ht="15" hidden="false" customHeight="false" outlineLevel="0" collapsed="false">
      <c r="A709" s="18" t="s">
        <v>1622</v>
      </c>
      <c r="B709" s="18" t="s">
        <v>74</v>
      </c>
      <c r="C709" s="18" t="n">
        <v>634</v>
      </c>
      <c r="D709" s="19" t="n">
        <v>0</v>
      </c>
      <c r="E709" s="19" t="n">
        <v>50</v>
      </c>
      <c r="F709" s="19" t="n">
        <v>50</v>
      </c>
      <c r="G709" s="19" t="n">
        <v>0</v>
      </c>
      <c r="H709" s="18" t="s">
        <v>2048</v>
      </c>
    </row>
    <row r="710" customFormat="false" ht="15" hidden="false" customHeight="false" outlineLevel="0" collapsed="false">
      <c r="A710" s="18" t="s">
        <v>1623</v>
      </c>
      <c r="B710" s="18" t="s">
        <v>74</v>
      </c>
      <c r="C710" s="18" t="n">
        <v>635</v>
      </c>
      <c r="D710" s="19" t="n">
        <v>0</v>
      </c>
      <c r="E710" s="19" t="n">
        <v>10473</v>
      </c>
      <c r="F710" s="19" t="n">
        <v>10473</v>
      </c>
      <c r="G710" s="19" t="n">
        <v>0</v>
      </c>
      <c r="H710" s="18" t="s">
        <v>2048</v>
      </c>
    </row>
    <row r="711" customFormat="false" ht="15" hidden="false" customHeight="false" outlineLevel="0" collapsed="false">
      <c r="A711" s="18" t="s">
        <v>1625</v>
      </c>
      <c r="B711" s="18" t="s">
        <v>74</v>
      </c>
      <c r="C711" s="18" t="n">
        <v>636</v>
      </c>
      <c r="D711" s="19" t="n">
        <v>0</v>
      </c>
      <c r="E711" s="19" t="n">
        <v>414</v>
      </c>
      <c r="F711" s="19" t="n">
        <v>414</v>
      </c>
      <c r="G711" s="19" t="n">
        <v>0</v>
      </c>
      <c r="H711" s="18" t="s">
        <v>2048</v>
      </c>
    </row>
    <row r="712" customFormat="false" ht="15" hidden="false" customHeight="false" outlineLevel="0" collapsed="false">
      <c r="A712" s="18" t="s">
        <v>1626</v>
      </c>
      <c r="B712" s="18" t="s">
        <v>74</v>
      </c>
      <c r="C712" s="18" t="n">
        <v>637</v>
      </c>
      <c r="D712" s="19" t="n">
        <v>0</v>
      </c>
      <c r="E712" s="19" t="n">
        <v>170</v>
      </c>
      <c r="F712" s="19" t="n">
        <v>170</v>
      </c>
      <c r="G712" s="19" t="n">
        <v>0</v>
      </c>
      <c r="H712" s="18" t="s">
        <v>2048</v>
      </c>
    </row>
    <row r="713" customFormat="false" ht="15" hidden="false" customHeight="false" outlineLevel="0" collapsed="false">
      <c r="A713" s="18" t="s">
        <v>1628</v>
      </c>
      <c r="B713" s="18" t="s">
        <v>74</v>
      </c>
      <c r="C713" s="18" t="n">
        <v>638</v>
      </c>
      <c r="D713" s="19" t="n">
        <v>0</v>
      </c>
      <c r="E713" s="19" t="n">
        <v>47723</v>
      </c>
      <c r="F713" s="19" t="n">
        <v>47723</v>
      </c>
      <c r="G713" s="19" t="n">
        <v>0</v>
      </c>
      <c r="H713" s="18" t="s">
        <v>2048</v>
      </c>
    </row>
    <row r="714" customFormat="false" ht="15" hidden="false" customHeight="false" outlineLevel="0" collapsed="false">
      <c r="A714" s="18" t="s">
        <v>1630</v>
      </c>
      <c r="B714" s="18" t="s">
        <v>74</v>
      </c>
      <c r="C714" s="18" t="n">
        <v>639</v>
      </c>
      <c r="D714" s="19" t="n">
        <v>0</v>
      </c>
      <c r="E714" s="19" t="n">
        <v>1552.5</v>
      </c>
      <c r="F714" s="19" t="n">
        <v>1552.5</v>
      </c>
      <c r="G714" s="19" t="n">
        <v>0</v>
      </c>
      <c r="H714" s="18" t="s">
        <v>2048</v>
      </c>
    </row>
    <row r="715" customFormat="false" ht="15" hidden="false" customHeight="false" outlineLevel="0" collapsed="false">
      <c r="A715" s="18" t="s">
        <v>1631</v>
      </c>
      <c r="B715" s="18" t="s">
        <v>74</v>
      </c>
      <c r="C715" s="18" t="n">
        <v>640</v>
      </c>
      <c r="D715" s="19" t="n">
        <v>0</v>
      </c>
      <c r="E715" s="19" t="n">
        <v>1472</v>
      </c>
      <c r="F715" s="19" t="n">
        <v>1472</v>
      </c>
      <c r="G715" s="19" t="n">
        <v>0</v>
      </c>
      <c r="H715" s="18" t="s">
        <v>2048</v>
      </c>
    </row>
    <row r="716" customFormat="false" ht="15" hidden="false" customHeight="false" outlineLevel="0" collapsed="false">
      <c r="A716" s="18" t="s">
        <v>1633</v>
      </c>
      <c r="B716" s="18" t="s">
        <v>74</v>
      </c>
      <c r="C716" s="18" t="n">
        <v>641</v>
      </c>
      <c r="D716" s="19" t="n">
        <v>0</v>
      </c>
      <c r="E716" s="19" t="n">
        <v>132.25</v>
      </c>
      <c r="F716" s="19" t="n">
        <v>132.25</v>
      </c>
      <c r="G716" s="19" t="n">
        <v>0</v>
      </c>
      <c r="H716" s="18" t="s">
        <v>2048</v>
      </c>
    </row>
    <row r="717" customFormat="false" ht="15" hidden="false" customHeight="false" outlineLevel="0" collapsed="false">
      <c r="A717" s="18" t="s">
        <v>1635</v>
      </c>
      <c r="B717" s="18" t="s">
        <v>74</v>
      </c>
      <c r="C717" s="18" t="n">
        <v>642</v>
      </c>
      <c r="D717" s="19" t="n">
        <v>0</v>
      </c>
      <c r="E717" s="19" t="n">
        <v>430</v>
      </c>
      <c r="F717" s="19" t="n">
        <v>430</v>
      </c>
      <c r="G717" s="19" t="n">
        <v>0</v>
      </c>
      <c r="H717" s="18" t="s">
        <v>2048</v>
      </c>
    </row>
    <row r="718" customFormat="false" ht="15" hidden="false" customHeight="false" outlineLevel="0" collapsed="false">
      <c r="A718" s="18" t="s">
        <v>1636</v>
      </c>
      <c r="B718" s="18" t="s">
        <v>74</v>
      </c>
      <c r="C718" s="18" t="n">
        <v>643</v>
      </c>
      <c r="D718" s="19" t="n">
        <v>0</v>
      </c>
      <c r="E718" s="19" t="n">
        <v>18043.5</v>
      </c>
      <c r="F718" s="19" t="n">
        <v>18043.5</v>
      </c>
      <c r="G718" s="19" t="n">
        <v>0</v>
      </c>
      <c r="H718" s="18" t="s">
        <v>2048</v>
      </c>
    </row>
    <row r="719" customFormat="false" ht="15" hidden="false" customHeight="false" outlineLevel="0" collapsed="false">
      <c r="A719" s="18" t="s">
        <v>1638</v>
      </c>
      <c r="B719" s="18" t="s">
        <v>74</v>
      </c>
      <c r="C719" s="18" t="n">
        <v>644</v>
      </c>
      <c r="D719" s="19" t="n">
        <v>0</v>
      </c>
      <c r="E719" s="19" t="n">
        <v>586.5</v>
      </c>
      <c r="F719" s="19" t="n">
        <v>586.5</v>
      </c>
      <c r="G719" s="19" t="n">
        <v>0</v>
      </c>
      <c r="H719" s="18" t="s">
        <v>2048</v>
      </c>
    </row>
    <row r="720" customFormat="false" ht="15" hidden="false" customHeight="false" outlineLevel="0" collapsed="false">
      <c r="A720" s="18" t="s">
        <v>1640</v>
      </c>
      <c r="B720" s="18" t="s">
        <v>74</v>
      </c>
      <c r="C720" s="18" t="n">
        <v>645</v>
      </c>
      <c r="D720" s="19" t="n">
        <v>0</v>
      </c>
      <c r="E720" s="19" t="n">
        <v>8878</v>
      </c>
      <c r="F720" s="19" t="n">
        <v>8878</v>
      </c>
      <c r="G720" s="19" t="n">
        <v>0</v>
      </c>
      <c r="H720" s="18" t="s">
        <v>2048</v>
      </c>
    </row>
    <row r="721" customFormat="false" ht="15" hidden="false" customHeight="false" outlineLevel="0" collapsed="false">
      <c r="A721" s="18" t="s">
        <v>1642</v>
      </c>
      <c r="B721" s="18" t="s">
        <v>74</v>
      </c>
      <c r="C721" s="18" t="n">
        <v>646</v>
      </c>
      <c r="D721" s="19" t="n">
        <v>0</v>
      </c>
      <c r="E721" s="19" t="n">
        <v>195.5</v>
      </c>
      <c r="F721" s="19" t="n">
        <v>195.5</v>
      </c>
      <c r="G721" s="19" t="n">
        <v>0</v>
      </c>
      <c r="H721" s="18" t="s">
        <v>2048</v>
      </c>
    </row>
    <row r="722" customFormat="false" ht="15" hidden="false" customHeight="false" outlineLevel="0" collapsed="false">
      <c r="A722" s="18" t="s">
        <v>1644</v>
      </c>
      <c r="B722" s="18" t="s">
        <v>74</v>
      </c>
      <c r="C722" s="18" t="n">
        <v>647</v>
      </c>
      <c r="D722" s="19" t="n">
        <v>0</v>
      </c>
      <c r="E722" s="19" t="n">
        <v>172.5</v>
      </c>
      <c r="F722" s="19" t="n">
        <v>172.5</v>
      </c>
      <c r="G722" s="19" t="n">
        <v>0</v>
      </c>
      <c r="H722" s="18" t="s">
        <v>2048</v>
      </c>
    </row>
    <row r="723" customFormat="false" ht="15" hidden="false" customHeight="false" outlineLevel="0" collapsed="false">
      <c r="A723" s="18" t="s">
        <v>1645</v>
      </c>
      <c r="B723" s="18" t="s">
        <v>74</v>
      </c>
      <c r="C723" s="18" t="n">
        <v>648</v>
      </c>
      <c r="D723" s="19" t="n">
        <v>0</v>
      </c>
      <c r="E723" s="19" t="n">
        <v>3857.1</v>
      </c>
      <c r="F723" s="19" t="n">
        <v>3857.1</v>
      </c>
      <c r="G723" s="19" t="n">
        <v>0</v>
      </c>
      <c r="H723" s="18" t="s">
        <v>2048</v>
      </c>
    </row>
    <row r="724" customFormat="false" ht="15" hidden="false" customHeight="false" outlineLevel="0" collapsed="false">
      <c r="A724" s="18" t="s">
        <v>1647</v>
      </c>
      <c r="B724" s="18" t="s">
        <v>74</v>
      </c>
      <c r="C724" s="18" t="n">
        <v>649</v>
      </c>
      <c r="D724" s="19" t="n">
        <v>0</v>
      </c>
      <c r="E724" s="19" t="n">
        <v>3634</v>
      </c>
      <c r="F724" s="19" t="n">
        <v>3634</v>
      </c>
      <c r="G724" s="19" t="n">
        <v>0</v>
      </c>
      <c r="H724" s="18" t="s">
        <v>2048</v>
      </c>
    </row>
    <row r="725" customFormat="false" ht="15" hidden="false" customHeight="false" outlineLevel="0" collapsed="false">
      <c r="A725" s="18" t="s">
        <v>1649</v>
      </c>
      <c r="B725" s="18" t="s">
        <v>74</v>
      </c>
      <c r="C725" s="18" t="n">
        <v>650</v>
      </c>
      <c r="D725" s="19" t="n">
        <v>0</v>
      </c>
      <c r="E725" s="19" t="n">
        <v>345</v>
      </c>
      <c r="F725" s="19" t="n">
        <v>345</v>
      </c>
      <c r="G725" s="19" t="n">
        <v>0</v>
      </c>
      <c r="H725" s="18" t="s">
        <v>2048</v>
      </c>
    </row>
    <row r="726" customFormat="false" ht="15" hidden="false" customHeight="false" outlineLevel="0" collapsed="false">
      <c r="A726" s="18" t="s">
        <v>1650</v>
      </c>
      <c r="B726" s="18" t="s">
        <v>74</v>
      </c>
      <c r="C726" s="18" t="n">
        <v>651</v>
      </c>
      <c r="D726" s="19" t="n">
        <v>0</v>
      </c>
      <c r="E726" s="19" t="n">
        <v>193.2</v>
      </c>
      <c r="F726" s="19" t="n">
        <v>193.2</v>
      </c>
      <c r="G726" s="19" t="n">
        <v>0</v>
      </c>
      <c r="H726" s="18" t="s">
        <v>2048</v>
      </c>
    </row>
    <row r="727" customFormat="false" ht="15" hidden="false" customHeight="false" outlineLevel="0" collapsed="false">
      <c r="A727" s="18" t="s">
        <v>1652</v>
      </c>
      <c r="B727" s="18" t="s">
        <v>74</v>
      </c>
      <c r="C727" s="18" t="n">
        <v>652</v>
      </c>
      <c r="D727" s="19" t="n">
        <v>0</v>
      </c>
      <c r="E727" s="19" t="n">
        <v>253</v>
      </c>
      <c r="F727" s="19" t="n">
        <v>253</v>
      </c>
      <c r="G727" s="19" t="n">
        <v>0</v>
      </c>
      <c r="H727" s="18" t="s">
        <v>2048</v>
      </c>
    </row>
    <row r="728" customFormat="false" ht="15" hidden="false" customHeight="false" outlineLevel="0" collapsed="false">
      <c r="A728" s="18" t="s">
        <v>1653</v>
      </c>
      <c r="B728" s="18" t="s">
        <v>74</v>
      </c>
      <c r="C728" s="18" t="n">
        <v>653</v>
      </c>
      <c r="D728" s="19" t="n">
        <v>0</v>
      </c>
      <c r="E728" s="19" t="n">
        <v>55240</v>
      </c>
      <c r="F728" s="19" t="n">
        <v>55240</v>
      </c>
      <c r="G728" s="19" t="n">
        <v>0</v>
      </c>
      <c r="H728" s="18" t="s">
        <v>2048</v>
      </c>
    </row>
    <row r="729" customFormat="false" ht="15" hidden="false" customHeight="false" outlineLevel="0" collapsed="false">
      <c r="A729" s="18" t="s">
        <v>1655</v>
      </c>
      <c r="B729" s="18" t="s">
        <v>74</v>
      </c>
      <c r="C729" s="18" t="n">
        <v>654</v>
      </c>
      <c r="D729" s="19" t="n">
        <v>0</v>
      </c>
      <c r="E729" s="19" t="n">
        <v>60</v>
      </c>
      <c r="F729" s="19" t="n">
        <v>60</v>
      </c>
      <c r="G729" s="19" t="n">
        <v>0</v>
      </c>
      <c r="H729" s="18" t="s">
        <v>2048</v>
      </c>
    </row>
    <row r="730" customFormat="false" ht="15" hidden="false" customHeight="false" outlineLevel="0" collapsed="false">
      <c r="A730" s="18" t="s">
        <v>1656</v>
      </c>
      <c r="B730" s="18" t="s">
        <v>74</v>
      </c>
      <c r="C730" s="18" t="n">
        <v>655</v>
      </c>
      <c r="D730" s="19" t="n">
        <v>0</v>
      </c>
      <c r="E730" s="19" t="n">
        <v>276</v>
      </c>
      <c r="F730" s="19" t="n">
        <v>276</v>
      </c>
      <c r="G730" s="19" t="n">
        <v>0</v>
      </c>
      <c r="H730" s="18" t="s">
        <v>2048</v>
      </c>
    </row>
    <row r="731" customFormat="false" ht="15" hidden="false" customHeight="false" outlineLevel="0" collapsed="false">
      <c r="A731" s="18" t="s">
        <v>1657</v>
      </c>
      <c r="B731" s="18" t="s">
        <v>74</v>
      </c>
      <c r="C731" s="18" t="n">
        <v>656</v>
      </c>
      <c r="D731" s="19" t="n">
        <v>0</v>
      </c>
      <c r="E731" s="19" t="n">
        <v>943.5</v>
      </c>
      <c r="F731" s="19" t="n">
        <v>943.5</v>
      </c>
      <c r="G731" s="19" t="n">
        <v>0</v>
      </c>
      <c r="H731" s="18" t="s">
        <v>2048</v>
      </c>
    </row>
    <row r="732" customFormat="false" ht="15" hidden="false" customHeight="false" outlineLevel="0" collapsed="false">
      <c r="A732" s="18" t="s">
        <v>1659</v>
      </c>
      <c r="B732" s="18" t="s">
        <v>74</v>
      </c>
      <c r="C732" s="18" t="n">
        <v>657</v>
      </c>
      <c r="D732" s="19" t="n">
        <v>0</v>
      </c>
      <c r="E732" s="19" t="n">
        <v>150</v>
      </c>
      <c r="F732" s="19" t="n">
        <v>150</v>
      </c>
      <c r="G732" s="19" t="n">
        <v>0</v>
      </c>
      <c r="H732" s="18" t="s">
        <v>2048</v>
      </c>
    </row>
    <row r="733" customFormat="false" ht="15" hidden="false" customHeight="false" outlineLevel="0" collapsed="false">
      <c r="A733" s="18" t="s">
        <v>1660</v>
      </c>
      <c r="B733" s="18" t="s">
        <v>74</v>
      </c>
      <c r="C733" s="18" t="n">
        <v>658</v>
      </c>
      <c r="D733" s="19" t="n">
        <v>0</v>
      </c>
      <c r="E733" s="19" t="n">
        <v>620</v>
      </c>
      <c r="F733" s="19" t="n">
        <v>620</v>
      </c>
      <c r="G733" s="19" t="n">
        <v>0</v>
      </c>
      <c r="H733" s="18" t="s">
        <v>2048</v>
      </c>
    </row>
    <row r="734" customFormat="false" ht="15" hidden="false" customHeight="false" outlineLevel="0" collapsed="false">
      <c r="A734" s="18" t="s">
        <v>1661</v>
      </c>
      <c r="B734" s="18" t="s">
        <v>74</v>
      </c>
      <c r="C734" s="18" t="n">
        <v>659</v>
      </c>
      <c r="D734" s="19" t="n">
        <v>0</v>
      </c>
      <c r="E734" s="19" t="n">
        <v>115</v>
      </c>
      <c r="F734" s="19" t="n">
        <v>115</v>
      </c>
      <c r="G734" s="19" t="n">
        <v>0</v>
      </c>
      <c r="H734" s="18" t="s">
        <v>2048</v>
      </c>
    </row>
    <row r="735" customFormat="false" ht="15" hidden="false" customHeight="false" outlineLevel="0" collapsed="false">
      <c r="A735" s="18" t="s">
        <v>1662</v>
      </c>
      <c r="B735" s="18" t="s">
        <v>74</v>
      </c>
      <c r="C735" s="18" t="n">
        <v>660</v>
      </c>
      <c r="D735" s="19" t="n">
        <v>0</v>
      </c>
      <c r="E735" s="19" t="n">
        <v>23333.5</v>
      </c>
      <c r="F735" s="19" t="n">
        <v>23333.5</v>
      </c>
      <c r="G735" s="19" t="n">
        <v>0</v>
      </c>
      <c r="H735" s="18" t="s">
        <v>2048</v>
      </c>
    </row>
    <row r="736" customFormat="false" ht="15" hidden="false" customHeight="false" outlineLevel="0" collapsed="false">
      <c r="A736" s="18" t="s">
        <v>1664</v>
      </c>
      <c r="B736" s="18" t="s">
        <v>74</v>
      </c>
      <c r="C736" s="18" t="n">
        <v>661</v>
      </c>
      <c r="D736" s="19" t="n">
        <v>0</v>
      </c>
      <c r="E736" s="19" t="n">
        <v>3701.5</v>
      </c>
      <c r="F736" s="19" t="n">
        <v>3701.5</v>
      </c>
      <c r="G736" s="19" t="n">
        <v>0</v>
      </c>
      <c r="H736" s="18" t="s">
        <v>2048</v>
      </c>
    </row>
    <row r="737" customFormat="false" ht="15" hidden="false" customHeight="false" outlineLevel="0" collapsed="false">
      <c r="A737" s="18" t="s">
        <v>1666</v>
      </c>
      <c r="B737" s="18" t="s">
        <v>74</v>
      </c>
      <c r="C737" s="18" t="n">
        <v>662</v>
      </c>
      <c r="D737" s="19" t="n">
        <v>0</v>
      </c>
      <c r="E737" s="19" t="n">
        <v>15226</v>
      </c>
      <c r="F737" s="19" t="n">
        <v>15226</v>
      </c>
      <c r="G737" s="19" t="n">
        <v>0</v>
      </c>
      <c r="H737" s="18" t="s">
        <v>2048</v>
      </c>
    </row>
    <row r="738" customFormat="false" ht="15" hidden="false" customHeight="false" outlineLevel="0" collapsed="false">
      <c r="A738" s="18" t="s">
        <v>1668</v>
      </c>
      <c r="B738" s="18" t="s">
        <v>74</v>
      </c>
      <c r="C738" s="18" t="n">
        <v>663</v>
      </c>
      <c r="D738" s="19" t="n">
        <v>0</v>
      </c>
      <c r="E738" s="19" t="n">
        <v>1030</v>
      </c>
      <c r="F738" s="19" t="n">
        <v>1030</v>
      </c>
      <c r="G738" s="19" t="n">
        <v>0</v>
      </c>
      <c r="H738" s="18" t="s">
        <v>2048</v>
      </c>
    </row>
    <row r="739" customFormat="false" ht="15" hidden="false" customHeight="false" outlineLevel="0" collapsed="false">
      <c r="A739" s="18" t="s">
        <v>1669</v>
      </c>
      <c r="B739" s="18" t="s">
        <v>74</v>
      </c>
      <c r="C739" s="18" t="n">
        <v>664</v>
      </c>
      <c r="D739" s="19" t="n">
        <v>0</v>
      </c>
      <c r="E739" s="19" t="n">
        <v>69.5</v>
      </c>
      <c r="F739" s="19" t="n">
        <v>69.5</v>
      </c>
      <c r="G739" s="19" t="n">
        <v>0</v>
      </c>
      <c r="H739" s="18" t="s">
        <v>2048</v>
      </c>
    </row>
    <row r="740" customFormat="false" ht="15" hidden="false" customHeight="false" outlineLevel="0" collapsed="false">
      <c r="A740" s="18" t="s">
        <v>1671</v>
      </c>
      <c r="B740" s="18" t="s">
        <v>74</v>
      </c>
      <c r="C740" s="18" t="n">
        <v>665</v>
      </c>
      <c r="D740" s="19" t="n">
        <v>0</v>
      </c>
      <c r="E740" s="19" t="n">
        <v>130</v>
      </c>
      <c r="F740" s="19" t="n">
        <v>130</v>
      </c>
      <c r="G740" s="19" t="n">
        <v>0</v>
      </c>
      <c r="H740" s="18" t="s">
        <v>2048</v>
      </c>
    </row>
    <row r="741" customFormat="false" ht="15" hidden="false" customHeight="false" outlineLevel="0" collapsed="false">
      <c r="A741" s="18" t="s">
        <v>1672</v>
      </c>
      <c r="B741" s="18" t="s">
        <v>74</v>
      </c>
      <c r="C741" s="18" t="n">
        <v>666</v>
      </c>
      <c r="D741" s="19" t="n">
        <v>0</v>
      </c>
      <c r="E741" s="19" t="n">
        <v>2640</v>
      </c>
      <c r="F741" s="19" t="n">
        <v>2640</v>
      </c>
      <c r="G741" s="19" t="n">
        <v>0</v>
      </c>
      <c r="H741" s="18" t="s">
        <v>2048</v>
      </c>
    </row>
    <row r="742" customFormat="false" ht="15" hidden="false" customHeight="false" outlineLevel="0" collapsed="false">
      <c r="A742" s="18" t="s">
        <v>1674</v>
      </c>
      <c r="B742" s="18" t="s">
        <v>74</v>
      </c>
      <c r="C742" s="18" t="n">
        <v>667</v>
      </c>
      <c r="D742" s="19" t="n">
        <v>0</v>
      </c>
      <c r="E742" s="19" t="n">
        <v>149.5</v>
      </c>
      <c r="F742" s="19" t="n">
        <v>149.5</v>
      </c>
      <c r="G742" s="19" t="n">
        <v>0</v>
      </c>
      <c r="H742" s="18" t="s">
        <v>2048</v>
      </c>
    </row>
    <row r="743" customFormat="false" ht="15" hidden="false" customHeight="false" outlineLevel="0" collapsed="false">
      <c r="A743" s="18" t="s">
        <v>1676</v>
      </c>
      <c r="B743" s="18" t="s">
        <v>74</v>
      </c>
      <c r="C743" s="18" t="n">
        <v>668</v>
      </c>
      <c r="D743" s="19" t="n">
        <v>0</v>
      </c>
      <c r="E743" s="19" t="n">
        <v>85</v>
      </c>
      <c r="F743" s="19" t="n">
        <v>85</v>
      </c>
      <c r="G743" s="19" t="n">
        <v>0</v>
      </c>
      <c r="H743" s="18" t="s">
        <v>2048</v>
      </c>
    </row>
    <row r="744" customFormat="false" ht="15" hidden="false" customHeight="false" outlineLevel="0" collapsed="false">
      <c r="A744" s="18" t="s">
        <v>1678</v>
      </c>
      <c r="B744" s="18" t="s">
        <v>74</v>
      </c>
      <c r="C744" s="18" t="n">
        <v>671</v>
      </c>
      <c r="D744" s="19" t="n">
        <v>0</v>
      </c>
      <c r="E744" s="19" t="n">
        <v>3018.75</v>
      </c>
      <c r="F744" s="19" t="n">
        <v>3018.75</v>
      </c>
      <c r="G744" s="19" t="n">
        <v>0</v>
      </c>
      <c r="H744" s="18" t="s">
        <v>2048</v>
      </c>
    </row>
    <row r="745" customFormat="false" ht="15" hidden="false" customHeight="false" outlineLevel="0" collapsed="false">
      <c r="A745" s="18" t="s">
        <v>1680</v>
      </c>
      <c r="B745" s="18" t="s">
        <v>74</v>
      </c>
      <c r="C745" s="18" t="n">
        <v>672</v>
      </c>
      <c r="D745" s="19" t="n">
        <v>0</v>
      </c>
      <c r="E745" s="19" t="n">
        <v>150</v>
      </c>
      <c r="F745" s="19" t="n">
        <v>150</v>
      </c>
      <c r="G745" s="19" t="n">
        <v>0</v>
      </c>
      <c r="H745" s="18" t="s">
        <v>2048</v>
      </c>
    </row>
    <row r="746" customFormat="false" ht="15" hidden="false" customHeight="false" outlineLevel="0" collapsed="false">
      <c r="A746" s="18" t="s">
        <v>1681</v>
      </c>
      <c r="B746" s="18" t="s">
        <v>74</v>
      </c>
      <c r="C746" s="18" t="n">
        <v>673</v>
      </c>
      <c r="D746" s="19" t="n">
        <v>0</v>
      </c>
      <c r="E746" s="19" t="n">
        <v>1535</v>
      </c>
      <c r="F746" s="19" t="n">
        <v>1535</v>
      </c>
      <c r="G746" s="19" t="n">
        <v>0</v>
      </c>
      <c r="H746" s="18" t="s">
        <v>2048</v>
      </c>
    </row>
    <row r="747" customFormat="false" ht="15" hidden="false" customHeight="false" outlineLevel="0" collapsed="false">
      <c r="A747" s="18" t="s">
        <v>1683</v>
      </c>
      <c r="B747" s="18" t="s">
        <v>74</v>
      </c>
      <c r="C747" s="18" t="n">
        <v>674</v>
      </c>
      <c r="D747" s="19" t="n">
        <v>0</v>
      </c>
      <c r="E747" s="19" t="n">
        <v>126.5</v>
      </c>
      <c r="F747" s="19" t="n">
        <v>126.5</v>
      </c>
      <c r="G747" s="19" t="n">
        <v>0</v>
      </c>
      <c r="H747" s="18" t="s">
        <v>2048</v>
      </c>
    </row>
    <row r="748" customFormat="false" ht="15" hidden="false" customHeight="false" outlineLevel="0" collapsed="false">
      <c r="A748" s="18" t="s">
        <v>1684</v>
      </c>
      <c r="B748" s="18" t="s">
        <v>74</v>
      </c>
      <c r="C748" s="18" t="n">
        <v>675</v>
      </c>
      <c r="D748" s="19" t="n">
        <v>0</v>
      </c>
      <c r="E748" s="19" t="n">
        <v>2914.1</v>
      </c>
      <c r="F748" s="19" t="n">
        <v>2914.1</v>
      </c>
      <c r="G748" s="19" t="n">
        <v>0</v>
      </c>
      <c r="H748" s="18" t="s">
        <v>2048</v>
      </c>
    </row>
    <row r="749" customFormat="false" ht="15" hidden="false" customHeight="false" outlineLevel="0" collapsed="false">
      <c r="A749" s="18" t="s">
        <v>1686</v>
      </c>
      <c r="B749" s="18" t="s">
        <v>74</v>
      </c>
      <c r="C749" s="18" t="n">
        <v>676</v>
      </c>
      <c r="D749" s="19" t="n">
        <v>0</v>
      </c>
      <c r="E749" s="19" t="n">
        <v>253</v>
      </c>
      <c r="F749" s="19" t="n">
        <v>253</v>
      </c>
      <c r="G749" s="19" t="n">
        <v>0</v>
      </c>
      <c r="H749" s="18" t="s">
        <v>2048</v>
      </c>
    </row>
    <row r="750" customFormat="false" ht="15" hidden="false" customHeight="false" outlineLevel="0" collapsed="false">
      <c r="A750" s="18" t="s">
        <v>1687</v>
      </c>
      <c r="B750" s="18" t="s">
        <v>74</v>
      </c>
      <c r="C750" s="18" t="n">
        <v>677</v>
      </c>
      <c r="D750" s="19" t="n">
        <v>0</v>
      </c>
      <c r="E750" s="19" t="n">
        <v>2999.2</v>
      </c>
      <c r="F750" s="19" t="n">
        <v>2999.2</v>
      </c>
      <c r="G750" s="19" t="n">
        <v>0</v>
      </c>
      <c r="H750" s="18" t="s">
        <v>2048</v>
      </c>
    </row>
    <row r="751" customFormat="false" ht="15" hidden="false" customHeight="false" outlineLevel="0" collapsed="false">
      <c r="A751" s="18" t="s">
        <v>1689</v>
      </c>
      <c r="B751" s="18" t="s">
        <v>74</v>
      </c>
      <c r="C751" s="18" t="n">
        <v>678</v>
      </c>
      <c r="D751" s="19" t="n">
        <v>0</v>
      </c>
      <c r="E751" s="19" t="n">
        <v>149.5</v>
      </c>
      <c r="F751" s="19" t="n">
        <v>149.5</v>
      </c>
      <c r="G751" s="19" t="n">
        <v>0</v>
      </c>
      <c r="H751" s="18" t="s">
        <v>2048</v>
      </c>
    </row>
    <row r="752" customFormat="false" ht="15" hidden="false" customHeight="false" outlineLevel="0" collapsed="false">
      <c r="A752" s="18" t="s">
        <v>1690</v>
      </c>
      <c r="B752" s="18" t="s">
        <v>74</v>
      </c>
      <c r="C752" s="18" t="n">
        <v>679</v>
      </c>
      <c r="D752" s="19" t="n">
        <v>0</v>
      </c>
      <c r="E752" s="19" t="n">
        <v>345</v>
      </c>
      <c r="F752" s="19" t="n">
        <v>345</v>
      </c>
      <c r="G752" s="19" t="n">
        <v>0</v>
      </c>
      <c r="H752" s="18" t="s">
        <v>2048</v>
      </c>
    </row>
    <row r="753" customFormat="false" ht="15" hidden="false" customHeight="false" outlineLevel="0" collapsed="false">
      <c r="A753" s="18" t="s">
        <v>1691</v>
      </c>
      <c r="B753" s="18" t="s">
        <v>74</v>
      </c>
      <c r="C753" s="18" t="n">
        <v>680</v>
      </c>
      <c r="D753" s="19" t="n">
        <v>0</v>
      </c>
      <c r="E753" s="19" t="n">
        <v>4830</v>
      </c>
      <c r="F753" s="19" t="n">
        <v>4830</v>
      </c>
      <c r="G753" s="19" t="n">
        <v>0</v>
      </c>
      <c r="H753" s="18" t="s">
        <v>2048</v>
      </c>
    </row>
    <row r="754" customFormat="false" ht="15" hidden="false" customHeight="false" outlineLevel="0" collapsed="false">
      <c r="A754" s="18" t="s">
        <v>1692</v>
      </c>
      <c r="B754" s="18" t="s">
        <v>74</v>
      </c>
      <c r="C754" s="18" t="n">
        <v>681</v>
      </c>
      <c r="D754" s="19" t="n">
        <v>0</v>
      </c>
      <c r="E754" s="19" t="n">
        <v>3146.4</v>
      </c>
      <c r="F754" s="19" t="n">
        <v>3146.4</v>
      </c>
      <c r="G754" s="19" t="n">
        <v>0</v>
      </c>
      <c r="H754" s="18" t="s">
        <v>2048</v>
      </c>
    </row>
    <row r="755" customFormat="false" ht="15" hidden="false" customHeight="false" outlineLevel="0" collapsed="false">
      <c r="A755" s="18" t="s">
        <v>1694</v>
      </c>
      <c r="B755" s="18" t="s">
        <v>74</v>
      </c>
      <c r="C755" s="18" t="n">
        <v>682</v>
      </c>
      <c r="D755" s="19" t="n">
        <v>0</v>
      </c>
      <c r="E755" s="19" t="n">
        <v>1700</v>
      </c>
      <c r="F755" s="19" t="n">
        <v>1700</v>
      </c>
      <c r="G755" s="19" t="n">
        <v>0</v>
      </c>
      <c r="H755" s="18" t="s">
        <v>2048</v>
      </c>
    </row>
    <row r="756" customFormat="false" ht="15" hidden="false" customHeight="false" outlineLevel="0" collapsed="false">
      <c r="A756" s="18" t="s">
        <v>1696</v>
      </c>
      <c r="B756" s="18" t="s">
        <v>74</v>
      </c>
      <c r="C756" s="18" t="n">
        <v>683</v>
      </c>
      <c r="D756" s="19" t="n">
        <v>0</v>
      </c>
      <c r="E756" s="19" t="n">
        <v>34.45</v>
      </c>
      <c r="F756" s="19" t="n">
        <v>34.45</v>
      </c>
      <c r="G756" s="19" t="n">
        <v>0</v>
      </c>
      <c r="H756" s="18" t="s">
        <v>2048</v>
      </c>
    </row>
    <row r="757" customFormat="false" ht="15" hidden="false" customHeight="false" outlineLevel="0" collapsed="false">
      <c r="A757" s="18" t="s">
        <v>1698</v>
      </c>
      <c r="B757" s="18" t="s">
        <v>74</v>
      </c>
      <c r="C757" s="18" t="n">
        <v>684</v>
      </c>
      <c r="D757" s="19" t="n">
        <v>0</v>
      </c>
      <c r="E757" s="19" t="n">
        <v>270</v>
      </c>
      <c r="F757" s="19" t="n">
        <v>270</v>
      </c>
      <c r="G757" s="19" t="n">
        <v>0</v>
      </c>
      <c r="H757" s="18" t="s">
        <v>2048</v>
      </c>
    </row>
    <row r="758" customFormat="false" ht="15" hidden="false" customHeight="false" outlineLevel="0" collapsed="false">
      <c r="A758" s="18" t="s">
        <v>1700</v>
      </c>
      <c r="B758" s="18" t="s">
        <v>74</v>
      </c>
      <c r="C758" s="18" t="n">
        <v>685</v>
      </c>
      <c r="D758" s="19" t="n">
        <v>0</v>
      </c>
      <c r="E758" s="19" t="n">
        <v>3712.6</v>
      </c>
      <c r="F758" s="19" t="n">
        <v>3712.6</v>
      </c>
      <c r="G758" s="19" t="n">
        <v>0</v>
      </c>
      <c r="H758" s="18" t="s">
        <v>2048</v>
      </c>
    </row>
    <row r="759" customFormat="false" ht="15" hidden="false" customHeight="false" outlineLevel="0" collapsed="false">
      <c r="A759" s="18" t="s">
        <v>1702</v>
      </c>
      <c r="B759" s="18" t="s">
        <v>74</v>
      </c>
      <c r="C759" s="18" t="n">
        <v>687</v>
      </c>
      <c r="D759" s="19" t="n">
        <v>0</v>
      </c>
      <c r="E759" s="19" t="n">
        <v>7063.88</v>
      </c>
      <c r="F759" s="19" t="n">
        <v>7063.88</v>
      </c>
      <c r="G759" s="19" t="n">
        <v>0</v>
      </c>
      <c r="H759" s="18" t="s">
        <v>2048</v>
      </c>
    </row>
    <row r="760" customFormat="false" ht="15" hidden="false" customHeight="false" outlineLevel="0" collapsed="false">
      <c r="A760" s="18" t="s">
        <v>1704</v>
      </c>
      <c r="B760" s="18" t="s">
        <v>74</v>
      </c>
      <c r="C760" s="18" t="n">
        <v>688</v>
      </c>
      <c r="D760" s="19" t="n">
        <v>0</v>
      </c>
      <c r="E760" s="19" t="n">
        <v>1006.25</v>
      </c>
      <c r="F760" s="19" t="n">
        <v>1006.25</v>
      </c>
      <c r="G760" s="19" t="n">
        <v>0</v>
      </c>
      <c r="H760" s="18" t="s">
        <v>2048</v>
      </c>
    </row>
    <row r="761" customFormat="false" ht="15" hidden="false" customHeight="false" outlineLevel="0" collapsed="false">
      <c r="A761" s="18" t="s">
        <v>1706</v>
      </c>
      <c r="B761" s="18" t="s">
        <v>74</v>
      </c>
      <c r="C761" s="18" t="n">
        <v>689</v>
      </c>
      <c r="D761" s="19" t="n">
        <v>0</v>
      </c>
      <c r="E761" s="19" t="n">
        <v>424.65</v>
      </c>
      <c r="F761" s="19" t="n">
        <v>424.65</v>
      </c>
      <c r="G761" s="19" t="n">
        <v>0</v>
      </c>
      <c r="H761" s="18" t="s">
        <v>2048</v>
      </c>
    </row>
    <row r="762" customFormat="false" ht="15" hidden="false" customHeight="false" outlineLevel="0" collapsed="false">
      <c r="A762" s="18" t="s">
        <v>1708</v>
      </c>
      <c r="B762" s="18" t="s">
        <v>74</v>
      </c>
      <c r="C762" s="18" t="n">
        <v>690</v>
      </c>
      <c r="D762" s="19" t="n">
        <v>0</v>
      </c>
      <c r="E762" s="19" t="n">
        <v>805</v>
      </c>
      <c r="F762" s="19" t="n">
        <v>805</v>
      </c>
      <c r="G762" s="19" t="n">
        <v>0</v>
      </c>
      <c r="H762" s="18" t="s">
        <v>2048</v>
      </c>
    </row>
    <row r="763" customFormat="false" ht="15" hidden="false" customHeight="false" outlineLevel="0" collapsed="false">
      <c r="A763" s="18" t="s">
        <v>1709</v>
      </c>
      <c r="B763" s="18" t="s">
        <v>74</v>
      </c>
      <c r="C763" s="18" t="n">
        <v>691</v>
      </c>
      <c r="D763" s="19" t="n">
        <v>0</v>
      </c>
      <c r="E763" s="19" t="n">
        <v>34.5</v>
      </c>
      <c r="F763" s="19" t="n">
        <v>34.5</v>
      </c>
      <c r="G763" s="19" t="n">
        <v>0</v>
      </c>
      <c r="H763" s="18" t="s">
        <v>2048</v>
      </c>
    </row>
    <row r="764" customFormat="false" ht="15" hidden="false" customHeight="false" outlineLevel="0" collapsed="false">
      <c r="A764" s="18" t="s">
        <v>1710</v>
      </c>
      <c r="B764" s="18" t="s">
        <v>74</v>
      </c>
      <c r="C764" s="18" t="n">
        <v>692</v>
      </c>
      <c r="D764" s="19" t="n">
        <v>0</v>
      </c>
      <c r="E764" s="19" t="n">
        <v>414</v>
      </c>
      <c r="F764" s="19" t="n">
        <v>414</v>
      </c>
      <c r="G764" s="19" t="n">
        <v>0</v>
      </c>
      <c r="H764" s="18" t="s">
        <v>2048</v>
      </c>
    </row>
    <row r="765" customFormat="false" ht="15" hidden="false" customHeight="false" outlineLevel="0" collapsed="false">
      <c r="A765" s="18" t="s">
        <v>1711</v>
      </c>
      <c r="B765" s="18" t="s">
        <v>74</v>
      </c>
      <c r="C765" s="18" t="n">
        <v>694</v>
      </c>
      <c r="D765" s="19" t="n">
        <v>0</v>
      </c>
      <c r="E765" s="19" t="n">
        <v>4094</v>
      </c>
      <c r="F765" s="19" t="n">
        <v>4094</v>
      </c>
      <c r="G765" s="19" t="n">
        <v>0</v>
      </c>
      <c r="H765" s="18" t="s">
        <v>2048</v>
      </c>
    </row>
    <row r="766" customFormat="false" ht="15" hidden="false" customHeight="false" outlineLevel="0" collapsed="false">
      <c r="A766" s="18" t="s">
        <v>1713</v>
      </c>
      <c r="B766" s="18" t="s">
        <v>74</v>
      </c>
      <c r="C766" s="18" t="n">
        <v>695</v>
      </c>
      <c r="D766" s="19" t="n">
        <v>0</v>
      </c>
      <c r="E766" s="19" t="n">
        <v>16445</v>
      </c>
      <c r="F766" s="19" t="n">
        <v>16445</v>
      </c>
      <c r="G766" s="19" t="n">
        <v>0</v>
      </c>
      <c r="H766" s="18" t="s">
        <v>2048</v>
      </c>
    </row>
    <row r="767" customFormat="false" ht="15" hidden="false" customHeight="false" outlineLevel="0" collapsed="false">
      <c r="A767" s="18" t="s">
        <v>1715</v>
      </c>
      <c r="B767" s="18" t="s">
        <v>74</v>
      </c>
      <c r="C767" s="18" t="n">
        <v>696</v>
      </c>
      <c r="D767" s="19" t="n">
        <v>0</v>
      </c>
      <c r="E767" s="19" t="n">
        <v>265</v>
      </c>
      <c r="F767" s="19" t="n">
        <v>265</v>
      </c>
      <c r="G767" s="19" t="n">
        <v>0</v>
      </c>
      <c r="H767" s="18" t="s">
        <v>2048</v>
      </c>
    </row>
    <row r="768" customFormat="false" ht="15" hidden="false" customHeight="false" outlineLevel="0" collapsed="false">
      <c r="A768" s="18" t="s">
        <v>1717</v>
      </c>
      <c r="B768" s="18" t="s">
        <v>74</v>
      </c>
      <c r="C768" s="18" t="n">
        <v>697</v>
      </c>
      <c r="D768" s="19" t="n">
        <v>0</v>
      </c>
      <c r="E768" s="19" t="n">
        <v>3593.75</v>
      </c>
      <c r="F768" s="19" t="n">
        <v>3593.75</v>
      </c>
      <c r="G768" s="19" t="n">
        <v>0</v>
      </c>
      <c r="H768" s="18" t="s">
        <v>2048</v>
      </c>
    </row>
    <row r="769" customFormat="false" ht="15" hidden="false" customHeight="false" outlineLevel="0" collapsed="false">
      <c r="A769" s="18" t="s">
        <v>1719</v>
      </c>
      <c r="B769" s="18" t="s">
        <v>74</v>
      </c>
      <c r="C769" s="18" t="n">
        <v>698</v>
      </c>
      <c r="D769" s="19" t="n">
        <v>0</v>
      </c>
      <c r="E769" s="19" t="n">
        <v>1702</v>
      </c>
      <c r="F769" s="19" t="n">
        <v>1702</v>
      </c>
      <c r="G769" s="19" t="n">
        <v>0</v>
      </c>
      <c r="H769" s="18" t="s">
        <v>2048</v>
      </c>
    </row>
    <row r="770" customFormat="false" ht="15" hidden="false" customHeight="false" outlineLevel="0" collapsed="false">
      <c r="A770" s="18" t="s">
        <v>1721</v>
      </c>
      <c r="B770" s="18" t="s">
        <v>74</v>
      </c>
      <c r="C770" s="18" t="n">
        <v>699</v>
      </c>
      <c r="D770" s="19" t="n">
        <v>0</v>
      </c>
      <c r="E770" s="19" t="n">
        <v>287.5</v>
      </c>
      <c r="F770" s="19" t="n">
        <v>287.5</v>
      </c>
      <c r="G770" s="19" t="n">
        <v>0</v>
      </c>
      <c r="H770" s="18" t="s">
        <v>2048</v>
      </c>
    </row>
    <row r="771" customFormat="false" ht="15" hidden="false" customHeight="false" outlineLevel="0" collapsed="false">
      <c r="A771" s="18" t="s">
        <v>1723</v>
      </c>
      <c r="B771" s="18" t="s">
        <v>74</v>
      </c>
      <c r="C771" s="18" t="n">
        <v>700</v>
      </c>
      <c r="D771" s="19" t="n">
        <v>0</v>
      </c>
      <c r="E771" s="19" t="n">
        <v>345</v>
      </c>
      <c r="F771" s="19" t="n">
        <v>345</v>
      </c>
      <c r="G771" s="19" t="n">
        <v>0</v>
      </c>
      <c r="H771" s="18" t="s">
        <v>2048</v>
      </c>
    </row>
    <row r="772" customFormat="false" ht="15" hidden="false" customHeight="false" outlineLevel="0" collapsed="false">
      <c r="A772" s="18" t="s">
        <v>1724</v>
      </c>
      <c r="B772" s="18" t="s">
        <v>74</v>
      </c>
      <c r="C772" s="18" t="n">
        <v>701</v>
      </c>
      <c r="D772" s="19" t="n">
        <v>0</v>
      </c>
      <c r="E772" s="19" t="n">
        <v>400</v>
      </c>
      <c r="F772" s="19" t="n">
        <v>400</v>
      </c>
      <c r="G772" s="19" t="n">
        <v>0</v>
      </c>
      <c r="H772" s="18" t="s">
        <v>2048</v>
      </c>
    </row>
    <row r="773" customFormat="false" ht="15" hidden="false" customHeight="false" outlineLevel="0" collapsed="false">
      <c r="A773" s="18" t="s">
        <v>1725</v>
      </c>
      <c r="B773" s="18" t="s">
        <v>74</v>
      </c>
      <c r="C773" s="18" t="n">
        <v>702</v>
      </c>
      <c r="D773" s="19" t="n">
        <v>0</v>
      </c>
      <c r="E773" s="19" t="n">
        <v>1023.5</v>
      </c>
      <c r="F773" s="19" t="n">
        <v>1023.5</v>
      </c>
      <c r="G773" s="19" t="n">
        <v>0</v>
      </c>
      <c r="H773" s="18" t="s">
        <v>2048</v>
      </c>
    </row>
    <row r="774" customFormat="false" ht="15" hidden="false" customHeight="false" outlineLevel="0" collapsed="false">
      <c r="A774" s="18" t="s">
        <v>1727</v>
      </c>
      <c r="B774" s="18" t="s">
        <v>74</v>
      </c>
      <c r="C774" s="18" t="n">
        <v>703</v>
      </c>
      <c r="D774" s="19" t="n">
        <v>0</v>
      </c>
      <c r="E774" s="19" t="n">
        <v>1105.15</v>
      </c>
      <c r="F774" s="19" t="n">
        <v>1105.15</v>
      </c>
      <c r="G774" s="19" t="n">
        <v>0</v>
      </c>
      <c r="H774" s="18" t="s">
        <v>2048</v>
      </c>
    </row>
    <row r="775" customFormat="false" ht="15" hidden="false" customHeight="false" outlineLevel="0" collapsed="false">
      <c r="A775" s="18" t="s">
        <v>1729</v>
      </c>
      <c r="B775" s="18" t="s">
        <v>74</v>
      </c>
      <c r="C775" s="18" t="n">
        <v>704</v>
      </c>
      <c r="D775" s="19" t="n">
        <v>0</v>
      </c>
      <c r="E775" s="19" t="n">
        <v>4071</v>
      </c>
      <c r="F775" s="19" t="n">
        <v>4071</v>
      </c>
      <c r="G775" s="19" t="n">
        <v>0</v>
      </c>
      <c r="H775" s="18" t="s">
        <v>2048</v>
      </c>
    </row>
    <row r="776" customFormat="false" ht="15" hidden="false" customHeight="false" outlineLevel="0" collapsed="false">
      <c r="A776" s="18" t="s">
        <v>1731</v>
      </c>
      <c r="B776" s="18" t="s">
        <v>74</v>
      </c>
      <c r="C776" s="18" t="n">
        <v>705</v>
      </c>
      <c r="D776" s="19" t="n">
        <v>0</v>
      </c>
      <c r="E776" s="19" t="n">
        <v>989</v>
      </c>
      <c r="F776" s="19" t="n">
        <v>989</v>
      </c>
      <c r="G776" s="19" t="n">
        <v>0</v>
      </c>
      <c r="H776" s="18" t="s">
        <v>2048</v>
      </c>
    </row>
    <row r="777" customFormat="false" ht="15" hidden="false" customHeight="false" outlineLevel="0" collapsed="false">
      <c r="A777" s="18" t="s">
        <v>1733</v>
      </c>
      <c r="B777" s="18" t="s">
        <v>74</v>
      </c>
      <c r="C777" s="18" t="n">
        <v>706</v>
      </c>
      <c r="D777" s="19" t="n">
        <v>0</v>
      </c>
      <c r="E777" s="19" t="n">
        <v>1086.75</v>
      </c>
      <c r="F777" s="19" t="n">
        <v>1086.75</v>
      </c>
      <c r="G777" s="19" t="n">
        <v>0</v>
      </c>
      <c r="H777" s="18" t="s">
        <v>2048</v>
      </c>
    </row>
    <row r="778" customFormat="false" ht="15" hidden="false" customHeight="false" outlineLevel="0" collapsed="false">
      <c r="A778" s="18" t="s">
        <v>1735</v>
      </c>
      <c r="B778" s="18" t="s">
        <v>74</v>
      </c>
      <c r="C778" s="18" t="n">
        <v>707</v>
      </c>
      <c r="D778" s="19" t="n">
        <v>0</v>
      </c>
      <c r="E778" s="19" t="n">
        <v>330</v>
      </c>
      <c r="F778" s="19" t="n">
        <v>330</v>
      </c>
      <c r="G778" s="19" t="n">
        <v>0</v>
      </c>
      <c r="H778" s="18" t="s">
        <v>2048</v>
      </c>
    </row>
    <row r="779" customFormat="false" ht="15" hidden="false" customHeight="false" outlineLevel="0" collapsed="false">
      <c r="A779" s="18" t="s">
        <v>1737</v>
      </c>
      <c r="B779" s="18" t="s">
        <v>74</v>
      </c>
      <c r="C779" s="18" t="n">
        <v>708</v>
      </c>
      <c r="D779" s="19" t="n">
        <v>0</v>
      </c>
      <c r="E779" s="19" t="n">
        <v>100</v>
      </c>
      <c r="F779" s="19" t="n">
        <v>100</v>
      </c>
      <c r="G779" s="19" t="n">
        <v>0</v>
      </c>
      <c r="H779" s="18" t="s">
        <v>2048</v>
      </c>
    </row>
    <row r="780" customFormat="false" ht="15" hidden="false" customHeight="false" outlineLevel="0" collapsed="false">
      <c r="A780" s="18" t="s">
        <v>1738</v>
      </c>
      <c r="B780" s="18" t="s">
        <v>74</v>
      </c>
      <c r="C780" s="18" t="n">
        <v>709</v>
      </c>
      <c r="D780" s="19" t="n">
        <v>0</v>
      </c>
      <c r="E780" s="19" t="n">
        <v>490.25</v>
      </c>
      <c r="F780" s="19" t="n">
        <v>490.25</v>
      </c>
      <c r="G780" s="19" t="n">
        <v>0</v>
      </c>
      <c r="H780" s="18" t="s">
        <v>2048</v>
      </c>
    </row>
    <row r="781" customFormat="false" ht="15" hidden="false" customHeight="false" outlineLevel="0" collapsed="false">
      <c r="A781" s="18" t="s">
        <v>1740</v>
      </c>
      <c r="B781" s="18" t="s">
        <v>74</v>
      </c>
      <c r="C781" s="18" t="n">
        <v>710</v>
      </c>
      <c r="D781" s="19" t="n">
        <v>0</v>
      </c>
      <c r="E781" s="19" t="n">
        <v>1811.25</v>
      </c>
      <c r="F781" s="19" t="n">
        <v>1811.25</v>
      </c>
      <c r="G781" s="19" t="n">
        <v>0</v>
      </c>
      <c r="H781" s="18" t="s">
        <v>2048</v>
      </c>
    </row>
    <row r="782" customFormat="false" ht="15" hidden="false" customHeight="false" outlineLevel="0" collapsed="false">
      <c r="A782" s="18" t="s">
        <v>1742</v>
      </c>
      <c r="B782" s="18" t="s">
        <v>74</v>
      </c>
      <c r="C782" s="18" t="n">
        <v>711</v>
      </c>
      <c r="D782" s="19" t="n">
        <v>0</v>
      </c>
      <c r="E782" s="19" t="n">
        <v>644</v>
      </c>
      <c r="F782" s="19" t="n">
        <v>644</v>
      </c>
      <c r="G782" s="19" t="n">
        <v>0</v>
      </c>
      <c r="H782" s="18" t="s">
        <v>2048</v>
      </c>
    </row>
    <row r="783" customFormat="false" ht="15" hidden="false" customHeight="false" outlineLevel="0" collapsed="false">
      <c r="A783" s="18" t="s">
        <v>1744</v>
      </c>
      <c r="B783" s="18" t="s">
        <v>74</v>
      </c>
      <c r="C783" s="18" t="n">
        <v>712</v>
      </c>
      <c r="D783" s="19" t="n">
        <v>0</v>
      </c>
      <c r="E783" s="19" t="n">
        <v>3933</v>
      </c>
      <c r="F783" s="19" t="n">
        <v>3933</v>
      </c>
      <c r="G783" s="19" t="n">
        <v>0</v>
      </c>
      <c r="H783" s="18" t="s">
        <v>2048</v>
      </c>
    </row>
    <row r="784" customFormat="false" ht="15" hidden="false" customHeight="false" outlineLevel="0" collapsed="false">
      <c r="A784" s="18" t="s">
        <v>1746</v>
      </c>
      <c r="B784" s="18" t="s">
        <v>74</v>
      </c>
      <c r="C784" s="18" t="n">
        <v>713</v>
      </c>
      <c r="D784" s="19" t="n">
        <v>0</v>
      </c>
      <c r="E784" s="19" t="n">
        <v>200</v>
      </c>
      <c r="F784" s="19" t="n">
        <v>200</v>
      </c>
      <c r="G784" s="19" t="n">
        <v>0</v>
      </c>
      <c r="H784" s="18" t="s">
        <v>2048</v>
      </c>
    </row>
    <row r="785" customFormat="false" ht="15" hidden="false" customHeight="false" outlineLevel="0" collapsed="false">
      <c r="A785" s="18" t="s">
        <v>1747</v>
      </c>
      <c r="B785" s="18" t="s">
        <v>74</v>
      </c>
      <c r="C785" s="18" t="n">
        <v>714</v>
      </c>
      <c r="D785" s="19" t="n">
        <v>0</v>
      </c>
      <c r="E785" s="19" t="n">
        <v>1942.75</v>
      </c>
      <c r="F785" s="19" t="n">
        <v>1942.75</v>
      </c>
      <c r="G785" s="19" t="n">
        <v>0</v>
      </c>
      <c r="H785" s="18" t="s">
        <v>2048</v>
      </c>
    </row>
    <row r="786" customFormat="false" ht="15" hidden="false" customHeight="false" outlineLevel="0" collapsed="false">
      <c r="A786" s="18" t="s">
        <v>1749</v>
      </c>
      <c r="B786" s="18" t="s">
        <v>74</v>
      </c>
      <c r="C786" s="18" t="n">
        <v>715</v>
      </c>
      <c r="D786" s="19" t="n">
        <v>0</v>
      </c>
      <c r="E786" s="19" t="n">
        <v>46</v>
      </c>
      <c r="F786" s="19" t="n">
        <v>46</v>
      </c>
      <c r="G786" s="19" t="n">
        <v>0</v>
      </c>
      <c r="H786" s="18" t="s">
        <v>2048</v>
      </c>
    </row>
    <row r="787" customFormat="false" ht="15" hidden="false" customHeight="false" outlineLevel="0" collapsed="false">
      <c r="A787" s="18" t="s">
        <v>1750</v>
      </c>
      <c r="B787" s="18" t="s">
        <v>74</v>
      </c>
      <c r="C787" s="18" t="n">
        <v>716</v>
      </c>
      <c r="D787" s="19" t="n">
        <v>0</v>
      </c>
      <c r="E787" s="19" t="n">
        <v>138</v>
      </c>
      <c r="F787" s="19" t="n">
        <v>138</v>
      </c>
      <c r="G787" s="19" t="n">
        <v>0</v>
      </c>
      <c r="H787" s="18" t="s">
        <v>2048</v>
      </c>
    </row>
    <row r="788" customFormat="false" ht="15" hidden="false" customHeight="false" outlineLevel="0" collapsed="false">
      <c r="A788" s="18" t="s">
        <v>1751</v>
      </c>
      <c r="B788" s="18" t="s">
        <v>74</v>
      </c>
      <c r="C788" s="18" t="n">
        <v>717</v>
      </c>
      <c r="D788" s="19" t="n">
        <v>0</v>
      </c>
      <c r="E788" s="19" t="n">
        <v>920</v>
      </c>
      <c r="F788" s="19" t="n">
        <v>920</v>
      </c>
      <c r="G788" s="19" t="n">
        <v>0</v>
      </c>
      <c r="H788" s="18" t="s">
        <v>2048</v>
      </c>
    </row>
    <row r="789" customFormat="false" ht="15" hidden="false" customHeight="false" outlineLevel="0" collapsed="false">
      <c r="A789" s="18" t="s">
        <v>1752</v>
      </c>
      <c r="B789" s="18" t="s">
        <v>74</v>
      </c>
      <c r="C789" s="18" t="n">
        <v>718</v>
      </c>
      <c r="D789" s="19" t="n">
        <v>0</v>
      </c>
      <c r="E789" s="19" t="n">
        <v>7700</v>
      </c>
      <c r="F789" s="19" t="n">
        <v>7700</v>
      </c>
      <c r="G789" s="19" t="n">
        <v>0</v>
      </c>
      <c r="H789" s="18" t="s">
        <v>2048</v>
      </c>
    </row>
    <row r="790" customFormat="false" ht="15" hidden="false" customHeight="false" outlineLevel="0" collapsed="false">
      <c r="A790" s="18" t="s">
        <v>1754</v>
      </c>
      <c r="B790" s="18" t="s">
        <v>74</v>
      </c>
      <c r="C790" s="18" t="n">
        <v>719</v>
      </c>
      <c r="D790" s="19" t="n">
        <v>0</v>
      </c>
      <c r="E790" s="19" t="n">
        <v>50</v>
      </c>
      <c r="F790" s="19" t="n">
        <v>50</v>
      </c>
      <c r="G790" s="19" t="n">
        <v>0</v>
      </c>
      <c r="H790" s="18" t="s">
        <v>2048</v>
      </c>
    </row>
    <row r="791" customFormat="false" ht="15" hidden="false" customHeight="false" outlineLevel="0" collapsed="false">
      <c r="A791" s="18" t="s">
        <v>1755</v>
      </c>
      <c r="B791" s="18" t="s">
        <v>74</v>
      </c>
      <c r="C791" s="18" t="n">
        <v>720</v>
      </c>
      <c r="D791" s="19" t="n">
        <v>0</v>
      </c>
      <c r="E791" s="19" t="n">
        <v>345</v>
      </c>
      <c r="F791" s="19" t="n">
        <v>345</v>
      </c>
      <c r="G791" s="19" t="n">
        <v>0</v>
      </c>
      <c r="H791" s="18" t="s">
        <v>2048</v>
      </c>
    </row>
    <row r="792" customFormat="false" ht="15" hidden="false" customHeight="false" outlineLevel="0" collapsed="false">
      <c r="A792" s="18" t="s">
        <v>1756</v>
      </c>
      <c r="B792" s="18" t="s">
        <v>74</v>
      </c>
      <c r="C792" s="18" t="n">
        <v>721</v>
      </c>
      <c r="D792" s="19" t="n">
        <v>0</v>
      </c>
      <c r="E792" s="19" t="n">
        <v>460</v>
      </c>
      <c r="F792" s="19" t="n">
        <v>460</v>
      </c>
      <c r="G792" s="19" t="n">
        <v>0</v>
      </c>
      <c r="H792" s="18" t="s">
        <v>2048</v>
      </c>
    </row>
    <row r="793" customFormat="false" ht="15" hidden="false" customHeight="false" outlineLevel="0" collapsed="false">
      <c r="A793" s="18" t="s">
        <v>1757</v>
      </c>
      <c r="B793" s="18" t="s">
        <v>74</v>
      </c>
      <c r="C793" s="18" t="n">
        <v>722</v>
      </c>
      <c r="D793" s="19" t="n">
        <v>0</v>
      </c>
      <c r="E793" s="19" t="n">
        <v>822.5</v>
      </c>
      <c r="F793" s="19" t="n">
        <v>822.5</v>
      </c>
      <c r="G793" s="19" t="n">
        <v>0</v>
      </c>
      <c r="H793" s="18" t="s">
        <v>2048</v>
      </c>
    </row>
    <row r="794" customFormat="false" ht="15" hidden="false" customHeight="false" outlineLevel="0" collapsed="false">
      <c r="A794" s="18" t="s">
        <v>1759</v>
      </c>
      <c r="B794" s="18" t="s">
        <v>74</v>
      </c>
      <c r="C794" s="18" t="n">
        <v>723</v>
      </c>
      <c r="D794" s="19" t="n">
        <v>0</v>
      </c>
      <c r="E794" s="19" t="n">
        <v>5351.5</v>
      </c>
      <c r="F794" s="19" t="n">
        <v>5351.5</v>
      </c>
      <c r="G794" s="19" t="n">
        <v>0</v>
      </c>
      <c r="H794" s="18" t="s">
        <v>2048</v>
      </c>
    </row>
    <row r="795" customFormat="false" ht="15" hidden="false" customHeight="false" outlineLevel="0" collapsed="false">
      <c r="A795" s="18" t="s">
        <v>1761</v>
      </c>
      <c r="B795" s="18" t="s">
        <v>74</v>
      </c>
      <c r="C795" s="18" t="n">
        <v>724</v>
      </c>
      <c r="D795" s="19" t="n">
        <v>0</v>
      </c>
      <c r="E795" s="19" t="n">
        <v>3938.75</v>
      </c>
      <c r="F795" s="19" t="n">
        <v>3938.75</v>
      </c>
      <c r="G795" s="19" t="n">
        <v>0</v>
      </c>
      <c r="H795" s="18" t="s">
        <v>2048</v>
      </c>
    </row>
    <row r="796" customFormat="false" ht="15" hidden="false" customHeight="false" outlineLevel="0" collapsed="false">
      <c r="A796" s="18" t="s">
        <v>1763</v>
      </c>
      <c r="B796" s="18" t="s">
        <v>74</v>
      </c>
      <c r="C796" s="18" t="n">
        <v>725</v>
      </c>
      <c r="D796" s="19" t="n">
        <v>0</v>
      </c>
      <c r="E796" s="19" t="n">
        <v>2415</v>
      </c>
      <c r="F796" s="19" t="n">
        <v>2415</v>
      </c>
      <c r="G796" s="19" t="n">
        <v>0</v>
      </c>
      <c r="H796" s="18" t="s">
        <v>2048</v>
      </c>
    </row>
    <row r="797" customFormat="false" ht="15" hidden="false" customHeight="false" outlineLevel="0" collapsed="false">
      <c r="A797" s="18" t="s">
        <v>1765</v>
      </c>
      <c r="B797" s="18" t="s">
        <v>74</v>
      </c>
      <c r="C797" s="18" t="n">
        <v>726</v>
      </c>
      <c r="D797" s="19" t="n">
        <v>0</v>
      </c>
      <c r="E797" s="19" t="n">
        <v>5995.5</v>
      </c>
      <c r="F797" s="19" t="n">
        <v>5995.5</v>
      </c>
      <c r="G797" s="19" t="n">
        <v>0</v>
      </c>
      <c r="H797" s="18" t="s">
        <v>2048</v>
      </c>
    </row>
    <row r="798" customFormat="false" ht="15" hidden="false" customHeight="false" outlineLevel="0" collapsed="false">
      <c r="A798" s="18" t="s">
        <v>1767</v>
      </c>
      <c r="B798" s="18" t="s">
        <v>74</v>
      </c>
      <c r="C798" s="18" t="n">
        <v>727</v>
      </c>
      <c r="D798" s="19" t="n">
        <v>0</v>
      </c>
      <c r="E798" s="19" t="n">
        <v>1200</v>
      </c>
      <c r="F798" s="19" t="n">
        <v>1200</v>
      </c>
      <c r="G798" s="19" t="n">
        <v>0</v>
      </c>
      <c r="H798" s="18" t="s">
        <v>2048</v>
      </c>
    </row>
    <row r="799" customFormat="false" ht="15" hidden="false" customHeight="false" outlineLevel="0" collapsed="false">
      <c r="A799" s="18" t="s">
        <v>1768</v>
      </c>
      <c r="B799" s="18" t="s">
        <v>74</v>
      </c>
      <c r="C799" s="18" t="n">
        <v>728</v>
      </c>
      <c r="D799" s="19" t="n">
        <v>0</v>
      </c>
      <c r="E799" s="19" t="n">
        <v>69</v>
      </c>
      <c r="F799" s="19" t="n">
        <v>69</v>
      </c>
      <c r="G799" s="19" t="n">
        <v>0</v>
      </c>
      <c r="H799" s="18" t="s">
        <v>2048</v>
      </c>
    </row>
    <row r="800" customFormat="false" ht="15" hidden="false" customHeight="false" outlineLevel="0" collapsed="false">
      <c r="A800" s="18" t="s">
        <v>1769</v>
      </c>
      <c r="B800" s="18" t="s">
        <v>74</v>
      </c>
      <c r="C800" s="18" t="n">
        <v>729</v>
      </c>
      <c r="D800" s="19" t="n">
        <v>0</v>
      </c>
      <c r="E800" s="19" t="n">
        <v>103.5</v>
      </c>
      <c r="F800" s="19" t="n">
        <v>103.5</v>
      </c>
      <c r="G800" s="19" t="n">
        <v>0</v>
      </c>
      <c r="H800" s="18" t="s">
        <v>2048</v>
      </c>
    </row>
    <row r="801" customFormat="false" ht="15" hidden="false" customHeight="false" outlineLevel="0" collapsed="false">
      <c r="A801" s="18" t="s">
        <v>1770</v>
      </c>
      <c r="B801" s="18" t="s">
        <v>74</v>
      </c>
      <c r="C801" s="18" t="n">
        <v>730</v>
      </c>
      <c r="D801" s="19" t="n">
        <v>0</v>
      </c>
      <c r="E801" s="19" t="n">
        <v>513.75</v>
      </c>
      <c r="F801" s="19" t="n">
        <v>513.75</v>
      </c>
      <c r="G801" s="19" t="n">
        <v>0</v>
      </c>
      <c r="H801" s="18" t="s">
        <v>2048</v>
      </c>
    </row>
    <row r="802" customFormat="false" ht="15" hidden="false" customHeight="false" outlineLevel="0" collapsed="false">
      <c r="A802" s="18" t="s">
        <v>1772</v>
      </c>
      <c r="B802" s="18" t="s">
        <v>74</v>
      </c>
      <c r="C802" s="18" t="n">
        <v>731</v>
      </c>
      <c r="D802" s="19" t="n">
        <v>0</v>
      </c>
      <c r="E802" s="19" t="n">
        <v>75</v>
      </c>
      <c r="F802" s="19" t="n">
        <v>75</v>
      </c>
      <c r="G802" s="19" t="n">
        <v>0</v>
      </c>
      <c r="H802" s="18" t="s">
        <v>2048</v>
      </c>
    </row>
    <row r="803" customFormat="false" ht="15" hidden="false" customHeight="false" outlineLevel="0" collapsed="false">
      <c r="A803" s="18" t="s">
        <v>1773</v>
      </c>
      <c r="B803" s="18" t="s">
        <v>74</v>
      </c>
      <c r="C803" s="18" t="n">
        <v>732</v>
      </c>
      <c r="D803" s="19" t="n">
        <v>0</v>
      </c>
      <c r="E803" s="19" t="n">
        <v>23</v>
      </c>
      <c r="F803" s="19" t="n">
        <v>23</v>
      </c>
      <c r="G803" s="19" t="n">
        <v>0</v>
      </c>
      <c r="H803" s="18" t="s">
        <v>2048</v>
      </c>
    </row>
    <row r="804" customFormat="false" ht="15" hidden="false" customHeight="false" outlineLevel="0" collapsed="false">
      <c r="A804" s="18" t="s">
        <v>1775</v>
      </c>
      <c r="B804" s="18" t="s">
        <v>74</v>
      </c>
      <c r="C804" s="18" t="n">
        <v>733</v>
      </c>
      <c r="D804" s="19" t="n">
        <v>0</v>
      </c>
      <c r="E804" s="19" t="n">
        <v>1886</v>
      </c>
      <c r="F804" s="19" t="n">
        <v>1886</v>
      </c>
      <c r="G804" s="19" t="n">
        <v>0</v>
      </c>
      <c r="H804" s="18" t="s">
        <v>2048</v>
      </c>
    </row>
    <row r="805" customFormat="false" ht="15" hidden="false" customHeight="false" outlineLevel="0" collapsed="false">
      <c r="A805" s="18" t="s">
        <v>1777</v>
      </c>
      <c r="B805" s="18" t="s">
        <v>74</v>
      </c>
      <c r="C805" s="18" t="n">
        <v>734</v>
      </c>
      <c r="D805" s="19" t="n">
        <v>0</v>
      </c>
      <c r="E805" s="19" t="n">
        <v>575</v>
      </c>
      <c r="F805" s="19" t="n">
        <v>575</v>
      </c>
      <c r="G805" s="19" t="n">
        <v>0</v>
      </c>
      <c r="H805" s="18" t="s">
        <v>2048</v>
      </c>
    </row>
    <row r="806" customFormat="false" ht="15" hidden="false" customHeight="false" outlineLevel="0" collapsed="false">
      <c r="A806" s="18" t="s">
        <v>1778</v>
      </c>
      <c r="B806" s="18" t="s">
        <v>74</v>
      </c>
      <c r="C806" s="18" t="n">
        <v>735</v>
      </c>
      <c r="D806" s="19" t="n">
        <v>0</v>
      </c>
      <c r="E806" s="19" t="n">
        <v>517</v>
      </c>
      <c r="F806" s="19" t="n">
        <v>517</v>
      </c>
      <c r="G806" s="19" t="n">
        <v>0</v>
      </c>
      <c r="H806" s="18" t="s">
        <v>2048</v>
      </c>
    </row>
    <row r="807" customFormat="false" ht="15" hidden="false" customHeight="false" outlineLevel="0" collapsed="false">
      <c r="A807" s="18" t="s">
        <v>1780</v>
      </c>
      <c r="B807" s="18" t="s">
        <v>74</v>
      </c>
      <c r="C807" s="18" t="n">
        <v>736</v>
      </c>
      <c r="D807" s="19" t="n">
        <v>0</v>
      </c>
      <c r="E807" s="19" t="n">
        <v>2471</v>
      </c>
      <c r="F807" s="19" t="n">
        <v>2471</v>
      </c>
      <c r="G807" s="19" t="n">
        <v>0</v>
      </c>
      <c r="H807" s="18" t="s">
        <v>2048</v>
      </c>
    </row>
    <row r="808" customFormat="false" ht="15" hidden="false" customHeight="false" outlineLevel="0" collapsed="false">
      <c r="A808" s="18" t="s">
        <v>1782</v>
      </c>
      <c r="B808" s="18" t="s">
        <v>74</v>
      </c>
      <c r="C808" s="18" t="n">
        <v>737</v>
      </c>
      <c r="D808" s="19" t="n">
        <v>0</v>
      </c>
      <c r="E808" s="19" t="n">
        <v>28.75</v>
      </c>
      <c r="F808" s="19" t="n">
        <v>28.75</v>
      </c>
      <c r="G808" s="19" t="n">
        <v>0</v>
      </c>
      <c r="H808" s="18" t="s">
        <v>2048</v>
      </c>
    </row>
    <row r="809" customFormat="false" ht="15" hidden="false" customHeight="false" outlineLevel="0" collapsed="false">
      <c r="A809" s="18" t="s">
        <v>1783</v>
      </c>
      <c r="B809" s="18" t="s">
        <v>74</v>
      </c>
      <c r="C809" s="18" t="n">
        <v>738</v>
      </c>
      <c r="D809" s="19" t="n">
        <v>0</v>
      </c>
      <c r="E809" s="19" t="n">
        <v>7935</v>
      </c>
      <c r="F809" s="19" t="n">
        <v>7935</v>
      </c>
      <c r="G809" s="19" t="n">
        <v>0</v>
      </c>
      <c r="H809" s="18" t="s">
        <v>2048</v>
      </c>
    </row>
    <row r="810" customFormat="false" ht="15" hidden="false" customHeight="false" outlineLevel="0" collapsed="false">
      <c r="A810" s="18" t="s">
        <v>1784</v>
      </c>
      <c r="B810" s="18" t="s">
        <v>74</v>
      </c>
      <c r="C810" s="18" t="n">
        <v>739</v>
      </c>
      <c r="D810" s="19" t="n">
        <v>0</v>
      </c>
      <c r="E810" s="19" t="n">
        <v>69</v>
      </c>
      <c r="F810" s="19" t="n">
        <v>69</v>
      </c>
      <c r="G810" s="19" t="n">
        <v>0</v>
      </c>
      <c r="H810" s="18" t="s">
        <v>2048</v>
      </c>
    </row>
    <row r="811" customFormat="false" ht="15" hidden="false" customHeight="false" outlineLevel="0" collapsed="false">
      <c r="A811" s="18" t="s">
        <v>1785</v>
      </c>
      <c r="B811" s="18" t="s">
        <v>74</v>
      </c>
      <c r="C811" s="18" t="n">
        <v>740</v>
      </c>
      <c r="D811" s="19" t="n">
        <v>0</v>
      </c>
      <c r="E811" s="19" t="n">
        <v>50</v>
      </c>
      <c r="F811" s="19" t="n">
        <v>50</v>
      </c>
      <c r="G811" s="19" t="n">
        <v>0</v>
      </c>
      <c r="H811" s="18" t="s">
        <v>2048</v>
      </c>
    </row>
    <row r="812" customFormat="false" ht="15" hidden="false" customHeight="false" outlineLevel="0" collapsed="false">
      <c r="A812" s="18" t="s">
        <v>1786</v>
      </c>
      <c r="B812" s="18" t="s">
        <v>74</v>
      </c>
      <c r="C812" s="18" t="n">
        <v>741</v>
      </c>
      <c r="D812" s="19" t="n">
        <v>0</v>
      </c>
      <c r="E812" s="19" t="n">
        <v>3615</v>
      </c>
      <c r="F812" s="19" t="n">
        <v>3615</v>
      </c>
      <c r="G812" s="19" t="n">
        <v>0</v>
      </c>
      <c r="H812" s="18" t="s">
        <v>2048</v>
      </c>
    </row>
    <row r="813" customFormat="false" ht="15" hidden="false" customHeight="false" outlineLevel="0" collapsed="false">
      <c r="A813" s="18" t="s">
        <v>1788</v>
      </c>
      <c r="B813" s="18" t="s">
        <v>74</v>
      </c>
      <c r="C813" s="18" t="n">
        <v>742</v>
      </c>
      <c r="D813" s="19" t="n">
        <v>0</v>
      </c>
      <c r="E813" s="19" t="n">
        <v>4019.25</v>
      </c>
      <c r="F813" s="19" t="n">
        <v>4019.25</v>
      </c>
      <c r="G813" s="19" t="n">
        <v>0</v>
      </c>
      <c r="H813" s="18" t="s">
        <v>2048</v>
      </c>
    </row>
    <row r="814" customFormat="false" ht="15" hidden="false" customHeight="false" outlineLevel="0" collapsed="false">
      <c r="A814" s="18" t="s">
        <v>1790</v>
      </c>
      <c r="B814" s="18" t="s">
        <v>74</v>
      </c>
      <c r="C814" s="18" t="n">
        <v>743</v>
      </c>
      <c r="D814" s="19" t="n">
        <v>0</v>
      </c>
      <c r="E814" s="19" t="n">
        <v>4838.8</v>
      </c>
      <c r="F814" s="19" t="n">
        <v>4838.8</v>
      </c>
      <c r="G814" s="19" t="n">
        <v>0</v>
      </c>
      <c r="H814" s="18" t="s">
        <v>2048</v>
      </c>
    </row>
    <row r="815" customFormat="false" ht="15" hidden="false" customHeight="false" outlineLevel="0" collapsed="false">
      <c r="A815" s="18" t="s">
        <v>1792</v>
      </c>
      <c r="B815" s="18" t="s">
        <v>74</v>
      </c>
      <c r="C815" s="18" t="n">
        <v>744</v>
      </c>
      <c r="D815" s="19" t="n">
        <v>0</v>
      </c>
      <c r="E815" s="19" t="n">
        <v>18</v>
      </c>
      <c r="F815" s="19" t="n">
        <v>18</v>
      </c>
      <c r="G815" s="19" t="n">
        <v>0</v>
      </c>
      <c r="H815" s="18" t="s">
        <v>2048</v>
      </c>
    </row>
    <row r="816" customFormat="false" ht="15" hidden="false" customHeight="false" outlineLevel="0" collapsed="false">
      <c r="A816" s="18" t="s">
        <v>1794</v>
      </c>
      <c r="B816" s="18" t="s">
        <v>74</v>
      </c>
      <c r="C816" s="18" t="n">
        <v>745</v>
      </c>
      <c r="D816" s="19" t="n">
        <v>0</v>
      </c>
      <c r="E816" s="19" t="n">
        <v>276</v>
      </c>
      <c r="F816" s="19" t="n">
        <v>276</v>
      </c>
      <c r="G816" s="19" t="n">
        <v>0</v>
      </c>
      <c r="H816" s="18" t="s">
        <v>2048</v>
      </c>
    </row>
    <row r="817" customFormat="false" ht="15" hidden="false" customHeight="false" outlineLevel="0" collapsed="false">
      <c r="A817" s="18" t="s">
        <v>1795</v>
      </c>
      <c r="B817" s="18" t="s">
        <v>74</v>
      </c>
      <c r="C817" s="18" t="n">
        <v>746</v>
      </c>
      <c r="D817" s="19" t="n">
        <v>0</v>
      </c>
      <c r="E817" s="19" t="n">
        <v>184</v>
      </c>
      <c r="F817" s="19" t="n">
        <v>184</v>
      </c>
      <c r="G817" s="19" t="n">
        <v>0</v>
      </c>
      <c r="H817" s="18" t="s">
        <v>2048</v>
      </c>
    </row>
    <row r="818" customFormat="false" ht="15" hidden="false" customHeight="false" outlineLevel="0" collapsed="false">
      <c r="A818" s="18" t="s">
        <v>1796</v>
      </c>
      <c r="B818" s="18" t="s">
        <v>74</v>
      </c>
      <c r="C818" s="18" t="n">
        <v>747</v>
      </c>
      <c r="D818" s="19" t="n">
        <v>0</v>
      </c>
      <c r="E818" s="19" t="n">
        <v>115</v>
      </c>
      <c r="F818" s="19" t="n">
        <v>115</v>
      </c>
      <c r="G818" s="19" t="n">
        <v>0</v>
      </c>
      <c r="H818" s="18" t="s">
        <v>2048</v>
      </c>
    </row>
    <row r="819" customFormat="false" ht="15" hidden="false" customHeight="false" outlineLevel="0" collapsed="false">
      <c r="A819" s="18" t="s">
        <v>1797</v>
      </c>
      <c r="B819" s="18" t="s">
        <v>74</v>
      </c>
      <c r="C819" s="18" t="n">
        <v>748</v>
      </c>
      <c r="D819" s="19" t="n">
        <v>0</v>
      </c>
      <c r="E819" s="19" t="n">
        <v>524.4</v>
      </c>
      <c r="F819" s="19" t="n">
        <v>524.4</v>
      </c>
      <c r="G819" s="19" t="n">
        <v>0</v>
      </c>
      <c r="H819" s="18" t="s">
        <v>2048</v>
      </c>
    </row>
    <row r="820" customFormat="false" ht="15" hidden="false" customHeight="false" outlineLevel="0" collapsed="false">
      <c r="A820" s="18" t="s">
        <v>1799</v>
      </c>
      <c r="B820" s="18" t="s">
        <v>74</v>
      </c>
      <c r="C820" s="18" t="n">
        <v>749</v>
      </c>
      <c r="D820" s="19" t="n">
        <v>0</v>
      </c>
      <c r="E820" s="19" t="n">
        <v>150</v>
      </c>
      <c r="F820" s="19" t="n">
        <v>150</v>
      </c>
      <c r="G820" s="19" t="n">
        <v>0</v>
      </c>
      <c r="H820" s="18" t="s">
        <v>2048</v>
      </c>
    </row>
    <row r="821" customFormat="false" ht="15" hidden="false" customHeight="false" outlineLevel="0" collapsed="false">
      <c r="A821" s="18" t="s">
        <v>1800</v>
      </c>
      <c r="B821" s="18" t="s">
        <v>74</v>
      </c>
      <c r="C821" s="18" t="n">
        <v>750</v>
      </c>
      <c r="D821" s="19" t="n">
        <v>0</v>
      </c>
      <c r="E821" s="19" t="n">
        <v>3450</v>
      </c>
      <c r="F821" s="19" t="n">
        <v>3450</v>
      </c>
      <c r="G821" s="19" t="n">
        <v>0</v>
      </c>
      <c r="H821" s="18" t="s">
        <v>2048</v>
      </c>
    </row>
    <row r="822" customFormat="false" ht="15" hidden="false" customHeight="false" outlineLevel="0" collapsed="false">
      <c r="A822" s="18" t="s">
        <v>1802</v>
      </c>
      <c r="B822" s="18" t="s">
        <v>74</v>
      </c>
      <c r="C822" s="18" t="n">
        <v>751</v>
      </c>
      <c r="D822" s="19" t="n">
        <v>0</v>
      </c>
      <c r="E822" s="19" t="n">
        <v>1494.1</v>
      </c>
      <c r="F822" s="19" t="n">
        <v>1494.1</v>
      </c>
      <c r="G822" s="19" t="n">
        <v>0</v>
      </c>
      <c r="H822" s="18" t="s">
        <v>2048</v>
      </c>
    </row>
    <row r="823" customFormat="false" ht="15" hidden="false" customHeight="false" outlineLevel="0" collapsed="false">
      <c r="A823" s="18" t="s">
        <v>1804</v>
      </c>
      <c r="B823" s="18" t="s">
        <v>74</v>
      </c>
      <c r="C823" s="18" t="n">
        <v>752</v>
      </c>
      <c r="D823" s="19" t="n">
        <v>0</v>
      </c>
      <c r="E823" s="19" t="n">
        <v>258.75</v>
      </c>
      <c r="F823" s="19" t="n">
        <v>258.75</v>
      </c>
      <c r="G823" s="19" t="n">
        <v>0</v>
      </c>
      <c r="H823" s="18" t="s">
        <v>2048</v>
      </c>
    </row>
    <row r="824" customFormat="false" ht="15" hidden="false" customHeight="false" outlineLevel="0" collapsed="false">
      <c r="A824" s="18" t="s">
        <v>1806</v>
      </c>
      <c r="B824" s="18" t="s">
        <v>74</v>
      </c>
      <c r="C824" s="18" t="n">
        <v>753</v>
      </c>
      <c r="D824" s="19" t="n">
        <v>0</v>
      </c>
      <c r="E824" s="19" t="n">
        <v>500</v>
      </c>
      <c r="F824" s="19" t="n">
        <v>500</v>
      </c>
      <c r="G824" s="19" t="n">
        <v>0</v>
      </c>
      <c r="H824" s="18" t="s">
        <v>2048</v>
      </c>
    </row>
    <row r="825" customFormat="false" ht="15" hidden="false" customHeight="false" outlineLevel="0" collapsed="false">
      <c r="A825" s="18" t="s">
        <v>1807</v>
      </c>
      <c r="B825" s="18" t="s">
        <v>74</v>
      </c>
      <c r="C825" s="18" t="n">
        <v>755</v>
      </c>
      <c r="D825" s="19" t="n">
        <v>0</v>
      </c>
      <c r="E825" s="19" t="n">
        <v>402.5</v>
      </c>
      <c r="F825" s="19" t="n">
        <v>402.5</v>
      </c>
      <c r="G825" s="19" t="n">
        <v>0</v>
      </c>
      <c r="H825" s="18" t="s">
        <v>2048</v>
      </c>
    </row>
    <row r="826" customFormat="false" ht="15" hidden="false" customHeight="false" outlineLevel="0" collapsed="false">
      <c r="A826" s="18" t="s">
        <v>1808</v>
      </c>
      <c r="B826" s="18" t="s">
        <v>74</v>
      </c>
      <c r="C826" s="18" t="n">
        <v>756</v>
      </c>
      <c r="D826" s="19" t="n">
        <v>0</v>
      </c>
      <c r="E826" s="19" t="n">
        <v>7700</v>
      </c>
      <c r="F826" s="19" t="n">
        <v>7700</v>
      </c>
      <c r="G826" s="19" t="n">
        <v>0</v>
      </c>
      <c r="H826" s="18" t="s">
        <v>2048</v>
      </c>
    </row>
    <row r="827" customFormat="false" ht="15" hidden="false" customHeight="false" outlineLevel="0" collapsed="false">
      <c r="A827" s="18" t="s">
        <v>1809</v>
      </c>
      <c r="B827" s="18" t="s">
        <v>74</v>
      </c>
      <c r="C827" s="18" t="n">
        <v>757</v>
      </c>
      <c r="D827" s="19" t="n">
        <v>0</v>
      </c>
      <c r="E827" s="19" t="n">
        <v>150</v>
      </c>
      <c r="F827" s="19" t="n">
        <v>150</v>
      </c>
      <c r="G827" s="19" t="n">
        <v>0</v>
      </c>
      <c r="H827" s="18" t="s">
        <v>2048</v>
      </c>
    </row>
    <row r="828" customFormat="false" ht="15" hidden="false" customHeight="false" outlineLevel="0" collapsed="false">
      <c r="A828" s="18" t="s">
        <v>1810</v>
      </c>
      <c r="B828" s="18" t="s">
        <v>74</v>
      </c>
      <c r="C828" s="18" t="n">
        <v>758</v>
      </c>
      <c r="D828" s="19" t="n">
        <v>0</v>
      </c>
      <c r="E828" s="19" t="n">
        <v>319.7</v>
      </c>
      <c r="F828" s="19" t="n">
        <v>319.7</v>
      </c>
      <c r="G828" s="19" t="n">
        <v>0</v>
      </c>
      <c r="H828" s="18" t="s">
        <v>2048</v>
      </c>
    </row>
    <row r="829" customFormat="false" ht="15" hidden="false" customHeight="false" outlineLevel="0" collapsed="false">
      <c r="A829" s="18" t="s">
        <v>1812</v>
      </c>
      <c r="B829" s="18" t="s">
        <v>74</v>
      </c>
      <c r="C829" s="18" t="n">
        <v>759</v>
      </c>
      <c r="D829" s="19" t="n">
        <v>0</v>
      </c>
      <c r="E829" s="19" t="n">
        <v>850</v>
      </c>
      <c r="F829" s="19" t="n">
        <v>850</v>
      </c>
      <c r="G829" s="19" t="n">
        <v>0</v>
      </c>
      <c r="H829" s="18" t="s">
        <v>2048</v>
      </c>
    </row>
    <row r="830" customFormat="false" ht="15" hidden="false" customHeight="false" outlineLevel="0" collapsed="false">
      <c r="A830" s="18" t="s">
        <v>1813</v>
      </c>
      <c r="B830" s="18" t="s">
        <v>74</v>
      </c>
      <c r="C830" s="18" t="n">
        <v>761</v>
      </c>
      <c r="D830" s="19" t="n">
        <v>0</v>
      </c>
      <c r="E830" s="19" t="n">
        <v>1943.5</v>
      </c>
      <c r="F830" s="19" t="n">
        <v>1943.5</v>
      </c>
      <c r="G830" s="19" t="n">
        <v>0</v>
      </c>
      <c r="H830" s="18" t="s">
        <v>2048</v>
      </c>
    </row>
    <row r="831" customFormat="false" ht="15" hidden="false" customHeight="false" outlineLevel="0" collapsed="false">
      <c r="A831" s="18" t="s">
        <v>1815</v>
      </c>
      <c r="B831" s="18" t="s">
        <v>74</v>
      </c>
      <c r="C831" s="18" t="n">
        <v>762</v>
      </c>
      <c r="D831" s="19" t="n">
        <v>0</v>
      </c>
      <c r="E831" s="19" t="n">
        <v>600</v>
      </c>
      <c r="F831" s="19" t="n">
        <v>600</v>
      </c>
      <c r="G831" s="19" t="n">
        <v>0</v>
      </c>
      <c r="H831" s="18" t="s">
        <v>2048</v>
      </c>
    </row>
    <row r="832" customFormat="false" ht="15" hidden="false" customHeight="false" outlineLevel="0" collapsed="false">
      <c r="A832" s="18" t="s">
        <v>1816</v>
      </c>
      <c r="B832" s="18" t="s">
        <v>74</v>
      </c>
      <c r="C832" s="18" t="n">
        <v>763</v>
      </c>
      <c r="D832" s="19" t="n">
        <v>0</v>
      </c>
      <c r="E832" s="19" t="n">
        <v>17898.6</v>
      </c>
      <c r="F832" s="19" t="n">
        <v>17898.6</v>
      </c>
      <c r="G832" s="19" t="n">
        <v>0</v>
      </c>
      <c r="H832" s="18" t="s">
        <v>2048</v>
      </c>
    </row>
    <row r="833" customFormat="false" ht="15" hidden="false" customHeight="false" outlineLevel="0" collapsed="false">
      <c r="A833" s="18" t="s">
        <v>1818</v>
      </c>
      <c r="B833" s="18" t="s">
        <v>74</v>
      </c>
      <c r="C833" s="18" t="n">
        <v>764</v>
      </c>
      <c r="D833" s="19" t="n">
        <v>0</v>
      </c>
      <c r="E833" s="19" t="n">
        <v>110</v>
      </c>
      <c r="F833" s="19" t="n">
        <v>110</v>
      </c>
      <c r="G833" s="19" t="n">
        <v>0</v>
      </c>
      <c r="H833" s="18" t="s">
        <v>2048</v>
      </c>
    </row>
    <row r="834" customFormat="false" ht="15" hidden="false" customHeight="false" outlineLevel="0" collapsed="false">
      <c r="A834" s="18" t="s">
        <v>1820</v>
      </c>
      <c r="B834" s="18" t="s">
        <v>74</v>
      </c>
      <c r="C834" s="18" t="n">
        <v>765</v>
      </c>
      <c r="D834" s="19" t="n">
        <v>0</v>
      </c>
      <c r="E834" s="19" t="n">
        <v>230</v>
      </c>
      <c r="F834" s="19" t="n">
        <v>230</v>
      </c>
      <c r="G834" s="19" t="n">
        <v>0</v>
      </c>
      <c r="H834" s="18" t="s">
        <v>2048</v>
      </c>
    </row>
    <row r="835" customFormat="false" ht="15" hidden="false" customHeight="false" outlineLevel="0" collapsed="false">
      <c r="A835" s="18" t="s">
        <v>1821</v>
      </c>
      <c r="B835" s="18" t="s">
        <v>74</v>
      </c>
      <c r="C835" s="18" t="n">
        <v>766</v>
      </c>
      <c r="D835" s="19" t="n">
        <v>0</v>
      </c>
      <c r="E835" s="19" t="n">
        <v>28290</v>
      </c>
      <c r="F835" s="19" t="n">
        <v>28290</v>
      </c>
      <c r="G835" s="19" t="n">
        <v>0</v>
      </c>
      <c r="H835" s="18" t="s">
        <v>2048</v>
      </c>
    </row>
    <row r="836" customFormat="false" ht="15" hidden="false" customHeight="false" outlineLevel="0" collapsed="false">
      <c r="A836" s="18" t="s">
        <v>1823</v>
      </c>
      <c r="B836" s="18" t="s">
        <v>74</v>
      </c>
      <c r="C836" s="18" t="n">
        <v>767</v>
      </c>
      <c r="D836" s="19" t="n">
        <v>0</v>
      </c>
      <c r="E836" s="19" t="n">
        <v>143</v>
      </c>
      <c r="F836" s="19" t="n">
        <v>143</v>
      </c>
      <c r="G836" s="19" t="n">
        <v>0</v>
      </c>
      <c r="H836" s="18" t="s">
        <v>2048</v>
      </c>
    </row>
    <row r="837" customFormat="false" ht="15" hidden="false" customHeight="false" outlineLevel="0" collapsed="false">
      <c r="A837" s="18" t="s">
        <v>1825</v>
      </c>
      <c r="B837" s="18" t="s">
        <v>74</v>
      </c>
      <c r="C837" s="18" t="n">
        <v>768</v>
      </c>
      <c r="D837" s="19" t="n">
        <v>0</v>
      </c>
      <c r="E837" s="19" t="n">
        <v>96</v>
      </c>
      <c r="F837" s="19" t="n">
        <v>96</v>
      </c>
      <c r="G837" s="19" t="n">
        <v>0</v>
      </c>
      <c r="H837" s="18" t="s">
        <v>2048</v>
      </c>
    </row>
    <row r="838" customFormat="false" ht="15" hidden="false" customHeight="false" outlineLevel="0" collapsed="false">
      <c r="A838" s="18" t="s">
        <v>1827</v>
      </c>
      <c r="B838" s="18" t="s">
        <v>74</v>
      </c>
      <c r="C838" s="18" t="n">
        <v>769</v>
      </c>
      <c r="D838" s="19" t="n">
        <v>0</v>
      </c>
      <c r="E838" s="19" t="n">
        <v>276</v>
      </c>
      <c r="F838" s="19" t="n">
        <v>276</v>
      </c>
      <c r="G838" s="19" t="n">
        <v>0</v>
      </c>
      <c r="H838" s="18" t="s">
        <v>2048</v>
      </c>
    </row>
    <row r="839" customFormat="false" ht="15" hidden="false" customHeight="false" outlineLevel="0" collapsed="false">
      <c r="A839" s="18" t="s">
        <v>1828</v>
      </c>
      <c r="B839" s="18" t="s">
        <v>74</v>
      </c>
      <c r="C839" s="18" t="n">
        <v>770</v>
      </c>
      <c r="D839" s="19" t="n">
        <v>0</v>
      </c>
      <c r="E839" s="19" t="n">
        <v>5805</v>
      </c>
      <c r="F839" s="19" t="n">
        <v>5805</v>
      </c>
      <c r="G839" s="19" t="n">
        <v>0</v>
      </c>
      <c r="H839" s="18" t="s">
        <v>2048</v>
      </c>
    </row>
    <row r="840" customFormat="false" ht="15" hidden="false" customHeight="false" outlineLevel="0" collapsed="false">
      <c r="A840" s="18" t="s">
        <v>1830</v>
      </c>
      <c r="B840" s="18" t="s">
        <v>74</v>
      </c>
      <c r="C840" s="18" t="n">
        <v>772</v>
      </c>
      <c r="D840" s="19" t="n">
        <v>0</v>
      </c>
      <c r="E840" s="19" t="n">
        <v>115</v>
      </c>
      <c r="F840" s="19" t="n">
        <v>115</v>
      </c>
      <c r="G840" s="19" t="n">
        <v>0</v>
      </c>
      <c r="H840" s="18" t="s">
        <v>2048</v>
      </c>
    </row>
    <row r="841" customFormat="false" ht="15" hidden="false" customHeight="false" outlineLevel="0" collapsed="false">
      <c r="A841" s="18" t="s">
        <v>1831</v>
      </c>
      <c r="B841" s="18" t="s">
        <v>74</v>
      </c>
      <c r="C841" s="18" t="n">
        <v>773</v>
      </c>
      <c r="D841" s="19" t="n">
        <v>0</v>
      </c>
      <c r="E841" s="19" t="n">
        <v>540</v>
      </c>
      <c r="F841" s="19" t="n">
        <v>540</v>
      </c>
      <c r="G841" s="19" t="n">
        <v>0</v>
      </c>
      <c r="H841" s="18" t="s">
        <v>2048</v>
      </c>
    </row>
    <row r="842" customFormat="false" ht="15" hidden="false" customHeight="false" outlineLevel="0" collapsed="false">
      <c r="A842" s="18" t="s">
        <v>1833</v>
      </c>
      <c r="B842" s="18" t="s">
        <v>74</v>
      </c>
      <c r="C842" s="18" t="n">
        <v>774</v>
      </c>
      <c r="D842" s="19" t="n">
        <v>0</v>
      </c>
      <c r="E842" s="19" t="n">
        <v>35</v>
      </c>
      <c r="F842" s="19" t="n">
        <v>35</v>
      </c>
      <c r="G842" s="19" t="n">
        <v>0</v>
      </c>
      <c r="H842" s="18" t="s">
        <v>2048</v>
      </c>
    </row>
    <row r="843" customFormat="false" ht="15" hidden="false" customHeight="false" outlineLevel="0" collapsed="false">
      <c r="A843" s="18" t="s">
        <v>1834</v>
      </c>
      <c r="B843" s="18" t="s">
        <v>74</v>
      </c>
      <c r="C843" s="18" t="n">
        <v>775</v>
      </c>
      <c r="D843" s="19" t="n">
        <v>0</v>
      </c>
      <c r="E843" s="19" t="n">
        <v>600</v>
      </c>
      <c r="F843" s="19" t="n">
        <v>600</v>
      </c>
      <c r="G843" s="19" t="n">
        <v>0</v>
      </c>
      <c r="H843" s="18" t="s">
        <v>2048</v>
      </c>
    </row>
    <row r="844" customFormat="false" ht="15" hidden="false" customHeight="false" outlineLevel="0" collapsed="false">
      <c r="A844" s="18" t="s">
        <v>1835</v>
      </c>
      <c r="B844" s="18" t="s">
        <v>74</v>
      </c>
      <c r="C844" s="18" t="n">
        <v>776</v>
      </c>
      <c r="D844" s="19" t="n">
        <v>0</v>
      </c>
      <c r="E844" s="19" t="n">
        <v>6440</v>
      </c>
      <c r="F844" s="19" t="n">
        <v>6440</v>
      </c>
      <c r="G844" s="19" t="n">
        <v>0</v>
      </c>
      <c r="H844" s="18" t="s">
        <v>2048</v>
      </c>
    </row>
    <row r="845" customFormat="false" ht="15" hidden="false" customHeight="false" outlineLevel="0" collapsed="false">
      <c r="A845" s="18" t="s">
        <v>1836</v>
      </c>
      <c r="B845" s="18" t="s">
        <v>74</v>
      </c>
      <c r="C845" s="18" t="n">
        <v>777</v>
      </c>
      <c r="D845" s="19" t="n">
        <v>0</v>
      </c>
      <c r="E845" s="19" t="n">
        <v>50</v>
      </c>
      <c r="F845" s="19" t="n">
        <v>50</v>
      </c>
      <c r="G845" s="19" t="n">
        <v>0</v>
      </c>
      <c r="H845" s="18" t="s">
        <v>2048</v>
      </c>
    </row>
    <row r="846" customFormat="false" ht="15" hidden="false" customHeight="false" outlineLevel="0" collapsed="false">
      <c r="A846" s="18" t="s">
        <v>1837</v>
      </c>
      <c r="B846" s="18" t="s">
        <v>74</v>
      </c>
      <c r="C846" s="18" t="n">
        <v>778</v>
      </c>
      <c r="D846" s="19" t="n">
        <v>0</v>
      </c>
      <c r="E846" s="19" t="n">
        <v>6025</v>
      </c>
      <c r="F846" s="19" t="n">
        <v>6025</v>
      </c>
      <c r="G846" s="19" t="n">
        <v>0</v>
      </c>
      <c r="H846" s="18" t="s">
        <v>2048</v>
      </c>
    </row>
    <row r="847" customFormat="false" ht="15" hidden="false" customHeight="false" outlineLevel="0" collapsed="false">
      <c r="A847" s="18" t="s">
        <v>1839</v>
      </c>
      <c r="B847" s="18" t="s">
        <v>74</v>
      </c>
      <c r="C847" s="18" t="n">
        <v>779</v>
      </c>
      <c r="D847" s="19" t="n">
        <v>0</v>
      </c>
      <c r="E847" s="19" t="n">
        <v>230</v>
      </c>
      <c r="F847" s="19" t="n">
        <v>230</v>
      </c>
      <c r="G847" s="19" t="n">
        <v>0</v>
      </c>
      <c r="H847" s="18" t="s">
        <v>2048</v>
      </c>
    </row>
    <row r="848" customFormat="false" ht="15" hidden="false" customHeight="false" outlineLevel="0" collapsed="false">
      <c r="A848" s="18" t="s">
        <v>1840</v>
      </c>
      <c r="B848" s="18" t="s">
        <v>74</v>
      </c>
      <c r="C848" s="18" t="n">
        <v>780</v>
      </c>
      <c r="D848" s="19" t="n">
        <v>0</v>
      </c>
      <c r="E848" s="19" t="n">
        <v>368</v>
      </c>
      <c r="F848" s="19" t="n">
        <v>368</v>
      </c>
      <c r="G848" s="19" t="n">
        <v>0</v>
      </c>
      <c r="H848" s="18" t="s">
        <v>2048</v>
      </c>
    </row>
    <row r="849" customFormat="false" ht="15" hidden="false" customHeight="false" outlineLevel="0" collapsed="false">
      <c r="A849" s="18" t="s">
        <v>1841</v>
      </c>
      <c r="B849" s="18" t="s">
        <v>74</v>
      </c>
      <c r="C849" s="18" t="n">
        <v>781</v>
      </c>
      <c r="D849" s="19" t="n">
        <v>0</v>
      </c>
      <c r="E849" s="19" t="n">
        <v>575</v>
      </c>
      <c r="F849" s="19" t="n">
        <v>575</v>
      </c>
      <c r="G849" s="19" t="n">
        <v>0</v>
      </c>
      <c r="H849" s="18" t="s">
        <v>2048</v>
      </c>
    </row>
    <row r="850" customFormat="false" ht="15" hidden="false" customHeight="false" outlineLevel="0" collapsed="false">
      <c r="A850" s="18" t="s">
        <v>1842</v>
      </c>
      <c r="B850" s="18" t="s">
        <v>74</v>
      </c>
      <c r="C850" s="18" t="n">
        <v>782</v>
      </c>
      <c r="D850" s="19" t="n">
        <v>0</v>
      </c>
      <c r="E850" s="19" t="n">
        <v>5290</v>
      </c>
      <c r="F850" s="19" t="n">
        <v>5290</v>
      </c>
      <c r="G850" s="19" t="n">
        <v>0</v>
      </c>
      <c r="H850" s="18" t="s">
        <v>2048</v>
      </c>
    </row>
    <row r="851" customFormat="false" ht="15" hidden="false" customHeight="false" outlineLevel="0" collapsed="false">
      <c r="A851" s="18" t="s">
        <v>1844</v>
      </c>
      <c r="B851" s="18" t="s">
        <v>74</v>
      </c>
      <c r="C851" s="18" t="n">
        <v>783</v>
      </c>
      <c r="D851" s="19" t="n">
        <v>0</v>
      </c>
      <c r="E851" s="19" t="n">
        <v>90</v>
      </c>
      <c r="F851" s="19" t="n">
        <v>90</v>
      </c>
      <c r="G851" s="19" t="n">
        <v>0</v>
      </c>
      <c r="H851" s="18" t="s">
        <v>2048</v>
      </c>
    </row>
    <row r="852" customFormat="false" ht="15" hidden="false" customHeight="false" outlineLevel="0" collapsed="false">
      <c r="A852" s="18" t="s">
        <v>1846</v>
      </c>
      <c r="B852" s="18" t="s">
        <v>74</v>
      </c>
      <c r="C852" s="18" t="n">
        <v>784</v>
      </c>
      <c r="D852" s="19" t="n">
        <v>0</v>
      </c>
      <c r="E852" s="19" t="n">
        <v>195.5</v>
      </c>
      <c r="F852" s="19" t="n">
        <v>195.5</v>
      </c>
      <c r="G852" s="19" t="n">
        <v>0</v>
      </c>
      <c r="H852" s="18" t="s">
        <v>2048</v>
      </c>
    </row>
    <row r="853" customFormat="false" ht="15" hidden="false" customHeight="false" outlineLevel="0" collapsed="false">
      <c r="A853" s="18" t="s">
        <v>1847</v>
      </c>
      <c r="B853" s="18" t="s">
        <v>74</v>
      </c>
      <c r="C853" s="18" t="n">
        <v>785</v>
      </c>
      <c r="D853" s="19" t="n">
        <v>0</v>
      </c>
      <c r="E853" s="19" t="n">
        <v>135</v>
      </c>
      <c r="F853" s="19" t="n">
        <v>135</v>
      </c>
      <c r="G853" s="19" t="n">
        <v>0</v>
      </c>
      <c r="H853" s="18" t="s">
        <v>2048</v>
      </c>
    </row>
    <row r="854" customFormat="false" ht="15" hidden="false" customHeight="false" outlineLevel="0" collapsed="false">
      <c r="A854" s="18" t="s">
        <v>1849</v>
      </c>
      <c r="B854" s="18" t="s">
        <v>74</v>
      </c>
      <c r="C854" s="18" t="n">
        <v>786</v>
      </c>
      <c r="D854" s="19" t="n">
        <v>0</v>
      </c>
      <c r="E854" s="19" t="n">
        <v>235.75</v>
      </c>
      <c r="F854" s="19" t="n">
        <v>235.75</v>
      </c>
      <c r="G854" s="19" t="n">
        <v>0</v>
      </c>
      <c r="H854" s="18" t="s">
        <v>2048</v>
      </c>
    </row>
    <row r="855" customFormat="false" ht="15" hidden="false" customHeight="false" outlineLevel="0" collapsed="false">
      <c r="A855" s="18" t="s">
        <v>1851</v>
      </c>
      <c r="B855" s="18" t="s">
        <v>74</v>
      </c>
      <c r="C855" s="18" t="n">
        <v>787</v>
      </c>
      <c r="D855" s="19" t="n">
        <v>0</v>
      </c>
      <c r="E855" s="19" t="n">
        <v>575</v>
      </c>
      <c r="F855" s="19" t="n">
        <v>575</v>
      </c>
      <c r="G855" s="19" t="n">
        <v>0</v>
      </c>
      <c r="H855" s="18" t="s">
        <v>2048</v>
      </c>
    </row>
    <row r="856" customFormat="false" ht="15" hidden="false" customHeight="false" outlineLevel="0" collapsed="false">
      <c r="A856" s="18" t="s">
        <v>1852</v>
      </c>
      <c r="B856" s="18" t="s">
        <v>74</v>
      </c>
      <c r="C856" s="18" t="n">
        <v>788</v>
      </c>
      <c r="D856" s="19" t="n">
        <v>0</v>
      </c>
      <c r="E856" s="19" t="n">
        <v>3036</v>
      </c>
      <c r="F856" s="19" t="n">
        <v>3036</v>
      </c>
      <c r="G856" s="19" t="n">
        <v>0</v>
      </c>
      <c r="H856" s="18" t="s">
        <v>2048</v>
      </c>
    </row>
    <row r="857" customFormat="false" ht="15" hidden="false" customHeight="false" outlineLevel="0" collapsed="false">
      <c r="A857" s="18" t="s">
        <v>1853</v>
      </c>
      <c r="B857" s="18" t="s">
        <v>74</v>
      </c>
      <c r="C857" s="18" t="n">
        <v>789</v>
      </c>
      <c r="D857" s="19" t="n">
        <v>0</v>
      </c>
      <c r="E857" s="19" t="n">
        <v>46</v>
      </c>
      <c r="F857" s="19" t="n">
        <v>46</v>
      </c>
      <c r="G857" s="19" t="n">
        <v>0</v>
      </c>
      <c r="H857" s="18" t="s">
        <v>2048</v>
      </c>
    </row>
    <row r="858" customFormat="false" ht="15" hidden="false" customHeight="false" outlineLevel="0" collapsed="false">
      <c r="A858" s="18" t="s">
        <v>1854</v>
      </c>
      <c r="B858" s="18" t="s">
        <v>74</v>
      </c>
      <c r="C858" s="18" t="n">
        <v>790</v>
      </c>
      <c r="D858" s="19" t="n">
        <v>0</v>
      </c>
      <c r="E858" s="19" t="n">
        <v>276</v>
      </c>
      <c r="F858" s="19" t="n">
        <v>276</v>
      </c>
      <c r="G858" s="19" t="n">
        <v>0</v>
      </c>
      <c r="H858" s="18" t="s">
        <v>2048</v>
      </c>
    </row>
    <row r="859" customFormat="false" ht="15" hidden="false" customHeight="false" outlineLevel="0" collapsed="false">
      <c r="A859" s="18" t="s">
        <v>1855</v>
      </c>
      <c r="B859" s="18" t="s">
        <v>74</v>
      </c>
      <c r="C859" s="18" t="n">
        <v>791</v>
      </c>
      <c r="D859" s="19" t="n">
        <v>0</v>
      </c>
      <c r="E859" s="19" t="n">
        <v>3162.5</v>
      </c>
      <c r="F859" s="19" t="n">
        <v>3162.5</v>
      </c>
      <c r="G859" s="19" t="n">
        <v>0</v>
      </c>
      <c r="H859" s="18" t="s">
        <v>2048</v>
      </c>
    </row>
    <row r="860" customFormat="false" ht="15" hidden="false" customHeight="false" outlineLevel="0" collapsed="false">
      <c r="A860" s="18" t="s">
        <v>1857</v>
      </c>
      <c r="B860" s="18" t="s">
        <v>74</v>
      </c>
      <c r="C860" s="18" t="n">
        <v>792</v>
      </c>
      <c r="D860" s="19" t="n">
        <v>0</v>
      </c>
      <c r="E860" s="19" t="n">
        <v>1679</v>
      </c>
      <c r="F860" s="19" t="n">
        <v>1679</v>
      </c>
      <c r="G860" s="19" t="n">
        <v>0</v>
      </c>
      <c r="H860" s="18" t="s">
        <v>2048</v>
      </c>
    </row>
    <row r="861" customFormat="false" ht="15" hidden="false" customHeight="false" outlineLevel="0" collapsed="false">
      <c r="A861" s="18" t="s">
        <v>1859</v>
      </c>
      <c r="B861" s="18" t="s">
        <v>74</v>
      </c>
      <c r="C861" s="18" t="n">
        <v>793</v>
      </c>
      <c r="D861" s="19" t="n">
        <v>0</v>
      </c>
      <c r="E861" s="19" t="n">
        <v>20</v>
      </c>
      <c r="F861" s="19" t="n">
        <v>20</v>
      </c>
      <c r="G861" s="19" t="n">
        <v>0</v>
      </c>
      <c r="H861" s="18" t="s">
        <v>2048</v>
      </c>
    </row>
    <row r="862" customFormat="false" ht="15" hidden="false" customHeight="false" outlineLevel="0" collapsed="false">
      <c r="A862" s="18" t="s">
        <v>1861</v>
      </c>
      <c r="B862" s="18" t="s">
        <v>74</v>
      </c>
      <c r="C862" s="18" t="n">
        <v>795</v>
      </c>
      <c r="D862" s="19" t="n">
        <v>0</v>
      </c>
      <c r="E862" s="19" t="n">
        <v>460</v>
      </c>
      <c r="F862" s="19" t="n">
        <v>460</v>
      </c>
      <c r="G862" s="19" t="n">
        <v>0</v>
      </c>
      <c r="H862" s="18" t="s">
        <v>2048</v>
      </c>
    </row>
    <row r="863" customFormat="false" ht="15" hidden="false" customHeight="false" outlineLevel="0" collapsed="false">
      <c r="A863" s="18" t="s">
        <v>1862</v>
      </c>
      <c r="B863" s="18" t="s">
        <v>74</v>
      </c>
      <c r="C863" s="18" t="n">
        <v>796</v>
      </c>
      <c r="D863" s="19" t="n">
        <v>0</v>
      </c>
      <c r="E863" s="19" t="n">
        <v>2346</v>
      </c>
      <c r="F863" s="19" t="n">
        <v>2346</v>
      </c>
      <c r="G863" s="19" t="n">
        <v>0</v>
      </c>
      <c r="H863" s="18" t="s">
        <v>2048</v>
      </c>
    </row>
    <row r="864" customFormat="false" ht="15" hidden="false" customHeight="false" outlineLevel="0" collapsed="false">
      <c r="A864" s="18" t="s">
        <v>1864</v>
      </c>
      <c r="B864" s="18" t="s">
        <v>74</v>
      </c>
      <c r="C864" s="18" t="n">
        <v>797</v>
      </c>
      <c r="D864" s="19" t="n">
        <v>0</v>
      </c>
      <c r="E864" s="19" t="n">
        <v>805</v>
      </c>
      <c r="F864" s="19" t="n">
        <v>805</v>
      </c>
      <c r="G864" s="19" t="n">
        <v>0</v>
      </c>
      <c r="H864" s="18" t="s">
        <v>2048</v>
      </c>
    </row>
    <row r="865" customFormat="false" ht="15" hidden="false" customHeight="false" outlineLevel="0" collapsed="false">
      <c r="A865" s="18" t="s">
        <v>1865</v>
      </c>
      <c r="B865" s="18" t="s">
        <v>74</v>
      </c>
      <c r="C865" s="18" t="n">
        <v>798</v>
      </c>
      <c r="D865" s="19" t="n">
        <v>0</v>
      </c>
      <c r="E865" s="19" t="n">
        <v>4830</v>
      </c>
      <c r="F865" s="19" t="n">
        <v>4830</v>
      </c>
      <c r="G865" s="19" t="n">
        <v>0</v>
      </c>
      <c r="H865" s="18" t="s">
        <v>2048</v>
      </c>
    </row>
    <row r="866" customFormat="false" ht="15" hidden="false" customHeight="false" outlineLevel="0" collapsed="false">
      <c r="A866" s="18" t="s">
        <v>1866</v>
      </c>
      <c r="B866" s="18" t="s">
        <v>74</v>
      </c>
      <c r="C866" s="18" t="n">
        <v>799</v>
      </c>
      <c r="D866" s="19" t="n">
        <v>0</v>
      </c>
      <c r="E866" s="19" t="n">
        <v>1000</v>
      </c>
      <c r="F866" s="19" t="n">
        <v>1000</v>
      </c>
      <c r="G866" s="19" t="n">
        <v>0</v>
      </c>
      <c r="H866" s="18" t="s">
        <v>2048</v>
      </c>
    </row>
    <row r="867" customFormat="false" ht="15" hidden="false" customHeight="false" outlineLevel="0" collapsed="false">
      <c r="A867" s="18" t="s">
        <v>1867</v>
      </c>
      <c r="B867" s="18" t="s">
        <v>74</v>
      </c>
      <c r="C867" s="18" t="n">
        <v>800</v>
      </c>
      <c r="D867" s="19" t="n">
        <v>0</v>
      </c>
      <c r="E867" s="19" t="n">
        <v>837</v>
      </c>
      <c r="F867" s="19" t="n">
        <v>837</v>
      </c>
      <c r="G867" s="19" t="n">
        <v>0</v>
      </c>
      <c r="H867" s="18" t="s">
        <v>2048</v>
      </c>
    </row>
    <row r="868" customFormat="false" ht="15" hidden="false" customHeight="false" outlineLevel="0" collapsed="false">
      <c r="A868" s="18" t="s">
        <v>1869</v>
      </c>
      <c r="B868" s="18" t="s">
        <v>74</v>
      </c>
      <c r="C868" s="18" t="n">
        <v>801</v>
      </c>
      <c r="D868" s="19" t="n">
        <v>0</v>
      </c>
      <c r="E868" s="19" t="n">
        <v>20700</v>
      </c>
      <c r="F868" s="19" t="n">
        <v>20700</v>
      </c>
      <c r="G868" s="19" t="n">
        <v>0</v>
      </c>
      <c r="H868" s="18" t="s">
        <v>2048</v>
      </c>
    </row>
    <row r="869" customFormat="false" ht="15" hidden="false" customHeight="false" outlineLevel="0" collapsed="false">
      <c r="A869" s="18" t="s">
        <v>1871</v>
      </c>
      <c r="B869" s="18" t="s">
        <v>74</v>
      </c>
      <c r="C869" s="18" t="n">
        <v>803</v>
      </c>
      <c r="D869" s="19" t="n">
        <v>0</v>
      </c>
      <c r="E869" s="19" t="n">
        <v>1372</v>
      </c>
      <c r="F869" s="19" t="n">
        <v>1372</v>
      </c>
      <c r="G869" s="19" t="n">
        <v>0</v>
      </c>
      <c r="H869" s="18" t="s">
        <v>2048</v>
      </c>
    </row>
    <row r="870" customFormat="false" ht="15" hidden="false" customHeight="false" outlineLevel="0" collapsed="false">
      <c r="A870" s="18" t="s">
        <v>1873</v>
      </c>
      <c r="B870" s="18" t="s">
        <v>74</v>
      </c>
      <c r="C870" s="18" t="n">
        <v>804</v>
      </c>
      <c r="D870" s="19" t="n">
        <v>0</v>
      </c>
      <c r="E870" s="19" t="n">
        <v>5493.55</v>
      </c>
      <c r="F870" s="19" t="n">
        <v>5493.55</v>
      </c>
      <c r="G870" s="19" t="n">
        <v>0</v>
      </c>
      <c r="H870" s="18" t="s">
        <v>2048</v>
      </c>
    </row>
    <row r="871" customFormat="false" ht="15" hidden="false" customHeight="false" outlineLevel="0" collapsed="false">
      <c r="A871" s="18" t="s">
        <v>1875</v>
      </c>
      <c r="B871" s="18" t="s">
        <v>74</v>
      </c>
      <c r="C871" s="18" t="n">
        <v>805</v>
      </c>
      <c r="D871" s="19" t="n">
        <v>0</v>
      </c>
      <c r="E871" s="19" t="n">
        <v>362.25</v>
      </c>
      <c r="F871" s="19" t="n">
        <v>362.25</v>
      </c>
      <c r="G871" s="19" t="n">
        <v>0</v>
      </c>
      <c r="H871" s="18" t="s">
        <v>2048</v>
      </c>
    </row>
    <row r="872" customFormat="false" ht="15" hidden="false" customHeight="false" outlineLevel="0" collapsed="false">
      <c r="A872" s="18" t="s">
        <v>1876</v>
      </c>
      <c r="B872" s="18" t="s">
        <v>74</v>
      </c>
      <c r="C872" s="18" t="n">
        <v>806</v>
      </c>
      <c r="D872" s="19" t="n">
        <v>0</v>
      </c>
      <c r="E872" s="19" t="n">
        <v>130</v>
      </c>
      <c r="F872" s="19" t="n">
        <v>130</v>
      </c>
      <c r="G872" s="19" t="n">
        <v>0</v>
      </c>
      <c r="H872" s="18" t="s">
        <v>2048</v>
      </c>
    </row>
    <row r="873" customFormat="false" ht="15" hidden="false" customHeight="false" outlineLevel="0" collapsed="false">
      <c r="A873" s="18" t="s">
        <v>1877</v>
      </c>
      <c r="B873" s="18" t="s">
        <v>74</v>
      </c>
      <c r="C873" s="18" t="n">
        <v>807</v>
      </c>
      <c r="D873" s="19" t="n">
        <v>0</v>
      </c>
      <c r="E873" s="19" t="n">
        <v>12420</v>
      </c>
      <c r="F873" s="19" t="n">
        <v>12420</v>
      </c>
      <c r="G873" s="19" t="n">
        <v>0</v>
      </c>
      <c r="H873" s="18" t="s">
        <v>2048</v>
      </c>
    </row>
    <row r="874" customFormat="false" ht="15" hidden="false" customHeight="false" outlineLevel="0" collapsed="false">
      <c r="A874" s="18" t="s">
        <v>1879</v>
      </c>
      <c r="B874" s="18" t="s">
        <v>74</v>
      </c>
      <c r="C874" s="18" t="n">
        <v>808</v>
      </c>
      <c r="D874" s="19" t="n">
        <v>0</v>
      </c>
      <c r="E874" s="19" t="n">
        <v>1300</v>
      </c>
      <c r="F874" s="19" t="n">
        <v>1300</v>
      </c>
      <c r="G874" s="19" t="n">
        <v>0</v>
      </c>
      <c r="H874" s="18" t="s">
        <v>2048</v>
      </c>
    </row>
    <row r="875" customFormat="false" ht="15" hidden="false" customHeight="false" outlineLevel="0" collapsed="false">
      <c r="A875" s="18" t="s">
        <v>1881</v>
      </c>
      <c r="B875" s="18" t="s">
        <v>74</v>
      </c>
      <c r="C875" s="18" t="n">
        <v>809</v>
      </c>
      <c r="D875" s="19" t="n">
        <v>0</v>
      </c>
      <c r="E875" s="19" t="n">
        <v>161</v>
      </c>
      <c r="F875" s="19" t="n">
        <v>161</v>
      </c>
      <c r="G875" s="19" t="n">
        <v>0</v>
      </c>
      <c r="H875" s="18" t="s">
        <v>2048</v>
      </c>
    </row>
    <row r="876" customFormat="false" ht="15" hidden="false" customHeight="false" outlineLevel="0" collapsed="false">
      <c r="A876" s="18" t="s">
        <v>1882</v>
      </c>
      <c r="B876" s="18" t="s">
        <v>74</v>
      </c>
      <c r="C876" s="18" t="n">
        <v>810</v>
      </c>
      <c r="D876" s="19" t="n">
        <v>0</v>
      </c>
      <c r="E876" s="19" t="n">
        <v>1046.5</v>
      </c>
      <c r="F876" s="19" t="n">
        <v>1046.5</v>
      </c>
      <c r="G876" s="19" t="n">
        <v>0</v>
      </c>
      <c r="H876" s="18" t="s">
        <v>2048</v>
      </c>
    </row>
    <row r="877" customFormat="false" ht="15" hidden="false" customHeight="false" outlineLevel="0" collapsed="false">
      <c r="A877" s="18" t="s">
        <v>1884</v>
      </c>
      <c r="B877" s="18" t="s">
        <v>74</v>
      </c>
      <c r="C877" s="18" t="n">
        <v>811</v>
      </c>
      <c r="D877" s="19" t="n">
        <v>0</v>
      </c>
      <c r="E877" s="19" t="n">
        <v>905.6</v>
      </c>
      <c r="F877" s="19" t="n">
        <v>905.6</v>
      </c>
      <c r="G877" s="19" t="n">
        <v>0</v>
      </c>
      <c r="H877" s="18" t="s">
        <v>2048</v>
      </c>
    </row>
    <row r="878" customFormat="false" ht="15" hidden="false" customHeight="false" outlineLevel="0" collapsed="false">
      <c r="A878" s="18" t="s">
        <v>1886</v>
      </c>
      <c r="B878" s="18" t="s">
        <v>74</v>
      </c>
      <c r="C878" s="18" t="n">
        <v>812</v>
      </c>
      <c r="D878" s="19" t="n">
        <v>0</v>
      </c>
      <c r="E878" s="19" t="n">
        <v>320</v>
      </c>
      <c r="F878" s="19" t="n">
        <v>320</v>
      </c>
      <c r="G878" s="19" t="n">
        <v>0</v>
      </c>
      <c r="H878" s="18" t="s">
        <v>2048</v>
      </c>
    </row>
    <row r="879" customFormat="false" ht="15" hidden="false" customHeight="false" outlineLevel="0" collapsed="false">
      <c r="A879" s="18" t="s">
        <v>1887</v>
      </c>
      <c r="B879" s="18" t="s">
        <v>74</v>
      </c>
      <c r="C879" s="18" t="n">
        <v>813</v>
      </c>
      <c r="D879" s="19" t="n">
        <v>0</v>
      </c>
      <c r="E879" s="19" t="n">
        <v>115</v>
      </c>
      <c r="F879" s="19" t="n">
        <v>115</v>
      </c>
      <c r="G879" s="19" t="n">
        <v>0</v>
      </c>
      <c r="H879" s="18" t="s">
        <v>2048</v>
      </c>
    </row>
    <row r="880" customFormat="false" ht="15" hidden="false" customHeight="false" outlineLevel="0" collapsed="false">
      <c r="A880" s="18" t="s">
        <v>1888</v>
      </c>
      <c r="B880" s="18" t="s">
        <v>74</v>
      </c>
      <c r="C880" s="18" t="n">
        <v>814</v>
      </c>
      <c r="D880" s="19" t="n">
        <v>0</v>
      </c>
      <c r="E880" s="19" t="n">
        <v>125</v>
      </c>
      <c r="F880" s="19" t="n">
        <v>125</v>
      </c>
      <c r="G880" s="19" t="n">
        <v>0</v>
      </c>
      <c r="H880" s="18" t="s">
        <v>2048</v>
      </c>
    </row>
    <row r="881" customFormat="false" ht="15" hidden="false" customHeight="false" outlineLevel="0" collapsed="false">
      <c r="A881" s="18" t="s">
        <v>1889</v>
      </c>
      <c r="B881" s="18" t="s">
        <v>74</v>
      </c>
      <c r="C881" s="18" t="n">
        <v>815</v>
      </c>
      <c r="D881" s="19" t="n">
        <v>0</v>
      </c>
      <c r="E881" s="19" t="n">
        <v>1322.5</v>
      </c>
      <c r="F881" s="19" t="n">
        <v>1322.5</v>
      </c>
      <c r="G881" s="19" t="n">
        <v>0</v>
      </c>
      <c r="H881" s="18" t="s">
        <v>2048</v>
      </c>
    </row>
    <row r="882" customFormat="false" ht="15" hidden="false" customHeight="false" outlineLevel="0" collapsed="false">
      <c r="A882" s="18" t="s">
        <v>1890</v>
      </c>
      <c r="B882" s="18" t="s">
        <v>74</v>
      </c>
      <c r="C882" s="18" t="n">
        <v>816</v>
      </c>
      <c r="D882" s="19" t="n">
        <v>0</v>
      </c>
      <c r="E882" s="19" t="n">
        <v>15440</v>
      </c>
      <c r="F882" s="19" t="n">
        <v>15440</v>
      </c>
      <c r="G882" s="19" t="n">
        <v>0</v>
      </c>
      <c r="H882" s="18" t="s">
        <v>2048</v>
      </c>
    </row>
    <row r="883" customFormat="false" ht="15" hidden="false" customHeight="false" outlineLevel="0" collapsed="false">
      <c r="A883" s="18" t="s">
        <v>1892</v>
      </c>
      <c r="B883" s="18" t="s">
        <v>74</v>
      </c>
      <c r="C883" s="18" t="n">
        <v>817</v>
      </c>
      <c r="D883" s="19" t="n">
        <v>0</v>
      </c>
      <c r="E883" s="19" t="n">
        <v>2000</v>
      </c>
      <c r="F883" s="19" t="n">
        <v>2000</v>
      </c>
      <c r="G883" s="19" t="n">
        <v>0</v>
      </c>
      <c r="H883" s="18" t="s">
        <v>2048</v>
      </c>
    </row>
    <row r="884" customFormat="false" ht="15" hidden="false" customHeight="false" outlineLevel="0" collapsed="false">
      <c r="A884" s="18" t="s">
        <v>1893</v>
      </c>
      <c r="B884" s="18" t="s">
        <v>74</v>
      </c>
      <c r="C884" s="18" t="n">
        <v>820</v>
      </c>
      <c r="D884" s="19" t="n">
        <v>0</v>
      </c>
      <c r="E884" s="19" t="n">
        <v>920</v>
      </c>
      <c r="F884" s="19" t="n">
        <v>920</v>
      </c>
      <c r="G884" s="19" t="n">
        <v>0</v>
      </c>
      <c r="H884" s="18" t="s">
        <v>2048</v>
      </c>
    </row>
    <row r="885" customFormat="false" ht="15" hidden="false" customHeight="false" outlineLevel="0" collapsed="false">
      <c r="A885" s="18" t="s">
        <v>1894</v>
      </c>
      <c r="B885" s="18" t="s">
        <v>74</v>
      </c>
      <c r="C885" s="18" t="n">
        <v>821</v>
      </c>
      <c r="D885" s="19" t="n">
        <v>0</v>
      </c>
      <c r="E885" s="19" t="n">
        <v>207</v>
      </c>
      <c r="F885" s="19" t="n">
        <v>207</v>
      </c>
      <c r="G885" s="19" t="n">
        <v>0</v>
      </c>
      <c r="H885" s="18" t="s">
        <v>2048</v>
      </c>
    </row>
    <row r="886" customFormat="false" ht="15" hidden="false" customHeight="false" outlineLevel="0" collapsed="false">
      <c r="A886" s="18" t="s">
        <v>1895</v>
      </c>
      <c r="B886" s="18" t="s">
        <v>74</v>
      </c>
      <c r="C886" s="18" t="n">
        <v>822</v>
      </c>
      <c r="D886" s="19" t="n">
        <v>0</v>
      </c>
      <c r="E886" s="19" t="n">
        <v>57.5</v>
      </c>
      <c r="F886" s="19" t="n">
        <v>57.5</v>
      </c>
      <c r="G886" s="19" t="n">
        <v>0</v>
      </c>
      <c r="H886" s="18" t="s">
        <v>2048</v>
      </c>
    </row>
    <row r="887" customFormat="false" ht="15" hidden="false" customHeight="false" outlineLevel="0" collapsed="false">
      <c r="A887" s="18" t="s">
        <v>1896</v>
      </c>
      <c r="B887" s="18" t="s">
        <v>74</v>
      </c>
      <c r="C887" s="18" t="n">
        <v>823</v>
      </c>
      <c r="D887" s="19" t="n">
        <v>0</v>
      </c>
      <c r="E887" s="19" t="n">
        <v>115</v>
      </c>
      <c r="F887" s="19" t="n">
        <v>115</v>
      </c>
      <c r="G887" s="19" t="n">
        <v>0</v>
      </c>
      <c r="H887" s="18" t="s">
        <v>2048</v>
      </c>
    </row>
    <row r="888" customFormat="false" ht="15" hidden="false" customHeight="false" outlineLevel="0" collapsed="false">
      <c r="A888" s="18" t="s">
        <v>1897</v>
      </c>
      <c r="B888" s="18" t="s">
        <v>74</v>
      </c>
      <c r="C888" s="18" t="n">
        <v>824</v>
      </c>
      <c r="D888" s="19" t="n">
        <v>0</v>
      </c>
      <c r="E888" s="19" t="n">
        <v>5853.5</v>
      </c>
      <c r="F888" s="19" t="n">
        <v>5853.5</v>
      </c>
      <c r="G888" s="19" t="n">
        <v>0</v>
      </c>
      <c r="H888" s="18" t="s">
        <v>2048</v>
      </c>
    </row>
    <row r="889" customFormat="false" ht="15" hidden="false" customHeight="false" outlineLevel="0" collapsed="false">
      <c r="A889" s="18" t="s">
        <v>1899</v>
      </c>
      <c r="B889" s="18" t="s">
        <v>74</v>
      </c>
      <c r="C889" s="18" t="n">
        <v>825</v>
      </c>
      <c r="D889" s="19" t="n">
        <v>0</v>
      </c>
      <c r="E889" s="19" t="n">
        <v>3499.13</v>
      </c>
      <c r="F889" s="19" t="n">
        <v>3499.13</v>
      </c>
      <c r="G889" s="19" t="n">
        <v>0</v>
      </c>
      <c r="H889" s="18" t="s">
        <v>2048</v>
      </c>
    </row>
    <row r="890" customFormat="false" ht="15" hidden="false" customHeight="false" outlineLevel="0" collapsed="false">
      <c r="A890" s="18" t="s">
        <v>1901</v>
      </c>
      <c r="B890" s="18" t="s">
        <v>74</v>
      </c>
      <c r="C890" s="18" t="n">
        <v>826</v>
      </c>
      <c r="D890" s="19" t="n">
        <v>0</v>
      </c>
      <c r="E890" s="19" t="n">
        <v>62065.5</v>
      </c>
      <c r="F890" s="19" t="n">
        <v>62065.5</v>
      </c>
      <c r="G890" s="19" t="n">
        <v>0</v>
      </c>
      <c r="H890" s="18" t="s">
        <v>2048</v>
      </c>
    </row>
    <row r="891" customFormat="false" ht="15" hidden="false" customHeight="false" outlineLevel="0" collapsed="false">
      <c r="A891" s="18" t="s">
        <v>1903</v>
      </c>
      <c r="B891" s="18" t="s">
        <v>74</v>
      </c>
      <c r="C891" s="18" t="n">
        <v>827</v>
      </c>
      <c r="D891" s="19" t="n">
        <v>0</v>
      </c>
      <c r="E891" s="19" t="n">
        <v>529</v>
      </c>
      <c r="F891" s="19" t="n">
        <v>529</v>
      </c>
      <c r="G891" s="19" t="n">
        <v>0</v>
      </c>
      <c r="H891" s="18" t="s">
        <v>2048</v>
      </c>
    </row>
    <row r="892" customFormat="false" ht="15" hidden="false" customHeight="false" outlineLevel="0" collapsed="false">
      <c r="A892" s="18" t="s">
        <v>1905</v>
      </c>
      <c r="B892" s="18" t="s">
        <v>74</v>
      </c>
      <c r="C892" s="18" t="n">
        <v>828</v>
      </c>
      <c r="D892" s="19" t="n">
        <v>0</v>
      </c>
      <c r="E892" s="19" t="n">
        <v>402.5</v>
      </c>
      <c r="F892" s="19" t="n">
        <v>402.5</v>
      </c>
      <c r="G892" s="19" t="n">
        <v>0</v>
      </c>
      <c r="H892" s="18" t="s">
        <v>2048</v>
      </c>
    </row>
    <row r="893" customFormat="false" ht="15" hidden="false" customHeight="false" outlineLevel="0" collapsed="false">
      <c r="A893" s="18" t="s">
        <v>1906</v>
      </c>
      <c r="B893" s="18" t="s">
        <v>74</v>
      </c>
      <c r="C893" s="18" t="n">
        <v>829</v>
      </c>
      <c r="D893" s="19" t="n">
        <v>0</v>
      </c>
      <c r="E893" s="19" t="n">
        <v>115</v>
      </c>
      <c r="F893" s="19" t="n">
        <v>115</v>
      </c>
      <c r="G893" s="19" t="n">
        <v>0</v>
      </c>
      <c r="H893" s="18" t="s">
        <v>2048</v>
      </c>
    </row>
    <row r="894" customFormat="false" ht="15" hidden="false" customHeight="false" outlineLevel="0" collapsed="false">
      <c r="A894" s="18" t="s">
        <v>1907</v>
      </c>
      <c r="B894" s="18" t="s">
        <v>74</v>
      </c>
      <c r="C894" s="18" t="n">
        <v>830</v>
      </c>
      <c r="D894" s="19" t="n">
        <v>0</v>
      </c>
      <c r="E894" s="19" t="n">
        <v>724.5</v>
      </c>
      <c r="F894" s="19" t="n">
        <v>724.5</v>
      </c>
      <c r="G894" s="19" t="n">
        <v>0</v>
      </c>
      <c r="H894" s="18" t="s">
        <v>2048</v>
      </c>
    </row>
    <row r="895" customFormat="false" ht="15" hidden="false" customHeight="false" outlineLevel="0" collapsed="false">
      <c r="A895" s="18" t="s">
        <v>1909</v>
      </c>
      <c r="B895" s="18" t="s">
        <v>74</v>
      </c>
      <c r="C895" s="18" t="n">
        <v>832</v>
      </c>
      <c r="D895" s="19" t="n">
        <v>0</v>
      </c>
      <c r="E895" s="19" t="n">
        <v>50</v>
      </c>
      <c r="F895" s="19" t="n">
        <v>50</v>
      </c>
      <c r="G895" s="19" t="n">
        <v>0</v>
      </c>
      <c r="H895" s="18" t="s">
        <v>2048</v>
      </c>
    </row>
    <row r="896" customFormat="false" ht="15" hidden="false" customHeight="false" outlineLevel="0" collapsed="false">
      <c r="A896" s="18" t="s">
        <v>1910</v>
      </c>
      <c r="B896" s="18" t="s">
        <v>74</v>
      </c>
      <c r="C896" s="18" t="n">
        <v>833</v>
      </c>
      <c r="D896" s="19" t="n">
        <v>0</v>
      </c>
      <c r="E896" s="19" t="n">
        <v>292</v>
      </c>
      <c r="F896" s="19" t="n">
        <v>292</v>
      </c>
      <c r="G896" s="19" t="n">
        <v>0</v>
      </c>
      <c r="H896" s="18" t="s">
        <v>2048</v>
      </c>
    </row>
    <row r="897" customFormat="false" ht="15" hidden="false" customHeight="false" outlineLevel="0" collapsed="false">
      <c r="A897" s="18" t="s">
        <v>1912</v>
      </c>
      <c r="B897" s="18" t="s">
        <v>74</v>
      </c>
      <c r="C897" s="18" t="n">
        <v>834</v>
      </c>
      <c r="D897" s="19" t="n">
        <v>0</v>
      </c>
      <c r="E897" s="19" t="n">
        <v>7360</v>
      </c>
      <c r="F897" s="19" t="n">
        <v>7360</v>
      </c>
      <c r="G897" s="19" t="n">
        <v>0</v>
      </c>
      <c r="H897" s="18" t="s">
        <v>2048</v>
      </c>
    </row>
    <row r="898" customFormat="false" ht="15" hidden="false" customHeight="false" outlineLevel="0" collapsed="false">
      <c r="A898" s="18" t="s">
        <v>1914</v>
      </c>
      <c r="B898" s="18" t="s">
        <v>74</v>
      </c>
      <c r="C898" s="18" t="n">
        <v>835</v>
      </c>
      <c r="D898" s="19" t="n">
        <v>0</v>
      </c>
      <c r="E898" s="19" t="n">
        <v>201.75</v>
      </c>
      <c r="F898" s="19" t="n">
        <v>201.75</v>
      </c>
      <c r="G898" s="19" t="n">
        <v>0</v>
      </c>
      <c r="H898" s="18" t="s">
        <v>2048</v>
      </c>
    </row>
    <row r="899" customFormat="false" ht="15" hidden="false" customHeight="false" outlineLevel="0" collapsed="false">
      <c r="A899" s="18" t="s">
        <v>1916</v>
      </c>
      <c r="B899" s="18" t="s">
        <v>74</v>
      </c>
      <c r="C899" s="18" t="n">
        <v>836</v>
      </c>
      <c r="D899" s="19" t="n">
        <v>0</v>
      </c>
      <c r="E899" s="19" t="n">
        <v>782.5</v>
      </c>
      <c r="F899" s="19" t="n">
        <v>782.5</v>
      </c>
      <c r="G899" s="19" t="n">
        <v>0</v>
      </c>
      <c r="H899" s="18" t="s">
        <v>2048</v>
      </c>
    </row>
    <row r="900" customFormat="false" ht="15" hidden="false" customHeight="false" outlineLevel="0" collapsed="false">
      <c r="A900" s="18" t="s">
        <v>1918</v>
      </c>
      <c r="B900" s="18" t="s">
        <v>74</v>
      </c>
      <c r="C900" s="18" t="n">
        <v>837</v>
      </c>
      <c r="D900" s="19" t="n">
        <v>0</v>
      </c>
      <c r="E900" s="19" t="n">
        <v>27005.45</v>
      </c>
      <c r="F900" s="19" t="n">
        <v>27005.45</v>
      </c>
      <c r="G900" s="19" t="n">
        <v>0</v>
      </c>
      <c r="H900" s="18" t="s">
        <v>2048</v>
      </c>
    </row>
    <row r="901" customFormat="false" ht="15" hidden="false" customHeight="false" outlineLevel="0" collapsed="false">
      <c r="A901" s="18" t="s">
        <v>1920</v>
      </c>
      <c r="B901" s="18" t="s">
        <v>74</v>
      </c>
      <c r="C901" s="18" t="n">
        <v>838</v>
      </c>
      <c r="D901" s="19" t="n">
        <v>0</v>
      </c>
      <c r="E901" s="19" t="n">
        <v>1380</v>
      </c>
      <c r="F901" s="19" t="n">
        <v>1380</v>
      </c>
      <c r="G901" s="19" t="n">
        <v>0</v>
      </c>
      <c r="H901" s="18" t="s">
        <v>2048</v>
      </c>
    </row>
    <row r="902" customFormat="false" ht="15" hidden="false" customHeight="false" outlineLevel="0" collapsed="false">
      <c r="A902" s="18" t="s">
        <v>1921</v>
      </c>
      <c r="B902" s="18" t="s">
        <v>74</v>
      </c>
      <c r="C902" s="18" t="n">
        <v>839</v>
      </c>
      <c r="D902" s="19" t="n">
        <v>0</v>
      </c>
      <c r="E902" s="19" t="n">
        <v>115</v>
      </c>
      <c r="F902" s="19" t="n">
        <v>115</v>
      </c>
      <c r="G902" s="19" t="n">
        <v>0</v>
      </c>
      <c r="H902" s="18" t="s">
        <v>2048</v>
      </c>
    </row>
    <row r="903" customFormat="false" ht="15" hidden="false" customHeight="false" outlineLevel="0" collapsed="false">
      <c r="A903" s="18" t="s">
        <v>1922</v>
      </c>
      <c r="B903" s="18" t="s">
        <v>74</v>
      </c>
      <c r="C903" s="18" t="n">
        <v>840</v>
      </c>
      <c r="D903" s="19" t="n">
        <v>0</v>
      </c>
      <c r="E903" s="19" t="n">
        <v>5865</v>
      </c>
      <c r="F903" s="19" t="n">
        <v>5865</v>
      </c>
      <c r="G903" s="19" t="n">
        <v>0</v>
      </c>
      <c r="H903" s="18" t="s">
        <v>2048</v>
      </c>
    </row>
    <row r="904" customFormat="false" ht="15" hidden="false" customHeight="false" outlineLevel="0" collapsed="false">
      <c r="A904" s="18" t="s">
        <v>1924</v>
      </c>
      <c r="B904" s="18" t="s">
        <v>74</v>
      </c>
      <c r="C904" s="18" t="n">
        <v>841</v>
      </c>
      <c r="D904" s="19" t="n">
        <v>0</v>
      </c>
      <c r="E904" s="19" t="n">
        <v>279</v>
      </c>
      <c r="F904" s="19" t="n">
        <v>279</v>
      </c>
      <c r="G904" s="19" t="n">
        <v>0</v>
      </c>
      <c r="H904" s="18" t="s">
        <v>2048</v>
      </c>
    </row>
    <row r="905" customFormat="false" ht="15" hidden="false" customHeight="false" outlineLevel="0" collapsed="false">
      <c r="A905" s="18" t="s">
        <v>1926</v>
      </c>
      <c r="B905" s="18" t="s">
        <v>74</v>
      </c>
      <c r="C905" s="18" t="n">
        <v>842</v>
      </c>
      <c r="D905" s="19" t="n">
        <v>0</v>
      </c>
      <c r="E905" s="19" t="n">
        <v>57.5</v>
      </c>
      <c r="F905" s="19" t="n">
        <v>57.5</v>
      </c>
      <c r="G905" s="19" t="n">
        <v>0</v>
      </c>
      <c r="H905" s="18" t="s">
        <v>2048</v>
      </c>
    </row>
    <row r="906" customFormat="false" ht="15" hidden="false" customHeight="false" outlineLevel="0" collapsed="false">
      <c r="A906" s="18" t="s">
        <v>1927</v>
      </c>
      <c r="B906" s="18" t="s">
        <v>74</v>
      </c>
      <c r="C906" s="18" t="n">
        <v>843</v>
      </c>
      <c r="D906" s="19" t="n">
        <v>0</v>
      </c>
      <c r="E906" s="19" t="n">
        <v>184</v>
      </c>
      <c r="F906" s="19" t="n">
        <v>184</v>
      </c>
      <c r="G906" s="19" t="n">
        <v>0</v>
      </c>
      <c r="H906" s="18" t="s">
        <v>2048</v>
      </c>
    </row>
    <row r="907" customFormat="false" ht="15" hidden="false" customHeight="false" outlineLevel="0" collapsed="false">
      <c r="A907" s="18" t="s">
        <v>1928</v>
      </c>
      <c r="B907" s="18" t="s">
        <v>74</v>
      </c>
      <c r="C907" s="18" t="n">
        <v>844</v>
      </c>
      <c r="D907" s="19" t="n">
        <v>0</v>
      </c>
      <c r="E907" s="19" t="n">
        <v>1913.6</v>
      </c>
      <c r="F907" s="19" t="n">
        <v>1913.6</v>
      </c>
      <c r="G907" s="19" t="n">
        <v>0</v>
      </c>
      <c r="H907" s="18" t="s">
        <v>2048</v>
      </c>
    </row>
    <row r="908" customFormat="false" ht="15" hidden="false" customHeight="false" outlineLevel="0" collapsed="false">
      <c r="A908" s="18" t="s">
        <v>1930</v>
      </c>
      <c r="B908" s="18" t="s">
        <v>74</v>
      </c>
      <c r="C908" s="18" t="n">
        <v>845</v>
      </c>
      <c r="D908" s="19" t="n">
        <v>0</v>
      </c>
      <c r="E908" s="19" t="n">
        <v>2070</v>
      </c>
      <c r="F908" s="19" t="n">
        <v>2070</v>
      </c>
      <c r="G908" s="19" t="n">
        <v>0</v>
      </c>
      <c r="H908" s="18" t="s">
        <v>2048</v>
      </c>
    </row>
    <row r="909" customFormat="false" ht="15" hidden="false" customHeight="false" outlineLevel="0" collapsed="false">
      <c r="A909" s="18" t="s">
        <v>1931</v>
      </c>
      <c r="B909" s="18" t="s">
        <v>74</v>
      </c>
      <c r="C909" s="18" t="n">
        <v>847</v>
      </c>
      <c r="D909" s="19" t="n">
        <v>0</v>
      </c>
      <c r="E909" s="19" t="n">
        <v>1104</v>
      </c>
      <c r="F909" s="19" t="n">
        <v>1104</v>
      </c>
      <c r="G909" s="19" t="n">
        <v>0</v>
      </c>
      <c r="H909" s="18" t="s">
        <v>2048</v>
      </c>
    </row>
    <row r="910" customFormat="false" ht="15" hidden="false" customHeight="false" outlineLevel="0" collapsed="false">
      <c r="A910" s="18" t="s">
        <v>1932</v>
      </c>
      <c r="B910" s="18" t="s">
        <v>74</v>
      </c>
      <c r="C910" s="18" t="n">
        <v>848</v>
      </c>
      <c r="D910" s="19" t="n">
        <v>0</v>
      </c>
      <c r="E910" s="19" t="n">
        <v>15904.5</v>
      </c>
      <c r="F910" s="19" t="n">
        <v>15904.5</v>
      </c>
      <c r="G910" s="19" t="n">
        <v>0</v>
      </c>
      <c r="H910" s="18" t="s">
        <v>2048</v>
      </c>
    </row>
    <row r="911" customFormat="false" ht="15" hidden="false" customHeight="false" outlineLevel="0" collapsed="false">
      <c r="A911" s="18" t="s">
        <v>1934</v>
      </c>
      <c r="B911" s="18" t="s">
        <v>74</v>
      </c>
      <c r="C911" s="18" t="n">
        <v>849</v>
      </c>
      <c r="D911" s="19" t="n">
        <v>0</v>
      </c>
      <c r="E911" s="19" t="n">
        <v>3105</v>
      </c>
      <c r="F911" s="19" t="n">
        <v>3105</v>
      </c>
      <c r="G911" s="19" t="n">
        <v>0</v>
      </c>
      <c r="H911" s="18" t="s">
        <v>2048</v>
      </c>
    </row>
    <row r="912" customFormat="false" ht="15" hidden="false" customHeight="false" outlineLevel="0" collapsed="false">
      <c r="A912" s="18" t="s">
        <v>1935</v>
      </c>
      <c r="B912" s="18" t="s">
        <v>74</v>
      </c>
      <c r="C912" s="18" t="n">
        <v>850</v>
      </c>
      <c r="D912" s="19" t="n">
        <v>0</v>
      </c>
      <c r="E912" s="19" t="n">
        <v>27312.5</v>
      </c>
      <c r="F912" s="19" t="n">
        <v>27312.5</v>
      </c>
      <c r="G912" s="19" t="n">
        <v>0</v>
      </c>
      <c r="H912" s="18" t="s">
        <v>2048</v>
      </c>
    </row>
    <row r="913" customFormat="false" ht="15" hidden="false" customHeight="false" outlineLevel="0" collapsed="false">
      <c r="A913" s="18" t="s">
        <v>1937</v>
      </c>
      <c r="B913" s="18" t="s">
        <v>74</v>
      </c>
      <c r="C913" s="18" t="n">
        <v>851</v>
      </c>
      <c r="D913" s="19" t="n">
        <v>0</v>
      </c>
      <c r="E913" s="19" t="n">
        <v>14168</v>
      </c>
      <c r="F913" s="19" t="n">
        <v>14168</v>
      </c>
      <c r="G913" s="19" t="n">
        <v>0</v>
      </c>
      <c r="H913" s="18" t="s">
        <v>2048</v>
      </c>
    </row>
    <row r="914" customFormat="false" ht="15" hidden="false" customHeight="false" outlineLevel="0" collapsed="false">
      <c r="A914" s="18" t="s">
        <v>1939</v>
      </c>
      <c r="B914" s="18" t="s">
        <v>74</v>
      </c>
      <c r="C914" s="18" t="n">
        <v>852</v>
      </c>
      <c r="D914" s="19" t="n">
        <v>0</v>
      </c>
      <c r="E914" s="19" t="n">
        <v>46</v>
      </c>
      <c r="F914" s="19" t="n">
        <v>46</v>
      </c>
      <c r="G914" s="19" t="n">
        <v>0</v>
      </c>
      <c r="H914" s="18" t="s">
        <v>2048</v>
      </c>
    </row>
    <row r="915" customFormat="false" ht="15" hidden="false" customHeight="false" outlineLevel="0" collapsed="false">
      <c r="A915" s="18" t="s">
        <v>1940</v>
      </c>
      <c r="B915" s="18" t="s">
        <v>74</v>
      </c>
      <c r="C915" s="18" t="n">
        <v>853</v>
      </c>
      <c r="D915" s="19" t="n">
        <v>0</v>
      </c>
      <c r="E915" s="19" t="n">
        <v>23</v>
      </c>
      <c r="F915" s="19" t="n">
        <v>23</v>
      </c>
      <c r="G915" s="19" t="n">
        <v>0</v>
      </c>
      <c r="H915" s="18" t="s">
        <v>2048</v>
      </c>
    </row>
    <row r="916" customFormat="false" ht="15" hidden="false" customHeight="false" outlineLevel="0" collapsed="false">
      <c r="A916" s="18" t="s">
        <v>1941</v>
      </c>
      <c r="B916" s="18" t="s">
        <v>74</v>
      </c>
      <c r="C916" s="18" t="n">
        <v>854</v>
      </c>
      <c r="D916" s="19" t="n">
        <v>0</v>
      </c>
      <c r="E916" s="19" t="n">
        <v>115</v>
      </c>
      <c r="F916" s="19" t="n">
        <v>115</v>
      </c>
      <c r="G916" s="19" t="n">
        <v>0</v>
      </c>
      <c r="H916" s="18" t="s">
        <v>2048</v>
      </c>
    </row>
    <row r="917" customFormat="false" ht="15" hidden="false" customHeight="false" outlineLevel="0" collapsed="false">
      <c r="A917" s="18" t="s">
        <v>1942</v>
      </c>
      <c r="B917" s="18" t="s">
        <v>74</v>
      </c>
      <c r="C917" s="18" t="n">
        <v>855</v>
      </c>
      <c r="D917" s="19" t="n">
        <v>0</v>
      </c>
      <c r="E917" s="19" t="n">
        <v>3737.5</v>
      </c>
      <c r="F917" s="19" t="n">
        <v>3737.5</v>
      </c>
      <c r="G917" s="19" t="n">
        <v>0</v>
      </c>
      <c r="H917" s="18" t="s">
        <v>2048</v>
      </c>
    </row>
    <row r="918" customFormat="false" ht="15" hidden="false" customHeight="false" outlineLevel="0" collapsed="false">
      <c r="A918" s="18" t="s">
        <v>1944</v>
      </c>
      <c r="B918" s="18" t="s">
        <v>74</v>
      </c>
      <c r="C918" s="18" t="n">
        <v>856</v>
      </c>
      <c r="D918" s="19" t="n">
        <v>0</v>
      </c>
      <c r="E918" s="19" t="n">
        <v>138</v>
      </c>
      <c r="F918" s="19" t="n">
        <v>138</v>
      </c>
      <c r="G918" s="19" t="n">
        <v>0</v>
      </c>
      <c r="H918" s="18" t="s">
        <v>2048</v>
      </c>
    </row>
    <row r="919" customFormat="false" ht="15" hidden="false" customHeight="false" outlineLevel="0" collapsed="false">
      <c r="A919" s="18" t="s">
        <v>1945</v>
      </c>
      <c r="B919" s="18" t="s">
        <v>74</v>
      </c>
      <c r="C919" s="18" t="n">
        <v>858</v>
      </c>
      <c r="D919" s="19" t="n">
        <v>0</v>
      </c>
      <c r="E919" s="19" t="n">
        <v>150</v>
      </c>
      <c r="F919" s="19" t="n">
        <v>150</v>
      </c>
      <c r="G919" s="19" t="n">
        <v>0</v>
      </c>
      <c r="H919" s="18" t="s">
        <v>2048</v>
      </c>
    </row>
    <row r="920" customFormat="false" ht="15" hidden="false" customHeight="false" outlineLevel="0" collapsed="false">
      <c r="A920" s="18" t="s">
        <v>1946</v>
      </c>
      <c r="B920" s="18" t="s">
        <v>74</v>
      </c>
      <c r="C920" s="18" t="n">
        <v>859</v>
      </c>
      <c r="D920" s="19" t="n">
        <v>0</v>
      </c>
      <c r="E920" s="19" t="n">
        <v>6601.65</v>
      </c>
      <c r="F920" s="19" t="n">
        <v>6601.65</v>
      </c>
      <c r="G920" s="19" t="n">
        <v>0</v>
      </c>
      <c r="H920" s="18" t="s">
        <v>2048</v>
      </c>
    </row>
    <row r="921" customFormat="false" ht="15" hidden="false" customHeight="false" outlineLevel="0" collapsed="false">
      <c r="A921" s="18" t="s">
        <v>1948</v>
      </c>
      <c r="B921" s="18" t="s">
        <v>74</v>
      </c>
      <c r="C921" s="18" t="n">
        <v>860</v>
      </c>
      <c r="D921" s="19" t="n">
        <v>0</v>
      </c>
      <c r="E921" s="19" t="n">
        <v>212.75</v>
      </c>
      <c r="F921" s="19" t="n">
        <v>212.75</v>
      </c>
      <c r="G921" s="19" t="n">
        <v>0</v>
      </c>
      <c r="H921" s="18" t="s">
        <v>2048</v>
      </c>
    </row>
    <row r="922" customFormat="false" ht="15" hidden="false" customHeight="false" outlineLevel="0" collapsed="false">
      <c r="A922" s="18" t="s">
        <v>1950</v>
      </c>
      <c r="B922" s="18" t="s">
        <v>74</v>
      </c>
      <c r="C922" s="18" t="n">
        <v>861</v>
      </c>
      <c r="D922" s="19" t="n">
        <v>0</v>
      </c>
      <c r="E922" s="19" t="n">
        <v>57.5</v>
      </c>
      <c r="F922" s="19" t="n">
        <v>57.5</v>
      </c>
      <c r="G922" s="19" t="n">
        <v>0</v>
      </c>
      <c r="H922" s="18" t="s">
        <v>2048</v>
      </c>
    </row>
    <row r="923" customFormat="false" ht="15" hidden="false" customHeight="false" outlineLevel="0" collapsed="false">
      <c r="A923" s="18" t="s">
        <v>1951</v>
      </c>
      <c r="B923" s="18" t="s">
        <v>74</v>
      </c>
      <c r="C923" s="18" t="n">
        <v>862</v>
      </c>
      <c r="D923" s="19" t="n">
        <v>0</v>
      </c>
      <c r="E923" s="19" t="n">
        <v>13800</v>
      </c>
      <c r="F923" s="19" t="n">
        <v>13800</v>
      </c>
      <c r="G923" s="19" t="n">
        <v>0</v>
      </c>
      <c r="H923" s="18" t="s">
        <v>2048</v>
      </c>
    </row>
    <row r="924" customFormat="false" ht="15" hidden="false" customHeight="false" outlineLevel="0" collapsed="false">
      <c r="A924" s="18" t="s">
        <v>1953</v>
      </c>
      <c r="B924" s="18" t="s">
        <v>74</v>
      </c>
      <c r="C924" s="18" t="n">
        <v>863</v>
      </c>
      <c r="D924" s="19" t="n">
        <v>0</v>
      </c>
      <c r="E924" s="19" t="n">
        <v>632.5</v>
      </c>
      <c r="F924" s="19" t="n">
        <v>632.5</v>
      </c>
      <c r="G924" s="19" t="n">
        <v>0</v>
      </c>
      <c r="H924" s="18" t="s">
        <v>2048</v>
      </c>
    </row>
    <row r="925" customFormat="false" ht="15" hidden="false" customHeight="false" outlineLevel="0" collapsed="false">
      <c r="A925" s="18" t="s">
        <v>1954</v>
      </c>
      <c r="B925" s="18" t="s">
        <v>74</v>
      </c>
      <c r="C925" s="18" t="n">
        <v>864</v>
      </c>
      <c r="D925" s="19" t="n">
        <v>0</v>
      </c>
      <c r="E925" s="19" t="n">
        <v>55</v>
      </c>
      <c r="F925" s="19" t="n">
        <v>55</v>
      </c>
      <c r="G925" s="19" t="n">
        <v>0</v>
      </c>
      <c r="H925" s="18" t="s">
        <v>2048</v>
      </c>
    </row>
    <row r="926" customFormat="false" ht="15" hidden="false" customHeight="false" outlineLevel="0" collapsed="false">
      <c r="A926" s="18" t="s">
        <v>1956</v>
      </c>
      <c r="B926" s="18" t="s">
        <v>74</v>
      </c>
      <c r="C926" s="18" t="n">
        <v>865</v>
      </c>
      <c r="D926" s="19" t="n">
        <v>0</v>
      </c>
      <c r="E926" s="19" t="n">
        <v>850</v>
      </c>
      <c r="F926" s="19" t="n">
        <v>850</v>
      </c>
      <c r="G926" s="19" t="n">
        <v>0</v>
      </c>
      <c r="H926" s="18" t="s">
        <v>2048</v>
      </c>
    </row>
    <row r="927" customFormat="false" ht="15" hidden="false" customHeight="false" outlineLevel="0" collapsed="false">
      <c r="A927" s="18" t="s">
        <v>1957</v>
      </c>
      <c r="B927" s="18" t="s">
        <v>74</v>
      </c>
      <c r="C927" s="18" t="n">
        <v>866</v>
      </c>
      <c r="D927" s="19" t="n">
        <v>0</v>
      </c>
      <c r="E927" s="19" t="n">
        <v>100</v>
      </c>
      <c r="F927" s="19" t="n">
        <v>100</v>
      </c>
      <c r="G927" s="19" t="n">
        <v>0</v>
      </c>
      <c r="H927" s="18" t="s">
        <v>2048</v>
      </c>
    </row>
    <row r="928" customFormat="false" ht="15" hidden="false" customHeight="false" outlineLevel="0" collapsed="false">
      <c r="A928" s="18" t="s">
        <v>1958</v>
      </c>
      <c r="B928" s="18" t="s">
        <v>74</v>
      </c>
      <c r="C928" s="18" t="n">
        <v>867</v>
      </c>
      <c r="D928" s="19" t="n">
        <v>0</v>
      </c>
      <c r="E928" s="19" t="n">
        <v>883.2</v>
      </c>
      <c r="F928" s="19" t="n">
        <v>883.2</v>
      </c>
      <c r="G928" s="19" t="n">
        <v>0</v>
      </c>
      <c r="H928" s="18" t="s">
        <v>2048</v>
      </c>
    </row>
    <row r="929" customFormat="false" ht="15" hidden="false" customHeight="false" outlineLevel="0" collapsed="false">
      <c r="A929" s="18" t="s">
        <v>1960</v>
      </c>
      <c r="B929" s="18" t="s">
        <v>74</v>
      </c>
      <c r="C929" s="18" t="n">
        <v>868</v>
      </c>
      <c r="D929" s="19" t="n">
        <v>0</v>
      </c>
      <c r="E929" s="19" t="n">
        <v>1300</v>
      </c>
      <c r="F929" s="19" t="n">
        <v>1300</v>
      </c>
      <c r="G929" s="19" t="n">
        <v>0</v>
      </c>
      <c r="H929" s="18" t="s">
        <v>2048</v>
      </c>
    </row>
    <row r="930" customFormat="false" ht="15" hidden="false" customHeight="false" outlineLevel="0" collapsed="false">
      <c r="A930" s="18" t="s">
        <v>1961</v>
      </c>
      <c r="B930" s="18" t="s">
        <v>74</v>
      </c>
      <c r="C930" s="18" t="n">
        <v>869</v>
      </c>
      <c r="D930" s="19" t="n">
        <v>0</v>
      </c>
      <c r="E930" s="19" t="n">
        <v>200</v>
      </c>
      <c r="F930" s="19" t="n">
        <v>200</v>
      </c>
      <c r="G930" s="19" t="n">
        <v>0</v>
      </c>
      <c r="H930" s="18" t="s">
        <v>2048</v>
      </c>
    </row>
    <row r="931" customFormat="false" ht="15" hidden="false" customHeight="false" outlineLevel="0" collapsed="false">
      <c r="A931" s="18" t="s">
        <v>1962</v>
      </c>
      <c r="B931" s="18" t="s">
        <v>74</v>
      </c>
      <c r="C931" s="18" t="n">
        <v>870</v>
      </c>
      <c r="D931" s="19" t="n">
        <v>0</v>
      </c>
      <c r="E931" s="19" t="n">
        <v>6404.35</v>
      </c>
      <c r="F931" s="19" t="n">
        <v>6404.35</v>
      </c>
      <c r="G931" s="19" t="n">
        <v>0</v>
      </c>
      <c r="H931" s="18" t="s">
        <v>2048</v>
      </c>
    </row>
    <row r="932" customFormat="false" ht="15" hidden="false" customHeight="false" outlineLevel="0" collapsed="false">
      <c r="A932" s="18" t="s">
        <v>1964</v>
      </c>
      <c r="B932" s="18" t="s">
        <v>74</v>
      </c>
      <c r="C932" s="18" t="n">
        <v>871</v>
      </c>
      <c r="D932" s="19" t="n">
        <v>0</v>
      </c>
      <c r="E932" s="19" t="n">
        <v>575</v>
      </c>
      <c r="F932" s="19" t="n">
        <v>575</v>
      </c>
      <c r="G932" s="19" t="n">
        <v>0</v>
      </c>
      <c r="H932" s="18" t="s">
        <v>2048</v>
      </c>
    </row>
    <row r="933" customFormat="false" ht="15" hidden="false" customHeight="false" outlineLevel="0" collapsed="false">
      <c r="A933" s="18" t="s">
        <v>1965</v>
      </c>
      <c r="B933" s="18" t="s">
        <v>74</v>
      </c>
      <c r="C933" s="18" t="n">
        <v>872</v>
      </c>
      <c r="D933" s="19" t="n">
        <v>0</v>
      </c>
      <c r="E933" s="19" t="n">
        <v>16500.15</v>
      </c>
      <c r="F933" s="19" t="n">
        <v>16500.15</v>
      </c>
      <c r="G933" s="19" t="n">
        <v>0</v>
      </c>
      <c r="H933" s="18" t="s">
        <v>2048</v>
      </c>
    </row>
    <row r="934" customFormat="false" ht="15" hidden="false" customHeight="false" outlineLevel="0" collapsed="false">
      <c r="A934" s="18" t="s">
        <v>1967</v>
      </c>
      <c r="B934" s="18" t="s">
        <v>74</v>
      </c>
      <c r="C934" s="18" t="n">
        <v>873</v>
      </c>
      <c r="D934" s="19" t="n">
        <v>0</v>
      </c>
      <c r="E934" s="19" t="n">
        <v>253</v>
      </c>
      <c r="F934" s="19" t="n">
        <v>253</v>
      </c>
      <c r="G934" s="19" t="n">
        <v>0</v>
      </c>
      <c r="H934" s="18" t="s">
        <v>2048</v>
      </c>
    </row>
    <row r="935" customFormat="false" ht="15" hidden="false" customHeight="false" outlineLevel="0" collapsed="false">
      <c r="A935" s="18" t="s">
        <v>1968</v>
      </c>
      <c r="B935" s="18" t="s">
        <v>74</v>
      </c>
      <c r="C935" s="18" t="n">
        <v>874</v>
      </c>
      <c r="D935" s="19" t="n">
        <v>0</v>
      </c>
      <c r="E935" s="19" t="n">
        <v>184</v>
      </c>
      <c r="F935" s="19" t="n">
        <v>184</v>
      </c>
      <c r="G935" s="19" t="n">
        <v>0</v>
      </c>
      <c r="H935" s="18" t="s">
        <v>2048</v>
      </c>
    </row>
    <row r="936" customFormat="false" ht="15" hidden="false" customHeight="false" outlineLevel="0" collapsed="false">
      <c r="A936" s="18" t="s">
        <v>1969</v>
      </c>
      <c r="B936" s="18" t="s">
        <v>74</v>
      </c>
      <c r="C936" s="18" t="n">
        <v>875</v>
      </c>
      <c r="D936" s="19" t="n">
        <v>0</v>
      </c>
      <c r="E936" s="19" t="n">
        <v>172.5</v>
      </c>
      <c r="F936" s="19" t="n">
        <v>172.5</v>
      </c>
      <c r="G936" s="19" t="n">
        <v>0</v>
      </c>
      <c r="H936" s="18" t="s">
        <v>2048</v>
      </c>
    </row>
    <row r="937" customFormat="false" ht="15" hidden="false" customHeight="false" outlineLevel="0" collapsed="false">
      <c r="A937" s="18" t="s">
        <v>1970</v>
      </c>
      <c r="B937" s="18" t="s">
        <v>74</v>
      </c>
      <c r="C937" s="18" t="n">
        <v>876</v>
      </c>
      <c r="D937" s="19" t="n">
        <v>0</v>
      </c>
      <c r="E937" s="19" t="n">
        <v>1035</v>
      </c>
      <c r="F937" s="19" t="n">
        <v>1035</v>
      </c>
      <c r="G937" s="19" t="n">
        <v>0</v>
      </c>
      <c r="H937" s="18" t="s">
        <v>2048</v>
      </c>
    </row>
    <row r="938" customFormat="false" ht="15" hidden="false" customHeight="false" outlineLevel="0" collapsed="false">
      <c r="A938" s="18" t="s">
        <v>1971</v>
      </c>
      <c r="B938" s="18" t="s">
        <v>74</v>
      </c>
      <c r="C938" s="18" t="n">
        <v>877</v>
      </c>
      <c r="D938" s="19" t="n">
        <v>0</v>
      </c>
      <c r="E938" s="19" t="n">
        <v>819.95</v>
      </c>
      <c r="F938" s="19" t="n">
        <v>819.95</v>
      </c>
      <c r="G938" s="19" t="n">
        <v>0</v>
      </c>
      <c r="H938" s="18" t="s">
        <v>2048</v>
      </c>
    </row>
    <row r="939" customFormat="false" ht="15" hidden="false" customHeight="false" outlineLevel="0" collapsed="false">
      <c r="A939" s="18" t="s">
        <v>1973</v>
      </c>
      <c r="B939" s="18" t="s">
        <v>74</v>
      </c>
      <c r="C939" s="18" t="n">
        <v>878</v>
      </c>
      <c r="D939" s="19" t="n">
        <v>0</v>
      </c>
      <c r="E939" s="19" t="n">
        <v>172.5</v>
      </c>
      <c r="F939" s="19" t="n">
        <v>172.5</v>
      </c>
      <c r="G939" s="19" t="n">
        <v>0</v>
      </c>
      <c r="H939" s="18" t="s">
        <v>2048</v>
      </c>
    </row>
    <row r="940" customFormat="false" ht="15" hidden="false" customHeight="false" outlineLevel="0" collapsed="false">
      <c r="A940" s="18" t="s">
        <v>1974</v>
      </c>
      <c r="B940" s="18" t="s">
        <v>74</v>
      </c>
      <c r="C940" s="18" t="n">
        <v>879</v>
      </c>
      <c r="D940" s="19" t="n">
        <v>0</v>
      </c>
      <c r="E940" s="19" t="n">
        <v>4680.5</v>
      </c>
      <c r="F940" s="19" t="n">
        <v>4680.5</v>
      </c>
      <c r="G940" s="19" t="n">
        <v>0</v>
      </c>
      <c r="H940" s="18" t="s">
        <v>2048</v>
      </c>
    </row>
    <row r="941" customFormat="false" ht="15" hidden="false" customHeight="false" outlineLevel="0" collapsed="false">
      <c r="A941" s="18" t="s">
        <v>1976</v>
      </c>
      <c r="B941" s="18" t="s">
        <v>74</v>
      </c>
      <c r="C941" s="18" t="n">
        <v>880</v>
      </c>
      <c r="D941" s="19" t="n">
        <v>0</v>
      </c>
      <c r="E941" s="19" t="n">
        <v>130</v>
      </c>
      <c r="F941" s="19" t="n">
        <v>130</v>
      </c>
      <c r="G941" s="19" t="n">
        <v>0</v>
      </c>
      <c r="H941" s="18" t="s">
        <v>2048</v>
      </c>
    </row>
    <row r="942" customFormat="false" ht="15" hidden="false" customHeight="false" outlineLevel="0" collapsed="false">
      <c r="A942" s="18" t="s">
        <v>1977</v>
      </c>
      <c r="B942" s="18" t="s">
        <v>74</v>
      </c>
      <c r="C942" s="18" t="n">
        <v>881</v>
      </c>
      <c r="D942" s="19" t="n">
        <v>0</v>
      </c>
      <c r="E942" s="19" t="n">
        <v>271.4</v>
      </c>
      <c r="F942" s="19" t="n">
        <v>271.4</v>
      </c>
      <c r="G942" s="19" t="n">
        <v>0</v>
      </c>
      <c r="H942" s="18" t="s">
        <v>2048</v>
      </c>
    </row>
    <row r="943" customFormat="false" ht="15" hidden="false" customHeight="false" outlineLevel="0" collapsed="false">
      <c r="A943" s="18" t="s">
        <v>1979</v>
      </c>
      <c r="B943" s="18" t="s">
        <v>74</v>
      </c>
      <c r="C943" s="18" t="n">
        <v>883</v>
      </c>
      <c r="D943" s="19" t="n">
        <v>0</v>
      </c>
      <c r="E943" s="19" t="n">
        <v>6350</v>
      </c>
      <c r="F943" s="19" t="n">
        <v>6350</v>
      </c>
      <c r="G943" s="19" t="n">
        <v>0</v>
      </c>
      <c r="H943" s="18" t="s">
        <v>2048</v>
      </c>
    </row>
    <row r="944" customFormat="false" ht="15" hidden="false" customHeight="false" outlineLevel="0" collapsed="false">
      <c r="A944" s="18" t="s">
        <v>1981</v>
      </c>
      <c r="B944" s="18" t="s">
        <v>74</v>
      </c>
      <c r="C944" s="18" t="n">
        <v>884</v>
      </c>
      <c r="D944" s="19" t="n">
        <v>0</v>
      </c>
      <c r="E944" s="19" t="n">
        <v>1058</v>
      </c>
      <c r="F944" s="19" t="n">
        <v>1058</v>
      </c>
      <c r="G944" s="19" t="n">
        <v>0</v>
      </c>
      <c r="H944" s="18" t="s">
        <v>2048</v>
      </c>
    </row>
    <row r="945" customFormat="false" ht="15" hidden="false" customHeight="false" outlineLevel="0" collapsed="false">
      <c r="A945" s="18" t="s">
        <v>1983</v>
      </c>
      <c r="B945" s="18" t="s">
        <v>74</v>
      </c>
      <c r="C945" s="18" t="n">
        <v>885</v>
      </c>
      <c r="D945" s="19" t="n">
        <v>0</v>
      </c>
      <c r="E945" s="19" t="n">
        <v>150</v>
      </c>
      <c r="F945" s="19" t="n">
        <v>150</v>
      </c>
      <c r="G945" s="19" t="n">
        <v>0</v>
      </c>
      <c r="H945" s="18" t="s">
        <v>2048</v>
      </c>
    </row>
    <row r="946" customFormat="false" ht="15" hidden="false" customHeight="false" outlineLevel="0" collapsed="false">
      <c r="A946" s="18" t="s">
        <v>1984</v>
      </c>
      <c r="B946" s="18" t="s">
        <v>74</v>
      </c>
      <c r="C946" s="18" t="n">
        <v>886</v>
      </c>
      <c r="D946" s="19" t="n">
        <v>0</v>
      </c>
      <c r="E946" s="19" t="n">
        <v>155</v>
      </c>
      <c r="F946" s="19" t="n">
        <v>155</v>
      </c>
      <c r="G946" s="19" t="n">
        <v>0</v>
      </c>
      <c r="H946" s="18" t="s">
        <v>2048</v>
      </c>
    </row>
    <row r="947" customFormat="false" ht="15" hidden="false" customHeight="false" outlineLevel="0" collapsed="false">
      <c r="A947" s="18" t="s">
        <v>1986</v>
      </c>
      <c r="B947" s="18" t="s">
        <v>74</v>
      </c>
      <c r="C947" s="18" t="n">
        <v>887</v>
      </c>
      <c r="D947" s="19" t="n">
        <v>0</v>
      </c>
      <c r="E947" s="19" t="n">
        <v>850</v>
      </c>
      <c r="F947" s="19" t="n">
        <v>850</v>
      </c>
      <c r="G947" s="19" t="n">
        <v>0</v>
      </c>
      <c r="H947" s="18" t="s">
        <v>2048</v>
      </c>
    </row>
    <row r="948" customFormat="false" ht="15" hidden="false" customHeight="false" outlineLevel="0" collapsed="false">
      <c r="A948" s="18" t="s">
        <v>1987</v>
      </c>
      <c r="B948" s="18" t="s">
        <v>74</v>
      </c>
      <c r="C948" s="18" t="n">
        <v>888</v>
      </c>
      <c r="D948" s="19" t="n">
        <v>0</v>
      </c>
      <c r="E948" s="19" t="n">
        <v>150</v>
      </c>
      <c r="F948" s="19" t="n">
        <v>150</v>
      </c>
      <c r="G948" s="19" t="n">
        <v>0</v>
      </c>
      <c r="H948" s="18" t="s">
        <v>2048</v>
      </c>
    </row>
    <row r="949" customFormat="false" ht="15" hidden="false" customHeight="false" outlineLevel="0" collapsed="false">
      <c r="A949" s="18" t="s">
        <v>1988</v>
      </c>
      <c r="B949" s="18" t="s">
        <v>74</v>
      </c>
      <c r="C949" s="18" t="n">
        <v>889</v>
      </c>
      <c r="D949" s="19" t="n">
        <v>0</v>
      </c>
      <c r="E949" s="19" t="n">
        <v>437</v>
      </c>
      <c r="F949" s="19" t="n">
        <v>437</v>
      </c>
      <c r="G949" s="19" t="n">
        <v>0</v>
      </c>
      <c r="H949" s="18" t="s">
        <v>2048</v>
      </c>
    </row>
    <row r="950" customFormat="false" ht="15" hidden="false" customHeight="false" outlineLevel="0" collapsed="false">
      <c r="A950" s="18" t="s">
        <v>1989</v>
      </c>
      <c r="B950" s="18" t="s">
        <v>74</v>
      </c>
      <c r="C950" s="18" t="n">
        <v>890</v>
      </c>
      <c r="D950" s="19" t="n">
        <v>0</v>
      </c>
      <c r="E950" s="19" t="n">
        <v>1959.6</v>
      </c>
      <c r="F950" s="19" t="n">
        <v>1959.6</v>
      </c>
      <c r="G950" s="19" t="n">
        <v>0</v>
      </c>
      <c r="H950" s="18" t="s">
        <v>2048</v>
      </c>
    </row>
    <row r="951" customFormat="false" ht="15" hidden="false" customHeight="false" outlineLevel="0" collapsed="false">
      <c r="A951" s="18" t="s">
        <v>1991</v>
      </c>
      <c r="B951" s="18" t="s">
        <v>74</v>
      </c>
      <c r="C951" s="18" t="n">
        <v>891</v>
      </c>
      <c r="D951" s="19" t="n">
        <v>0</v>
      </c>
      <c r="E951" s="19" t="n">
        <v>310.5</v>
      </c>
      <c r="F951" s="19" t="n">
        <v>310.5</v>
      </c>
      <c r="G951" s="19" t="n">
        <v>0</v>
      </c>
      <c r="H951" s="18" t="s">
        <v>2048</v>
      </c>
    </row>
    <row r="952" customFormat="false" ht="15" hidden="false" customHeight="false" outlineLevel="0" collapsed="false">
      <c r="A952" s="18" t="s">
        <v>1992</v>
      </c>
      <c r="B952" s="18" t="s">
        <v>74</v>
      </c>
      <c r="C952" s="18" t="n">
        <v>892</v>
      </c>
      <c r="D952" s="19" t="n">
        <v>0</v>
      </c>
      <c r="E952" s="19" t="n">
        <v>138</v>
      </c>
      <c r="F952" s="19" t="n">
        <v>138</v>
      </c>
      <c r="G952" s="19" t="n">
        <v>0</v>
      </c>
      <c r="H952" s="18" t="s">
        <v>2048</v>
      </c>
    </row>
    <row r="953" customFormat="false" ht="15" hidden="false" customHeight="false" outlineLevel="0" collapsed="false">
      <c r="A953" s="18" t="s">
        <v>1993</v>
      </c>
      <c r="B953" s="18" t="s">
        <v>74</v>
      </c>
      <c r="C953" s="18" t="n">
        <v>893</v>
      </c>
      <c r="D953" s="19" t="n">
        <v>0</v>
      </c>
      <c r="E953" s="19" t="n">
        <v>391</v>
      </c>
      <c r="F953" s="19" t="n">
        <v>391</v>
      </c>
      <c r="G953" s="19" t="n">
        <v>0</v>
      </c>
      <c r="H953" s="18" t="s">
        <v>2048</v>
      </c>
    </row>
    <row r="954" customFormat="false" ht="15" hidden="false" customHeight="false" outlineLevel="0" collapsed="false">
      <c r="A954" s="18" t="s">
        <v>1994</v>
      </c>
      <c r="B954" s="18" t="s">
        <v>74</v>
      </c>
      <c r="C954" s="18" t="n">
        <v>894</v>
      </c>
      <c r="D954" s="19" t="n">
        <v>0</v>
      </c>
      <c r="E954" s="19" t="n">
        <v>13328.5</v>
      </c>
      <c r="F954" s="19" t="n">
        <v>13328.5</v>
      </c>
      <c r="G954" s="19" t="n">
        <v>0</v>
      </c>
      <c r="H954" s="18" t="s">
        <v>2048</v>
      </c>
    </row>
    <row r="955" customFormat="false" ht="15" hidden="false" customHeight="false" outlineLevel="0" collapsed="false">
      <c r="A955" s="18" t="s">
        <v>1996</v>
      </c>
      <c r="B955" s="18" t="s">
        <v>74</v>
      </c>
      <c r="C955" s="18" t="n">
        <v>896</v>
      </c>
      <c r="D955" s="19" t="n">
        <v>0</v>
      </c>
      <c r="E955" s="19" t="n">
        <v>552</v>
      </c>
      <c r="F955" s="19" t="n">
        <v>552</v>
      </c>
      <c r="G955" s="19" t="n">
        <v>0</v>
      </c>
      <c r="H955" s="18" t="s">
        <v>2048</v>
      </c>
    </row>
    <row r="956" customFormat="false" ht="15" hidden="false" customHeight="false" outlineLevel="0" collapsed="false">
      <c r="A956" s="18" t="s">
        <v>1997</v>
      </c>
      <c r="B956" s="18" t="s">
        <v>74</v>
      </c>
      <c r="C956" s="18" t="n">
        <v>897</v>
      </c>
      <c r="D956" s="19" t="n">
        <v>0</v>
      </c>
      <c r="E956" s="19" t="n">
        <v>100</v>
      </c>
      <c r="F956" s="19" t="n">
        <v>100</v>
      </c>
      <c r="G956" s="19" t="n">
        <v>0</v>
      </c>
      <c r="H956" s="18" t="s">
        <v>2048</v>
      </c>
    </row>
    <row r="957" customFormat="false" ht="15" hidden="false" customHeight="false" outlineLevel="0" collapsed="false">
      <c r="A957" s="18" t="s">
        <v>1998</v>
      </c>
      <c r="B957" s="18" t="s">
        <v>74</v>
      </c>
      <c r="C957" s="18" t="n">
        <v>898</v>
      </c>
      <c r="D957" s="19" t="n">
        <v>0</v>
      </c>
      <c r="E957" s="19" t="n">
        <v>69</v>
      </c>
      <c r="F957" s="19" t="n">
        <v>69</v>
      </c>
      <c r="G957" s="19" t="n">
        <v>0</v>
      </c>
      <c r="H957" s="18" t="s">
        <v>2048</v>
      </c>
    </row>
    <row r="958" customFormat="false" ht="15" hidden="false" customHeight="false" outlineLevel="0" collapsed="false">
      <c r="A958" s="18" t="s">
        <v>1999</v>
      </c>
      <c r="B958" s="18" t="s">
        <v>74</v>
      </c>
      <c r="C958" s="18" t="n">
        <v>899</v>
      </c>
      <c r="D958" s="19" t="n">
        <v>0</v>
      </c>
      <c r="E958" s="19" t="n">
        <v>600</v>
      </c>
      <c r="F958" s="19" t="n">
        <v>600</v>
      </c>
      <c r="G958" s="19" t="n">
        <v>0</v>
      </c>
      <c r="H958" s="18" t="s">
        <v>2048</v>
      </c>
    </row>
    <row r="959" customFormat="false" ht="15" hidden="false" customHeight="false" outlineLevel="0" collapsed="false">
      <c r="A959" s="18" t="s">
        <v>2000</v>
      </c>
      <c r="B959" s="18" t="s">
        <v>74</v>
      </c>
      <c r="C959" s="18" t="n">
        <v>900</v>
      </c>
      <c r="D959" s="19" t="n">
        <v>0</v>
      </c>
      <c r="E959" s="19" t="n">
        <v>437</v>
      </c>
      <c r="F959" s="19" t="n">
        <v>437</v>
      </c>
      <c r="G959" s="19" t="n">
        <v>0</v>
      </c>
      <c r="H959" s="18" t="s">
        <v>2048</v>
      </c>
    </row>
    <row r="960" customFormat="false" ht="15" hidden="false" customHeight="false" outlineLevel="0" collapsed="false">
      <c r="A960" s="18" t="s">
        <v>2001</v>
      </c>
      <c r="B960" s="18" t="s">
        <v>74</v>
      </c>
      <c r="C960" s="18" t="n">
        <v>901</v>
      </c>
      <c r="D960" s="19" t="n">
        <v>0</v>
      </c>
      <c r="E960" s="19" t="n">
        <v>100</v>
      </c>
      <c r="F960" s="19" t="n">
        <v>100</v>
      </c>
      <c r="G960" s="19" t="n">
        <v>0</v>
      </c>
      <c r="H960" s="18" t="s">
        <v>2048</v>
      </c>
    </row>
    <row r="961" customFormat="false" ht="15" hidden="false" customHeight="false" outlineLevel="0" collapsed="false">
      <c r="A961" s="18" t="s">
        <v>2002</v>
      </c>
      <c r="B961" s="18" t="s">
        <v>74</v>
      </c>
      <c r="C961" s="18" t="n">
        <v>902</v>
      </c>
      <c r="D961" s="19" t="n">
        <v>0</v>
      </c>
      <c r="E961" s="19" t="n">
        <v>287.5</v>
      </c>
      <c r="F961" s="19" t="n">
        <v>287.5</v>
      </c>
      <c r="G961" s="19" t="n">
        <v>0</v>
      </c>
      <c r="H961" s="18" t="s">
        <v>2048</v>
      </c>
    </row>
    <row r="962" customFormat="false" ht="15" hidden="false" customHeight="false" outlineLevel="0" collapsed="false">
      <c r="A962" s="18" t="s">
        <v>2003</v>
      </c>
      <c r="B962" s="18" t="s">
        <v>74</v>
      </c>
      <c r="C962" s="18" t="n">
        <v>903</v>
      </c>
      <c r="D962" s="19" t="n">
        <v>0</v>
      </c>
      <c r="E962" s="19" t="n">
        <v>34.5</v>
      </c>
      <c r="F962" s="19" t="n">
        <v>34.5</v>
      </c>
      <c r="G962" s="19" t="n">
        <v>0</v>
      </c>
      <c r="H962" s="18" t="s">
        <v>2048</v>
      </c>
    </row>
    <row r="963" customFormat="false" ht="15" hidden="false" customHeight="false" outlineLevel="0" collapsed="false">
      <c r="A963" s="18" t="s">
        <v>2004</v>
      </c>
      <c r="B963" s="18" t="s">
        <v>74</v>
      </c>
      <c r="C963" s="18" t="n">
        <v>904</v>
      </c>
      <c r="D963" s="19" t="n">
        <v>0</v>
      </c>
      <c r="E963" s="19" t="n">
        <v>317.5</v>
      </c>
      <c r="F963" s="19" t="n">
        <v>317.5</v>
      </c>
      <c r="G963" s="19" t="n">
        <v>0</v>
      </c>
      <c r="H963" s="18" t="s">
        <v>2048</v>
      </c>
    </row>
    <row r="964" customFormat="false" ht="15" hidden="false" customHeight="false" outlineLevel="0" collapsed="false">
      <c r="A964" s="18" t="s">
        <v>2005</v>
      </c>
      <c r="B964" s="18" t="s">
        <v>74</v>
      </c>
      <c r="C964" s="18" t="n">
        <v>907</v>
      </c>
      <c r="D964" s="19" t="n">
        <v>0</v>
      </c>
      <c r="E964" s="19" t="n">
        <v>1041.9</v>
      </c>
      <c r="F964" s="19" t="n">
        <v>1041.9</v>
      </c>
      <c r="G964" s="19" t="n">
        <v>0</v>
      </c>
      <c r="H964" s="18" t="s">
        <v>2048</v>
      </c>
    </row>
    <row r="965" customFormat="false" ht="15" hidden="false" customHeight="false" outlineLevel="0" collapsed="false">
      <c r="A965" s="18" t="s">
        <v>2007</v>
      </c>
      <c r="B965" s="18" t="s">
        <v>74</v>
      </c>
      <c r="C965" s="18" t="n">
        <v>908</v>
      </c>
      <c r="D965" s="19" t="n">
        <v>0</v>
      </c>
      <c r="E965" s="19" t="n">
        <v>2070</v>
      </c>
      <c r="F965" s="19" t="n">
        <v>2070</v>
      </c>
      <c r="G965" s="19" t="n">
        <v>0</v>
      </c>
      <c r="H965" s="18" t="s">
        <v>2048</v>
      </c>
    </row>
    <row r="966" customFormat="false" ht="15" hidden="false" customHeight="false" outlineLevel="0" collapsed="false">
      <c r="A966" s="18" t="s">
        <v>2008</v>
      </c>
      <c r="B966" s="18" t="s">
        <v>74</v>
      </c>
      <c r="C966" s="18" t="n">
        <v>909</v>
      </c>
      <c r="D966" s="19" t="n">
        <v>0</v>
      </c>
      <c r="E966" s="19" t="n">
        <v>172.5</v>
      </c>
      <c r="F966" s="19" t="n">
        <v>172.5</v>
      </c>
      <c r="G966" s="19" t="n">
        <v>0</v>
      </c>
      <c r="H966" s="18" t="s">
        <v>2048</v>
      </c>
    </row>
    <row r="967" customFormat="false" ht="15" hidden="false" customHeight="false" outlineLevel="0" collapsed="false">
      <c r="A967" s="18" t="s">
        <v>2009</v>
      </c>
      <c r="B967" s="18" t="s">
        <v>74</v>
      </c>
      <c r="C967" s="18" t="n">
        <v>910</v>
      </c>
      <c r="D967" s="19" t="n">
        <v>0</v>
      </c>
      <c r="E967" s="19" t="n">
        <v>60</v>
      </c>
      <c r="F967" s="19" t="n">
        <v>60</v>
      </c>
      <c r="G967" s="19" t="n">
        <v>0</v>
      </c>
      <c r="H967" s="18" t="s">
        <v>2048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2026-10-07T09:57:35Z</dcterms:created>
  <dc:creator>openpyxl</dc:creator>
  <dc:description/>
  <dc:language>en-US</dc:language>
  <cp:lastModifiedBy/>
  <dcterms:modified xsi:type="dcterms:W3CDTF">2026-10-07T09:57:36Z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