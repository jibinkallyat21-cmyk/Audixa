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defaultThemeVersion="166925"/>
  <mc:AlternateContent xmlns:mc="http://schemas.openxmlformats.org/markup-compatibility/2006">
    <mc:Choice Requires="x15">
      <x15ac:absPath xmlns:x15ac="http://schemas.microsoft.com/office/spreadsheetml/2010/11/ac" url="C:\Users\P.Nihal\OneDrive - Analytix Fintech International Pvt Ltd\Desktop\AUDIT 360\"/>
    </mc:Choice>
  </mc:AlternateContent>
  <xr:revisionPtr revIDLastSave="1" documentId="8_{A33FF59F-C1F8-40D4-92F8-B5133EFF2EA0}" xr6:coauthVersionLast="36" xr6:coauthVersionMax="36" xr10:uidLastSave="{268314F6-883D-4BB7-A5E1-F0C6CEAC2BDB}"/>
  <bookViews>
    <workbookView xWindow="0" yWindow="0" windowWidth="28800" windowHeight="11625" activeTab="15" xr2:uid="{954CA4FF-AE22-4C18-A4AA-423DFDD6AB84}"/>
  </bookViews>
  <sheets>
    <sheet name="SOFP" sheetId="2" r:id="rId1"/>
    <sheet name="SCI" sheetId="3" r:id="rId2"/>
    <sheet name="SCE" sheetId="4" r:id="rId3"/>
    <sheet name="SCF" sheetId="5" r:id="rId4"/>
    <sheet name="S 1" sheetId="6" r:id="rId5"/>
    <sheet name="S 2" sheetId="7" r:id="rId6"/>
    <sheet name="S 3" sheetId="8" r:id="rId7"/>
    <sheet name="S 4" sheetId="9" r:id="rId8"/>
    <sheet name="S 5" sheetId="10" r:id="rId9"/>
    <sheet name="1.." sheetId="11" r:id="rId10"/>
    <sheet name="(2).." sheetId="12" r:id="rId11"/>
    <sheet name="2..." sheetId="13" r:id="rId12"/>
    <sheet name="5" sheetId="14" r:id="rId13"/>
    <sheet name="6" sheetId="15" r:id="rId14"/>
    <sheet name="8" sheetId="16" r:id="rId15"/>
    <sheet name="Client TB (2)" sheetId="17" r:id="rId16"/>
  </sheets>
  <externalReferences>
    <externalReference r:id="rId17"/>
    <externalReference r:id="rId18"/>
    <externalReference r:id="rId19"/>
    <externalReference r:id="rId20"/>
    <externalReference r:id="rId21"/>
    <externalReference r:id="rId22"/>
    <externalReference r:id="rId23"/>
  </externalReferences>
  <definedNames>
    <definedName name="_xlnm._FilterDatabase" localSheetId="15" hidden="1">'Client TB (2)'!$A$2:$I$3</definedName>
    <definedName name="_jglhyjAA4565" localSheetId="10">#REF!</definedName>
    <definedName name="_jglhyjAA4565">#REF!</definedName>
    <definedName name="AuditorsReport" localSheetId="10">#REF!</definedName>
    <definedName name="AuditorsReport" localSheetId="11">#REF!</definedName>
    <definedName name="AuditorsReport" localSheetId="12">#REF!</definedName>
    <definedName name="AuditorsReport" localSheetId="13">#REF!</definedName>
    <definedName name="AuditorsReport">#REF!</definedName>
    <definedName name="ColumnTitle1" localSheetId="10">#REF!</definedName>
    <definedName name="ColumnTitle1">#REF!</definedName>
    <definedName name="ColumnTitleRegion1..C13.1" localSheetId="10">#REF!</definedName>
    <definedName name="ColumnTitleRegion1..C13.1">#REF!</definedName>
    <definedName name="ColumnTitleRegion2..C15.1" localSheetId="10">#REF!</definedName>
    <definedName name="ColumnTitleRegion2..C15.1">#REF!</definedName>
    <definedName name="Exhibit_A" localSheetId="10">#REF!</definedName>
    <definedName name="Exhibit_A" localSheetId="11">#REF!</definedName>
    <definedName name="Exhibit_A" localSheetId="12">#REF!</definedName>
    <definedName name="Exhibit_A" localSheetId="13">#REF!</definedName>
    <definedName name="Exhibit_A">#REF!</definedName>
    <definedName name="Exhibit_B" localSheetId="10">#REF!</definedName>
    <definedName name="Exhibit_B" localSheetId="11">#REF!</definedName>
    <definedName name="Exhibit_B" localSheetId="12">#REF!</definedName>
    <definedName name="Exhibit_B" localSheetId="13">#REF!</definedName>
    <definedName name="Exhibit_B">#REF!</definedName>
    <definedName name="Exhibit_c" localSheetId="10">#REF!</definedName>
    <definedName name="Exhibit_c" localSheetId="11">#REF!</definedName>
    <definedName name="Exhibit_c" localSheetId="12">#REF!</definedName>
    <definedName name="Exhibit_c" localSheetId="13">#REF!</definedName>
    <definedName name="Exhibit_c">#REF!</definedName>
    <definedName name="fdf" localSheetId="10">#REF!</definedName>
    <definedName name="fdf" localSheetId="11">#REF!</definedName>
    <definedName name="fdf" localSheetId="12">#REF!</definedName>
    <definedName name="fdf" localSheetId="13">#REF!</definedName>
    <definedName name="fdf">#REF!</definedName>
    <definedName name="g" localSheetId="10">#REF!</definedName>
    <definedName name="g">#REF!</definedName>
    <definedName name="k" localSheetId="10">#REF!</definedName>
    <definedName name="k" localSheetId="11">#REF!</definedName>
    <definedName name="k" localSheetId="12">#REF!</definedName>
    <definedName name="k" localSheetId="13">#REF!</definedName>
    <definedName name="k">#REF!</definedName>
    <definedName name="Land" localSheetId="10">#REF!</definedName>
    <definedName name="Land">#REF!</definedName>
    <definedName name="Notes" localSheetId="10">#REF!</definedName>
    <definedName name="Notes" localSheetId="11">#REF!</definedName>
    <definedName name="Notes" localSheetId="12">#REF!</definedName>
    <definedName name="Notes" localSheetId="13">#REF!</definedName>
    <definedName name="Notes">#REF!</definedName>
    <definedName name="Part_1" localSheetId="10">#REF!</definedName>
    <definedName name="Part_1" localSheetId="11">#REF!</definedName>
    <definedName name="Part_1" localSheetId="12">#REF!</definedName>
    <definedName name="Part_1" localSheetId="13">#REF!</definedName>
    <definedName name="Part_1">#REF!</definedName>
    <definedName name="_xlnm.Print_Area" localSheetId="10">'(2)..'!$A$1:$O$36</definedName>
    <definedName name="_xlnm.Print_Area" localSheetId="9">'1..'!$A$1:$L$45</definedName>
    <definedName name="_xlnm.Print_Area" localSheetId="11">'2...'!$A$1:$I$51</definedName>
    <definedName name="_xlnm.Print_Area" localSheetId="12">'5'!$A$1:$G$36</definedName>
    <definedName name="_xlnm.Print_Area" localSheetId="13">'6'!$A$1:$G$52</definedName>
    <definedName name="_xlnm.Print_Area" localSheetId="14">'8'!$A$1:$F$37</definedName>
    <definedName name="_xlnm.Print_Area" localSheetId="15">'Client TB (2)'!$A$1:$I$151</definedName>
    <definedName name="_xlnm.Print_Area" localSheetId="4">'S 1'!$A$1:$K$23</definedName>
    <definedName name="_xlnm.Print_Area" localSheetId="5">'S 2'!$A$1:$C$25</definedName>
    <definedName name="_xlnm.Print_Area" localSheetId="6">'S 3'!$A$1:$C$23</definedName>
    <definedName name="_xlnm.Print_Area" localSheetId="7">'S 4'!$A$1:$C$21</definedName>
    <definedName name="_xlnm.Print_Area" localSheetId="8">'S 5'!$A$1:$C$25</definedName>
    <definedName name="_xlnm.Print_Area" localSheetId="2">SCE!$A$1:$K$30</definedName>
    <definedName name="_xlnm.Print_Area" localSheetId="3">SCF!$A$1:$G$55</definedName>
    <definedName name="_xlnm.Print_Area" localSheetId="1">SCI!$A$1:$H$46</definedName>
    <definedName name="_xlnm.Print_Area" localSheetId="0">SOFP!$A$1:$H$49</definedName>
    <definedName name="RowTitleRegion1..D6" localSheetId="10">#REF!</definedName>
    <definedName name="RowTitleRegion1..D6">#REF!</definedName>
    <definedName name="valHighlight" localSheetId="10">IFERROR(IF(#REF!="نعم", TRUE, FALSE),FALSE)</definedName>
    <definedName name="valHighlight">IFERROR(IF(#REF!="نعم", TRUE, FALSE),FALSE)</definedName>
    <definedName name="XDO_?BIRTH_DATE_EXP?" localSheetId="10">#REF!</definedName>
    <definedName name="XDO_?BIRTH_DATE_EXP?" localSheetId="11">#REF!</definedName>
    <definedName name="XDO_?BIRTH_DATE_EXP?" localSheetId="12">#REF!</definedName>
    <definedName name="XDO_?BIRTH_DATE_EXP?" localSheetId="13">#REF!</definedName>
    <definedName name="XDO_?BIRTH_DATE_EXP?">#REF!</definedName>
    <definedName name="XDO_?CF_BDLABEL?" localSheetId="10">#REF!</definedName>
    <definedName name="XDO_?CF_BDLABEL?" localSheetId="11">#REF!</definedName>
    <definedName name="XDO_?CF_BDLABEL?" localSheetId="12">#REF!</definedName>
    <definedName name="XDO_?CF_BDLABEL?" localSheetId="13">#REF!</definedName>
    <definedName name="XDO_?CF_BDLABEL?">#REF!</definedName>
    <definedName name="XDO_?CF_IQAMALABEL?" localSheetId="10">#REF!</definedName>
    <definedName name="XDO_?CF_IQAMALABEL?" localSheetId="11">#REF!</definedName>
    <definedName name="XDO_?CF_IQAMALABEL?" localSheetId="12">#REF!</definedName>
    <definedName name="XDO_?CF_IQAMALABEL?" localSheetId="13">#REF!</definedName>
    <definedName name="XDO_?CF_IQAMALABEL?">#REF!</definedName>
    <definedName name="XDO_?CF_JOINDATELABEL?" localSheetId="10">#REF!</definedName>
    <definedName name="XDO_?CF_JOINDATELABEL?" localSheetId="11">#REF!</definedName>
    <definedName name="XDO_?CF_JOINDATELABEL?" localSheetId="12">#REF!</definedName>
    <definedName name="XDO_?CF_JOINDATELABEL?" localSheetId="13">#REF!</definedName>
    <definedName name="XDO_?CF_JOINDATELABEL?">#REF!</definedName>
    <definedName name="XDO_?CF_NAMEARABICNATIONALITY?" localSheetId="10">#REF!</definedName>
    <definedName name="XDO_?CF_NAMEARABICNATIONALITY?" localSheetId="11">#REF!</definedName>
    <definedName name="XDO_?CF_NAMEARABICNATIONALITY?" localSheetId="12">#REF!</definedName>
    <definedName name="XDO_?CF_NAMEARABICNATIONALITY?" localSheetId="13">#REF!</definedName>
    <definedName name="XDO_?CF_NAMEARABICNATIONALITY?">#REF!</definedName>
    <definedName name="XDO_?CF_NINLABEL?" localSheetId="10">#REF!</definedName>
    <definedName name="XDO_?CF_NINLABEL?" localSheetId="11">#REF!</definedName>
    <definedName name="XDO_?CF_NINLABEL?" localSheetId="12">#REF!</definedName>
    <definedName name="XDO_?CF_NINLABEL?" localSheetId="13">#REF!</definedName>
    <definedName name="XDO_?CF_NINLABEL?">#REF!</definedName>
    <definedName name="XDO_?CF_OLDNINLABEL?" localSheetId="10">#REF!</definedName>
    <definedName name="XDO_?CF_OLDNINLABEL?" localSheetId="11">#REF!</definedName>
    <definedName name="XDO_?CF_OLDNINLABEL?" localSheetId="12">#REF!</definedName>
    <definedName name="XDO_?CF_OLDNINLABEL?" localSheetId="13">#REF!</definedName>
    <definedName name="XDO_?CF_OLDNINLABEL?">#REF!</definedName>
    <definedName name="XDO_?CF_SINLABEL?" localSheetId="10">#REF!</definedName>
    <definedName name="XDO_?CF_SINLABEL?" localSheetId="11">#REF!</definedName>
    <definedName name="XDO_?CF_SINLABEL?" localSheetId="12">#REF!</definedName>
    <definedName name="XDO_?CF_SINLABEL?" localSheetId="13">#REF!</definedName>
    <definedName name="XDO_?CF_SINLABEL?">#REF!</definedName>
    <definedName name="XDO_?CF_STATUS?" localSheetId="10">#REF!</definedName>
    <definedName name="XDO_?CF_STATUS?" localSheetId="11">#REF!</definedName>
    <definedName name="XDO_?CF_STATUS?" localSheetId="12">#REF!</definedName>
    <definedName name="XDO_?CF_STATUS?" localSheetId="13">#REF!</definedName>
    <definedName name="XDO_?CF_STATUS?">#REF!</definedName>
    <definedName name="XDO_?CF_STATUSLABEL?" localSheetId="10">#REF!</definedName>
    <definedName name="XDO_?CF_STATUSLABEL?" localSheetId="11">#REF!</definedName>
    <definedName name="XDO_?CF_STATUSLABEL?" localSheetId="12">#REF!</definedName>
    <definedName name="XDO_?CF_STATUSLABEL?" localSheetId="13">#REF!</definedName>
    <definedName name="XDO_?CF_STATUSLABEL?">#REF!</definedName>
    <definedName name="XDO_?CF_WAGELABEL?" localSheetId="10">#REF!</definedName>
    <definedName name="XDO_?CF_WAGELABEL?" localSheetId="11">#REF!</definedName>
    <definedName name="XDO_?CF_WAGELABEL?" localSheetId="12">#REF!</definedName>
    <definedName name="XDO_?CF_WAGELABEL?" localSheetId="13">#REF!</definedName>
    <definedName name="XDO_?CF_WAGELABEL?">#REF!</definedName>
    <definedName name="XDO_?IQAMANUMBER?" localSheetId="10">#REF!</definedName>
    <definedName name="XDO_?IQAMANUMBER?" localSheetId="11">#REF!</definedName>
    <definedName name="XDO_?IQAMANUMBER?" localSheetId="12">#REF!</definedName>
    <definedName name="XDO_?IQAMANUMBER?" localSheetId="13">#REF!</definedName>
    <definedName name="XDO_?IQAMANUMBER?">#REF!</definedName>
    <definedName name="XDO_?JOIN_DATE_EXP?" localSheetId="10">#REF!</definedName>
    <definedName name="XDO_?JOIN_DATE_EXP?" localSheetId="11">#REF!</definedName>
    <definedName name="XDO_?JOIN_DATE_EXP?" localSheetId="12">#REF!</definedName>
    <definedName name="XDO_?JOIN_DATE_EXP?" localSheetId="13">#REF!</definedName>
    <definedName name="XDO_?JOIN_DATE_EXP?">#REF!</definedName>
    <definedName name="XDO_?MAIN_HEADING?" localSheetId="10">#REF!</definedName>
    <definedName name="XDO_?MAIN_HEADING?" localSheetId="11">#REF!</definedName>
    <definedName name="XDO_?MAIN_HEADING?" localSheetId="12">#REF!</definedName>
    <definedName name="XDO_?MAIN_HEADING?" localSheetId="13">#REF!</definedName>
    <definedName name="XDO_?MAIN_HEADING?">#REF!</definedName>
    <definedName name="XDO_?MONTHLYCONTRIBUTORYWAGE?" localSheetId="10">#REF!</definedName>
    <definedName name="XDO_?MONTHLYCONTRIBUTORYWAGE?" localSheetId="11">#REF!</definedName>
    <definedName name="XDO_?MONTHLYCONTRIBUTORYWAGE?" localSheetId="12">#REF!</definedName>
    <definedName name="XDO_?MONTHLYCONTRIBUTORYWAGE?" localSheetId="13">#REF!</definedName>
    <definedName name="XDO_?MONTHLYCONTRIBUTORYWAGE?">#REF!</definedName>
    <definedName name="XDO_?NAME?" localSheetId="10">#REF!</definedName>
    <definedName name="XDO_?NAME?" localSheetId="11">#REF!</definedName>
    <definedName name="XDO_?NAME?" localSheetId="12">#REF!</definedName>
    <definedName name="XDO_?NAME?" localSheetId="13">#REF!</definedName>
    <definedName name="XDO_?NAME?">#REF!</definedName>
    <definedName name="XDO_?NEWNINUMBER?" localSheetId="10">#REF!</definedName>
    <definedName name="XDO_?NEWNINUMBER?" localSheetId="11">#REF!</definedName>
    <definedName name="XDO_?NEWNINUMBER?" localSheetId="12">#REF!</definedName>
    <definedName name="XDO_?NEWNINUMBER?" localSheetId="13">#REF!</definedName>
    <definedName name="XDO_?NEWNINUMBER?">#REF!</definedName>
    <definedName name="XDO_?OLDNINUMBER?" localSheetId="10">#REF!</definedName>
    <definedName name="XDO_?OLDNINUMBER?" localSheetId="11">#REF!</definedName>
    <definedName name="XDO_?OLDNINUMBER?" localSheetId="12">#REF!</definedName>
    <definedName name="XDO_?OLDNINUMBER?" localSheetId="13">#REF!</definedName>
    <definedName name="XDO_?OLDNINUMBER?">#REF!</definedName>
    <definedName name="XDO_?PASSPORTNUMBER?" localSheetId="10">#REF!</definedName>
    <definedName name="XDO_?PASSPORTNUMBER?" localSheetId="11">#REF!</definedName>
    <definedName name="XDO_?PASSPORTNUMBER?" localSheetId="12">#REF!</definedName>
    <definedName name="XDO_?PASSPORTNUMBER?" localSheetId="13">#REF!</definedName>
    <definedName name="XDO_?PASSPORTNUMBER?">#REF!</definedName>
    <definedName name="XDO_?SOCIALINSURANCENUMBER?" localSheetId="10">#REF!</definedName>
    <definedName name="XDO_?SOCIALINSURANCENUMBER?" localSheetId="11">#REF!</definedName>
    <definedName name="XDO_?SOCIALINSURANCENUMBER?" localSheetId="12">#REF!</definedName>
    <definedName name="XDO_?SOCIALINSURANCENUMBER?" localSheetId="13">#REF!</definedName>
    <definedName name="XDO_?SOCIALINSURANCENUMBER?">#REF!</definedName>
    <definedName name="XDO_?SUB_HEADING?" localSheetId="10">#REF!</definedName>
    <definedName name="XDO_?SUB_HEADING?" localSheetId="11">#REF!</definedName>
    <definedName name="XDO_?SUB_HEADING?" localSheetId="12">#REF!</definedName>
    <definedName name="XDO_?SUB_HEADING?" localSheetId="13">#REF!</definedName>
    <definedName name="XDO_?SUB_HEADING?">#REF!</definedName>
    <definedName name="XDO_?TOTAL_EMPLOYERS?" localSheetId="10">#REF!</definedName>
    <definedName name="XDO_?TOTAL_EMPLOYERS?" localSheetId="11">#REF!</definedName>
    <definedName name="XDO_?TOTAL_EMPLOYERS?" localSheetId="12">#REF!</definedName>
    <definedName name="XDO_?TOTAL_EMPLOYERS?" localSheetId="13">#REF!</definedName>
    <definedName name="XDO_?TOTAL_EMPLOYERS?">#REF!</definedName>
    <definedName name="XDO_CF_NAMELABEL?" localSheetId="10">#REF!</definedName>
    <definedName name="XDO_CF_NAMELABEL?" localSheetId="11">#REF!</definedName>
    <definedName name="XDO_CF_NAMELABEL?" localSheetId="12">#REF!</definedName>
    <definedName name="XDO_CF_NAMELABEL?" localSheetId="13">#REF!</definedName>
    <definedName name="XDO_CF_NAMELABEL?">#REF!</definedName>
    <definedName name="XDO_CF_NATIONALITYLABEL?" localSheetId="10">#REF!</definedName>
    <definedName name="XDO_CF_NATIONALITYLABEL?" localSheetId="11">#REF!</definedName>
    <definedName name="XDO_CF_NATIONALITYLABEL?" localSheetId="12">#REF!</definedName>
    <definedName name="XDO_CF_NATIONALITYLABEL?" localSheetId="13">#REF!</definedName>
    <definedName name="XDO_CF_NATIONALITYLABEL?">#REF!</definedName>
    <definedName name="XDO_CF_PASSPORTLABEL?" localSheetId="10">#REF!</definedName>
    <definedName name="XDO_CF_PASSPORTLABEL?" localSheetId="11">#REF!</definedName>
    <definedName name="XDO_CF_PASSPORTLABEL?" localSheetId="12">#REF!</definedName>
    <definedName name="XDO_CF_PASSPORTLABEL?" localSheetId="13">#REF!</definedName>
    <definedName name="XDO_CF_PASSPORTLABEL?">#REF!</definedName>
    <definedName name="XDO_GROUP_?G_2?" localSheetId="10">#REF!</definedName>
    <definedName name="XDO_GROUP_?G_2?" localSheetId="11">#REF!</definedName>
    <definedName name="XDO_GROUP_?G_2?" localSheetId="12">#REF!</definedName>
    <definedName name="XDO_GROUP_?G_2?" localSheetId="13">#REF!</definedName>
    <definedName name="XDO_GROUP_?G_2?">#REF!</definedName>
    <definedName name="Z_C4C54333_0C8B_484B_8210_F3D7E510C081_.wvu.Cols" localSheetId="1" hidden="1">SCI!$A:$A</definedName>
    <definedName name="أتعابالفروع" localSheetId="10">#REF!</definedName>
    <definedName name="أتعابالفروع" localSheetId="11">#REF!</definedName>
    <definedName name="أتعابالفروع" localSheetId="12">#REF!</definedName>
    <definedName name="أتعابالفروع" localSheetId="13">#REF!</definedName>
    <definedName name="أتعابالفروع">#REF!</definedName>
    <definedName name="أجازات" localSheetId="10">#REF!</definedName>
    <definedName name="أجازات" localSheetId="11">#REF!</definedName>
    <definedName name="أجازات" localSheetId="12">#REF!</definedName>
    <definedName name="أجازات" localSheetId="13">#REF!</definedName>
    <definedName name="أجازات">#REF!</definedName>
    <definedName name="الأبراج" localSheetId="10">#REF!</definedName>
    <definedName name="الأبراج" localSheetId="11">#REF!</definedName>
    <definedName name="الأبراج" localSheetId="12">#REF!</definedName>
    <definedName name="الأبراج" localSheetId="13">#REF!</definedName>
    <definedName name="الأبراج">#REF!</definedName>
    <definedName name="الارصدة" localSheetId="10">#REF!</definedName>
    <definedName name="الارصدة">#REF!</definedName>
    <definedName name="الإيرادات" localSheetId="10">'[1]إيرادات مكتب الخبر'!#REF!</definedName>
    <definedName name="الإيرادات" localSheetId="11">'[2]إيرادات مكتب الخبر'!#REF!</definedName>
    <definedName name="الإيرادات" localSheetId="12">'[2]إيرادات مكتب الخبر'!#REF!</definedName>
    <definedName name="الإيرادات" localSheetId="13">'[2]إيرادات مكتب الخبر'!#REF!</definedName>
    <definedName name="الإيرادات">'[1]إيرادات مكتب الخبر'!#REF!</definedName>
    <definedName name="الدخل">'[3]قائمة الدخل'!$B$2</definedName>
    <definedName name="السابعة" localSheetId="10">#REF!</definedName>
    <definedName name="السابعة" localSheetId="11">#REF!</definedName>
    <definedName name="السابعة" localSheetId="12">#REF!</definedName>
    <definedName name="السابعة" localSheetId="13">#REF!</definedName>
    <definedName name="السابعة">#REF!</definedName>
    <definedName name="العملالأسبوعي" localSheetId="10">#REF!</definedName>
    <definedName name="العملالأسبوعي" localSheetId="11">#REF!</definedName>
    <definedName name="العملالأسبوعي" localSheetId="12">#REF!</definedName>
    <definedName name="العملالأسبوعي" localSheetId="13">#REF!</definedName>
    <definedName name="العملالأسبوعي">#REF!</definedName>
    <definedName name="المراجعةالدورية" localSheetId="10">#REF!</definedName>
    <definedName name="المراجعةالدورية" localSheetId="11">#REF!</definedName>
    <definedName name="المراجعةالدورية" localSheetId="12">#REF!</definedName>
    <definedName name="المراجعةالدورية" localSheetId="13">#REF!</definedName>
    <definedName name="المراجعةالدورية">#REF!</definedName>
    <definedName name="الميزانية" localSheetId="10">#REF!</definedName>
    <definedName name="الميزانية" localSheetId="11">#REF!</definedName>
    <definedName name="الميزانية" localSheetId="12">#REF!</definedName>
    <definedName name="الميزانية" localSheetId="13">#REF!</definedName>
    <definedName name="الميزانية">#REF!</definedName>
    <definedName name="النبذة" localSheetId="10">#REF!</definedName>
    <definedName name="النبذة" localSheetId="11">#REF!</definedName>
    <definedName name="النبذة" localSheetId="12">#REF!</definedName>
    <definedName name="النبذة" localSheetId="13">#REF!</definedName>
    <definedName name="النبذة">#REF!</definedName>
    <definedName name="إيضاح3" localSheetId="10">#REF!</definedName>
    <definedName name="إيضاح3" localSheetId="11">#REF!</definedName>
    <definedName name="إيضاح3" localSheetId="12">#REF!</definedName>
    <definedName name="إيضاح3" localSheetId="13">#REF!</definedName>
    <definedName name="إيضاح3">#REF!</definedName>
    <definedName name="إيضاح7" localSheetId="10">#REF!</definedName>
    <definedName name="إيضاح7" localSheetId="11">#REF!</definedName>
    <definedName name="إيضاح7" localSheetId="12">#REF!</definedName>
    <definedName name="إيضاح7" localSheetId="13">#REF!</definedName>
    <definedName name="إيضاح7">#REF!</definedName>
    <definedName name="إيضاح8" localSheetId="10">#REF!</definedName>
    <definedName name="إيضاح8" localSheetId="11">#REF!</definedName>
    <definedName name="إيضاح8" localSheetId="12">#REF!</definedName>
    <definedName name="إيضاح8" localSheetId="13">#REF!</definedName>
    <definedName name="إيضاح8">#REF!</definedName>
    <definedName name="تذكرةطائرة" localSheetId="10">#REF!</definedName>
    <definedName name="تذكرةطائرة" localSheetId="11">#REF!</definedName>
    <definedName name="تذكرةطائرة" localSheetId="12">#REF!</definedName>
    <definedName name="تذكرةطائرة" localSheetId="13">#REF!</definedName>
    <definedName name="تذكرةطائرة">#REF!</definedName>
    <definedName name="تصفيةموظف" localSheetId="10">#REF!</definedName>
    <definedName name="تصفيةموظف" localSheetId="11">#REF!</definedName>
    <definedName name="تصفيةموظف" localSheetId="12">#REF!</definedName>
    <definedName name="تصفيةموظف" localSheetId="13">#REF!</definedName>
    <definedName name="تصفيةموظف">#REF!</definedName>
    <definedName name="تغيرات" localSheetId="10">#REF!</definedName>
    <definedName name="تغيرات" localSheetId="11">#REF!</definedName>
    <definedName name="تغيرات" localSheetId="12">#REF!</definedName>
    <definedName name="تغيرات" localSheetId="13">#REF!</definedName>
    <definedName name="تغيرات">#REF!</definedName>
    <definedName name="تقريرأعمال" localSheetId="10">'[1]موقف العملاء'!#REF!</definedName>
    <definedName name="تقريرأعمال" localSheetId="11">'[2]موقف العملاء'!#REF!</definedName>
    <definedName name="تقريرأعمال" localSheetId="12">'[2]موقف العملاء'!#REF!</definedName>
    <definedName name="تقريرأعمال" localSheetId="13">'[2]موقف العملاء'!#REF!</definedName>
    <definedName name="تقريرأعمال">'[1]موقف العملاء'!#REF!</definedName>
    <definedName name="تقريرالمكتب" localSheetId="10">'[1]تقرير أعمال المكتب'!#REF!</definedName>
    <definedName name="تقريرالمكتب" localSheetId="11">'[2]تقرير أعمال المكتب'!#REF!</definedName>
    <definedName name="تقريرالمكتب" localSheetId="12">'[2]تقرير أعمال المكتب'!#REF!</definedName>
    <definedName name="تقريرالمكتب" localSheetId="13">'[2]تقرير أعمال المكتب'!#REF!</definedName>
    <definedName name="تقريرالمكتب">'[1]تقرير أعمال المكتب'!#REF!</definedName>
    <definedName name="تقريرشهري" localSheetId="10">'[1]موقف العملاء'!#REF!</definedName>
    <definedName name="تقريرشهري" localSheetId="11">'[2]موقف العملاء'!#REF!</definedName>
    <definedName name="تقريرشهري" localSheetId="12">'[2]موقف العملاء'!#REF!</definedName>
    <definedName name="تقريرشهري" localSheetId="13">'[2]موقف العملاء'!#REF!</definedName>
    <definedName name="تقريرشهري">'[1]موقف العملاء'!#REF!</definedName>
    <definedName name="تكاليف" localSheetId="10">#REF!</definedName>
    <definedName name="تكاليف" localSheetId="11">#REF!</definedName>
    <definedName name="تكاليف" localSheetId="12">#REF!</definedName>
    <definedName name="تكاليف" localSheetId="13">#REF!</definedName>
    <definedName name="تكاليف">#REF!</definedName>
    <definedName name="تلفوناتالعملاء" localSheetId="10">#REF!</definedName>
    <definedName name="تلفوناتالعملاء" localSheetId="11">#REF!</definedName>
    <definedName name="تلفوناتالعملاء" localSheetId="12">#REF!</definedName>
    <definedName name="تلفوناتالعملاء" localSheetId="13">#REF!</definedName>
    <definedName name="تلفوناتالعملاء">#REF!</definedName>
    <definedName name="تليفونات" localSheetId="10">#REF!</definedName>
    <definedName name="تليفونات" localSheetId="11">#REF!</definedName>
    <definedName name="تليفونات" localSheetId="12">#REF!</definedName>
    <definedName name="تليفونات" localSheetId="13">#REF!</definedName>
    <definedName name="تليفونات">#REF!</definedName>
    <definedName name="جدولزمني" localSheetId="10">#REF!</definedName>
    <definedName name="جدولزمني" localSheetId="11">#REF!</definedName>
    <definedName name="جدولزمني" localSheetId="12">#REF!</definedName>
    <definedName name="جدولزمني" localSheetId="13">#REF!</definedName>
    <definedName name="جدولزمني">#REF!</definedName>
    <definedName name="جردالخزينة" localSheetId="10">#REF!</definedName>
    <definedName name="جردالخزينة" localSheetId="11">#REF!</definedName>
    <definedName name="جردالخزينة" localSheetId="12">#REF!</definedName>
    <definedName name="جردالخزينة" localSheetId="13">#REF!</definedName>
    <definedName name="جردالخزينة">#REF!</definedName>
    <definedName name="جردالمخزون" localSheetId="10">#REF!</definedName>
    <definedName name="جردالمخزون" localSheetId="11">#REF!</definedName>
    <definedName name="جردالمخزون" localSheetId="12">#REF!</definedName>
    <definedName name="جردالمخزون" localSheetId="13">#REF!</definedName>
    <definedName name="جردالمخزون">#REF!</definedName>
    <definedName name="جهات" localSheetId="10">'[1]تقرير أعمال المكتب'!#REF!</definedName>
    <definedName name="جهات">'[1]تقرير أعمال المكتب'!#REF!</definedName>
    <definedName name="خالد" localSheetId="10">'[1]موقف العملاء'!#REF!</definedName>
    <definedName name="خالد" localSheetId="11">'[2]موقف العملاء'!#REF!</definedName>
    <definedName name="خالد" localSheetId="12">'[2]موقف العملاء'!#REF!</definedName>
    <definedName name="خالد" localSheetId="13">'[2]موقف العملاء'!#REF!</definedName>
    <definedName name="خالد">'[1]موقف العملاء'!#REF!</definedName>
    <definedName name="خطابتنقل" localSheetId="10">#REF!</definedName>
    <definedName name="خطابتنقل" localSheetId="11">#REF!</definedName>
    <definedName name="خطابتنقل" localSheetId="12">#REF!</definedName>
    <definedName name="خطابتنقل" localSheetId="13">#REF!</definedName>
    <definedName name="خطابتنقل">#REF!</definedName>
    <definedName name="زياراتأسبوعي" localSheetId="10">#REF!</definedName>
    <definedName name="زياراتأسبوعي" localSheetId="11">#REF!</definedName>
    <definedName name="زياراتأسبوعي" localSheetId="12">#REF!</definedName>
    <definedName name="زياراتأسبوعي" localSheetId="13">#REF!</definedName>
    <definedName name="زياراتأسبوعي">#REF!</definedName>
    <definedName name="زياراتالعملاء" localSheetId="10">#REF!</definedName>
    <definedName name="زياراتالعملاء" localSheetId="11">#REF!</definedName>
    <definedName name="زياراتالعملاء" localSheetId="12">#REF!</definedName>
    <definedName name="زياراتالعملاء" localSheetId="13">#REF!</definedName>
    <definedName name="زياراتالعملاء">#REF!</definedName>
    <definedName name="سامي" localSheetId="10">#REF!</definedName>
    <definedName name="سامي" localSheetId="11">#REF!</definedName>
    <definedName name="سامي" localSheetId="12">#REF!</definedName>
    <definedName name="سامي" localSheetId="13">#REF!</definedName>
    <definedName name="سامي">#REF!</definedName>
    <definedName name="سندصرف" localSheetId="10">#REF!</definedName>
    <definedName name="سندصرف" localSheetId="11">#REF!</definedName>
    <definedName name="سندصرف" localSheetId="12">#REF!</definedName>
    <definedName name="سندصرف" localSheetId="13">#REF!</definedName>
    <definedName name="سندصرف">#REF!</definedName>
    <definedName name="شى62" localSheetId="10">'[4]ميزان المراجعة'!#REF!</definedName>
    <definedName name="شى62" localSheetId="11">'[4]ميزان المراجعة'!#REF!</definedName>
    <definedName name="شى62" localSheetId="12">'[4]ميزان المراجعة'!#REF!</definedName>
    <definedName name="شى62" localSheetId="13">'[4]ميزان المراجعة'!#REF!</definedName>
    <definedName name="شى62">'[4]ميزان المراجعة'!#REF!</definedName>
    <definedName name="ص.راتب" localSheetId="10">#REF!</definedName>
    <definedName name="ص.راتب" localSheetId="11">#REF!</definedName>
    <definedName name="ص.راتب" localSheetId="12">#REF!</definedName>
    <definedName name="ص.راتب" localSheetId="13">#REF!</definedName>
    <definedName name="ص.راتب">#REF!</definedName>
    <definedName name="صرفعمولة" localSheetId="10">#REF!</definedName>
    <definedName name="صرفعمولة" localSheetId="11">#REF!</definedName>
    <definedName name="صرفعمولة" localSheetId="12">#REF!</definedName>
    <definedName name="صرفعمولة" localSheetId="13">#REF!</definedName>
    <definedName name="صرفعمولة">#REF!</definedName>
    <definedName name="عملاءالمكتب" localSheetId="10">'[5]كشف بعملاء المكتب'!#REF!</definedName>
    <definedName name="عملاءالمكتب" localSheetId="11">'[6]كشف بعملاء المكتب'!#REF!</definedName>
    <definedName name="عملاءالمكتب" localSheetId="12">'[6]كشف بعملاء المكتب'!#REF!</definedName>
    <definedName name="عملاءالمكتب" localSheetId="13">'[6]كشف بعملاء المكتب'!#REF!</definedName>
    <definedName name="عملاءالمكتب">'[5]كشف بعملاء المكتب'!#REF!</definedName>
    <definedName name="عنوانعمود1" localSheetId="10">#REF!</definedName>
    <definedName name="عنوانعمود1">#REF!</definedName>
    <definedName name="ك.الحضور" localSheetId="10">#REF!</definedName>
    <definedName name="ك.الحضور" localSheetId="11">#REF!</definedName>
    <definedName name="ك.الحضور" localSheetId="12">#REF!</definedName>
    <definedName name="ك.الحضور" localSheetId="13">#REF!</definedName>
    <definedName name="ك.الحضور">#REF!</definedName>
    <definedName name="كشفتفريغ" localSheetId="10">#REF!</definedName>
    <definedName name="كشفتفريغ" localSheetId="11">#REF!</definedName>
    <definedName name="كشفتفريغ" localSheetId="12">#REF!</definedName>
    <definedName name="كشفتفريغ" localSheetId="13">#REF!</definedName>
    <definedName name="كشفتفريغ">#REF!</definedName>
    <definedName name="كمك" localSheetId="10">#REF!</definedName>
    <definedName name="كمك" localSheetId="11">#REF!</definedName>
    <definedName name="كمك" localSheetId="12">#REF!</definedName>
    <definedName name="كمك" localSheetId="13">#REF!</definedName>
    <definedName name="كمك">#REF!</definedName>
    <definedName name="لنعالبنعابنغعاب" localSheetId="10">#REF!</definedName>
    <definedName name="لنعالبنعابنغعاب">#REF!</definedName>
    <definedName name="م.المراجعةالنهائية" localSheetId="10">#REF!</definedName>
    <definedName name="م.المراجعةالنهائية" localSheetId="11">#REF!</definedName>
    <definedName name="م.المراجعةالنهائية" localSheetId="12">#REF!</definedName>
    <definedName name="م.المراجعةالنهائية" localSheetId="13">#REF!</definedName>
    <definedName name="م.المراجعةالنهائية">#REF!</definedName>
    <definedName name="م.المكاتب" localSheetId="10">#REF!</definedName>
    <definedName name="م.المكاتب" localSheetId="11">#REF!</definedName>
    <definedName name="م.المكاتب" localSheetId="12">#REF!</definedName>
    <definedName name="م.المكاتب" localSheetId="13">#REF!</definedName>
    <definedName name="م.المكاتب">#REF!</definedName>
    <definedName name="م.بالمستودع" localSheetId="10">#REF!</definedName>
    <definedName name="م.بالمستودع" localSheetId="11">#REF!</definedName>
    <definedName name="م.بالمستودع" localSheetId="12">#REF!</definedName>
    <definedName name="م.بالمستودع" localSheetId="13">#REF!</definedName>
    <definedName name="م.بالمستودع">#REF!</definedName>
    <definedName name="مخاطر" localSheetId="10">#REF!</definedName>
    <definedName name="مخاطر">#REF!</definedName>
    <definedName name="مراسلاتالعملاء" localSheetId="10">#REF!</definedName>
    <definedName name="مراسلاتالعملاء" localSheetId="11">#REF!</definedName>
    <definedName name="مراسلاتالعملاء" localSheetId="12">#REF!</definedName>
    <definedName name="مراسلاتالعملاء" localSheetId="13">#REF!</definedName>
    <definedName name="مراسلاتالعملاء">#REF!</definedName>
    <definedName name="موقفالعملاء" localSheetId="10">#REF!</definedName>
    <definedName name="موقفالعملاء" localSheetId="11">#REF!</definedName>
    <definedName name="موقفالعملاء" localSheetId="12">#REF!</definedName>
    <definedName name="موقفالعملاء" localSheetId="13">#REF!</definedName>
    <definedName name="موقفالعملاء">#REF!</definedName>
    <definedName name="ن.سيارة" localSheetId="10">#REF!</definedName>
    <definedName name="ن.سيارة" localSheetId="11">#REF!</definedName>
    <definedName name="ن.سيارة" localSheetId="12">#REF!</definedName>
    <definedName name="ن.سيارة" localSheetId="13">#REF!</definedName>
    <definedName name="ن.سيارة">#REF!</definedName>
    <definedName name="نبذة" localSheetId="10">#REF!</definedName>
    <definedName name="نبذة" localSheetId="11">#REF!</definedName>
    <definedName name="نبذة" localSheetId="12">#REF!</definedName>
    <definedName name="نبذة" localSheetId="13">#REF!</definedName>
    <definedName name="نبذة">#REF!</definedName>
    <definedName name="نوعالخدمة" localSheetId="10">#REF!</definedName>
    <definedName name="نوعالخدمة" localSheetId="11">#REF!</definedName>
    <definedName name="نوعالخدمة" localSheetId="12">#REF!</definedName>
    <definedName name="نوعالخدمة" localSheetId="13">#REF!</definedName>
    <definedName name="نوعالخدمة">#REF!</definedName>
    <definedName name="ياقوت_العرش_555" localSheetId="10">#REF!</definedName>
    <definedName name="ياقوت_العرش_555">#REF!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7" i="15" l="1"/>
  <c r="D7" i="15"/>
  <c r="H6" i="13"/>
  <c r="F6" i="13"/>
  <c r="B3" i="13"/>
  <c r="B2" i="13"/>
  <c r="B1" i="13"/>
  <c r="H6" i="12"/>
  <c r="F6" i="12"/>
  <c r="G6" i="11"/>
  <c r="E6" i="11"/>
  <c r="D6" i="5"/>
  <c r="G6" i="3"/>
  <c r="E6" i="3"/>
  <c r="B1" i="3"/>
  <c r="F8" i="12" l="1"/>
  <c r="N28" i="12"/>
  <c r="G150" i="17"/>
  <c r="F12" i="12"/>
  <c r="E15" i="11"/>
  <c r="E17" i="11"/>
  <c r="E22" i="11"/>
  <c r="E8" i="3"/>
  <c r="D9" i="15"/>
  <c r="D10" i="15" s="1"/>
  <c r="E9" i="3" s="1"/>
  <c r="D21" i="15"/>
  <c r="D28" i="15"/>
  <c r="D30" i="15"/>
  <c r="D16" i="15"/>
  <c r="F24" i="13"/>
  <c r="D32" i="15"/>
  <c r="D17" i="15"/>
  <c r="D22" i="15"/>
  <c r="D27" i="15"/>
  <c r="D31" i="15"/>
  <c r="D34" i="15"/>
  <c r="D20" i="15"/>
  <c r="D18" i="15"/>
  <c r="H150" i="17"/>
  <c r="F150" i="17"/>
  <c r="E150" i="17"/>
  <c r="E19" i="16"/>
  <c r="C19" i="16"/>
  <c r="D33" i="15"/>
  <c r="D29" i="15"/>
  <c r="D26" i="15"/>
  <c r="D25" i="15"/>
  <c r="D23" i="15"/>
  <c r="D19" i="15"/>
  <c r="D12" i="5" s="1"/>
  <c r="D15" i="15"/>
  <c r="F35" i="15"/>
  <c r="G11" i="3" s="1"/>
  <c r="F12" i="15"/>
  <c r="D12" i="15"/>
  <c r="F10" i="15"/>
  <c r="D13" i="14"/>
  <c r="C13" i="14"/>
  <c r="F12" i="14"/>
  <c r="F13" i="14"/>
  <c r="H26" i="13"/>
  <c r="F23" i="13" s="1"/>
  <c r="H15" i="13"/>
  <c r="H21" i="13" s="1"/>
  <c r="F15" i="13"/>
  <c r="F21" i="13" s="1"/>
  <c r="H11" i="13"/>
  <c r="H13" i="13" s="1"/>
  <c r="B4" i="13"/>
  <c r="B4" i="15" s="1"/>
  <c r="B4" i="16" s="1"/>
  <c r="B3" i="14"/>
  <c r="B2" i="15"/>
  <c r="B2" i="16" s="1"/>
  <c r="B1" i="15"/>
  <c r="B1" i="16" s="1"/>
  <c r="N29" i="12"/>
  <c r="H29" i="12" s="1"/>
  <c r="L29" i="12"/>
  <c r="J29" i="12"/>
  <c r="L28" i="12"/>
  <c r="L30" i="12" s="1"/>
  <c r="J28" i="12"/>
  <c r="J30" i="12" s="1"/>
  <c r="N22" i="12"/>
  <c r="N24" i="12" s="1"/>
  <c r="L22" i="12"/>
  <c r="L24" i="12" s="1"/>
  <c r="J22" i="12"/>
  <c r="J24" i="12" s="1"/>
  <c r="H11" i="12"/>
  <c r="H10" i="12"/>
  <c r="F10" i="12"/>
  <c r="H9" i="12"/>
  <c r="F9" i="12"/>
  <c r="H8" i="12"/>
  <c r="J35" i="11"/>
  <c r="I35" i="11"/>
  <c r="H35" i="11"/>
  <c r="G35" i="11"/>
  <c r="E35" i="11"/>
  <c r="J34" i="11"/>
  <c r="I34" i="11"/>
  <c r="I36" i="11" s="1"/>
  <c r="H34" i="11"/>
  <c r="G34" i="11"/>
  <c r="E34" i="11"/>
  <c r="I29" i="11"/>
  <c r="G29" i="11"/>
  <c r="J28" i="11"/>
  <c r="I28" i="11"/>
  <c r="H28" i="11"/>
  <c r="H30" i="11" s="1"/>
  <c r="G28" i="11"/>
  <c r="G30" i="11" s="1"/>
  <c r="E28" i="11"/>
  <c r="G23" i="11"/>
  <c r="E23" i="11"/>
  <c r="G22" i="11"/>
  <c r="G21" i="11"/>
  <c r="E21" i="11"/>
  <c r="G20" i="11"/>
  <c r="E20" i="11"/>
  <c r="G17" i="11"/>
  <c r="G15" i="11"/>
  <c r="G13" i="11"/>
  <c r="E13" i="11"/>
  <c r="G9" i="11"/>
  <c r="E9" i="11"/>
  <c r="G8" i="11"/>
  <c r="E8" i="11"/>
  <c r="B4" i="7"/>
  <c r="B4" i="8" s="1"/>
  <c r="B3" i="7"/>
  <c r="B3" i="8" s="1"/>
  <c r="C33" i="5"/>
  <c r="F27" i="5"/>
  <c r="D27" i="5"/>
  <c r="F24" i="5"/>
  <c r="B17" i="5"/>
  <c r="F6" i="5"/>
  <c r="B1" i="5"/>
  <c r="B1" i="6" s="1"/>
  <c r="B1" i="7" s="1"/>
  <c r="B1" i="8" s="1"/>
  <c r="H15" i="4"/>
  <c r="J15" i="4" s="1"/>
  <c r="G12" i="4"/>
  <c r="G14" i="4" s="1"/>
  <c r="G17" i="4" s="1"/>
  <c r="E28" i="2" s="1"/>
  <c r="E12" i="4"/>
  <c r="E14" i="4" s="1"/>
  <c r="J9" i="4"/>
  <c r="B2" i="4"/>
  <c r="B1" i="4"/>
  <c r="B46" i="3"/>
  <c r="B30" i="4" s="1"/>
  <c r="B55" i="5" s="1"/>
  <c r="B23" i="6" s="1"/>
  <c r="B25" i="7" s="1"/>
  <c r="B23" i="8" s="1"/>
  <c r="B21" i="9" s="1"/>
  <c r="B25" i="10" s="1"/>
  <c r="B45" i="3"/>
  <c r="B29" i="4" s="1"/>
  <c r="B54" i="5" s="1"/>
  <c r="E13" i="3"/>
  <c r="G10" i="3"/>
  <c r="G15" i="3" s="1"/>
  <c r="G9" i="3"/>
  <c r="B2" i="3"/>
  <c r="B2" i="6" s="1"/>
  <c r="B2" i="7" s="1"/>
  <c r="B2" i="8" s="1"/>
  <c r="G28" i="2"/>
  <c r="G24" i="2"/>
  <c r="E40" i="11" l="1"/>
  <c r="J40" i="11"/>
  <c r="K35" i="11"/>
  <c r="D11" i="5" s="1"/>
  <c r="B2" i="5"/>
  <c r="G10" i="11"/>
  <c r="G8" i="2" s="1"/>
  <c r="F32" i="5" s="1"/>
  <c r="G20" i="2"/>
  <c r="I40" i="11"/>
  <c r="H22" i="12"/>
  <c r="H24" i="12" s="1"/>
  <c r="E10" i="2" s="1"/>
  <c r="K29" i="11"/>
  <c r="D23" i="5" s="1"/>
  <c r="D24" i="5" s="1"/>
  <c r="N30" i="12"/>
  <c r="G10" i="2" s="1"/>
  <c r="H28" i="12"/>
  <c r="H30" i="12" s="1"/>
  <c r="E20" i="2" s="1"/>
  <c r="H36" i="11"/>
  <c r="H39" i="11" s="1"/>
  <c r="H13" i="12"/>
  <c r="G19" i="2" s="1"/>
  <c r="G40" i="11"/>
  <c r="E10" i="11"/>
  <c r="E8" i="2" s="1"/>
  <c r="D32" i="5" s="1"/>
  <c r="I30" i="11"/>
  <c r="I39" i="11" s="1"/>
  <c r="E24" i="11"/>
  <c r="E9" i="2" s="1"/>
  <c r="G24" i="11"/>
  <c r="G9" i="2" s="1"/>
  <c r="G11" i="2" s="1"/>
  <c r="E36" i="11"/>
  <c r="J36" i="11"/>
  <c r="F26" i="13"/>
  <c r="E24" i="2" s="1"/>
  <c r="E10" i="3"/>
  <c r="K34" i="11"/>
  <c r="K36" i="11" s="1"/>
  <c r="E17" i="4"/>
  <c r="B2" i="10"/>
  <c r="B2" i="9"/>
  <c r="B3" i="10"/>
  <c r="B3" i="9"/>
  <c r="I10" i="3"/>
  <c r="B4" i="9"/>
  <c r="B4" i="10"/>
  <c r="E27" i="2"/>
  <c r="G27" i="2"/>
  <c r="D14" i="15"/>
  <c r="D35" i="15" s="1"/>
  <c r="E11" i="3" s="1"/>
  <c r="D13" i="5"/>
  <c r="F8" i="5"/>
  <c r="F19" i="5" s="1"/>
  <c r="F21" i="5" s="1"/>
  <c r="F28" i="5" s="1"/>
  <c r="F30" i="5" s="1"/>
  <c r="D29" i="5" s="1"/>
  <c r="H17" i="13"/>
  <c r="H19" i="13" s="1"/>
  <c r="K15" i="3"/>
  <c r="B1" i="9"/>
  <c r="B1" i="10"/>
  <c r="F8" i="13"/>
  <c r="F11" i="13" s="1"/>
  <c r="F13" i="13" s="1"/>
  <c r="G16" i="3"/>
  <c r="G18" i="3" s="1"/>
  <c r="H10" i="4" s="1"/>
  <c r="G21" i="2"/>
  <c r="I150" i="17"/>
  <c r="K28" i="11"/>
  <c r="E30" i="11"/>
  <c r="J30" i="11"/>
  <c r="H40" i="11"/>
  <c r="B4" i="14"/>
  <c r="B3" i="15"/>
  <c r="B3" i="16" s="1"/>
  <c r="G36" i="11"/>
  <c r="G39" i="11" s="1"/>
  <c r="K10" i="3"/>
  <c r="B1" i="14"/>
  <c r="F11" i="12"/>
  <c r="F13" i="12" s="1"/>
  <c r="E19" i="2" s="1"/>
  <c r="D150" i="17"/>
  <c r="B2" i="14"/>
  <c r="J39" i="11" l="1"/>
  <c r="F33" i="5"/>
  <c r="E15" i="3"/>
  <c r="E11" i="2"/>
  <c r="C21" i="16" s="1"/>
  <c r="G22" i="2"/>
  <c r="G25" i="2" s="1"/>
  <c r="E39" i="11"/>
  <c r="F17" i="13"/>
  <c r="F19" i="13" s="1"/>
  <c r="D8" i="5"/>
  <c r="D19" i="5" s="1"/>
  <c r="D21" i="5" s="1"/>
  <c r="D28" i="5" s="1"/>
  <c r="D30" i="5" s="1"/>
  <c r="D33" i="5" s="1"/>
  <c r="I15" i="3"/>
  <c r="B2" i="11"/>
  <c r="B2" i="12"/>
  <c r="H12" i="4"/>
  <c r="J10" i="4"/>
  <c r="E21" i="16"/>
  <c r="B1" i="11"/>
  <c r="B1" i="12"/>
  <c r="B3" i="12"/>
  <c r="B3" i="11"/>
  <c r="B4" i="12"/>
  <c r="B4" i="11"/>
  <c r="K30" i="11"/>
  <c r="K39" i="11" s="1"/>
  <c r="E13" i="2" s="1"/>
  <c r="E14" i="2" s="1"/>
  <c r="K40" i="11"/>
  <c r="G13" i="2" s="1"/>
  <c r="G14" i="2" s="1"/>
  <c r="G15" i="2" s="1"/>
  <c r="E21" i="2"/>
  <c r="E22" i="2" s="1"/>
  <c r="E16" i="3"/>
  <c r="E18" i="3" s="1"/>
  <c r="H16" i="4" s="1"/>
  <c r="J16" i="4" s="1"/>
  <c r="E15" i="2" l="1"/>
  <c r="E22" i="16"/>
  <c r="E23" i="16" s="1"/>
  <c r="C22" i="16"/>
  <c r="C23" i="16" s="1"/>
  <c r="M9" i="6" s="1"/>
  <c r="E25" i="2"/>
  <c r="H14" i="4"/>
  <c r="J12" i="4"/>
  <c r="G29" i="2"/>
  <c r="G30" i="2" s="1"/>
  <c r="G31" i="2" s="1"/>
  <c r="G53" i="2" s="1"/>
  <c r="H17" i="4" l="1"/>
  <c r="E29" i="2" s="1"/>
  <c r="J14" i="4"/>
  <c r="J17" i="4" s="1"/>
  <c r="L9" i="6" l="1"/>
  <c r="E30" i="2"/>
  <c r="E31" i="2" s="1"/>
</calcChain>
</file>

<file path=xl/sharedStrings.xml><?xml version="1.0" encoding="utf-8"?>
<sst xmlns="http://schemas.openxmlformats.org/spreadsheetml/2006/main" count="345" uniqueCount="283">
  <si>
    <t xml:space="preserve">(All amounts in Saudi Riyals unless otherwies stated)                                    </t>
  </si>
  <si>
    <t>"A"</t>
  </si>
  <si>
    <t>Assets</t>
  </si>
  <si>
    <t>Note</t>
  </si>
  <si>
    <t>Current Assets</t>
  </si>
  <si>
    <t>SR</t>
  </si>
  <si>
    <t>Cash and Cash Equivalents</t>
  </si>
  <si>
    <t>Receivables &amp; Other Debit balances</t>
  </si>
  <si>
    <t>DUE FROM RELATED PARTY</t>
  </si>
  <si>
    <t>TOTAL CURRENT ASSETS</t>
  </si>
  <si>
    <t>Non - Current Assets</t>
  </si>
  <si>
    <t>Property and equipment - net</t>
  </si>
  <si>
    <t>TOTAL Non - Current CURRENT ASSETS</t>
  </si>
  <si>
    <t>TOTAL ASSETS</t>
  </si>
  <si>
    <t>LIABILITIES AND EQUITY</t>
  </si>
  <si>
    <t>Current Liabilities</t>
  </si>
  <si>
    <t>Creditors &amp; Other Credit balances</t>
  </si>
  <si>
    <t>DUE TO RELATED PARTY</t>
  </si>
  <si>
    <t>Tax provision</t>
  </si>
  <si>
    <t>TOTAL CURRENT LIABILITIES</t>
  </si>
  <si>
    <t>NON-CURRENT LIABILITY</t>
  </si>
  <si>
    <t>Employee Benefit Liability</t>
  </si>
  <si>
    <t>TOTAL LIABILITIES</t>
  </si>
  <si>
    <t>EQUITY</t>
  </si>
  <si>
    <t xml:space="preserve">Share Capital </t>
  </si>
  <si>
    <t>Reserve</t>
  </si>
  <si>
    <t>Retained Earnings</t>
  </si>
  <si>
    <t>TOTAL EQUITY</t>
  </si>
  <si>
    <t>TOTAL EQUITY AND LIABILITIES</t>
  </si>
  <si>
    <t>The Attached notes  from (1) to (16) Form a part of these financial statements</t>
  </si>
  <si>
    <t>(All amounts in Saudi Riyals unless otherwies stated)</t>
  </si>
  <si>
    <t>"B"</t>
  </si>
  <si>
    <t>Revenue</t>
  </si>
  <si>
    <t>Cost of Revenue</t>
  </si>
  <si>
    <t>Gross profit</t>
  </si>
  <si>
    <t>General &amp; Administrative expenses</t>
  </si>
  <si>
    <t>Selling and marketing expense</t>
  </si>
  <si>
    <t>Other income</t>
  </si>
  <si>
    <t>Other Loss</t>
  </si>
  <si>
    <t>PROFIT FOR THE PERIOD BEFORE Zakat</t>
  </si>
  <si>
    <t>Tax expense</t>
  </si>
  <si>
    <t>Zakat Provision</t>
  </si>
  <si>
    <t>PROFIT FOR THE PERIOD AFTER Zakat</t>
  </si>
  <si>
    <t>"C"</t>
  </si>
  <si>
    <t>Capital</t>
  </si>
  <si>
    <t xml:space="preserve">Retained Earnings </t>
  </si>
  <si>
    <t>Net profit for the year</t>
  </si>
  <si>
    <t>Trasnfer to reserve</t>
  </si>
  <si>
    <t>Prior Period adjustment</t>
  </si>
  <si>
    <t>"D"</t>
  </si>
  <si>
    <t>Cash flows from operational activities</t>
  </si>
  <si>
    <t>Net income before tax</t>
  </si>
  <si>
    <t>Adjustments to reconcile profit before zakat and</t>
  </si>
  <si>
    <t>Tax to net cash flows</t>
  </si>
  <si>
    <t>Depreciation</t>
  </si>
  <si>
    <t>Employees' defined benefit</t>
  </si>
  <si>
    <t>WHT provision</t>
  </si>
  <si>
    <t>Adjustments in operational assets and liabilities</t>
  </si>
  <si>
    <t>Receivables &amp; Other Debit Balance</t>
  </si>
  <si>
    <t>Creditors &amp; Other Credit Balances</t>
  </si>
  <si>
    <t>Net cash generated from operational activities</t>
  </si>
  <si>
    <t>Tax Expenses</t>
  </si>
  <si>
    <t>Cash flow from investment activities</t>
  </si>
  <si>
    <t>Property and Equipment Purchase</t>
  </si>
  <si>
    <t>Net cash (used in) investment activities</t>
  </si>
  <si>
    <t>Cash flows from financing activities</t>
  </si>
  <si>
    <t xml:space="preserve">Net cash (used in) financing activities </t>
  </si>
  <si>
    <t>Net cash (used in) cash and cash equivalents</t>
  </si>
  <si>
    <t xml:space="preserve">Cash and cash equivalents at period beginning </t>
  </si>
  <si>
    <t xml:space="preserve">Cash and cash equivalents at period-end </t>
  </si>
  <si>
    <t>1 - Organization &amp; activities</t>
  </si>
  <si>
    <t>1/1 -  On Going Concern (IF any)</t>
  </si>
  <si>
    <t>The Company’s headquarters</t>
  </si>
  <si>
    <t>The Company doesn’t have any other branches.</t>
  </si>
  <si>
    <t>2- Basis of Preparation</t>
  </si>
  <si>
    <t xml:space="preserve">        </t>
  </si>
  <si>
    <t xml:space="preserve">a. Statement of Compliance </t>
  </si>
  <si>
    <t xml:space="preserve">These financial statements have been prepared in accordance with International Financial Reporting Standard for Small and Medium-Sized Entities (“IFRS for SMEs”) issued by the International Accounting Standards Board (“IASB”), that is endorsed in the Kingdom of Saudi Arabia and other standards and pronouncements that are endorsed by Saudi Organization for Certified Public Accountants (“SOCPA”) (collectively referred to as “IFRS for SMEs as endorsed in KSA”). </t>
  </si>
  <si>
    <t>b. Basis of Measurement</t>
  </si>
  <si>
    <t>The Financial Statements have been prepared on the basis of historical cost and using the accrual principle of accounting and the Going Concern.</t>
  </si>
  <si>
    <t>c.Presentation and functional currency</t>
  </si>
  <si>
    <t>The presentation and functional currency of the Company is Saudi Riyal.</t>
  </si>
  <si>
    <t>3. Summary of Significant Accounting Policies</t>
  </si>
  <si>
    <t>The accounting policies followed in preparing the Company’s Financial Statements in accordance with the IFRS for SMEs are as follows:</t>
  </si>
  <si>
    <r>
      <t xml:space="preserve">a.    </t>
    </r>
    <r>
      <rPr>
        <b/>
        <u/>
        <sz val="12"/>
        <color rgb="FF000000"/>
        <rFont val="Sakkal Majalla"/>
      </rPr>
      <t xml:space="preserve">Financial Instruments: </t>
    </r>
  </si>
  <si>
    <t>A financial instrument is any contract that creates a financial asset for one enterprise and a financial liability or equity instrument for another enterprise. All financial instruments used by the Company are basic financial instruments to which Section 11 of the Financial Reporting Standard for Small and Medium-Sized Entities (IFRS for SMEs) applies. The Company's financial assets and liabilities consist primarily of cash and cash equivalents, accounts receivable and other receivables balances, transactions with related parties, and accounts payable and other payable balances. The Company does not use any derivative financial instruments.</t>
  </si>
  <si>
    <t xml:space="preserve">Initial Measurement: </t>
  </si>
  <si>
    <t>Financial instruments are initially measured at transaction price (which includes transaction costs) except for financial assets and liabilities measured at fair value through other comprehensive income.  Nevertheless, if the arrangement represents a financing transaction, it is measured at the present value of future payments discounted at a market-related interest rate.</t>
  </si>
  <si>
    <t>Subsequent Measurement:</t>
  </si>
  <si>
    <t>After initial measurement, at the end of each reporting period the Company measures financial instruments as follows, without any deduction for the transaction costs that the entity would incur on sale or other disposal:</t>
  </si>
  <si>
    <t>Financial assets and liabilities that represent debt instruments are measured at amortized cost using the effective interest rate.</t>
  </si>
  <si>
    <t>Investments in financial assets that are listed on financial markets (if any), or those that can be measured at fair value, are measured at fair value without undue effort or cost, with changes in fair value being recognized in profit or loss. Other investments that cannot be measured at fair value without undue effort or cost are measured at cost less impairment.</t>
  </si>
  <si>
    <t>Impairment of the Value of Financial Assets</t>
  </si>
  <si>
    <t>On each Statement of Financial Position date, an evaluation is performed to ensure that there is evidence of an impairment in the value of a specific financial asset. If such evidence exists, the impairment loss is recognized in the Statement of Comprehensive Income. Impairment is determined as follows:</t>
  </si>
  <si>
    <t>For assets carried at amortized cost, impairment represents the difference between the carrying amount and the present value of future cash flows discounted at the effective interest rate.</t>
  </si>
  <si>
    <t>For assets carried at cost, the impairment loss represents the difference between the carrying value of the asset and the best estimate (which will necessarily be an approximation) of the amount (which could be zero) that the Company would receive for the asset if it were to be sold at the date of preparation of the Financial Statements.</t>
  </si>
  <si>
    <t>Offsetting Financial Assets and Financial Liabilities</t>
  </si>
  <si>
    <t>Financial assets and financial liabilities are offset and listed net in the Financial Statements when there is a binding contractual right to offset the recognized amounts and when there is an intention to settle the assets with the liabilities on a net basis, or realize the assets and pay the liabilities simultaneously.</t>
  </si>
  <si>
    <t>3. Summary of Significant Accounting Policies "continued"</t>
  </si>
  <si>
    <r>
      <t xml:space="preserve">b. </t>
    </r>
    <r>
      <rPr>
        <u/>
        <sz val="12"/>
        <color theme="1"/>
        <rFont val="Sakkal Majalla"/>
      </rPr>
      <t>Cash and cash equivalents</t>
    </r>
  </si>
  <si>
    <t>Cash and cash equivalents comprise of cash held at banks and on hand</t>
  </si>
  <si>
    <r>
      <t>c.</t>
    </r>
    <r>
      <rPr>
        <b/>
        <sz val="12"/>
        <color theme="1"/>
        <rFont val="Sakkal Majalla"/>
      </rPr>
      <t xml:space="preserve">    </t>
    </r>
    <r>
      <rPr>
        <b/>
        <u/>
        <sz val="12"/>
        <color theme="1"/>
        <rFont val="Sakkal Majalla"/>
      </rPr>
      <t xml:space="preserve">Accounts Receivable </t>
    </r>
  </si>
  <si>
    <t>The trade receivables appear by the original invoice amount after deducting the provisions for the decrease in the trade receivables. The provision for the decline is formed when there is objective evidence that the company is unable to collect the amounts due  and  in accordance with the original terms of the receivables. Bad debts are written off when identified against the related provisions. The provisions are charged to income statement. At the end of each financial period, carrying amounts of trade and other  receivables are reviewed by management to determine whether there is any objective evidence that the amounts are not recoverable If so, an impairment loss is recognized immediately in profit or loss in the statement of comprehensive income.</t>
  </si>
  <si>
    <r>
      <t>d.</t>
    </r>
    <r>
      <rPr>
        <b/>
        <sz val="12"/>
        <color theme="1"/>
        <rFont val="Sakkal Majalla"/>
      </rPr>
      <t xml:space="preserve">    </t>
    </r>
    <r>
      <rPr>
        <b/>
        <u/>
        <sz val="12"/>
        <color theme="1"/>
        <rFont val="Sakkal Majalla"/>
      </rPr>
      <t xml:space="preserve">Related Parties </t>
    </r>
  </si>
  <si>
    <r>
      <t xml:space="preserve">The </t>
    </r>
    <r>
      <rPr>
        <sz val="12"/>
        <color rgb="FF000000"/>
        <rFont val="Sakkal Majalla"/>
      </rPr>
      <t xml:space="preserve">Company </t>
    </r>
    <r>
      <rPr>
        <sz val="12"/>
        <color theme="1"/>
        <rFont val="Sakkal Majalla"/>
      </rPr>
      <t>will:</t>
    </r>
    <r>
      <rPr>
        <sz val="12"/>
        <color rgb="FF000000"/>
        <rFont val="Sakkal Majalla"/>
      </rPr>
      <t xml:space="preserve"> Identify the related parties in accordance with the definition contained in Section ٣٣ of the International Standard for SMEs. Related party transactions include the transfer of resources, services or liabilities between the Company and the related parties, regardless of whether a price is charged</t>
    </r>
    <r>
      <rPr>
        <sz val="12"/>
        <color theme="1"/>
        <rFont val="Sakkal Majalla"/>
      </rPr>
      <t>.</t>
    </r>
    <r>
      <rPr>
        <sz val="12"/>
        <color rgb="FF000000"/>
        <rFont val="Sakkal Majalla"/>
      </rPr>
      <t xml:space="preserve"> The basis and terms of these transactions are approved by the management.</t>
    </r>
  </si>
  <si>
    <r>
      <t>e.</t>
    </r>
    <r>
      <rPr>
        <b/>
        <sz val="12"/>
        <color theme="1"/>
        <rFont val="Sakkal Majalla"/>
      </rPr>
      <t xml:space="preserve">    </t>
    </r>
    <r>
      <rPr>
        <b/>
        <u/>
        <sz val="12"/>
        <color theme="1"/>
        <rFont val="Sakkal Majalla"/>
      </rPr>
      <t>Property and Equipment</t>
    </r>
  </si>
  <si>
    <t>Property and equipment are stated in the statement of financial position at cost after deducting accumulated depreciation and impairment (if any) up to the date of the Financial Statements. Depreciation is calculated on these assets according to the straight-line method in order to distribute the cost of these assets over their estimated useful lives using the following annual depreciation rates:</t>
  </si>
  <si>
    <t xml:space="preserve">Property and equipment sold or disposed of and their accumulated depreciation are deleted from the accounts on the date of their sale or disposal, and the resulting gains or losses are recognized in profits and losses.
Items of property and equipment is added to the carrying amount of replacing part of these items when the cost is incurred if this replacement part is expected to provide additional benefits in the future, and the carrying amount of those replaced parts is derecognized.
All other maintenance and repair expenses are charged to the Statement of Comprehensive Income in the year in which they are incurred.
The residual value, useful lives and methods of depreciation of property and equipment are audited and adjusted prospectively, if appropriate, when there is an indication that there have been material changes since the last financial report.
The carrying value of these assets is reduced to their recoverable amount immediately in the event that the carrying value exceeds the estimated recoverable amount 
</t>
  </si>
  <si>
    <r>
      <t xml:space="preserve">f.    </t>
    </r>
    <r>
      <rPr>
        <b/>
        <u/>
        <sz val="12"/>
        <color theme="1"/>
        <rFont val="Sakkal Majalla"/>
      </rPr>
      <t>Statutory reserve</t>
    </r>
  </si>
  <si>
    <t>In compliance with the Companies Law in the Kingdom of Saudi Arabia and the Company’s Memorandum of Association, the Company shall set aside a statutory reserve of at least 10% of the net income annually, and the partners may stop the set aside whenever the reserve balance reaches 30% of the capital.</t>
  </si>
  <si>
    <r>
      <t xml:space="preserve">g.    </t>
    </r>
    <r>
      <rPr>
        <b/>
        <u/>
        <sz val="12"/>
        <color theme="1"/>
        <rFont val="Sakkal Majalla"/>
      </rPr>
      <t>Impairment of Non-Current Assets</t>
    </r>
  </si>
  <si>
    <t>Impairment exists when the carrying value of an asset or cash generating unit exceeds its recoverable amount, which is the higher of its fair value less costs of disposal and its value in use. The fair value less costs of disposal calculation is based on available data from binding sales transactions, conducted at arm’s length, for similar assets or observable market prices less incremental costs for disposing off the asset.</t>
  </si>
  <si>
    <r>
      <t xml:space="preserve">h.    </t>
    </r>
    <r>
      <rPr>
        <b/>
        <u/>
        <sz val="12"/>
        <color theme="1"/>
        <rFont val="Sakkal Majalla"/>
      </rPr>
      <t>Trade payables, accruals and other payables</t>
    </r>
  </si>
  <si>
    <t>Liabilities are recognized for amounts to be paid  in the future for goods or services received, whether or not invoiced by suppliers. Trade payables are commitments to pay for goods or services that are obtained in the normal course of business from suppliers. Trade payables are classified as current liabilities if these are due within one year or less, otherwise they are presented as non-current liabilities.</t>
  </si>
  <si>
    <r>
      <t xml:space="preserve">i . </t>
    </r>
    <r>
      <rPr>
        <b/>
        <u/>
        <sz val="12"/>
        <color theme="1"/>
        <rFont val="Sakkal Majalla"/>
      </rPr>
      <t>Post-Employment Benefits</t>
    </r>
  </si>
  <si>
    <t>The Company's post-employment benefits include monthly subscriptions to the General Organization for Social Insurance and the end-of-service benefits program in accordance with the requirements of regulations in the Kingdom of Saudi Arabia.</t>
  </si>
  <si>
    <t>a) General Organization for Social Insurance</t>
  </si>
  <si>
    <t>The monthly subscriptions to the General Organization for Social Insurance (an Independent Authority) are classified as a specific subscriptions program. The Company recognizes its share of the fixed contributions to the General Organization for Social Insurance every month as expenses. The Company does not have any legal or regulatory obligation to pay any other contributions, and its only obligation is to pay contributions as they become due.</t>
  </si>
  <si>
    <t>b) End of Service Benefits</t>
  </si>
  <si>
    <t>The Company's end-of-service benefits program is classified as a defined benefit program. This program is unfunded, and the liability recognized in the Statement of Financial Position for the defined benefit end-of-service benefit program is the present value of the defined benefit obligation at the end of the reporting year. The Management calculates the end-of-service benefits on the reporting date and the basis of the amounts payable on that date in the event of separation in accordance with the requirements of the Saudi Labor Law.  In the opinion of the Management, there are no material differences if it is calculated according to the planned unit credit method.</t>
  </si>
  <si>
    <t>j. Tax Provision</t>
  </si>
  <si>
    <t xml:space="preserve"> The provision for tax is measured and recognized in the Statement of Comprehensive Income for each period separately in accordance with the provisions and rules of tax in the Kingdom of Saudi Arabia. The tax provision is reconciled in the financial period being audited by adopting the final tax assessment issued by the Zakat, Tax, and Customs Authority. Variances in the tax provision are treated as adjustments to accounting estimates and are reflected in the financial period in which the final tax assessment is issued.</t>
  </si>
  <si>
    <t>k. Activity Revenues</t>
  </si>
  <si>
    <t>Revenue is recognized when the following recognition requirements are met:</t>
  </si>
  <si>
    <r>
      <t xml:space="preserve">-         </t>
    </r>
    <r>
      <rPr>
        <sz val="12"/>
        <color rgb="FF000000"/>
        <rFont val="Sakkal Majalla"/>
      </rPr>
      <t>The probability of achieving economic benefits for the Company.</t>
    </r>
  </si>
  <si>
    <r>
      <t xml:space="preserve">-         </t>
    </r>
    <r>
      <rPr>
        <sz val="12"/>
        <color rgb="FF000000"/>
        <rFont val="Sakkal Majalla"/>
      </rPr>
      <t>It can be measured reliably regardless of payment readiness.</t>
    </r>
  </si>
  <si>
    <r>
      <t xml:space="preserve">-         </t>
    </r>
    <r>
      <rPr>
        <sz val="12"/>
        <color rgb="FF000000"/>
        <rFont val="Sakkal Majalla"/>
      </rPr>
      <t>Costs incurred to date and future costs can be reliably recognized and measured.</t>
    </r>
  </si>
  <si>
    <r>
      <t xml:space="preserve">-         </t>
    </r>
    <r>
      <rPr>
        <sz val="12"/>
        <color rgb="FF000000"/>
        <rFont val="Sakkal Majalla"/>
      </rPr>
      <t>The activities revenue comprises the value of invoices and progress billings issued for construction and building services rendered to the Company's clients. The revenue is recognized upon completion of the works and issuance of the invoice or statement to the client.</t>
    </r>
  </si>
  <si>
    <t>l. General and Administrative Expenses</t>
  </si>
  <si>
    <t>Administrative and general expenses are recognized as annual expenses according to the accrual basis and these expenses are charged in the accounting year in which they are incurred. General and administrative expenses that benefit more than one accounting year are distributed on a time basis and using their historical cost.</t>
  </si>
  <si>
    <r>
      <t xml:space="preserve">m.    </t>
    </r>
    <r>
      <rPr>
        <b/>
        <u/>
        <sz val="12"/>
        <color theme="1"/>
        <rFont val="Sakkal Majalla"/>
      </rPr>
      <t>Translation of Foreign Currencies</t>
    </r>
  </si>
  <si>
    <t>Transactions in foreign currency are translated into the functional currency using the exchange rate prevailing at the date of the transactions. Cash items in foreign currencies are translated at the exchange rate prevailing on the reporting date. The gains or losses resulting from the settlement of transactions and the retranslation of cash items at the end of the period are recognized in the profit or loss for the period in which they arise</t>
  </si>
  <si>
    <t>4. Significant accounting estimates, assumptions and judgments</t>
  </si>
  <si>
    <t>The preparation of the Company’s financial statements requires management to make judgments, estimates and assumptions that affect the reported amounts of revenues, expenses, assets and liabilities, and the disclosure of contingent liabilities, at the reporting date. However, uncertainty about these assumptions and estimates could result in outcomes that could require a material adjustment to the carrying amount of the asset or liability affected in the future periods.</t>
  </si>
  <si>
    <t>These estimates and assumptions are based upon experience and various other factors that are believed to be reasonable under the circumstances and are used to judge the carrying values of assets and liabilities that are not readily apparent from other sources. The estimates and underlying assumptions are reviewed on an ongoing basis. Revisions to accounting estimates are recognized in the period in which the estimates are revised or in the revision period and future periods if the changed estimates affect both current and future periods.</t>
  </si>
  <si>
    <t>Key sources of estimation uncertainty</t>
  </si>
  <si>
    <t>The key assumptions concerning the future and other key sources of estimation uncertainty at the reporting date, that have a significant risk of causing a material differences in the carrying amounts of assets and liabilities within the next financial period, are presented below. The Company used these assumptions and estimates on the basis available when the financial statements were prepared. However, existing circumstances and assumptions about future developments may change due to market changes or circumstances arising that are beyond the control of the Company. Such changes are reflected in the assumptions when they occur</t>
  </si>
  <si>
    <t>5- Cash and Cash Equivalents</t>
  </si>
  <si>
    <t xml:space="preserve">Cash in banks </t>
  </si>
  <si>
    <t>Cash in Hand</t>
  </si>
  <si>
    <t xml:space="preserve">Total </t>
  </si>
  <si>
    <t>6- Receivables &amp; Other Debit balances</t>
  </si>
  <si>
    <t>Receivables</t>
  </si>
  <si>
    <t>Prepaid Rent</t>
  </si>
  <si>
    <t>Prepaid utility expense</t>
  </si>
  <si>
    <t>Prepaid misa expense</t>
  </si>
  <si>
    <t>Prepaid visa expense</t>
  </si>
  <si>
    <t>Security Deposit</t>
  </si>
  <si>
    <r>
      <rPr>
        <b/>
        <sz val="12"/>
        <color rgb="FF000000"/>
        <rFont val="Sakkal Majalla"/>
      </rPr>
      <t xml:space="preserve">7- </t>
    </r>
    <r>
      <rPr>
        <b/>
        <u/>
        <sz val="12"/>
        <color rgb="FF000000"/>
        <rFont val="Sakkal Majalla"/>
      </rPr>
      <t xml:space="preserve"> Property and equipment</t>
    </r>
  </si>
  <si>
    <t>Furniture &amp; fixtures</t>
  </si>
  <si>
    <t>Plant &amp; machinery</t>
  </si>
  <si>
    <t>Leasehold Improvements</t>
  </si>
  <si>
    <t>Office equipments</t>
  </si>
  <si>
    <t>Motor vehicles</t>
  </si>
  <si>
    <t>TOTAL</t>
  </si>
  <si>
    <t xml:space="preserve">Additions </t>
  </si>
  <si>
    <t>accumulated depreciation</t>
  </si>
  <si>
    <t>Net book value</t>
  </si>
  <si>
    <r>
      <rPr>
        <b/>
        <sz val="12"/>
        <color rgb="FF000000"/>
        <rFont val="Sakkal Majalla"/>
      </rPr>
      <t xml:space="preserve">8- </t>
    </r>
    <r>
      <rPr>
        <b/>
        <u/>
        <sz val="12"/>
        <color rgb="FF000000"/>
        <rFont val="Sakkal Majalla"/>
      </rPr>
      <t xml:space="preserve"> Other Credit balances</t>
    </r>
  </si>
  <si>
    <t>Creditors</t>
  </si>
  <si>
    <t>Provisions</t>
  </si>
  <si>
    <t xml:space="preserve">Accrued Expence </t>
  </si>
  <si>
    <t>Advance from customer</t>
  </si>
  <si>
    <t>9- DUE FROM RELATED PARTY</t>
  </si>
  <si>
    <t>Related parties include the company's shareholders, senior management, and entities owned or managed by these entities, as well as entities over which they have joint control or significant influence. The following is a summary of the most significant transactions between the company and related parties during the period ending December 31, 2025:</t>
  </si>
  <si>
    <t xml:space="preserve">Name of Partner </t>
  </si>
  <si>
    <t>Nature of the relationship</t>
  </si>
  <si>
    <t>Nature of transactions</t>
  </si>
  <si>
    <t>Balance at the end of the year</t>
  </si>
  <si>
    <r>
      <t xml:space="preserve">Net transactions during the period </t>
    </r>
    <r>
      <rPr>
        <b/>
        <u/>
        <sz val="12"/>
        <color rgb="FF000000"/>
        <rFont val="Sakkal Majalla"/>
      </rPr>
      <t>Debit</t>
    </r>
  </si>
  <si>
    <r>
      <t xml:space="preserve">Net transactions during the period </t>
    </r>
    <r>
      <rPr>
        <b/>
        <u/>
        <sz val="12"/>
        <color rgb="FF000000"/>
        <rFont val="Sakkal Majalla"/>
      </rPr>
      <t>Credit</t>
    </r>
  </si>
  <si>
    <t>Balance at the Beginning of the year</t>
  </si>
  <si>
    <t>SAR</t>
  </si>
  <si>
    <r>
      <rPr>
        <b/>
        <sz val="12"/>
        <color rgb="FF000000"/>
        <rFont val="Sakkal Majalla"/>
      </rPr>
      <t xml:space="preserve">10- </t>
    </r>
    <r>
      <rPr>
        <b/>
        <u/>
        <sz val="12"/>
        <color rgb="FF000000"/>
        <rFont val="Sakkal Majalla"/>
      </rPr>
      <t>Income tax provision</t>
    </r>
  </si>
  <si>
    <t>a. The movement of Tax provision during the period is as follows:</t>
  </si>
  <si>
    <t xml:space="preserve">Balance of the zakat provision at the beginning of the period </t>
  </si>
  <si>
    <t xml:space="preserve">Paid during the Period </t>
  </si>
  <si>
    <t>Prior period adjustment</t>
  </si>
  <si>
    <t xml:space="preserve">Net zakat provision after settlements </t>
  </si>
  <si>
    <t xml:space="preserve">Zakat provision for the current period </t>
  </si>
  <si>
    <t xml:space="preserve">Zakat provision as in the end of the period </t>
  </si>
  <si>
    <t>b. Taxable base</t>
  </si>
  <si>
    <t>Adjusted net profit for the period</t>
  </si>
  <si>
    <t xml:space="preserve">Tax rate </t>
  </si>
  <si>
    <t xml:space="preserve">Income tax </t>
  </si>
  <si>
    <t>11-  Employee Benefit Liability</t>
  </si>
  <si>
    <t>Balance at the beginning of the period</t>
  </si>
  <si>
    <t xml:space="preserve">Incurred expenses during the period </t>
  </si>
  <si>
    <t>Paid during the Period</t>
  </si>
  <si>
    <t xml:space="preserve">Balance at the End of the period </t>
  </si>
  <si>
    <t>12.  Capital</t>
  </si>
  <si>
    <t>Partner Name</t>
  </si>
  <si>
    <t>Value of each share</t>
  </si>
  <si>
    <t>Number of shares</t>
  </si>
  <si>
    <t>13- Company Going Concern</t>
  </si>
  <si>
    <t>14- Cost of revenue</t>
  </si>
  <si>
    <t>COGS</t>
  </si>
  <si>
    <t>Total</t>
  </si>
  <si>
    <t>15-  General and Administrative Expenses</t>
  </si>
  <si>
    <t>Government fees and subscriptions</t>
  </si>
  <si>
    <t>Salaries and wages, and their equivalents</t>
  </si>
  <si>
    <t xml:space="preserve">Rentals </t>
  </si>
  <si>
    <t>Social Insurance</t>
  </si>
  <si>
    <t>Insurance</t>
  </si>
  <si>
    <t>Employee benefits</t>
  </si>
  <si>
    <t>Travel expense</t>
  </si>
  <si>
    <t>Consulting charge</t>
  </si>
  <si>
    <t>Professional Fees</t>
  </si>
  <si>
    <t>Repair &amp; Maintanance Expense</t>
  </si>
  <si>
    <t>Vehicle expense</t>
  </si>
  <si>
    <t>Medical expense</t>
  </si>
  <si>
    <t>Telephone &amp; Internet Expense</t>
  </si>
  <si>
    <t>Electricity &amp; water expense</t>
  </si>
  <si>
    <t>Printing &amp; Stationary</t>
  </si>
  <si>
    <t>Banking fees</t>
  </si>
  <si>
    <t>Office  Expenses</t>
  </si>
  <si>
    <t>Other operating expense</t>
  </si>
  <si>
    <t>Fuel Expense</t>
  </si>
  <si>
    <t>Other expense</t>
  </si>
  <si>
    <t xml:space="preserve">16- FAIR VALUE OF FINANCIAL INSTRUMENTS </t>
  </si>
  <si>
    <t xml:space="preserve">Fair value </t>
  </si>
  <si>
    <t>Fair value of financial instruments risk is the amount for which as asset could be exchanged, or liability settled between knowledgeable willing parties in an arm's length transaction. Financial instruments comprised of financial assets and financial liabilities.</t>
  </si>
  <si>
    <t>RISK MANAGEMENT</t>
  </si>
  <si>
    <t>Risk management in the Companies activities are managed through a process of going identification, measurement and monitoring, subject to risk limits and other controls. The main risks arising from financial instruments are:</t>
  </si>
  <si>
    <t xml:space="preserve"> Liquidity risk</t>
  </si>
  <si>
    <t>Credit risk</t>
  </si>
  <si>
    <t>Commission rate risk</t>
  </si>
  <si>
    <t>Foreign currency risk</t>
  </si>
  <si>
    <t xml:space="preserve"> No changes were made in the risk management objectives, policies during the years ended December 31, 2025. The management of the Branch reviews and approves policies for managing each of these risks which are summarized below:</t>
  </si>
  <si>
    <t>Liquidity risk</t>
  </si>
  <si>
    <r>
      <t xml:space="preserve">-   </t>
    </r>
    <r>
      <rPr>
        <sz val="12"/>
        <color theme="1"/>
        <rFont val="Sakkal Majalla"/>
      </rPr>
      <t>The liquidity risks involve the Company facing difficulties in obtaining funds to meet financial obligations.</t>
    </r>
  </si>
  <si>
    <r>
      <t xml:space="preserve">-   </t>
    </r>
    <r>
      <rPr>
        <sz val="12"/>
        <color theme="1"/>
        <rFont val="Sakkal Majalla"/>
      </rPr>
      <t>The Company works to mitigate liquidity risks by ensuring the availability of sufficient funding sources when needed.</t>
    </r>
  </si>
  <si>
    <t xml:space="preserve">SAR </t>
  </si>
  <si>
    <t xml:space="preserve">Current Assets </t>
  </si>
  <si>
    <t xml:space="preserve">Current Liabilities </t>
  </si>
  <si>
    <t xml:space="preserve"> Working Capital </t>
  </si>
  <si>
    <t>Credit risk is risk that one party will fall to discharge and cause the other party to incur a financial loss. Credit risk arises when failure by counterparties to discharge their obligations could reduce the amount of future cash follows from financial asset on hand at the reporting date. These has policies and procedures in place to limit the amount of credit exposure to any counter party and to monitor the collection of receivables on an ongoing basis.</t>
  </si>
  <si>
    <t>Commission rate risk arises from the possibility that changes in commission rates will affect profitability or the fair values of financial instruments. The branch is not exposed to commission rate risk since there are no floating interest-bearing assets and liabilities at the balance sheet date.</t>
  </si>
  <si>
    <t>Foreign exchange risk</t>
  </si>
  <si>
    <t>Foreign exchange arises when future commercial transactions and recognized assets and liabilities are denominated in a currency that is not the Branch's financial currency. Foreign exchange risk is the risk that the value of a financial instrument will fluctuated due to changes in foreign exchange rates. The Branch did not undertake significant transaction in currencies other than Saudi Riyals and US Dollars, during the year/period. As the Saudi Riyal is pegged to the US Dollar, balances in Saudi Riyals are not considered to present significant currency risk.</t>
  </si>
  <si>
    <r>
      <t xml:space="preserve">17. </t>
    </r>
    <r>
      <rPr>
        <b/>
        <u/>
        <sz val="12"/>
        <color rgb="FF000000"/>
        <rFont val="Sakkal Majalla"/>
      </rPr>
      <t>Approval of Financial Statements</t>
    </r>
  </si>
  <si>
    <t>The Financial Statements for issuance were approved by the general manager on , corresponding to .</t>
  </si>
  <si>
    <t>18. General</t>
  </si>
  <si>
    <t>The figures in the Financial Statements have been rounded to the nearest Saudi riyal.</t>
  </si>
  <si>
    <t>Name</t>
  </si>
  <si>
    <t>Category</t>
  </si>
  <si>
    <t>Type</t>
  </si>
  <si>
    <t>Opening Balance</t>
  </si>
  <si>
    <t>Debit</t>
  </si>
  <si>
    <t>Credit</t>
  </si>
  <si>
    <t>Adjustment Entries</t>
  </si>
  <si>
    <t>2025 Final</t>
  </si>
  <si>
    <t>Grand Total</t>
  </si>
  <si>
    <t>Statement of Cash Flow for the year ends at 31 MONTH XXX</t>
  </si>
  <si>
    <t>The Company's financial year begins on the date of its registration in the commercial register, which is "INCORPORATION DATE IN ARABIC AS PER CR" , corresponding to "INCORPORATION DATE INTO GREGORIAN DATE". and ends on " current year". Each subsequent financial year will be twelve months, starting on January 1 of each Gregorian year and ending at the end of December of the same year.</t>
  </si>
  <si>
    <t xml:space="preserve"> "headquarters of company as per AOA"</t>
  </si>
  <si>
    <t>"COMPANY NAME AS PER CR "- Limited Liability Company - Registered under "Commercial Register No AS PER CR " in" HEADQUARTERS AS PER CR ", on "INCORPORATION DATE IN ARABIC AS PER AOA" , corresponding to "INCORPORATION DATE INTO GREGORIAN DATE". The Company mainly operates in 'COMPANY ACTIVITY AS PER AOA"</t>
  </si>
  <si>
    <t>"COMPANY NAME AS PER AOA"</t>
  </si>
  <si>
    <t>"TYPE OF COMPANY AS PER AOA"</t>
  </si>
  <si>
    <t>Statement of Financial Position for the year ends at "END DATE AS PER TRIAL BALANCE</t>
  </si>
  <si>
    <t>CURRENT YEAR</t>
  </si>
  <si>
    <t>PREVIOUS YEAR</t>
  </si>
  <si>
    <t>Statement of Comprehensive Income for the year ends at "END DATE AS PER TRIAL BALANCE"</t>
  </si>
  <si>
    <t>Statement of Changes in Equity for the year ends at " END DATE AS PER TRIAL BALANCE"</t>
  </si>
  <si>
    <t>Balance at the beginning of " FIRST DATE OF PREVIOUS YEAR"</t>
  </si>
  <si>
    <t>Balance at the End of "" END DATE OF PRVIOUS YEAR"</t>
  </si>
  <si>
    <t>Balance at the beginning of  "FIRST DATE OF CURRENT YEAR"</t>
  </si>
  <si>
    <t>Balance at the End of " END DATE OF CURRENT YEAR"</t>
  </si>
  <si>
    <t>Statement of Changes in Equity for the period from" FIRST DATE OF CURRENT YEAR" to " END DATE OF CURRENT YEAR"</t>
  </si>
  <si>
    <t>NOTES TO THE FINANACIAL STATEMENT FOR THE YEAR ENDED " END DATE OF CURRENT YEAR"</t>
  </si>
  <si>
    <r>
      <t xml:space="preserve">
The " REATINED EARNINGS/ACCUMULATED LOSS AS PER SOFP SHEET" as of unconsolidated financial statement date, amounting to " AMOUNT AS PER SOFP"  Saudi Riyals, have exceeded the company's capital as at "END DATE OF CURRENT YEAR". Additionally, there was a "</t>
    </r>
    <r>
      <rPr>
        <b/>
        <sz val="12"/>
        <color theme="1"/>
        <rFont val="Sakkal Majalla"/>
      </rPr>
      <t>Surplus/Deficit</t>
    </r>
    <r>
      <rPr>
        <sz val="12"/>
        <color theme="1"/>
        <rFont val="Sakkal Majalla"/>
      </rPr>
      <t xml:space="preserve"> wording as per positive or negative in working capital amount as per sheet 8" of " current year woking capital amount " Saudi Riyals as at "END YEAR AS PER TRIAL BALANCE". These circumstances indicate there is no significant doubt about the company's ability to continue its operations as a going concern. This situation does not requires calling a partner meeting to consider supporting the company and its continuation or liquidating it before the specified date in its founding contract. The necessary legal procedures should be initiated in accordance with Article 182 of the Saudi Companies Law and the company's founding contract.</t>
    </r>
  </si>
  <si>
    <t>Inventory</t>
  </si>
  <si>
    <t>Advance to suppliers</t>
  </si>
  <si>
    <t>salary advance</t>
  </si>
  <si>
    <t>Balance in "first date of current year"</t>
  </si>
  <si>
    <t>Balance in "end date of current year"</t>
  </si>
  <si>
    <t>Balance in " end date of previous year"</t>
  </si>
  <si>
    <t>"as per aoa"</t>
  </si>
  <si>
    <t>as per aoa</t>
  </si>
  <si>
    <t xml:space="preserve">VAT </t>
  </si>
  <si>
    <t>"Definition of capital split as per AOA"</t>
  </si>
  <si>
    <t xml:space="preserve">
The " REATINED EARNINGS/ACCUMULATED LOSS AS PER SOFP SHEET" as of unconsolidated financial statement date, amounting to " AMOUNT AS PER SOFP"  Saudi Riyals, have exceeded the company's capital as at "END DATE OF CURRENT YEAR". Additionally, there was a "Surplus/Deficit wording as per positive or negative in working capital amount as per sheet 8" of " current year woking capital amount " Saudi Riyals as at "END YEAR AS PER TRIAL BALANCE". These circumstances indicate there is no significant doubt about the company's ability to continue its operations as a going concern. This situation does not requires calling a partner meeting to consider supporting the company and its continuation or liquidating it before the specified date in its founding contract. The necessary legal procedures should be initiated in accordance with Article 182 of the Saudi Companies Law and the company's founding contract.</t>
  </si>
  <si>
    <t xml:space="preserve"> TRIAL BALANCE FOR THE PERIOD FROM "FIRST DATE OF CURRENT YEAR AS PER AOA" TO " END DATE OF CURRENT YEAR AS PER AOA"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</si>
</sst>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 #,##0.00_ ;_ * \-#,##0.00_ ;_ * &quot;-&quot;??_ ;_ @_ "/>
    <numFmt numFmtId="164" formatCode="B1dd\-mmm\-yy"/>
    <numFmt numFmtId="165" formatCode="_-* #,##0.00_-;\-* #,##0.00_-;_-* &quot;-&quot;??_-;_-@_-"/>
    <numFmt numFmtId="166" formatCode="_-* #,##0_-;\-* #,##0_-;_-* &quot;-&quot;??_-;_-@_-"/>
    <numFmt numFmtId="167" formatCode="#,##0_-;\(#,###\)"/>
    <numFmt numFmtId="168" formatCode="#,##0;\(#,##0\);\-"/>
    <numFmt numFmtId="169" formatCode="_(* #,##0_);_(* \(#,##0\);_(* &quot;-&quot;??_);_(@_)"/>
    <numFmt numFmtId="170" formatCode="_-* #,##0.00_-;_-* #,##0.00\-;_-* &quot;-&quot;??_-;_-@_-"/>
    <numFmt numFmtId="171" formatCode="#,##0.00_-;\(#,###.00\)"/>
    <numFmt numFmtId="172" formatCode="#,##0.00;\(#,##0.00\);\-"/>
    <numFmt numFmtId="173" formatCode="#,##0;[Red]\(#,##0\)"/>
    <numFmt numFmtId="174" formatCode="_-* #,##0.0_-;\-* #,##0.0_-;_-* &quot;-&quot;??_-;_-@_-"/>
    <numFmt numFmtId="175" formatCode="_-* #,##0_-;\-* #,##0_-;_-* &quot;-&quot;_-;_-@_-"/>
    <numFmt numFmtId="176" formatCode="_ * #,##0_ ;_ * \-#,##0_ ;_ * &quot;-&quot;??_ ;_ @_ "/>
    <numFmt numFmtId="177" formatCode="_ * #,##0.0_ ;_ * \-#,##0.0_ ;_ * &quot;-&quot;??_ ;_ @_ "/>
  </numFmts>
  <fonts count="35" x14ac:knownFonts="1">
    <font>
      <sz val="11"/>
      <color theme="1"/>
      <name val="Calibri"/>
      <family val="2"/>
      <scheme val="minor"/>
    </font>
    <font>
      <sz val="11"/>
      <color theme="1"/>
      <name val="Calibri"/>
      <family val="2"/>
      <scheme val="minor"/>
    </font>
    <font>
      <sz val="10"/>
      <name val="Arial"/>
      <family val="2"/>
    </font>
    <font>
      <b/>
      <sz val="14"/>
      <name val="Sakkal Majalla"/>
    </font>
    <font>
      <sz val="14"/>
      <name val="Sakkal Majalla"/>
    </font>
    <font>
      <b/>
      <sz val="14"/>
      <color theme="1"/>
      <name val="Sakkal Majalla"/>
    </font>
    <font>
      <sz val="14"/>
      <color theme="1"/>
      <name val="Sakkal Majalla"/>
    </font>
    <font>
      <sz val="14"/>
      <name val="Arial"/>
      <family val="2"/>
    </font>
    <font>
      <b/>
      <u/>
      <sz val="14"/>
      <name val="Sakkal Majalla"/>
    </font>
    <font>
      <b/>
      <sz val="13"/>
      <name val="Sakkal Majalla"/>
    </font>
    <font>
      <sz val="12"/>
      <name val="Sakkal Majalla"/>
    </font>
    <font>
      <sz val="13"/>
      <name val="Sakkal Majalla"/>
    </font>
    <font>
      <b/>
      <sz val="12"/>
      <name val="Sakkal Majalla"/>
    </font>
    <font>
      <b/>
      <u/>
      <sz val="12"/>
      <name val="Sakkal Majalla"/>
    </font>
    <font>
      <sz val="12"/>
      <color rgb="FF000000"/>
      <name val="Sakkal Majalla"/>
    </font>
    <font>
      <b/>
      <sz val="12"/>
      <color rgb="FF000000"/>
      <name val="Sakkal Majalla"/>
    </font>
    <font>
      <u/>
      <sz val="12"/>
      <name val="Sakkal Majalla"/>
    </font>
    <font>
      <b/>
      <sz val="13"/>
      <color theme="1"/>
      <name val="Sakkal Majalla"/>
    </font>
    <font>
      <b/>
      <sz val="12"/>
      <color theme="1"/>
      <name val="Sakkal Majalla"/>
    </font>
    <font>
      <sz val="12"/>
      <color theme="1"/>
      <name val="Sakkal Majalla"/>
    </font>
    <font>
      <sz val="13"/>
      <color theme="1"/>
      <name val="Sakkal Majalla"/>
    </font>
    <font>
      <b/>
      <u/>
      <sz val="12"/>
      <color theme="1"/>
      <name val="Sakkal Majalla"/>
    </font>
    <font>
      <sz val="11"/>
      <color theme="1"/>
      <name val="Sakkal Majalla"/>
    </font>
    <font>
      <b/>
      <u/>
      <sz val="12"/>
      <color rgb="FF000000"/>
      <name val="Sakkal Majalla"/>
    </font>
    <font>
      <u/>
      <sz val="12"/>
      <color theme="1"/>
      <name val="Sakkal Majalla"/>
    </font>
    <font>
      <i/>
      <u/>
      <sz val="12"/>
      <color theme="1"/>
      <name val="Sakkal Majalla"/>
    </font>
    <font>
      <sz val="13"/>
      <color rgb="FF000000"/>
      <name val="Sakkal Majalla"/>
    </font>
    <font>
      <b/>
      <sz val="13"/>
      <color rgb="FF000000"/>
      <name val="Sakkal Majalla"/>
    </font>
    <font>
      <b/>
      <sz val="12"/>
      <color rgb="FFFF0000"/>
      <name val="Sakkal Majalla"/>
    </font>
    <font>
      <b/>
      <sz val="11"/>
      <color theme="1"/>
      <name val="Sakkal Majalla"/>
    </font>
    <font>
      <b/>
      <sz val="11"/>
      <name val="Sakkal Majalla"/>
    </font>
    <font>
      <sz val="11"/>
      <name val="Sakkal Majalla"/>
    </font>
    <font>
      <u/>
      <sz val="12"/>
      <color rgb="FF000000"/>
      <name val="Sakkal Majalla"/>
    </font>
    <font>
      <b/>
      <sz val="16"/>
      <color theme="1"/>
      <name val="Sakkal Majalla"/>
    </font>
    <font>
      <sz val="12"/>
      <color indexed="8"/>
      <name val="Sakkal Majalla"/>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n">
        <color indexed="64"/>
      </bottom>
      <diagonal/>
    </border>
    <border>
      <left/>
      <right/>
      <top style="thin">
        <color indexed="64"/>
      </top>
      <bottom/>
      <diagonal/>
    </border>
    <border>
      <left/>
      <right/>
      <top style="thin">
        <color indexed="64"/>
      </top>
      <bottom style="double">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double">
        <color indexed="64"/>
      </bottom>
      <diagonal/>
    </border>
  </borders>
  <cellStyleXfs count="10">
    <xf numFmtId="0" fontId="0" fillId="0" borderId="0"/>
    <xf numFmtId="9" fontId="1" fillId="0" borderId="0" applyFont="0" applyFill="0" applyBorder="0" applyAlignment="0" applyProtection="0"/>
    <xf numFmtId="0" fontId="2" fillId="0" borderId="0"/>
    <xf numFmtId="0" fontId="2" fillId="0" borderId="0"/>
    <xf numFmtId="0" fontId="1" fillId="0" borderId="0"/>
    <xf numFmtId="165" fontId="1" fillId="0" borderId="0" applyFont="0" applyFill="0" applyBorder="0" applyAlignment="0" applyProtection="0"/>
    <xf numFmtId="170"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0" fontId="2" fillId="0" borderId="0"/>
  </cellStyleXfs>
  <cellXfs count="337">
    <xf numFmtId="0" fontId="0" fillId="0" borderId="0" xfId="0"/>
    <xf numFmtId="0" fontId="4" fillId="0" borderId="0" xfId="2" applyFont="1" applyAlignment="1">
      <alignment vertical="center" readingOrder="2"/>
    </xf>
    <xf numFmtId="0" fontId="3" fillId="0" borderId="0" xfId="2" applyFont="1" applyAlignment="1">
      <alignment vertical="center" readingOrder="1"/>
    </xf>
    <xf numFmtId="0" fontId="3" fillId="0" borderId="1" xfId="2" applyFont="1" applyBorder="1" applyAlignment="1">
      <alignment horizontal="center" vertical="center" readingOrder="2"/>
    </xf>
    <xf numFmtId="0" fontId="3" fillId="0" borderId="0" xfId="2" applyFont="1" applyAlignment="1">
      <alignment horizontal="right" vertical="center" readingOrder="2"/>
    </xf>
    <xf numFmtId="0" fontId="3" fillId="0" borderId="0" xfId="0" applyFont="1" applyAlignment="1">
      <alignment horizontal="left" vertical="center" readingOrder="1"/>
    </xf>
    <xf numFmtId="0" fontId="3" fillId="0" borderId="0" xfId="2" applyFont="1" applyAlignment="1">
      <alignment horizontal="center" vertical="center" readingOrder="2"/>
    </xf>
    <xf numFmtId="164" fontId="5" fillId="0" borderId="0" xfId="0" applyNumberFormat="1" applyFont="1" applyAlignment="1">
      <alignment horizontal="center" vertical="center" readingOrder="1"/>
    </xf>
    <xf numFmtId="3" fontId="3" fillId="0" borderId="2" xfId="3" applyNumberFormat="1" applyFont="1" applyBorder="1" applyAlignment="1">
      <alignment horizontal="center" vertical="center" readingOrder="1"/>
    </xf>
    <xf numFmtId="0" fontId="4" fillId="0" borderId="0" xfId="0" applyFont="1" applyAlignment="1">
      <alignment horizontal="left" vertical="center" readingOrder="1"/>
    </xf>
    <xf numFmtId="0" fontId="6" fillId="0" borderId="0" xfId="4" applyFont="1" applyAlignment="1">
      <alignment horizontal="center" vertical="center"/>
    </xf>
    <xf numFmtId="166" fontId="4" fillId="0" borderId="0" xfId="5" applyNumberFormat="1" applyFont="1" applyFill="1" applyAlignment="1">
      <alignment horizontal="left" vertical="center" readingOrder="1"/>
    </xf>
    <xf numFmtId="0" fontId="4" fillId="0" borderId="0" xfId="2" applyFont="1" applyAlignment="1">
      <alignment horizontal="center" vertical="center" readingOrder="2"/>
    </xf>
    <xf numFmtId="166" fontId="7" fillId="0" borderId="0" xfId="5" applyNumberFormat="1" applyFont="1" applyFill="1" applyAlignment="1">
      <alignment horizontal="left" vertical="center" readingOrder="1"/>
    </xf>
    <xf numFmtId="0" fontId="5" fillId="0" borderId="0" xfId="0" applyFont="1" applyAlignment="1">
      <alignment vertical="center" wrapText="1" readingOrder="1"/>
    </xf>
    <xf numFmtId="0" fontId="8" fillId="0" borderId="0" xfId="2" applyFont="1" applyAlignment="1">
      <alignment horizontal="center" vertical="center" readingOrder="2"/>
    </xf>
    <xf numFmtId="166" fontId="3" fillId="0" borderId="3" xfId="5" applyNumberFormat="1" applyFont="1" applyFill="1" applyBorder="1" applyAlignment="1">
      <alignment horizontal="left" vertical="center" readingOrder="1"/>
    </xf>
    <xf numFmtId="166" fontId="3" fillId="0" borderId="0" xfId="5" applyNumberFormat="1" applyFont="1" applyFill="1" applyBorder="1" applyAlignment="1">
      <alignment horizontal="left" vertical="center" readingOrder="1"/>
    </xf>
    <xf numFmtId="166" fontId="4" fillId="0" borderId="0" xfId="2" applyNumberFormat="1" applyFont="1" applyAlignment="1">
      <alignment vertical="center" readingOrder="2"/>
    </xf>
    <xf numFmtId="166" fontId="3" fillId="0" borderId="4" xfId="5" applyNumberFormat="1" applyFont="1" applyFill="1" applyBorder="1" applyAlignment="1">
      <alignment horizontal="left" vertical="center" readingOrder="1"/>
    </xf>
    <xf numFmtId="167" fontId="4" fillId="0" borderId="0" xfId="2" applyNumberFormat="1" applyFont="1" applyAlignment="1">
      <alignment horizontal="center" vertical="center" readingOrder="2"/>
    </xf>
    <xf numFmtId="3" fontId="4" fillId="0" borderId="0" xfId="0" applyNumberFormat="1" applyFont="1" applyAlignment="1">
      <alignment horizontal="center" vertical="center" readingOrder="2"/>
    </xf>
    <xf numFmtId="37" fontId="4" fillId="0" borderId="0" xfId="2" applyNumberFormat="1" applyFont="1" applyAlignment="1">
      <alignment vertical="center" readingOrder="2"/>
    </xf>
    <xf numFmtId="0" fontId="5" fillId="0" borderId="0" xfId="0" applyFont="1" applyAlignment="1">
      <alignment horizontal="left" vertical="center" wrapText="1" readingOrder="1"/>
    </xf>
    <xf numFmtId="168" fontId="4" fillId="0" borderId="0" xfId="0" applyNumberFormat="1" applyFont="1" applyAlignment="1">
      <alignment horizontal="center" vertical="center" readingOrder="2"/>
    </xf>
    <xf numFmtId="0" fontId="4" fillId="0" borderId="0" xfId="0" applyFont="1" applyAlignment="1">
      <alignment readingOrder="1"/>
    </xf>
    <xf numFmtId="0" fontId="4" fillId="0" borderId="0" xfId="0" applyFont="1"/>
    <xf numFmtId="0" fontId="3" fillId="0" borderId="0" xfId="0" applyFont="1" applyAlignment="1">
      <alignment readingOrder="1"/>
    </xf>
    <xf numFmtId="166" fontId="4" fillId="0" borderId="0" xfId="0" applyNumberFormat="1" applyFont="1"/>
    <xf numFmtId="0" fontId="4" fillId="0" borderId="0" xfId="2" applyFont="1" applyAlignment="1">
      <alignment horizontal="left" vertical="center" readingOrder="1"/>
    </xf>
    <xf numFmtId="169" fontId="6" fillId="0" borderId="0" xfId="0" applyNumberFormat="1" applyFont="1" applyAlignment="1">
      <alignment vertical="center" wrapText="1" readingOrder="1"/>
    </xf>
    <xf numFmtId="169" fontId="6" fillId="0" borderId="4" xfId="0" applyNumberFormat="1" applyFont="1" applyBorder="1" applyAlignment="1">
      <alignment vertical="center" wrapText="1" readingOrder="1"/>
    </xf>
    <xf numFmtId="169" fontId="4" fillId="0" borderId="0" xfId="6" applyNumberFormat="1" applyFont="1" applyFill="1" applyAlignment="1">
      <alignment horizontal="left" vertical="center" readingOrder="2"/>
    </xf>
    <xf numFmtId="171" fontId="4" fillId="0" borderId="0" xfId="2" applyNumberFormat="1" applyFont="1" applyAlignment="1">
      <alignment horizontal="center" vertical="center" readingOrder="2"/>
    </xf>
    <xf numFmtId="165" fontId="4" fillId="0" borderId="0" xfId="5" applyFont="1" applyAlignment="1">
      <alignment horizontal="center" vertical="center" readingOrder="2"/>
    </xf>
    <xf numFmtId="0" fontId="4" fillId="0" borderId="0" xfId="2" applyFont="1" applyAlignment="1">
      <alignment horizontal="right" vertical="center" readingOrder="2"/>
    </xf>
    <xf numFmtId="168" fontId="4" fillId="0" borderId="0" xfId="2" applyNumberFormat="1" applyFont="1" applyAlignment="1">
      <alignment vertical="center" readingOrder="2"/>
    </xf>
    <xf numFmtId="0" fontId="3" fillId="0" borderId="0" xfId="2" applyFont="1" applyAlignment="1">
      <alignment horizontal="left" vertical="center" readingOrder="1"/>
    </xf>
    <xf numFmtId="0" fontId="3" fillId="0" borderId="0" xfId="2" applyFont="1" applyAlignment="1">
      <alignment horizontal="left" vertical="center" readingOrder="2"/>
    </xf>
    <xf numFmtId="0" fontId="8" fillId="0" borderId="0" xfId="2" applyFont="1" applyAlignment="1">
      <alignment horizontal="left" vertical="center" readingOrder="2"/>
    </xf>
    <xf numFmtId="0" fontId="3" fillId="0" borderId="1" xfId="2" applyFont="1" applyBorder="1" applyAlignment="1">
      <alignment horizontal="center" readingOrder="2"/>
    </xf>
    <xf numFmtId="0" fontId="3" fillId="0" borderId="0" xfId="2" applyFont="1" applyAlignment="1">
      <alignment horizontal="center" readingOrder="2"/>
    </xf>
    <xf numFmtId="0" fontId="3" fillId="0" borderId="0" xfId="5" applyNumberFormat="1" applyFont="1" applyFill="1" applyAlignment="1">
      <alignment horizontal="center" wrapText="1" readingOrder="1"/>
    </xf>
    <xf numFmtId="3" fontId="3" fillId="0" borderId="2" xfId="3" applyNumberFormat="1" applyFont="1" applyBorder="1" applyAlignment="1">
      <alignment horizontal="center" vertical="top"/>
    </xf>
    <xf numFmtId="168" fontId="4" fillId="0" borderId="0" xfId="2" applyNumberFormat="1" applyFont="1" applyAlignment="1">
      <alignment horizontal="center" vertical="center" readingOrder="1"/>
    </xf>
    <xf numFmtId="3" fontId="4" fillId="0" borderId="0" xfId="0" applyNumberFormat="1" applyFont="1" applyAlignment="1">
      <alignment horizontal="center" vertical="center" readingOrder="1"/>
    </xf>
    <xf numFmtId="168" fontId="4" fillId="0" borderId="1" xfId="2" applyNumberFormat="1" applyFont="1" applyBorder="1" applyAlignment="1">
      <alignment horizontal="center" vertical="center" readingOrder="1"/>
    </xf>
    <xf numFmtId="9" fontId="4" fillId="0" borderId="0" xfId="1" applyFont="1" applyAlignment="1">
      <alignment vertical="center" readingOrder="2"/>
    </xf>
    <xf numFmtId="167" fontId="4" fillId="0" borderId="0" xfId="2" applyNumberFormat="1" applyFont="1" applyAlignment="1">
      <alignment horizontal="center" vertical="center" readingOrder="1"/>
    </xf>
    <xf numFmtId="168" fontId="3" fillId="0" borderId="2" xfId="2" applyNumberFormat="1" applyFont="1" applyBorder="1" applyAlignment="1">
      <alignment horizontal="center" vertical="center" readingOrder="1"/>
    </xf>
    <xf numFmtId="10" fontId="4" fillId="0" borderId="0" xfId="1" applyNumberFormat="1" applyFont="1" applyAlignment="1">
      <alignment vertical="center" readingOrder="2"/>
    </xf>
    <xf numFmtId="172" fontId="4" fillId="0" borderId="0" xfId="2" applyNumberFormat="1" applyFont="1" applyAlignment="1">
      <alignment horizontal="center" vertical="center" readingOrder="1"/>
    </xf>
    <xf numFmtId="168" fontId="3" fillId="0" borderId="0" xfId="2" applyNumberFormat="1" applyFont="1" applyAlignment="1">
      <alignment horizontal="center" vertical="center" readingOrder="1"/>
    </xf>
    <xf numFmtId="173" fontId="3" fillId="0" borderId="0" xfId="2" applyNumberFormat="1" applyFont="1" applyAlignment="1">
      <alignment horizontal="center" vertical="center" readingOrder="2"/>
    </xf>
    <xf numFmtId="168" fontId="3" fillId="0" borderId="3" xfId="2" applyNumberFormat="1" applyFont="1" applyBorder="1" applyAlignment="1">
      <alignment horizontal="center" vertical="center" readingOrder="1"/>
    </xf>
    <xf numFmtId="0" fontId="3" fillId="0" borderId="0" xfId="2" applyFont="1" applyAlignment="1">
      <alignment vertical="center" readingOrder="2"/>
    </xf>
    <xf numFmtId="167" fontId="3" fillId="0" borderId="0" xfId="2" applyNumberFormat="1" applyFont="1" applyAlignment="1">
      <alignment horizontal="center" vertical="center" readingOrder="2"/>
    </xf>
    <xf numFmtId="0" fontId="9" fillId="0" borderId="0" xfId="2" applyFont="1" applyAlignment="1">
      <alignment horizontal="center" vertical="center"/>
    </xf>
    <xf numFmtId="0" fontId="10" fillId="0" borderId="0" xfId="2" applyFont="1" applyAlignment="1">
      <alignment vertical="center" readingOrder="2"/>
    </xf>
    <xf numFmtId="0" fontId="9" fillId="0" borderId="1" xfId="2" applyFont="1" applyBorder="1" applyAlignment="1">
      <alignment horizontal="center" vertical="center" readingOrder="2"/>
    </xf>
    <xf numFmtId="0" fontId="10" fillId="0" borderId="0" xfId="2" applyFont="1" applyAlignment="1">
      <alignment horizontal="right" vertical="center" readingOrder="2"/>
    </xf>
    <xf numFmtId="0" fontId="12" fillId="0" borderId="0" xfId="2" applyFont="1" applyAlignment="1">
      <alignment horizontal="center" vertical="center"/>
    </xf>
    <xf numFmtId="0" fontId="10" fillId="0" borderId="0" xfId="2" applyFont="1" applyAlignment="1">
      <alignment horizontal="center" vertical="center" readingOrder="2"/>
    </xf>
    <xf numFmtId="0" fontId="12" fillId="0" borderId="0" xfId="2" applyFont="1" applyAlignment="1">
      <alignment horizontal="center" vertical="center" wrapText="1" readingOrder="2"/>
    </xf>
    <xf numFmtId="0" fontId="12" fillId="0" borderId="1" xfId="2" applyFont="1" applyBorder="1" applyAlignment="1">
      <alignment horizontal="center" vertical="center" wrapText="1" readingOrder="2"/>
    </xf>
    <xf numFmtId="0" fontId="13" fillId="0" borderId="0" xfId="0" applyFont="1" applyAlignment="1">
      <alignment horizontal="left" vertical="center" wrapText="1" readingOrder="1"/>
    </xf>
    <xf numFmtId="0" fontId="10" fillId="0" borderId="0" xfId="0" applyFont="1"/>
    <xf numFmtId="0" fontId="12" fillId="2" borderId="0" xfId="0" applyFont="1" applyFill="1" applyAlignment="1">
      <alignment horizontal="center" vertical="center" readingOrder="1"/>
    </xf>
    <xf numFmtId="0" fontId="12" fillId="2" borderId="2" xfId="0" applyFont="1" applyFill="1" applyBorder="1" applyAlignment="1">
      <alignment horizontal="center" vertical="center" readingOrder="1"/>
    </xf>
    <xf numFmtId="0" fontId="14" fillId="0" borderId="0" xfId="0" applyFont="1" applyAlignment="1">
      <alignment horizontal="justify" vertical="center" wrapText="1" readingOrder="1"/>
    </xf>
    <xf numFmtId="168" fontId="10" fillId="0" borderId="0" xfId="2" applyNumberFormat="1" applyFont="1" applyAlignment="1">
      <alignment horizontal="center" vertical="center" readingOrder="1"/>
    </xf>
    <xf numFmtId="0" fontId="15" fillId="0" borderId="0" xfId="0" applyFont="1" applyAlignment="1">
      <alignment horizontal="justify" vertical="center" wrapText="1" readingOrder="1"/>
    </xf>
    <xf numFmtId="168" fontId="12" fillId="0" borderId="0" xfId="2" applyNumberFormat="1" applyFont="1" applyAlignment="1">
      <alignment horizontal="center" vertical="center" readingOrder="1"/>
    </xf>
    <xf numFmtId="168" fontId="12" fillId="0" borderId="3" xfId="2" applyNumberFormat="1" applyFont="1" applyBorder="1" applyAlignment="1">
      <alignment horizontal="center" vertical="center" readingOrder="1"/>
    </xf>
    <xf numFmtId="0" fontId="16" fillId="0" borderId="0" xfId="0" applyFont="1" applyAlignment="1">
      <alignment horizontal="left" vertical="center" wrapText="1" readingOrder="1"/>
    </xf>
    <xf numFmtId="0" fontId="9" fillId="0" borderId="0" xfId="2" applyFont="1" applyAlignment="1">
      <alignment horizontal="left" vertical="center" readingOrder="1"/>
    </xf>
    <xf numFmtId="0" fontId="9" fillId="0" borderId="0" xfId="2" applyFont="1" applyAlignment="1">
      <alignment horizontal="left" vertical="center" readingOrder="2"/>
    </xf>
    <xf numFmtId="0" fontId="11" fillId="0" borderId="1" xfId="2" applyFont="1" applyBorder="1" applyAlignment="1">
      <alignment horizontal="left" vertical="center" readingOrder="1"/>
    </xf>
    <xf numFmtId="0" fontId="11" fillId="0" borderId="0" xfId="2" applyFont="1" applyAlignment="1">
      <alignment vertical="center" readingOrder="2"/>
    </xf>
    <xf numFmtId="0" fontId="12" fillId="0" borderId="0" xfId="2" applyFont="1" applyAlignment="1">
      <alignment horizontal="right" vertical="center" readingOrder="2"/>
    </xf>
    <xf numFmtId="0" fontId="12" fillId="0" borderId="0" xfId="2" applyFont="1" applyAlignment="1">
      <alignment horizontal="center" vertical="center" readingOrder="2"/>
    </xf>
    <xf numFmtId="0" fontId="13" fillId="0" borderId="0" xfId="2" applyFont="1" applyAlignment="1">
      <alignment horizontal="center" vertical="center" readingOrder="2"/>
    </xf>
    <xf numFmtId="0" fontId="15" fillId="0" borderId="1" xfId="0" applyFont="1" applyBorder="1" applyAlignment="1">
      <alignment horizontal="center" wrapText="1" readingOrder="1"/>
    </xf>
    <xf numFmtId="0" fontId="12" fillId="0" borderId="0" xfId="5" applyNumberFormat="1" applyFont="1" applyFill="1" applyAlignment="1">
      <alignment horizontal="center" vertical="center" wrapText="1" readingOrder="1"/>
    </xf>
    <xf numFmtId="0" fontId="12" fillId="0" borderId="0" xfId="0" applyFont="1" applyAlignment="1">
      <alignment horizontal="left" vertical="center" readingOrder="1"/>
    </xf>
    <xf numFmtId="3" fontId="12" fillId="0" borderId="2" xfId="3" applyNumberFormat="1" applyFont="1" applyBorder="1" applyAlignment="1">
      <alignment horizontal="center" vertical="top" readingOrder="1"/>
    </xf>
    <xf numFmtId="0" fontId="10" fillId="0" borderId="0" xfId="0" applyFont="1" applyAlignment="1">
      <alignment horizontal="left" vertical="center" readingOrder="1"/>
    </xf>
    <xf numFmtId="0" fontId="12" fillId="0" borderId="0" xfId="2" applyFont="1" applyAlignment="1">
      <alignment vertical="center" readingOrder="2"/>
    </xf>
    <xf numFmtId="168" fontId="12" fillId="0" borderId="2" xfId="2" applyNumberFormat="1" applyFont="1" applyBorder="1" applyAlignment="1">
      <alignment horizontal="center" vertical="center" readingOrder="1"/>
    </xf>
    <xf numFmtId="168" fontId="12" fillId="0" borderId="1" xfId="2" applyNumberFormat="1" applyFont="1" applyBorder="1" applyAlignment="1">
      <alignment horizontal="center" vertical="center" readingOrder="1"/>
    </xf>
    <xf numFmtId="168" fontId="10" fillId="0" borderId="1" xfId="2" applyNumberFormat="1" applyFont="1" applyBorder="1" applyAlignment="1">
      <alignment horizontal="center" vertical="center" readingOrder="1"/>
    </xf>
    <xf numFmtId="3" fontId="12" fillId="0" borderId="0" xfId="0" applyNumberFormat="1" applyFont="1" applyAlignment="1">
      <alignment horizontal="center" readingOrder="1"/>
    </xf>
    <xf numFmtId="2" fontId="12" fillId="0" borderId="0" xfId="0" applyNumberFormat="1" applyFont="1" applyAlignment="1">
      <alignment horizontal="right" vertical="center" readingOrder="2"/>
    </xf>
    <xf numFmtId="168" fontId="12" fillId="0" borderId="4" xfId="2" applyNumberFormat="1" applyFont="1" applyBorder="1" applyAlignment="1">
      <alignment horizontal="center" vertical="center" readingOrder="1"/>
    </xf>
    <xf numFmtId="168" fontId="10" fillId="0" borderId="0" xfId="2" applyNumberFormat="1" applyFont="1" applyAlignment="1">
      <alignment vertical="center" readingOrder="2"/>
    </xf>
    <xf numFmtId="165" fontId="10" fillId="0" borderId="0" xfId="5" applyFont="1" applyFill="1" applyAlignment="1">
      <alignment vertical="center" readingOrder="2"/>
    </xf>
    <xf numFmtId="0" fontId="12" fillId="0" borderId="0" xfId="0" applyFont="1" applyAlignment="1">
      <alignment vertical="center"/>
    </xf>
    <xf numFmtId="174" fontId="12" fillId="0" borderId="0" xfId="5" applyNumberFormat="1" applyFont="1" applyFill="1" applyAlignment="1">
      <alignment horizontal="right" vertical="center" readingOrder="2"/>
    </xf>
    <xf numFmtId="168" fontId="12" fillId="0" borderId="0" xfId="2" applyNumberFormat="1" applyFont="1" applyAlignment="1">
      <alignment horizontal="center" vertical="center" readingOrder="2"/>
    </xf>
    <xf numFmtId="0" fontId="10" fillId="0" borderId="0" xfId="0" applyFont="1" applyAlignment="1">
      <alignment horizontal="right" vertical="center" readingOrder="2"/>
    </xf>
    <xf numFmtId="168" fontId="10" fillId="0" borderId="0" xfId="2" applyNumberFormat="1" applyFont="1" applyAlignment="1">
      <alignment horizontal="center" vertical="center" readingOrder="2"/>
    </xf>
    <xf numFmtId="2" fontId="10" fillId="0" borderId="0" xfId="2" applyNumberFormat="1" applyFont="1" applyAlignment="1">
      <alignment horizontal="center" vertical="center" readingOrder="2"/>
    </xf>
    <xf numFmtId="168" fontId="10" fillId="0" borderId="0" xfId="2" applyNumberFormat="1" applyFont="1" applyAlignment="1">
      <alignment horizontal="right" vertical="center" readingOrder="2"/>
    </xf>
    <xf numFmtId="0" fontId="18" fillId="0" borderId="0" xfId="2" applyFont="1" applyAlignment="1">
      <alignment horizontal="left" vertical="center" readingOrder="1"/>
    </xf>
    <xf numFmtId="0" fontId="19" fillId="0" borderId="0" xfId="0" applyFont="1"/>
    <xf numFmtId="0" fontId="19" fillId="0" borderId="0" xfId="2" applyFont="1" applyAlignment="1">
      <alignment horizontal="left" vertical="center" readingOrder="1"/>
    </xf>
    <xf numFmtId="0" fontId="17" fillId="0" borderId="0" xfId="2" applyFont="1" applyAlignment="1">
      <alignment horizontal="left" vertical="center" readingOrder="1"/>
    </xf>
    <xf numFmtId="0" fontId="17" fillId="0" borderId="0" xfId="2" applyFont="1" applyAlignment="1">
      <alignment horizontal="left" vertical="center" readingOrder="2"/>
    </xf>
    <xf numFmtId="0" fontId="18" fillId="0" borderId="0" xfId="2" applyFont="1" applyAlignment="1">
      <alignment horizontal="left" vertical="center" readingOrder="2"/>
    </xf>
    <xf numFmtId="0" fontId="20" fillId="0" borderId="1" xfId="2" applyFont="1" applyBorder="1" applyAlignment="1">
      <alignment vertical="center" readingOrder="2"/>
    </xf>
    <xf numFmtId="0" fontId="19" fillId="0" borderId="1" xfId="2" applyFont="1" applyBorder="1" applyAlignment="1">
      <alignment vertical="center" readingOrder="2"/>
    </xf>
    <xf numFmtId="0" fontId="19" fillId="0" borderId="1" xfId="2" applyFont="1" applyBorder="1" applyAlignment="1">
      <alignment horizontal="left" vertical="center" readingOrder="2"/>
    </xf>
    <xf numFmtId="0" fontId="21" fillId="0" borderId="0" xfId="0" applyFont="1" applyAlignment="1">
      <alignment horizontal="left" vertical="center" readingOrder="1"/>
    </xf>
    <xf numFmtId="168" fontId="19" fillId="0" borderId="0" xfId="2" applyNumberFormat="1" applyFont="1" applyAlignment="1">
      <alignment horizontal="left" vertical="top" wrapText="1" readingOrder="1"/>
    </xf>
    <xf numFmtId="165" fontId="19" fillId="0" borderId="0" xfId="5" applyFont="1" applyFill="1"/>
    <xf numFmtId="0" fontId="19" fillId="0" borderId="0" xfId="0" applyFont="1" applyAlignment="1">
      <alignment horizontal="right" vertical="center" wrapText="1" readingOrder="2"/>
    </xf>
    <xf numFmtId="0" fontId="18" fillId="0" borderId="0" xfId="2" applyFont="1" applyAlignment="1">
      <alignment vertical="top" readingOrder="2"/>
    </xf>
    <xf numFmtId="0" fontId="19" fillId="0" borderId="0" xfId="0" applyFont="1" applyAlignment="1">
      <alignment horizontal="right" wrapText="1"/>
    </xf>
    <xf numFmtId="0" fontId="22" fillId="0" borderId="0" xfId="0" applyFont="1"/>
    <xf numFmtId="0" fontId="11" fillId="0" borderId="0" xfId="2" applyFont="1" applyAlignment="1">
      <alignment horizontal="left" vertical="center" readingOrder="1"/>
    </xf>
    <xf numFmtId="0" fontId="11" fillId="0" borderId="1" xfId="2" applyFont="1" applyBorder="1" applyAlignment="1">
      <alignment vertical="center" readingOrder="2"/>
    </xf>
    <xf numFmtId="0" fontId="17" fillId="0" borderId="0" xfId="0" applyFont="1" applyAlignment="1">
      <alignment horizontal="right" vertical="center" readingOrder="2"/>
    </xf>
    <xf numFmtId="0" fontId="14" fillId="0" borderId="0" xfId="0" applyFont="1" applyAlignment="1">
      <alignment horizontal="justify" vertical="center"/>
    </xf>
    <xf numFmtId="0" fontId="19" fillId="0" borderId="0" xfId="0" applyFont="1" applyAlignment="1">
      <alignment horizontal="left" vertical="center" readingOrder="1"/>
    </xf>
    <xf numFmtId="168" fontId="10" fillId="0" borderId="0" xfId="2" applyNumberFormat="1" applyFont="1" applyAlignment="1">
      <alignment horizontal="left" vertical="top" wrapText="1" readingOrder="1"/>
    </xf>
    <xf numFmtId="168" fontId="10" fillId="0" borderId="0" xfId="2" applyNumberFormat="1" applyFont="1" applyAlignment="1">
      <alignment horizontal="left" vertical="center" wrapText="1" readingOrder="1"/>
    </xf>
    <xf numFmtId="0" fontId="14" fillId="0" borderId="0" xfId="0" applyFont="1" applyAlignment="1">
      <alignment horizontal="left" vertical="center" readingOrder="1"/>
    </xf>
    <xf numFmtId="0" fontId="21" fillId="0" borderId="0" xfId="0" applyFont="1" applyAlignment="1">
      <alignment vertical="center" readingOrder="1"/>
    </xf>
    <xf numFmtId="168" fontId="10" fillId="0" borderId="0" xfId="2" applyNumberFormat="1" applyFont="1" applyAlignment="1">
      <alignment horizontal="right" vertical="center" wrapText="1" readingOrder="2"/>
    </xf>
    <xf numFmtId="0" fontId="11" fillId="0" borderId="2" xfId="2" applyFont="1" applyBorder="1" applyAlignment="1">
      <alignment horizontal="center" vertical="center" readingOrder="1"/>
    </xf>
    <xf numFmtId="0" fontId="22" fillId="0" borderId="0" xfId="0" applyFont="1" applyAlignment="1">
      <alignment horizontal="right" wrapText="1"/>
    </xf>
    <xf numFmtId="0" fontId="19" fillId="0" borderId="0" xfId="0" applyFont="1" applyAlignment="1">
      <alignment horizontal="justify" vertical="center"/>
    </xf>
    <xf numFmtId="0" fontId="19" fillId="0" borderId="0" xfId="0" applyFont="1" applyAlignment="1">
      <alignment vertical="top" wrapText="1"/>
    </xf>
    <xf numFmtId="0" fontId="19" fillId="0" borderId="0" xfId="0" applyFont="1" applyAlignment="1">
      <alignment horizontal="left" vertical="top" wrapText="1" readingOrder="1"/>
    </xf>
    <xf numFmtId="0" fontId="10" fillId="0" borderId="2" xfId="2" applyFont="1" applyBorder="1" applyAlignment="1">
      <alignment horizontal="center" vertical="center" readingOrder="1"/>
    </xf>
    <xf numFmtId="0" fontId="19" fillId="0" borderId="0" xfId="0" applyFont="1" applyAlignment="1">
      <alignment horizontal="right" vertical="center" wrapText="1"/>
    </xf>
    <xf numFmtId="0" fontId="22" fillId="0" borderId="0" xfId="0" applyFont="1" applyAlignment="1">
      <alignment horizontal="right" vertical="center" wrapText="1"/>
    </xf>
    <xf numFmtId="0" fontId="18" fillId="0" borderId="0" xfId="0" applyFont="1" applyAlignment="1">
      <alignment horizontal="justify" vertical="center"/>
    </xf>
    <xf numFmtId="0" fontId="14" fillId="0" borderId="0" xfId="0" applyFont="1" applyAlignment="1">
      <alignment horizontal="left" vertical="top" wrapText="1" readingOrder="1"/>
    </xf>
    <xf numFmtId="0" fontId="25" fillId="0" borderId="0" xfId="0" applyFont="1" applyAlignment="1">
      <alignment horizontal="left" vertical="center" wrapText="1" readingOrder="1"/>
    </xf>
    <xf numFmtId="168" fontId="10" fillId="0" borderId="0" xfId="2" applyNumberFormat="1" applyFont="1" applyAlignment="1">
      <alignment horizontal="justify" vertical="top" wrapText="1" readingOrder="1"/>
    </xf>
    <xf numFmtId="0" fontId="0" fillId="0" borderId="0" xfId="0" applyAlignment="1">
      <alignment horizontal="right" wrapText="1"/>
    </xf>
    <xf numFmtId="0" fontId="22" fillId="0" borderId="0" xfId="0" applyFont="1" applyAlignment="1">
      <alignment vertical="center"/>
    </xf>
    <xf numFmtId="168" fontId="4" fillId="0" borderId="0" xfId="2" applyNumberFormat="1" applyFont="1" applyAlignment="1">
      <alignment horizontal="right" vertical="center" wrapText="1" readingOrder="2"/>
    </xf>
    <xf numFmtId="3" fontId="9" fillId="0" borderId="0" xfId="2" applyNumberFormat="1" applyFont="1" applyAlignment="1">
      <alignment horizontal="center" readingOrder="2"/>
    </xf>
    <xf numFmtId="0" fontId="10" fillId="0" borderId="0" xfId="2" applyFont="1" applyAlignment="1">
      <alignment horizontal="right" vertical="center"/>
    </xf>
    <xf numFmtId="3" fontId="11" fillId="0" borderId="0" xfId="2" applyNumberFormat="1" applyFont="1" applyAlignment="1">
      <alignment horizontal="right" wrapText="1"/>
    </xf>
    <xf numFmtId="3" fontId="9" fillId="0" borderId="0" xfId="2" applyNumberFormat="1" applyFont="1" applyAlignment="1">
      <alignment horizontal="center"/>
    </xf>
    <xf numFmtId="0" fontId="11" fillId="0" borderId="0" xfId="2" applyFont="1"/>
    <xf numFmtId="0" fontId="23" fillId="0" borderId="0" xfId="0" applyFont="1" applyAlignment="1">
      <alignment horizontal="left" vertical="center" readingOrder="1"/>
    </xf>
    <xf numFmtId="0" fontId="15" fillId="0" borderId="1" xfId="0" applyFont="1" applyBorder="1" applyAlignment="1">
      <alignment horizontal="center" vertical="center" wrapText="1" readingOrder="1"/>
    </xf>
    <xf numFmtId="0" fontId="15" fillId="0" borderId="0" xfId="0" applyFont="1" applyAlignment="1">
      <alignment horizontal="center" vertical="center" wrapText="1" readingOrder="1"/>
    </xf>
    <xf numFmtId="0" fontId="11" fillId="0" borderId="0" xfId="2" applyFont="1" applyAlignment="1">
      <alignment readingOrder="1"/>
    </xf>
    <xf numFmtId="0" fontId="23" fillId="0" borderId="0" xfId="0" applyFont="1" applyAlignment="1">
      <alignment horizontal="center" vertical="center" readingOrder="1"/>
    </xf>
    <xf numFmtId="0" fontId="12" fillId="0" borderId="0" xfId="0" applyFont="1" applyAlignment="1">
      <alignment horizontal="center" vertical="top" wrapText="1" readingOrder="1"/>
    </xf>
    <xf numFmtId="3" fontId="9" fillId="0" borderId="0" xfId="2" applyNumberFormat="1" applyFont="1" applyAlignment="1">
      <alignment horizontal="right"/>
    </xf>
    <xf numFmtId="0" fontId="19" fillId="0" borderId="0" xfId="0" applyFont="1" applyAlignment="1">
      <alignment horizontal="justify" vertical="center" wrapText="1"/>
    </xf>
    <xf numFmtId="168" fontId="14" fillId="0" borderId="0" xfId="0" applyNumberFormat="1" applyFont="1" applyAlignment="1">
      <alignment horizontal="center" vertical="center" wrapText="1" readingOrder="1"/>
    </xf>
    <xf numFmtId="3" fontId="12" fillId="0" borderId="0" xfId="0" applyNumberFormat="1" applyFont="1" applyAlignment="1">
      <alignment horizontal="left" vertical="center" readingOrder="1"/>
    </xf>
    <xf numFmtId="168" fontId="18" fillId="0" borderId="3" xfId="0" applyNumberFormat="1" applyFont="1" applyBorder="1" applyAlignment="1">
      <alignment horizontal="left" vertical="center" wrapText="1" indent="4" readingOrder="1"/>
    </xf>
    <xf numFmtId="168" fontId="18" fillId="0" borderId="3" xfId="0" applyNumberFormat="1" applyFont="1" applyBorder="1" applyAlignment="1">
      <alignment horizontal="center" vertical="center" wrapText="1" readingOrder="1"/>
    </xf>
    <xf numFmtId="168" fontId="18" fillId="0" borderId="0" xfId="0" applyNumberFormat="1" applyFont="1" applyAlignment="1">
      <alignment horizontal="center" vertical="center" wrapText="1" readingOrder="1"/>
    </xf>
    <xf numFmtId="0" fontId="10" fillId="0" borderId="0" xfId="2" applyFont="1" applyAlignment="1">
      <alignment horizontal="left" vertical="center" readingOrder="1"/>
    </xf>
    <xf numFmtId="0" fontId="10" fillId="0" borderId="0" xfId="2" applyFont="1" applyAlignment="1">
      <alignment readingOrder="1"/>
    </xf>
    <xf numFmtId="3" fontId="12" fillId="0" borderId="2" xfId="2" applyNumberFormat="1" applyFont="1" applyBorder="1" applyAlignment="1">
      <alignment horizontal="center" vertical="top" readingOrder="1"/>
    </xf>
    <xf numFmtId="3" fontId="12" fillId="0" borderId="0" xfId="2" applyNumberFormat="1" applyFont="1" applyAlignment="1">
      <alignment horizontal="center" vertical="top" readingOrder="1"/>
    </xf>
    <xf numFmtId="168" fontId="15" fillId="0" borderId="3" xfId="0" applyNumberFormat="1" applyFont="1" applyBorder="1" applyAlignment="1">
      <alignment horizontal="center" vertical="center" wrapText="1" readingOrder="1"/>
    </xf>
    <xf numFmtId="168" fontId="15" fillId="0" borderId="0" xfId="0" applyNumberFormat="1" applyFont="1" applyAlignment="1">
      <alignment horizontal="center" vertical="center" wrapText="1" readingOrder="1"/>
    </xf>
    <xf numFmtId="0" fontId="11" fillId="0" borderId="0" xfId="2" applyFont="1" applyAlignment="1">
      <alignment horizontal="center"/>
    </xf>
    <xf numFmtId="3" fontId="13" fillId="0" borderId="0" xfId="2" applyNumberFormat="1" applyFont="1" applyAlignment="1">
      <alignment horizontal="right" vertical="center"/>
    </xf>
    <xf numFmtId="3" fontId="9" fillId="0" borderId="0" xfId="2" applyNumberFormat="1" applyFont="1" applyAlignment="1">
      <alignment horizontal="center" vertical="center" readingOrder="1"/>
    </xf>
    <xf numFmtId="3" fontId="9" fillId="0" borderId="0" xfId="2" applyNumberFormat="1" applyFont="1" applyAlignment="1">
      <alignment horizontal="center" vertical="top" readingOrder="1"/>
    </xf>
    <xf numFmtId="0" fontId="20" fillId="0" borderId="0" xfId="0" applyFont="1" applyAlignment="1">
      <alignment vertical="top" readingOrder="1"/>
    </xf>
    <xf numFmtId="0" fontId="23" fillId="0" borderId="0" xfId="0" applyFont="1" applyAlignment="1">
      <alignment horizontal="left" readingOrder="1"/>
    </xf>
    <xf numFmtId="0" fontId="18" fillId="0" borderId="0" xfId="0" applyFont="1" applyAlignment="1">
      <alignment horizontal="center" vertical="center" wrapText="1"/>
    </xf>
    <xf numFmtId="3" fontId="12" fillId="0" borderId="0" xfId="2" applyNumberFormat="1" applyFont="1" applyAlignment="1">
      <alignment horizontal="center" vertical="center" wrapText="1"/>
    </xf>
    <xf numFmtId="168" fontId="26" fillId="0" borderId="0" xfId="0" applyNumberFormat="1" applyFont="1" applyAlignment="1">
      <alignment horizontal="center" vertical="center" wrapText="1" readingOrder="1"/>
    </xf>
    <xf numFmtId="3" fontId="12" fillId="0" borderId="0" xfId="2" applyNumberFormat="1" applyFont="1" applyAlignment="1">
      <alignment horizontal="center" vertical="center" readingOrder="2"/>
    </xf>
    <xf numFmtId="0" fontId="10" fillId="0" borderId="0" xfId="0" applyFont="1" applyAlignment="1">
      <alignment horizontal="left" readingOrder="1"/>
    </xf>
    <xf numFmtId="3" fontId="10" fillId="0" borderId="0" xfId="2" applyNumberFormat="1" applyFont="1" applyAlignment="1">
      <alignment horizontal="right" vertical="center" readingOrder="1"/>
    </xf>
    <xf numFmtId="0" fontId="10" fillId="0" borderId="0" xfId="2" applyFont="1" applyAlignment="1">
      <alignment horizontal="right" vertical="center" readingOrder="1"/>
    </xf>
    <xf numFmtId="172" fontId="14" fillId="0" borderId="0" xfId="0" applyNumberFormat="1" applyFont="1" applyAlignment="1">
      <alignment horizontal="center" vertical="center" wrapText="1" readingOrder="1"/>
    </xf>
    <xf numFmtId="172" fontId="15" fillId="0" borderId="3" xfId="0" applyNumberFormat="1" applyFont="1" applyBorder="1" applyAlignment="1">
      <alignment horizontal="center" vertical="center" wrapText="1" readingOrder="1"/>
    </xf>
    <xf numFmtId="168" fontId="9" fillId="0" borderId="0" xfId="2" applyNumberFormat="1" applyFont="1" applyAlignment="1">
      <alignment horizontal="center" vertical="center" readingOrder="1"/>
    </xf>
    <xf numFmtId="175" fontId="9" fillId="0" borderId="0" xfId="2" applyNumberFormat="1" applyFont="1" applyAlignment="1">
      <alignment horizontal="center" vertical="center" readingOrder="1"/>
    </xf>
    <xf numFmtId="0" fontId="20" fillId="0" borderId="0" xfId="0" applyFont="1" applyAlignment="1">
      <alignment horizontal="center" vertical="center" readingOrder="1"/>
    </xf>
    <xf numFmtId="0" fontId="10" fillId="0" borderId="0" xfId="2" applyFont="1"/>
    <xf numFmtId="43" fontId="10" fillId="0" borderId="0" xfId="2" applyNumberFormat="1" applyFont="1"/>
    <xf numFmtId="0" fontId="12" fillId="0" borderId="0" xfId="2" applyFont="1" applyAlignment="1">
      <alignment horizontal="right" vertical="center" readingOrder="1"/>
    </xf>
    <xf numFmtId="168" fontId="15" fillId="0" borderId="0" xfId="0" applyNumberFormat="1" applyFont="1" applyAlignment="1">
      <alignment horizontal="center" vertical="center" wrapText="1" readingOrder="2"/>
    </xf>
    <xf numFmtId="3" fontId="12" fillId="0" borderId="0" xfId="2" applyNumberFormat="1" applyFont="1" applyAlignment="1">
      <alignment horizontal="right" vertical="center" wrapText="1"/>
    </xf>
    <xf numFmtId="168" fontId="27" fillId="0" borderId="0" xfId="0" applyNumberFormat="1" applyFont="1" applyAlignment="1">
      <alignment horizontal="center" vertical="center" wrapText="1" readingOrder="2"/>
    </xf>
    <xf numFmtId="3" fontId="9" fillId="0" borderId="0" xfId="2" applyNumberFormat="1" applyFont="1" applyAlignment="1">
      <alignment horizontal="center" vertical="center" readingOrder="2"/>
    </xf>
    <xf numFmtId="0" fontId="20" fillId="0" borderId="0" xfId="0" applyFont="1" applyAlignment="1">
      <alignment horizontal="center" vertical="center"/>
    </xf>
    <xf numFmtId="0" fontId="12" fillId="0" borderId="0" xfId="2" applyFont="1" applyAlignment="1">
      <alignment horizontal="left" vertical="center" readingOrder="1"/>
    </xf>
    <xf numFmtId="0" fontId="11" fillId="0" borderId="0" xfId="2" applyFont="1" applyAlignment="1">
      <alignment vertical="center" readingOrder="1"/>
    </xf>
    <xf numFmtId="0" fontId="11" fillId="0" borderId="0" xfId="2" applyFont="1" applyAlignment="1">
      <alignment horizontal="right" vertical="center"/>
    </xf>
    <xf numFmtId="3" fontId="12" fillId="0" borderId="0" xfId="2" applyNumberFormat="1" applyFont="1" applyAlignment="1">
      <alignment horizontal="center" readingOrder="2"/>
    </xf>
    <xf numFmtId="3" fontId="10" fillId="0" borderId="0" xfId="2" applyNumberFormat="1" applyFont="1" applyAlignment="1">
      <alignment horizontal="right" wrapText="1"/>
    </xf>
    <xf numFmtId="3" fontId="12" fillId="0" borderId="0" xfId="2" applyNumberFormat="1" applyFont="1" applyAlignment="1">
      <alignment horizontal="center"/>
    </xf>
    <xf numFmtId="3" fontId="12" fillId="0" borderId="0" xfId="2" applyNumberFormat="1" applyFont="1" applyAlignment="1">
      <alignment horizontal="right"/>
    </xf>
    <xf numFmtId="0" fontId="10" fillId="0" borderId="0" xfId="0" applyFont="1" applyAlignment="1">
      <alignment vertical="top" wrapText="1" readingOrder="1"/>
    </xf>
    <xf numFmtId="0" fontId="10" fillId="0" borderId="1" xfId="0" applyFont="1" applyBorder="1" applyAlignment="1">
      <alignment horizontal="center" vertical="top" wrapText="1" readingOrder="1"/>
    </xf>
    <xf numFmtId="0" fontId="15" fillId="0" borderId="1" xfId="0" applyFont="1" applyBorder="1" applyAlignment="1">
      <alignment horizontal="center" vertical="top" wrapText="1" readingOrder="1"/>
    </xf>
    <xf numFmtId="0" fontId="15" fillId="0" borderId="0" xfId="0" applyFont="1" applyAlignment="1">
      <alignment horizontal="center" vertical="top" wrapText="1" readingOrder="1"/>
    </xf>
    <xf numFmtId="3" fontId="10" fillId="0" borderId="0" xfId="2" applyNumberFormat="1" applyFont="1" applyAlignment="1">
      <alignment horizontal="center" vertical="top" readingOrder="1"/>
    </xf>
    <xf numFmtId="3" fontId="12" fillId="0" borderId="0" xfId="0" applyNumberFormat="1" applyFont="1" applyAlignment="1">
      <alignment horizontal="center" vertical="center" readingOrder="1"/>
    </xf>
    <xf numFmtId="0" fontId="10" fillId="0" borderId="0" xfId="2" applyFont="1" applyAlignment="1">
      <alignment horizontal="center"/>
    </xf>
    <xf numFmtId="3" fontId="12" fillId="0" borderId="0" xfId="2" applyNumberFormat="1" applyFont="1" applyAlignment="1">
      <alignment horizontal="right" vertical="center" wrapText="1" readingOrder="1"/>
    </xf>
    <xf numFmtId="3" fontId="12" fillId="0" borderId="0" xfId="2" applyNumberFormat="1" applyFont="1" applyAlignment="1">
      <alignment horizontal="center" vertical="center" readingOrder="1"/>
    </xf>
    <xf numFmtId="0" fontId="19" fillId="0" borderId="0" xfId="0" applyFont="1" applyAlignment="1">
      <alignment horizontal="center" vertical="center" readingOrder="1"/>
    </xf>
    <xf numFmtId="0" fontId="19" fillId="0" borderId="0" xfId="0" applyFont="1" applyAlignment="1">
      <alignment horizontal="center" vertical="center"/>
    </xf>
    <xf numFmtId="0" fontId="10" fillId="0" borderId="0" xfId="2" applyFont="1" applyAlignment="1">
      <alignment vertical="center" readingOrder="1"/>
    </xf>
    <xf numFmtId="0" fontId="9" fillId="0" borderId="0" xfId="2" applyFont="1" applyAlignment="1">
      <alignment vertical="center" readingOrder="2"/>
    </xf>
    <xf numFmtId="0" fontId="9" fillId="0" borderId="0" xfId="2" applyFont="1" applyAlignment="1">
      <alignment horizontal="right" vertical="center" readingOrder="2"/>
    </xf>
    <xf numFmtId="0" fontId="10" fillId="0" borderId="0" xfId="2" applyFont="1" applyAlignment="1">
      <alignment vertical="center" wrapText="1" readingOrder="2"/>
    </xf>
    <xf numFmtId="3" fontId="12" fillId="0" borderId="2" xfId="0" applyNumberFormat="1" applyFont="1" applyBorder="1" applyAlignment="1">
      <alignment horizontal="center" vertical="center" readingOrder="1"/>
    </xf>
    <xf numFmtId="3" fontId="10" fillId="0" borderId="0" xfId="0" applyNumberFormat="1" applyFont="1" applyAlignment="1">
      <alignment horizontal="left" vertical="center" readingOrder="1"/>
    </xf>
    <xf numFmtId="168" fontId="28" fillId="0" borderId="2" xfId="0" applyNumberFormat="1" applyFont="1" applyBorder="1" applyAlignment="1">
      <alignment horizontal="center" vertical="center" wrapText="1" readingOrder="1"/>
    </xf>
    <xf numFmtId="168" fontId="15" fillId="0" borderId="2" xfId="0" applyNumberFormat="1" applyFont="1" applyBorder="1" applyAlignment="1">
      <alignment horizontal="center" vertical="center" wrapText="1" readingOrder="1"/>
    </xf>
    <xf numFmtId="3" fontId="13" fillId="0" borderId="0" xfId="3" applyNumberFormat="1" applyFont="1" applyAlignment="1">
      <alignment horizontal="left" vertical="center" readingOrder="1"/>
    </xf>
    <xf numFmtId="9" fontId="14" fillId="0" borderId="0" xfId="1" applyFont="1" applyFill="1" applyAlignment="1">
      <alignment horizontal="center" vertical="center" readingOrder="1"/>
    </xf>
    <xf numFmtId="3" fontId="12" fillId="0" borderId="0" xfId="0" applyNumberFormat="1" applyFont="1" applyAlignment="1">
      <alignment horizontal="left" vertical="top" wrapText="1" readingOrder="1"/>
    </xf>
    <xf numFmtId="0" fontId="10" fillId="0" borderId="0" xfId="2" applyFont="1" applyAlignment="1">
      <alignment vertical="center" wrapText="1" readingOrder="1"/>
    </xf>
    <xf numFmtId="3" fontId="12" fillId="0" borderId="0" xfId="3" applyNumberFormat="1" applyFont="1" applyAlignment="1">
      <alignment horizontal="right" readingOrder="2"/>
    </xf>
    <xf numFmtId="0" fontId="14" fillId="0" borderId="0" xfId="0" applyFont="1" applyAlignment="1">
      <alignment horizontal="center" vertical="center" wrapText="1"/>
    </xf>
    <xf numFmtId="0" fontId="14" fillId="0" borderId="0" xfId="0" applyFont="1" applyAlignment="1">
      <alignment vertical="center" wrapText="1"/>
    </xf>
    <xf numFmtId="0" fontId="10" fillId="0" borderId="0" xfId="2" applyFont="1" applyAlignment="1">
      <alignment vertical="top" readingOrder="1"/>
    </xf>
    <xf numFmtId="0" fontId="11" fillId="0" borderId="0" xfId="2" applyFont="1" applyAlignment="1">
      <alignment horizontal="center" vertical="center" readingOrder="2"/>
    </xf>
    <xf numFmtId="0" fontId="29" fillId="0" borderId="0" xfId="2" applyFont="1" applyAlignment="1">
      <alignment horizontal="left" vertical="center" readingOrder="1"/>
    </xf>
    <xf numFmtId="0" fontId="17" fillId="0" borderId="0" xfId="2" applyFont="1" applyAlignment="1">
      <alignment vertical="center" readingOrder="2"/>
    </xf>
    <xf numFmtId="0" fontId="20" fillId="0" borderId="0" xfId="2" applyFont="1" applyAlignment="1">
      <alignment vertical="center" readingOrder="2"/>
    </xf>
    <xf numFmtId="0" fontId="20" fillId="0" borderId="0" xfId="2" applyFont="1" applyAlignment="1">
      <alignment horizontal="left" vertical="center" readingOrder="1"/>
    </xf>
    <xf numFmtId="0" fontId="22" fillId="0" borderId="0" xfId="2" applyFont="1" applyAlignment="1">
      <alignment horizontal="left" vertical="center" readingOrder="1"/>
    </xf>
    <xf numFmtId="0" fontId="17" fillId="0" borderId="0" xfId="2" applyFont="1" applyAlignment="1">
      <alignment horizontal="right" vertical="center" readingOrder="2"/>
    </xf>
    <xf numFmtId="0" fontId="22" fillId="0" borderId="1" xfId="2" applyFont="1" applyBorder="1" applyAlignment="1">
      <alignment vertical="center" readingOrder="2"/>
    </xf>
    <xf numFmtId="0" fontId="22" fillId="0" borderId="0" xfId="2" applyFont="1" applyAlignment="1">
      <alignment vertical="center" readingOrder="2"/>
    </xf>
    <xf numFmtId="0" fontId="18" fillId="0" borderId="0" xfId="0" applyFont="1" applyAlignment="1">
      <alignment horizontal="left" vertical="center" readingOrder="1"/>
    </xf>
    <xf numFmtId="0" fontId="6" fillId="0" borderId="0" xfId="2" applyFont="1" applyAlignment="1">
      <alignment horizontal="left" vertical="center" readingOrder="1"/>
    </xf>
    <xf numFmtId="168" fontId="6" fillId="0" borderId="0" xfId="2" applyNumberFormat="1" applyFont="1" applyAlignment="1">
      <alignment vertical="center" wrapText="1" readingOrder="1"/>
    </xf>
    <xf numFmtId="0" fontId="5" fillId="0" borderId="0" xfId="0" applyFont="1" applyAlignment="1">
      <alignment horizontal="center" vertical="center" wrapText="1" readingOrder="1"/>
    </xf>
    <xf numFmtId="0" fontId="18" fillId="0" borderId="1" xfId="0" applyFont="1" applyBorder="1" applyAlignment="1">
      <alignment horizontal="center" vertical="center" readingOrder="1"/>
    </xf>
    <xf numFmtId="0" fontId="18" fillId="0" borderId="1" xfId="0" applyFont="1" applyBorder="1" applyAlignment="1">
      <alignment horizontal="center" vertical="center" wrapText="1" readingOrder="1"/>
    </xf>
    <xf numFmtId="0" fontId="19" fillId="0" borderId="0" xfId="2" applyFont="1" applyAlignment="1">
      <alignment vertical="center" readingOrder="2"/>
    </xf>
    <xf numFmtId="0" fontId="19" fillId="0" borderId="0" xfId="2" applyFont="1" applyAlignment="1">
      <alignment horizontal="center" vertical="center" readingOrder="1"/>
    </xf>
    <xf numFmtId="168" fontId="19" fillId="0" borderId="0" xfId="0" applyNumberFormat="1" applyFont="1" applyAlignment="1">
      <alignment horizontal="center" vertical="center" wrapText="1" readingOrder="1"/>
    </xf>
    <xf numFmtId="0" fontId="19" fillId="0" borderId="0" xfId="2" applyFont="1" applyAlignment="1">
      <alignment horizontal="center" vertical="center" readingOrder="2"/>
    </xf>
    <xf numFmtId="0" fontId="5" fillId="0" borderId="0" xfId="0" applyFont="1" applyAlignment="1">
      <alignment horizontal="center" vertical="center" readingOrder="1"/>
    </xf>
    <xf numFmtId="0" fontId="19" fillId="0" borderId="0" xfId="2" applyFont="1" applyAlignment="1">
      <alignment horizontal="right" vertical="center" readingOrder="2"/>
    </xf>
    <xf numFmtId="0" fontId="18" fillId="0" borderId="0" xfId="2" applyFont="1" applyAlignment="1">
      <alignment horizontal="right" vertical="center" readingOrder="2"/>
    </xf>
    <xf numFmtId="3" fontId="18" fillId="0" borderId="0" xfId="0" applyNumberFormat="1" applyFont="1" applyAlignment="1">
      <alignment horizontal="left" vertical="top" wrapText="1" readingOrder="1"/>
    </xf>
    <xf numFmtId="168" fontId="18" fillId="0" borderId="0" xfId="2" applyNumberFormat="1" applyFont="1" applyAlignment="1">
      <alignment horizontal="center" vertical="center" readingOrder="1"/>
    </xf>
    <xf numFmtId="3" fontId="18" fillId="0" borderId="0" xfId="3" applyNumberFormat="1" applyFont="1" applyAlignment="1">
      <alignment horizontal="right" readingOrder="2"/>
    </xf>
    <xf numFmtId="0" fontId="20" fillId="0" borderId="0" xfId="2" applyFont="1" applyAlignment="1">
      <alignment horizontal="center" vertical="center" readingOrder="2"/>
    </xf>
    <xf numFmtId="0" fontId="30" fillId="0" borderId="0" xfId="2" applyFont="1" applyAlignment="1">
      <alignment horizontal="left" vertical="center" readingOrder="1"/>
    </xf>
    <xf numFmtId="0" fontId="31" fillId="0" borderId="0" xfId="2" applyFont="1" applyAlignment="1">
      <alignment horizontal="left" vertical="center" readingOrder="1"/>
    </xf>
    <xf numFmtId="0" fontId="31" fillId="0" borderId="1" xfId="2" applyFont="1" applyBorder="1" applyAlignment="1">
      <alignment vertical="center" readingOrder="2"/>
    </xf>
    <xf numFmtId="0" fontId="10" fillId="0" borderId="0" xfId="2" applyFont="1" applyAlignment="1">
      <alignment horizontal="center" readingOrder="1"/>
    </xf>
    <xf numFmtId="3" fontId="12" fillId="0" borderId="2" xfId="3" applyNumberFormat="1" applyFont="1" applyBorder="1" applyAlignment="1">
      <alignment horizontal="center" readingOrder="1"/>
    </xf>
    <xf numFmtId="3" fontId="12" fillId="0" borderId="0" xfId="3" applyNumberFormat="1" applyFont="1" applyAlignment="1">
      <alignment horizontal="left" readingOrder="1"/>
    </xf>
    <xf numFmtId="0" fontId="14" fillId="0" borderId="0" xfId="0" applyFont="1" applyAlignment="1">
      <alignment horizontal="left" vertical="center" wrapText="1" readingOrder="1"/>
    </xf>
    <xf numFmtId="0" fontId="15" fillId="0" borderId="0" xfId="0" applyFont="1" applyAlignment="1">
      <alignment horizontal="center" wrapText="1" readingOrder="1"/>
    </xf>
    <xf numFmtId="0" fontId="32" fillId="0" borderId="0" xfId="0" applyFont="1" applyAlignment="1">
      <alignment horizontal="left" readingOrder="1"/>
    </xf>
    <xf numFmtId="0" fontId="14" fillId="0" borderId="0" xfId="0" applyFont="1" applyAlignment="1">
      <alignment horizontal="center" wrapText="1" readingOrder="1"/>
    </xf>
    <xf numFmtId="43" fontId="10" fillId="0" borderId="0" xfId="2" applyNumberFormat="1" applyFont="1" applyAlignment="1">
      <alignment vertical="center" readingOrder="2"/>
    </xf>
    <xf numFmtId="3" fontId="10" fillId="0" borderId="0" xfId="3" applyNumberFormat="1" applyFont="1" applyAlignment="1">
      <alignment horizontal="left" readingOrder="1"/>
    </xf>
    <xf numFmtId="0" fontId="10" fillId="0" borderId="1" xfId="2" applyFont="1" applyBorder="1" applyAlignment="1">
      <alignment vertical="center" readingOrder="2"/>
    </xf>
    <xf numFmtId="0" fontId="18" fillId="0" borderId="0" xfId="0" applyFont="1" applyAlignment="1">
      <alignment horizontal="right" vertical="center" readingOrder="2"/>
    </xf>
    <xf numFmtId="0" fontId="21" fillId="0" borderId="0" xfId="0" applyFont="1" applyAlignment="1">
      <alignment horizontal="left" vertical="center" readingOrder="2"/>
    </xf>
    <xf numFmtId="0" fontId="19" fillId="0" borderId="0" xfId="0" applyFont="1" applyAlignment="1">
      <alignment horizontal="left" vertical="center" wrapText="1"/>
    </xf>
    <xf numFmtId="0" fontId="19" fillId="0" borderId="0" xfId="0" applyFont="1" applyAlignment="1">
      <alignment horizontal="left" vertical="center" wrapText="1" readingOrder="1"/>
    </xf>
    <xf numFmtId="0" fontId="14" fillId="0" borderId="0" xfId="0" applyFont="1" applyAlignment="1">
      <alignment horizontal="left" vertical="center"/>
    </xf>
    <xf numFmtId="0" fontId="14" fillId="0" borderId="0" xfId="0" applyFont="1" applyAlignment="1">
      <alignment vertical="center"/>
    </xf>
    <xf numFmtId="168" fontId="14" fillId="0" borderId="0" xfId="0" applyNumberFormat="1" applyFont="1" applyAlignment="1">
      <alignment horizontal="left" vertical="center" wrapText="1" readingOrder="1"/>
    </xf>
    <xf numFmtId="3" fontId="12" fillId="2" borderId="0" xfId="0" applyNumberFormat="1" applyFont="1" applyFill="1" applyAlignment="1">
      <alignment horizontal="left" readingOrder="1"/>
    </xf>
    <xf numFmtId="0" fontId="19" fillId="0" borderId="0" xfId="0" applyFont="1" applyAlignment="1">
      <alignment vertical="center" wrapText="1" readingOrder="1"/>
    </xf>
    <xf numFmtId="0" fontId="19" fillId="0" borderId="0" xfId="0" applyFont="1" applyAlignment="1">
      <alignment vertical="top" wrapText="1" readingOrder="1"/>
    </xf>
    <xf numFmtId="0" fontId="18" fillId="0" borderId="0" xfId="0" applyFont="1" applyAlignment="1">
      <alignment horizontal="justify" vertical="center" wrapText="1"/>
    </xf>
    <xf numFmtId="0" fontId="18" fillId="0" borderId="5" xfId="0" applyFont="1" applyBorder="1" applyAlignment="1">
      <alignment horizontal="center"/>
    </xf>
    <xf numFmtId="0" fontId="19" fillId="0" borderId="5" xfId="0" applyFont="1" applyBorder="1" applyAlignment="1">
      <alignment horizontal="left"/>
    </xf>
    <xf numFmtId="0" fontId="19" fillId="0" borderId="5" xfId="0" applyFont="1" applyBorder="1"/>
    <xf numFmtId="43" fontId="19" fillId="0" borderId="5" xfId="7" applyFont="1" applyFill="1" applyBorder="1"/>
    <xf numFmtId="0" fontId="19" fillId="0" borderId="8" xfId="0" applyFont="1" applyBorder="1" applyAlignment="1">
      <alignment horizontal="left"/>
    </xf>
    <xf numFmtId="0" fontId="19" fillId="0" borderId="8" xfId="0" applyFont="1" applyBorder="1"/>
    <xf numFmtId="43" fontId="19" fillId="0" borderId="8" xfId="7" applyFont="1" applyFill="1" applyBorder="1"/>
    <xf numFmtId="0" fontId="19" fillId="0" borderId="9" xfId="3" applyFont="1" applyBorder="1" applyAlignment="1">
      <alignment horizontal="left"/>
    </xf>
    <xf numFmtId="0" fontId="34" fillId="0" borderId="9" xfId="3" applyFont="1" applyBorder="1" applyAlignment="1">
      <alignment horizontal="left" vertical="top"/>
    </xf>
    <xf numFmtId="0" fontId="19" fillId="0" borderId="8" xfId="0" applyFont="1" applyBorder="1" applyAlignment="1">
      <alignment vertical="top"/>
    </xf>
    <xf numFmtId="165" fontId="19" fillId="0" borderId="8" xfId="8" applyFont="1" applyFill="1" applyBorder="1"/>
    <xf numFmtId="176" fontId="19" fillId="0" borderId="8" xfId="7" applyNumberFormat="1" applyFont="1" applyFill="1" applyBorder="1"/>
    <xf numFmtId="0" fontId="19" fillId="0" borderId="8" xfId="0" applyFont="1" applyBorder="1" applyAlignment="1">
      <alignment horizontal="left" vertical="top"/>
    </xf>
    <xf numFmtId="0" fontId="2" fillId="0" borderId="0" xfId="9" applyAlignment="1">
      <alignment horizontal="left"/>
    </xf>
    <xf numFmtId="0" fontId="18" fillId="0" borderId="10" xfId="0" applyFont="1" applyBorder="1"/>
    <xf numFmtId="174" fontId="18" fillId="0" borderId="10" xfId="5" applyNumberFormat="1" applyFont="1" applyFill="1" applyBorder="1"/>
    <xf numFmtId="176" fontId="18" fillId="0" borderId="10" xfId="7" applyNumberFormat="1" applyFont="1" applyFill="1" applyBorder="1"/>
    <xf numFmtId="177" fontId="18" fillId="0" borderId="10" xfId="7" applyNumberFormat="1" applyFont="1" applyFill="1" applyBorder="1"/>
    <xf numFmtId="0" fontId="29" fillId="0" borderId="0" xfId="0" applyFont="1"/>
    <xf numFmtId="43" fontId="22" fillId="0" borderId="0" xfId="7" applyFont="1" applyFill="1" applyBorder="1"/>
    <xf numFmtId="0" fontId="3" fillId="0" borderId="0" xfId="2" applyFont="1" applyAlignment="1">
      <alignment horizontal="left" vertical="center" readingOrder="1"/>
    </xf>
    <xf numFmtId="0" fontId="4" fillId="0" borderId="0" xfId="2" applyFont="1" applyAlignment="1">
      <alignment horizontal="left" vertical="center" readingOrder="1"/>
    </xf>
    <xf numFmtId="0" fontId="4" fillId="0" borderId="1" xfId="2" applyFont="1" applyBorder="1" applyAlignment="1">
      <alignment horizontal="left" vertical="center" readingOrder="1"/>
    </xf>
    <xf numFmtId="0" fontId="4" fillId="0" borderId="1" xfId="2" applyFont="1" applyBorder="1" applyAlignment="1">
      <alignment horizontal="center" vertical="center" readingOrder="2"/>
    </xf>
    <xf numFmtId="0" fontId="4" fillId="0" borderId="2" xfId="2" applyFont="1" applyBorder="1" applyAlignment="1">
      <alignment horizontal="center" vertical="center" readingOrder="1"/>
    </xf>
    <xf numFmtId="0" fontId="9" fillId="0" borderId="0" xfId="2" applyFont="1" applyAlignment="1">
      <alignment horizontal="left" vertical="center" readingOrder="1"/>
    </xf>
    <xf numFmtId="0" fontId="11" fillId="0" borderId="0" xfId="2" applyFont="1" applyAlignment="1">
      <alignment horizontal="left" vertical="center" readingOrder="1"/>
    </xf>
    <xf numFmtId="0" fontId="9" fillId="0" borderId="0" xfId="2" applyFont="1" applyAlignment="1">
      <alignment horizontal="left" vertical="center"/>
    </xf>
    <xf numFmtId="0" fontId="11" fillId="0" borderId="1" xfId="2" applyFont="1" applyBorder="1" applyAlignment="1">
      <alignment horizontal="left" vertical="center" readingOrder="1"/>
    </xf>
    <xf numFmtId="0" fontId="10" fillId="0" borderId="1" xfId="2" applyFont="1" applyBorder="1" applyAlignment="1">
      <alignment horizontal="center" vertical="center" readingOrder="2"/>
    </xf>
    <xf numFmtId="0" fontId="10" fillId="0" borderId="2" xfId="2" applyFont="1" applyBorder="1" applyAlignment="1">
      <alignment horizontal="center" vertical="center" readingOrder="1"/>
    </xf>
    <xf numFmtId="0" fontId="10" fillId="0" borderId="0" xfId="2" applyFont="1" applyAlignment="1">
      <alignment horizontal="center" vertical="top" readingOrder="1"/>
    </xf>
    <xf numFmtId="168" fontId="19" fillId="0" borderId="0" xfId="2" applyNumberFormat="1" applyFont="1" applyAlignment="1">
      <alignment horizontal="left" vertical="center" wrapText="1" readingOrder="1"/>
    </xf>
    <xf numFmtId="0" fontId="19" fillId="0" borderId="2" xfId="2" applyFont="1" applyBorder="1" applyAlignment="1">
      <alignment horizontal="center" vertical="center" readingOrder="1"/>
    </xf>
    <xf numFmtId="0" fontId="21" fillId="0" borderId="0" xfId="0" applyFont="1" applyAlignment="1">
      <alignment horizontal="left" vertical="center" readingOrder="1"/>
    </xf>
    <xf numFmtId="168" fontId="19" fillId="0" borderId="0" xfId="2" applyNumberFormat="1" applyFont="1" applyAlignment="1">
      <alignment horizontal="justify" vertical="top" wrapText="1" readingOrder="1"/>
    </xf>
    <xf numFmtId="0" fontId="21" fillId="0" borderId="0" xfId="0" applyFont="1" applyAlignment="1">
      <alignment horizontal="left" vertical="top" readingOrder="1"/>
    </xf>
    <xf numFmtId="168" fontId="19" fillId="0" borderId="0" xfId="2" applyNumberFormat="1" applyFont="1" applyAlignment="1">
      <alignment horizontal="left" vertical="top" wrapText="1" readingOrder="1"/>
    </xf>
    <xf numFmtId="168" fontId="19" fillId="0" borderId="0" xfId="2" applyNumberFormat="1" applyFont="1" applyAlignment="1">
      <alignment horizontal="justify" vertical="center" wrapText="1" readingOrder="1"/>
    </xf>
    <xf numFmtId="168" fontId="19" fillId="0" borderId="0" xfId="2" applyNumberFormat="1" applyFont="1" applyAlignment="1">
      <alignment vertical="center" wrapText="1" readingOrder="1"/>
    </xf>
    <xf numFmtId="0" fontId="17" fillId="0" borderId="0" xfId="2" applyFont="1" applyAlignment="1">
      <alignment horizontal="left" vertical="center" readingOrder="1"/>
    </xf>
    <xf numFmtId="0" fontId="18" fillId="0" borderId="0" xfId="2" applyFont="1" applyAlignment="1">
      <alignment horizontal="left" vertical="center" readingOrder="1"/>
    </xf>
    <xf numFmtId="0" fontId="20" fillId="0" borderId="0" xfId="2" applyFont="1" applyAlignment="1">
      <alignment horizontal="left" vertical="center" readingOrder="1"/>
    </xf>
    <xf numFmtId="0" fontId="19" fillId="0" borderId="0" xfId="2" applyFont="1" applyAlignment="1">
      <alignment horizontal="left" vertical="center" readingOrder="1"/>
    </xf>
    <xf numFmtId="0" fontId="19" fillId="0" borderId="0" xfId="0" applyFont="1" applyAlignment="1">
      <alignment horizontal="center"/>
    </xf>
    <xf numFmtId="0" fontId="10" fillId="0" borderId="0" xfId="2" applyFont="1" applyAlignment="1">
      <alignment horizontal="center" vertical="center" readingOrder="1"/>
    </xf>
    <xf numFmtId="0" fontId="10" fillId="0" borderId="0" xfId="0" applyFont="1" applyAlignment="1">
      <alignment horizontal="left" vertical="top" wrapText="1" readingOrder="1"/>
    </xf>
    <xf numFmtId="0" fontId="10" fillId="0" borderId="2" xfId="2" applyFont="1" applyBorder="1" applyAlignment="1">
      <alignment horizontal="center" vertical="top" readingOrder="1"/>
    </xf>
    <xf numFmtId="0" fontId="29" fillId="0" borderId="0" xfId="2" applyFont="1" applyAlignment="1">
      <alignment horizontal="left" vertical="center" readingOrder="1"/>
    </xf>
    <xf numFmtId="0" fontId="19" fillId="0" borderId="2" xfId="2" applyFont="1" applyBorder="1" applyAlignment="1">
      <alignment horizontal="center" vertical="top" readingOrder="1"/>
    </xf>
    <xf numFmtId="0" fontId="30" fillId="0" borderId="0" xfId="2" applyFont="1" applyAlignment="1">
      <alignment horizontal="left" vertical="center" readingOrder="1"/>
    </xf>
    <xf numFmtId="0" fontId="14" fillId="0" borderId="0" xfId="0" applyFont="1" applyAlignment="1">
      <alignment horizontal="left" vertical="top" wrapText="1"/>
    </xf>
    <xf numFmtId="0" fontId="14" fillId="0" borderId="0" xfId="0" applyFont="1" applyAlignment="1">
      <alignment horizontal="left" vertical="center"/>
    </xf>
    <xf numFmtId="0" fontId="19" fillId="0" borderId="0" xfId="0" applyFont="1" applyAlignment="1">
      <alignment horizontal="left" vertical="center" wrapText="1"/>
    </xf>
    <xf numFmtId="0" fontId="33" fillId="0" borderId="0" xfId="0" applyFont="1" applyAlignment="1">
      <alignment horizontal="center"/>
    </xf>
    <xf numFmtId="0" fontId="18" fillId="0" borderId="5" xfId="0" applyFont="1" applyBorder="1" applyAlignment="1">
      <alignment horizontal="center"/>
    </xf>
    <xf numFmtId="0" fontId="18" fillId="0" borderId="8" xfId="0" applyFont="1" applyBorder="1" applyAlignment="1">
      <alignment horizontal="center"/>
    </xf>
    <xf numFmtId="0" fontId="18" fillId="0" borderId="6" xfId="0" applyFont="1" applyBorder="1" applyAlignment="1">
      <alignment horizontal="center"/>
    </xf>
    <xf numFmtId="0" fontId="18" fillId="0" borderId="7" xfId="0" applyFont="1" applyBorder="1" applyAlignment="1">
      <alignment horizontal="center"/>
    </xf>
  </cellXfs>
  <cellStyles count="10">
    <cellStyle name="Comma 11" xfId="6" xr:uid="{A1A7062A-9EFE-4CEB-8EA7-94321796AA1D}"/>
    <cellStyle name="Comma 2" xfId="5" xr:uid="{C2F4DC56-CCF8-49B1-9E4E-36AB36249285}"/>
    <cellStyle name="Comma 4" xfId="7" xr:uid="{F0B64824-1F70-4661-B8C9-B40F33378975}"/>
    <cellStyle name="Comma 5" xfId="8" xr:uid="{EE7842E5-8FE5-415C-89EF-04BB6EA399D8}"/>
    <cellStyle name="Normal" xfId="0" builtinId="0"/>
    <cellStyle name="Normal 2" xfId="3" xr:uid="{4A9D12DC-F75E-4FA5-8943-289BB87D3D45}"/>
    <cellStyle name="Normal 3" xfId="9" xr:uid="{28A5EE8E-129A-419F-8DC9-53CB1003CC95}"/>
    <cellStyle name="Normal 9" xfId="4" xr:uid="{D6F9E687-EB1E-4CAF-8408-FF9483F343EA}"/>
    <cellStyle name="Percent" xfId="1" builtinId="5"/>
    <cellStyle name="عادي 9" xfId="2" xr:uid="{8010DB57-2A6A-4F38-94E0-16400BBEED2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calcChain" Target="calcChain.xml"/><Relationship Id="rId30"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Hp\My%20Documents\&#1575;&#1604;&#1579;&#1602;&#1576;&#1577;\1435\&#1605;&#1610;&#1586;&#1575;&#1606;&#1610;&#1575;&#1578;\&#1571;&#1581;&#1605;&#1583;\My%20Documents\&#1578;&#1602;&#1585;&#1610;&#1585;%20&#1605;&#1608;&#1602;&#1601;%20&#1575;&#1604;&#1593;&#1605;&#1604;&#1575;&#1569;%20&#1576;&#1605;&#1603;&#1578;&#1576;%20&#1575;&#1604;&#1582;&#1576;&#158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Documents%20and%20Settings\MR-khaled\Desktop\My%20Documents\&#1578;&#1602;&#1585;&#1610;&#1585;%20&#1605;&#1608;&#1602;&#1601;%20&#1575;&#1604;&#1593;&#1605;&#1604;&#1575;&#1569;%20&#1576;&#1605;&#1603;&#1578;&#1576;%20&#1575;&#1604;&#1582;&#1576;&#158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1593;&#1605;&#1604;&#1575;&#1569;%20&#1575;&#1604;&#1605;&#1603;&#1578;&#1576;\K0040%20%20%20&#1588;&#1585;&#1603;&#1577;%20&#1575;&#1604;&#1581;&#1605;&#1575;&#1583;%20&#1604;&#1604;&#1578;&#1580;&#1575;&#1585;&#1577;%20&#1608;&#1575;&#1604;&#1605;&#1602;&#1575;&#1608;&#1604;&#1575;&#1578;\&#1588;&#1585;&#1603;&#1575;&#1578;%20&#1593;&#1576;&#1583;%20&#1575;&#1604;&#1604;&#1607;%20&#1575;&#1604;&#1581;&#1605;&#1575;&#1583;\2018\&#1605;&#1583;&#1575;&#1585;&#1587;%20&#1575;&#1604;&#1578;&#1585;&#1576;&#1610;&#1577;%20&#1608;&#1575;&#1604;&#1578;&#1593;&#1604;&#1610;&#1605;%20&#1600;%20201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sacad\My%20Documents\&#1576;&#1588;&#1610;&#1585;\&#1575;&#1604;&#1593;&#1605;&#1604;&#1575;&#1569;%20&#1575;&#1604;&#1583;&#1575;&#1574;&#1605;&#1608;&#1606;%20&#1604;&#1605;&#1603;&#1578;&#1576;%20&#1575;&#1604;&#1582;&#1576;&#1585;\&#1605;.&#1570;&#1604;%20&#1575;&#1604;&#1588;&#1610;&#1582;\&#1605;&#1572;&#1587;&#1587;&#1577;%20&#1570;&#1604;%20&#1575;&#1604;&#1588;&#1610;&#1582;%20&#1575;&#1604;&#1604;&#1573;&#1578;&#1589;&#1575;&#1604;&#1575;&#1578;%20&#1600;%20&#1605;&#1610;&#1586;&#1575;&#1606;&#1610;&#1577;\&#1605;&#1572;&#1587;&#1587;&#1577;%20&#1570;&#1604;%20&#1575;&#1604;&#1588;&#1610;&#1582;%20&#1605;&#1610;&#1586;&#1575;&#1606;&#1610;&#1577;%202003&#1605;.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Hp\My%20Documents\&#1575;&#1604;&#1579;&#1602;&#1576;&#1577;\1435\&#1605;&#1610;&#1586;&#1575;&#1606;&#1610;&#1575;&#1578;\&#1571;&#1581;&#1605;&#1583;\disk%20f\&#1605;&#1604;&#1601;&#1575;&#1578;%20&#1603;&#1605;&#1576;&#1610;&#1608;&#1578;&#1585;%20&#1575;&#1604;&#1587;&#1603;&#1585;&#1578;&#1575;&#1585;&#1610;&#1577;\&#1575;&#1604;&#1578;&#1602;&#1575;&#1585;&#1610;&#1585;%20&#1575;&#1604;&#1588;&#1607;&#1585;&#1610;&#1577;\i%20i\&#1578;&#1602;&#1585;&#1610;&#1585;%20&#1605;&#1608;&#1602;&#1601;%20&#1575;&#1604;&#1593;&#1605;&#1604;&#1575;&#1569;%20&#1576;&#1605;&#1603;&#1578;&#1576;%20&#1575;&#1604;&#1582;&#1576;&#158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Documents%20and%20Settings\MR-khaled\Desktop\disk%20f\&#1605;&#1604;&#1601;&#1575;&#1578;%20&#1603;&#1605;&#1576;&#1610;&#1608;&#1578;&#1585;%20&#1575;&#1604;&#1587;&#1603;&#1585;&#1578;&#1575;&#1585;&#1610;&#1577;\&#1575;&#1604;&#1578;&#1602;&#1575;&#1585;&#1610;&#1585;%20&#1575;&#1604;&#1588;&#1607;&#1585;&#1610;&#1577;\i%20i\&#1578;&#1602;&#1585;&#1610;&#1585;%20&#1605;&#1608;&#1602;&#1601;%20&#1575;&#1604;&#1593;&#1605;&#1604;&#1575;&#1569;%20&#1576;&#1605;&#1603;&#1578;&#1576;%20&#1575;&#1604;&#1582;&#1576;&#158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KSA%20-%20AAMC\AUDIT\ZAKAT%20FILES\AUDIT%20-%202025\Proper%20Audit-AM%20Files\AM398%20Tetra%20Industrial%20Company\MIS%20-%20AM398%20Tetra%20Industrial%20Company\financials%20EN%20format%20%20tetr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ورقة2"/>
      <sheetName val="ورقة1"/>
      <sheetName val="نموذج لموظفي المكتب"/>
      <sheetName val="قائمة الموظفين"/>
      <sheetName val="جدول بزيارات العملاء (2)"/>
      <sheetName val="عمولة صرف عقد جديد (2)"/>
      <sheetName val="عمولة صرف عقد جديد"/>
      <sheetName val="توزيع العمولات المستحقة"/>
      <sheetName val="نموذج أجازات"/>
      <sheetName val="ملفات بمستودع الاحساء"/>
      <sheetName val="مصروفات المكاتب"/>
      <sheetName val="صرف راتب"/>
      <sheetName val="تصفية مستحقات موظف (2)"/>
      <sheetName val="تصفية مستحقات نيكاسيو"/>
      <sheetName val="موقف المراجعة الدورية"/>
      <sheetName val="موقف المراجعة النهائي"/>
      <sheetName val="أتعاب مكتب الخبر"/>
      <sheetName val="كشف بعملاء المكتب"/>
      <sheetName val="بيانات عن العميل"/>
      <sheetName val="أسماء العملاء بالانجليزي"/>
      <sheetName val="توقيع ميزانيات"/>
      <sheetName val="كشف حساب العملاء"/>
      <sheetName val="جدول زمني"/>
      <sheetName val="نموذج إستلام سيارة"/>
      <sheetName val="مراسلات العملاء"/>
      <sheetName val="جدول زيارات الاسبوعي"/>
      <sheetName val="موقف العملاء12"/>
      <sheetName val="موقف العملاء"/>
      <sheetName val="إيرادات مكتب الخبر"/>
      <sheetName val="تقرير أعمال المكتب"/>
      <sheetName val="تفريغ كشف الحضور"/>
      <sheetName val="كشف الحضور"/>
      <sheetName val="تصريح تنقل"/>
      <sheetName val="نموذج أجازة"/>
      <sheetName val="تليفونات عملاء مكتب الخبر"/>
      <sheetName val="نصيب أتعاب الفروع"/>
      <sheetName val="تذكرة طائرة (E)"/>
      <sheetName val="تذكرة طائرة (3)"/>
      <sheetName val="تذكرة طائرة"/>
      <sheetName val="سند صرف فواتير"/>
      <sheetName val="نوع الخدمة"/>
      <sheetName val="جرد مخزن"/>
      <sheetName val="كشف تفريغ"/>
      <sheetName val="جرد خزينة"/>
      <sheetName val="بيان القضايا المرسلة"/>
      <sheetName val="موقف أتعاب العملاء"/>
      <sheetName val="موقف أتعاب العمليات الخاصة"/>
      <sheetName val="أتعاب مسك الدفاتر"/>
      <sheetName val="بيان العمل نيكاسيو"/>
      <sheetName val="بيان العمل نيكاسيو (2)"/>
      <sheetName val="بيان العمل الاسبوعي"/>
      <sheetName val="جدول بزيارات العملاء"/>
      <sheetName val="تذكرة طائرة (2)"/>
      <sheetName val="تصفية مستحقات موظف (3)"/>
      <sheetName val="تصفية مستحقات موظف"/>
      <sheetName val="عمولات مستحقة (2)"/>
      <sheetName val="عمولات مستحقة"/>
      <sheetName val="محضر الاجتماع الأسبوعي"/>
      <sheetName val="محضر الاجتماع الأسبوعي (3)"/>
      <sheetName val="محضر الاجتماع الأسبوعي (2)"/>
      <sheetName val="محضر الاجتماع الأسبوعي (4)"/>
      <sheetName val="محضر الاجتماع الأسبوعي (5)"/>
      <sheetName val="محضر الاجتماع الأسبوعي (6)"/>
      <sheetName val="محضر الاجتماع الأسبوعي (7)"/>
      <sheetName val="محضر الاجتماع الأسبوعي (8)"/>
      <sheetName val="عمولة صرف عقد جديد (3)"/>
      <sheetName val="عمولات مستحقة صابر المهدي"/>
      <sheetName val="عمولات مستحقة (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ورقة2"/>
      <sheetName val="ورقة1"/>
      <sheetName val="نموذج لموظفي المكتب"/>
      <sheetName val="قائمة الموظفين"/>
      <sheetName val="جدول بزيارات العملاء (2)"/>
      <sheetName val="عمولة صرف عقد جديد (2)"/>
      <sheetName val="عمولة صرف عقد جديد"/>
      <sheetName val="توزيع العمولات المستحقة"/>
      <sheetName val="نموذج أجازات"/>
      <sheetName val="ملفات بمستودع الاحساء"/>
      <sheetName val="مصروفات المكاتب"/>
      <sheetName val="صرف راتب"/>
      <sheetName val="تصفية مستحقات موظف (2)"/>
      <sheetName val="تصفية مستحقات نيكاسيو"/>
      <sheetName val="موقف المراجعة الدورية"/>
      <sheetName val="موقف المراجعة النهائي"/>
      <sheetName val="أتعاب مكتب الخبر"/>
      <sheetName val="كشف بعملاء المكتب"/>
      <sheetName val="بيانات عن العميل"/>
      <sheetName val="أسماء العملاء بالانجليزي"/>
      <sheetName val="توقيع ميزانيات"/>
      <sheetName val="كشف حساب العملاء"/>
      <sheetName val="جدول زمني"/>
      <sheetName val="نموذج إستلام سيارة"/>
      <sheetName val="مراسلات العملاء"/>
      <sheetName val="جدول زيارات الاسبوعي"/>
      <sheetName val="موقف العملاء12"/>
      <sheetName val="موقف العملاء"/>
      <sheetName val="إيرادات مكتب الخبر"/>
      <sheetName val="تقرير أعمال المكتب"/>
      <sheetName val="تفريغ كشف الحضور"/>
      <sheetName val="كشف الحضور"/>
      <sheetName val="تصريح تنقل"/>
      <sheetName val="نموذج أجازة"/>
      <sheetName val="تليفونات عملاء مكتب الخبر"/>
      <sheetName val="نصيب أتعاب الفروع"/>
      <sheetName val="تذكرة طائرة (E)"/>
      <sheetName val="تذكرة طائرة (3)"/>
      <sheetName val="تذكرة طائرة"/>
      <sheetName val="سند صرف فواتير"/>
      <sheetName val="نوع الخدمة"/>
      <sheetName val="جرد مخزن"/>
      <sheetName val="كشف تفريغ"/>
      <sheetName val="جرد خزينة"/>
      <sheetName val="بيان القضايا المرسلة"/>
      <sheetName val="موقف أتعاب العملاء"/>
      <sheetName val="موقف أتعاب العمليات الخاصة"/>
      <sheetName val="أتعاب مسك الدفاتر"/>
      <sheetName val="بيان العمل نيكاسيو"/>
      <sheetName val="بيان العمل نيكاسيو (2)"/>
      <sheetName val="بيان العمل الاسبوعي"/>
      <sheetName val="جدول بزيارات العملاء"/>
      <sheetName val="تذكرة طائرة (2)"/>
      <sheetName val="تصفية مستحقات موظف (3)"/>
      <sheetName val="تصفية مستحقات موظف"/>
      <sheetName val="عمولات مستحقة (2)"/>
      <sheetName val="عمولات مستحقة"/>
      <sheetName val="محضر الاجتماع الأسبوعي"/>
      <sheetName val="محضر الاجتماع الأسبوعي (3)"/>
      <sheetName val="محضر الاجتماع الأسبوعي (2)"/>
      <sheetName val="محضر الاجتماع الأسبوعي (4)"/>
      <sheetName val="محضر الاجتماع الأسبوعي (5)"/>
      <sheetName val="محضر الاجتماع الأسبوعي (6)"/>
      <sheetName val="محضر الاجتماع الأسبوعي (7)"/>
      <sheetName val="محضر الاجتماع الأسبوعي (8)"/>
      <sheetName val="عمولة صرف عقد جديد (3)"/>
      <sheetName val="عمولات مستحقة صابر المهدي"/>
      <sheetName val="عمولات مستحقة (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الغلاف + الفهرس"/>
      <sheetName val="المركز المالي"/>
      <sheetName val="قائمة الدخل"/>
      <sheetName val="قائمة التغيرات"/>
      <sheetName val="قائمة التدفقات"/>
      <sheetName val="نبذة تاريخية"/>
      <sheetName val="5-3"/>
      <sheetName val="6"/>
      <sheetName val="9-7"/>
      <sheetName val="10"/>
      <sheetName val="13-11"/>
      <sheetName val="16-14"/>
      <sheetName val="إيضاح 15 (2)"/>
      <sheetName val="إيضاح 15 (3)"/>
      <sheetName val="كشف رقم 4"/>
      <sheetName val="كشف رقم 4 (2)"/>
      <sheetName val="إهلاك الأصول 2011 "/>
      <sheetName val="إهلاك الأصول 2008"/>
      <sheetName val="إهلاك الأصول 2007"/>
    </sheetNames>
    <sheetDataSet>
      <sheetData sheetId="0" refreshError="1"/>
      <sheetData sheetId="1" refreshError="1"/>
      <sheetData sheetId="2" refreshError="1">
        <row r="2">
          <cell r="B2" t="str">
            <v>شـركـة مـدارس الـتـربـيــة والـتـعـلـيــم الأهـلـيــة</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الغلاف + الفهرس"/>
      <sheetName val="المركز المالي"/>
      <sheetName val="قائمة الدخل"/>
      <sheetName val="قائمة التغيرات"/>
      <sheetName val="التدفقات النقدية"/>
      <sheetName val="نبذة تاريخية"/>
      <sheetName val="إيضاح 3-4-5"/>
      <sheetName val="إيضاح 6"/>
      <sheetName val="إيضاح7-8-9"/>
      <sheetName val="إيضاح10 -11"/>
      <sheetName val="ميزان المراجعة"/>
      <sheetName val="القيود"/>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أسماء ومسلسل العملاء "/>
      <sheetName val="ورقة2"/>
      <sheetName val="نموذج عهدة مستديمة"/>
      <sheetName val="نموذج عهدة مستديمة (2)"/>
      <sheetName val="نموذج لموظفي المكتب"/>
      <sheetName val="قائمة الموظفين"/>
      <sheetName val="عمولة صرف عقد جديد"/>
      <sheetName val="نموذج أجازات"/>
      <sheetName val="تابع ملفات المستودع"/>
      <sheetName val="ملفات بمستودع الاحساء"/>
      <sheetName val="بدل سكن"/>
      <sheetName val="صرف راتب"/>
      <sheetName val="تصفية مستحقات موظف"/>
      <sheetName val="موقف المراجعة الدورية"/>
      <sheetName val="موقف المراجعة النهائي"/>
      <sheetName val="بيانات عن العميل"/>
      <sheetName val="كشف حساب العملاء"/>
      <sheetName val="نموذج إستلام سيارة"/>
      <sheetName val="مراسلات العملاء"/>
      <sheetName val="جدول بزيارات العملاء"/>
      <sheetName val="جدول زيارات الاسبوعي"/>
      <sheetName val="بيان العمل الاسبوعي"/>
      <sheetName val="كشف بعملاء المكتب"/>
      <sheetName val="ملاحظات صابر"/>
      <sheetName val="موقف العملاء"/>
      <sheetName val="إيرادات مكتب الخبر"/>
      <sheetName val="التقرير الشهري المعدل"/>
      <sheetName val="تقرير أعمال المكتب"/>
      <sheetName val="تفريغ كشف الحضور"/>
      <sheetName val="كشف الحضور"/>
      <sheetName val="تصريح تنقل"/>
      <sheetName val="تليفونات عملاء مكتب الخبر"/>
      <sheetName val="تذكرة طائرة"/>
      <sheetName val="سند صرف فواتير"/>
      <sheetName val="جرد مخزن"/>
      <sheetName val="كشف تفريغ"/>
      <sheetName val="جرد خزينة"/>
      <sheetName val="بيان القضايا المرسلة"/>
      <sheetName val="موقف أتعاب العملاء"/>
      <sheetName val="موقف أتعاب العمليات الخاصة"/>
      <sheetName val="أتعاب مسك الدفاتر"/>
      <sheetName val="إيجار المكتب"/>
      <sheetName val="حساب مكتب الخبر لدى الفروع"/>
      <sheetName val="سند قيد يومية"/>
      <sheetName val="ورقة1"/>
      <sheetName val="نموذج إرسال الملفات للإرشيف"/>
      <sheetName val="ورقة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أسماء ومسلسل العملاء "/>
      <sheetName val="ورقة2"/>
      <sheetName val="نموذج عهدة مستديمة"/>
      <sheetName val="نموذج عهدة مستديمة (2)"/>
      <sheetName val="نموذج لموظفي المكتب"/>
      <sheetName val="قائمة الموظفين"/>
      <sheetName val="عمولة صرف عقد جديد"/>
      <sheetName val="نموذج أجازات"/>
      <sheetName val="تابع ملفات المستودع"/>
      <sheetName val="ملفات بمستودع الاحساء"/>
      <sheetName val="بدل سكن"/>
      <sheetName val="صرف راتب"/>
      <sheetName val="تصفية مستحقات موظف"/>
      <sheetName val="موقف المراجعة الدورية"/>
      <sheetName val="موقف المراجعة النهائي"/>
      <sheetName val="بيانات عن العميل"/>
      <sheetName val="كشف حساب العملاء"/>
      <sheetName val="نموذج إستلام سيارة"/>
      <sheetName val="مراسلات العملاء"/>
      <sheetName val="جدول بزيارات العملاء"/>
      <sheetName val="جدول زيارات الاسبوعي"/>
      <sheetName val="بيان العمل الاسبوعي"/>
      <sheetName val="كشف بعملاء المكتب"/>
      <sheetName val="ملاحظات صابر"/>
      <sheetName val="موقف العملاء"/>
      <sheetName val="إيرادات مكتب الخبر"/>
      <sheetName val="التقرير الشهري المعدل"/>
      <sheetName val="تقرير أعمال المكتب"/>
      <sheetName val="تفريغ كشف الحضور"/>
      <sheetName val="كشف الحضور"/>
      <sheetName val="تصريح تنقل"/>
      <sheetName val="تليفونات عملاء مكتب الخبر"/>
      <sheetName val="تذكرة طائرة"/>
      <sheetName val="سند صرف فواتير"/>
      <sheetName val="جرد مخزن"/>
      <sheetName val="كشف تفريغ"/>
      <sheetName val="جرد خزينة"/>
      <sheetName val="بيان القضايا المرسلة"/>
      <sheetName val="موقف أتعاب العملاء"/>
      <sheetName val="موقف أتعاب العمليات الخاصة"/>
      <sheetName val="أتعاب مسك الدفاتر"/>
      <sheetName val="إيجار المكتب"/>
      <sheetName val="حساب مكتب الخبر لدى الفروع"/>
      <sheetName val="سند قيد يومية"/>
      <sheetName val="ورقة1"/>
      <sheetName val="نموذج إرسال الملفات للإرشيف"/>
      <sheetName val="ورقة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الغلاف"/>
      <sheetName val="الفهرس"/>
      <sheetName val="SOFP"/>
      <sheetName val="SCI"/>
      <sheetName val="SCE"/>
      <sheetName val="SCF"/>
      <sheetName val="S 1"/>
      <sheetName val="S 2"/>
      <sheetName val="S 3"/>
      <sheetName val="S 4"/>
      <sheetName val="S 5"/>
      <sheetName val="1.."/>
      <sheetName val="2."/>
      <sheetName val="2.."/>
      <sheetName val="4"/>
      <sheetName val="(2).."/>
      <sheetName val="2..."/>
      <sheetName val="6 - 1"/>
      <sheetName val="5"/>
      <sheetName val="op Bl"/>
      <sheetName val="Client TB"/>
      <sheetName val="6"/>
      <sheetName val="8"/>
      <sheetName val="Client TB (2)"/>
      <sheetName val="Adjustment entries"/>
      <sheetName val="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Tetra industrial</v>
          </cell>
        </row>
        <row r="4">
          <cell r="B4" t="str">
            <v>(All amounts in Saudi Riyals unless otherwies stated)</v>
          </cell>
          <cell r="C4"/>
          <cell r="D4"/>
          <cell r="E4"/>
        </row>
      </sheetData>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FB766-C1E8-4C39-9929-94D09371F3B5}">
  <sheetPr>
    <tabColor theme="4" tint="0.39997558519241921"/>
  </sheetPr>
  <dimension ref="B1:O55"/>
  <sheetViews>
    <sheetView zoomScale="115" zoomScaleNormal="115" zoomScaleSheetLayoutView="85" zoomScalePageLayoutView="130" workbookViewId="0">
      <selection activeCell="G6" sqref="G6"/>
    </sheetView>
  </sheetViews>
  <sheetFormatPr defaultColWidth="9.42578125" defaultRowHeight="26.25" customHeight="1" x14ac:dyDescent="0.25"/>
  <cols>
    <col min="1" max="1" width="5.5703125" style="1" customWidth="1"/>
    <col min="2" max="2" width="46.42578125" style="35" customWidth="1"/>
    <col min="3" max="3" width="10.5703125" style="1" customWidth="1"/>
    <col min="4" max="4" width="1.5703125" style="1" customWidth="1"/>
    <col min="5" max="5" width="32.28515625" style="1" bestFit="1" customWidth="1"/>
    <col min="6" max="6" width="1.5703125" style="1" customWidth="1"/>
    <col min="7" max="7" width="34.28515625" style="1" bestFit="1" customWidth="1"/>
    <col min="8" max="8" width="5.5703125" style="1" customWidth="1"/>
    <col min="9" max="9" width="3.5703125" style="1" customWidth="1"/>
    <col min="10" max="10" width="14" style="1" bestFit="1" customWidth="1"/>
    <col min="11" max="11" width="9.7109375" style="1" bestFit="1" customWidth="1"/>
    <col min="12" max="248" width="9.42578125" style="1"/>
    <col min="249" max="249" width="12.5703125" style="1" customWidth="1"/>
    <col min="250" max="250" width="31.85546875" style="1" customWidth="1"/>
    <col min="251" max="251" width="5" style="1" customWidth="1"/>
    <col min="252" max="252" width="1.85546875" style="1" customWidth="1"/>
    <col min="253" max="253" width="7.42578125" style="1" customWidth="1"/>
    <col min="254" max="254" width="2.42578125" style="1" customWidth="1"/>
    <col min="255" max="255" width="23" style="1" bestFit="1" customWidth="1"/>
    <col min="256" max="256" width="1.5703125" style="1" customWidth="1"/>
    <col min="257" max="257" width="23" style="1" bestFit="1" customWidth="1"/>
    <col min="258" max="258" width="1.42578125" style="1" customWidth="1"/>
    <col min="259" max="259" width="19.42578125" style="1" customWidth="1"/>
    <col min="260" max="260" width="29.42578125" style="1" customWidth="1"/>
    <col min="261" max="504" width="9.42578125" style="1"/>
    <col min="505" max="505" width="12.5703125" style="1" customWidth="1"/>
    <col min="506" max="506" width="31.85546875" style="1" customWidth="1"/>
    <col min="507" max="507" width="5" style="1" customWidth="1"/>
    <col min="508" max="508" width="1.85546875" style="1" customWidth="1"/>
    <col min="509" max="509" width="7.42578125" style="1" customWidth="1"/>
    <col min="510" max="510" width="2.42578125" style="1" customWidth="1"/>
    <col min="511" max="511" width="23" style="1" bestFit="1" customWidth="1"/>
    <col min="512" max="512" width="1.5703125" style="1" customWidth="1"/>
    <col min="513" max="513" width="23" style="1" bestFit="1" customWidth="1"/>
    <col min="514" max="514" width="1.42578125" style="1" customWidth="1"/>
    <col min="515" max="515" width="19.42578125" style="1" customWidth="1"/>
    <col min="516" max="516" width="29.42578125" style="1" customWidth="1"/>
    <col min="517" max="760" width="9.42578125" style="1"/>
    <col min="761" max="761" width="12.5703125" style="1" customWidth="1"/>
    <col min="762" max="762" width="31.85546875" style="1" customWidth="1"/>
    <col min="763" max="763" width="5" style="1" customWidth="1"/>
    <col min="764" max="764" width="1.85546875" style="1" customWidth="1"/>
    <col min="765" max="765" width="7.42578125" style="1" customWidth="1"/>
    <col min="766" max="766" width="2.42578125" style="1" customWidth="1"/>
    <col min="767" max="767" width="23" style="1" bestFit="1" customWidth="1"/>
    <col min="768" max="768" width="1.5703125" style="1" customWidth="1"/>
    <col min="769" max="769" width="23" style="1" bestFit="1" customWidth="1"/>
    <col min="770" max="770" width="1.42578125" style="1" customWidth="1"/>
    <col min="771" max="771" width="19.42578125" style="1" customWidth="1"/>
    <col min="772" max="772" width="29.42578125" style="1" customWidth="1"/>
    <col min="773" max="1016" width="9.42578125" style="1"/>
    <col min="1017" max="1017" width="12.5703125" style="1" customWidth="1"/>
    <col min="1018" max="1018" width="31.85546875" style="1" customWidth="1"/>
    <col min="1019" max="1019" width="5" style="1" customWidth="1"/>
    <col min="1020" max="1020" width="1.85546875" style="1" customWidth="1"/>
    <col min="1021" max="1021" width="7.42578125" style="1" customWidth="1"/>
    <col min="1022" max="1022" width="2.42578125" style="1" customWidth="1"/>
    <col min="1023" max="1023" width="23" style="1" bestFit="1" customWidth="1"/>
    <col min="1024" max="1024" width="1.5703125" style="1" customWidth="1"/>
    <col min="1025" max="1025" width="23" style="1" bestFit="1" customWidth="1"/>
    <col min="1026" max="1026" width="1.42578125" style="1" customWidth="1"/>
    <col min="1027" max="1027" width="19.42578125" style="1" customWidth="1"/>
    <col min="1028" max="1028" width="29.42578125" style="1" customWidth="1"/>
    <col min="1029" max="1272" width="9.42578125" style="1"/>
    <col min="1273" max="1273" width="12.5703125" style="1" customWidth="1"/>
    <col min="1274" max="1274" width="31.85546875" style="1" customWidth="1"/>
    <col min="1275" max="1275" width="5" style="1" customWidth="1"/>
    <col min="1276" max="1276" width="1.85546875" style="1" customWidth="1"/>
    <col min="1277" max="1277" width="7.42578125" style="1" customWidth="1"/>
    <col min="1278" max="1278" width="2.42578125" style="1" customWidth="1"/>
    <col min="1279" max="1279" width="23" style="1" bestFit="1" customWidth="1"/>
    <col min="1280" max="1280" width="1.5703125" style="1" customWidth="1"/>
    <col min="1281" max="1281" width="23" style="1" bestFit="1" customWidth="1"/>
    <col min="1282" max="1282" width="1.42578125" style="1" customWidth="1"/>
    <col min="1283" max="1283" width="19.42578125" style="1" customWidth="1"/>
    <col min="1284" max="1284" width="29.42578125" style="1" customWidth="1"/>
    <col min="1285" max="1528" width="9.42578125" style="1"/>
    <col min="1529" max="1529" width="12.5703125" style="1" customWidth="1"/>
    <col min="1530" max="1530" width="31.85546875" style="1" customWidth="1"/>
    <col min="1531" max="1531" width="5" style="1" customWidth="1"/>
    <col min="1532" max="1532" width="1.85546875" style="1" customWidth="1"/>
    <col min="1533" max="1533" width="7.42578125" style="1" customWidth="1"/>
    <col min="1534" max="1534" width="2.42578125" style="1" customWidth="1"/>
    <col min="1535" max="1535" width="23" style="1" bestFit="1" customWidth="1"/>
    <col min="1536" max="1536" width="1.5703125" style="1" customWidth="1"/>
    <col min="1537" max="1537" width="23" style="1" bestFit="1" customWidth="1"/>
    <col min="1538" max="1538" width="1.42578125" style="1" customWidth="1"/>
    <col min="1539" max="1539" width="19.42578125" style="1" customWidth="1"/>
    <col min="1540" max="1540" width="29.42578125" style="1" customWidth="1"/>
    <col min="1541" max="1784" width="9.42578125" style="1"/>
    <col min="1785" max="1785" width="12.5703125" style="1" customWidth="1"/>
    <col min="1786" max="1786" width="31.85546875" style="1" customWidth="1"/>
    <col min="1787" max="1787" width="5" style="1" customWidth="1"/>
    <col min="1788" max="1788" width="1.85546875" style="1" customWidth="1"/>
    <col min="1789" max="1789" width="7.42578125" style="1" customWidth="1"/>
    <col min="1790" max="1790" width="2.42578125" style="1" customWidth="1"/>
    <col min="1791" max="1791" width="23" style="1" bestFit="1" customWidth="1"/>
    <col min="1792" max="1792" width="1.5703125" style="1" customWidth="1"/>
    <col min="1793" max="1793" width="23" style="1" bestFit="1" customWidth="1"/>
    <col min="1794" max="1794" width="1.42578125" style="1" customWidth="1"/>
    <col min="1795" max="1795" width="19.42578125" style="1" customWidth="1"/>
    <col min="1796" max="1796" width="29.42578125" style="1" customWidth="1"/>
    <col min="1797" max="2040" width="9.42578125" style="1"/>
    <col min="2041" max="2041" width="12.5703125" style="1" customWidth="1"/>
    <col min="2042" max="2042" width="31.85546875" style="1" customWidth="1"/>
    <col min="2043" max="2043" width="5" style="1" customWidth="1"/>
    <col min="2044" max="2044" width="1.85546875" style="1" customWidth="1"/>
    <col min="2045" max="2045" width="7.42578125" style="1" customWidth="1"/>
    <col min="2046" max="2046" width="2.42578125" style="1" customWidth="1"/>
    <col min="2047" max="2047" width="23" style="1" bestFit="1" customWidth="1"/>
    <col min="2048" max="2048" width="1.5703125" style="1" customWidth="1"/>
    <col min="2049" max="2049" width="23" style="1" bestFit="1" customWidth="1"/>
    <col min="2050" max="2050" width="1.42578125" style="1" customWidth="1"/>
    <col min="2051" max="2051" width="19.42578125" style="1" customWidth="1"/>
    <col min="2052" max="2052" width="29.42578125" style="1" customWidth="1"/>
    <col min="2053" max="2296" width="9.42578125" style="1"/>
    <col min="2297" max="2297" width="12.5703125" style="1" customWidth="1"/>
    <col min="2298" max="2298" width="31.85546875" style="1" customWidth="1"/>
    <col min="2299" max="2299" width="5" style="1" customWidth="1"/>
    <col min="2300" max="2300" width="1.85546875" style="1" customWidth="1"/>
    <col min="2301" max="2301" width="7.42578125" style="1" customWidth="1"/>
    <col min="2302" max="2302" width="2.42578125" style="1" customWidth="1"/>
    <col min="2303" max="2303" width="23" style="1" bestFit="1" customWidth="1"/>
    <col min="2304" max="2304" width="1.5703125" style="1" customWidth="1"/>
    <col min="2305" max="2305" width="23" style="1" bestFit="1" customWidth="1"/>
    <col min="2306" max="2306" width="1.42578125" style="1" customWidth="1"/>
    <col min="2307" max="2307" width="19.42578125" style="1" customWidth="1"/>
    <col min="2308" max="2308" width="29.42578125" style="1" customWidth="1"/>
    <col min="2309" max="2552" width="9.42578125" style="1"/>
    <col min="2553" max="2553" width="12.5703125" style="1" customWidth="1"/>
    <col min="2554" max="2554" width="31.85546875" style="1" customWidth="1"/>
    <col min="2555" max="2555" width="5" style="1" customWidth="1"/>
    <col min="2556" max="2556" width="1.85546875" style="1" customWidth="1"/>
    <col min="2557" max="2557" width="7.42578125" style="1" customWidth="1"/>
    <col min="2558" max="2558" width="2.42578125" style="1" customWidth="1"/>
    <col min="2559" max="2559" width="23" style="1" bestFit="1" customWidth="1"/>
    <col min="2560" max="2560" width="1.5703125" style="1" customWidth="1"/>
    <col min="2561" max="2561" width="23" style="1" bestFit="1" customWidth="1"/>
    <col min="2562" max="2562" width="1.42578125" style="1" customWidth="1"/>
    <col min="2563" max="2563" width="19.42578125" style="1" customWidth="1"/>
    <col min="2564" max="2564" width="29.42578125" style="1" customWidth="1"/>
    <col min="2565" max="2808" width="9.42578125" style="1"/>
    <col min="2809" max="2809" width="12.5703125" style="1" customWidth="1"/>
    <col min="2810" max="2810" width="31.85546875" style="1" customWidth="1"/>
    <col min="2811" max="2811" width="5" style="1" customWidth="1"/>
    <col min="2812" max="2812" width="1.85546875" style="1" customWidth="1"/>
    <col min="2813" max="2813" width="7.42578125" style="1" customWidth="1"/>
    <col min="2814" max="2814" width="2.42578125" style="1" customWidth="1"/>
    <col min="2815" max="2815" width="23" style="1" bestFit="1" customWidth="1"/>
    <col min="2816" max="2816" width="1.5703125" style="1" customWidth="1"/>
    <col min="2817" max="2817" width="23" style="1" bestFit="1" customWidth="1"/>
    <col min="2818" max="2818" width="1.42578125" style="1" customWidth="1"/>
    <col min="2819" max="2819" width="19.42578125" style="1" customWidth="1"/>
    <col min="2820" max="2820" width="29.42578125" style="1" customWidth="1"/>
    <col min="2821" max="3064" width="9.42578125" style="1"/>
    <col min="3065" max="3065" width="12.5703125" style="1" customWidth="1"/>
    <col min="3066" max="3066" width="31.85546875" style="1" customWidth="1"/>
    <col min="3067" max="3067" width="5" style="1" customWidth="1"/>
    <col min="3068" max="3068" width="1.85546875" style="1" customWidth="1"/>
    <col min="3069" max="3069" width="7.42578125" style="1" customWidth="1"/>
    <col min="3070" max="3070" width="2.42578125" style="1" customWidth="1"/>
    <col min="3071" max="3071" width="23" style="1" bestFit="1" customWidth="1"/>
    <col min="3072" max="3072" width="1.5703125" style="1" customWidth="1"/>
    <col min="3073" max="3073" width="23" style="1" bestFit="1" customWidth="1"/>
    <col min="3074" max="3074" width="1.42578125" style="1" customWidth="1"/>
    <col min="3075" max="3075" width="19.42578125" style="1" customWidth="1"/>
    <col min="3076" max="3076" width="29.42578125" style="1" customWidth="1"/>
    <col min="3077" max="3320" width="9.42578125" style="1"/>
    <col min="3321" max="3321" width="12.5703125" style="1" customWidth="1"/>
    <col min="3322" max="3322" width="31.85546875" style="1" customWidth="1"/>
    <col min="3323" max="3323" width="5" style="1" customWidth="1"/>
    <col min="3324" max="3324" width="1.85546875" style="1" customWidth="1"/>
    <col min="3325" max="3325" width="7.42578125" style="1" customWidth="1"/>
    <col min="3326" max="3326" width="2.42578125" style="1" customWidth="1"/>
    <col min="3327" max="3327" width="23" style="1" bestFit="1" customWidth="1"/>
    <col min="3328" max="3328" width="1.5703125" style="1" customWidth="1"/>
    <col min="3329" max="3329" width="23" style="1" bestFit="1" customWidth="1"/>
    <col min="3330" max="3330" width="1.42578125" style="1" customWidth="1"/>
    <col min="3331" max="3331" width="19.42578125" style="1" customWidth="1"/>
    <col min="3332" max="3332" width="29.42578125" style="1" customWidth="1"/>
    <col min="3333" max="3576" width="9.42578125" style="1"/>
    <col min="3577" max="3577" width="12.5703125" style="1" customWidth="1"/>
    <col min="3578" max="3578" width="31.85546875" style="1" customWidth="1"/>
    <col min="3579" max="3579" width="5" style="1" customWidth="1"/>
    <col min="3580" max="3580" width="1.85546875" style="1" customWidth="1"/>
    <col min="3581" max="3581" width="7.42578125" style="1" customWidth="1"/>
    <col min="3582" max="3582" width="2.42578125" style="1" customWidth="1"/>
    <col min="3583" max="3583" width="23" style="1" bestFit="1" customWidth="1"/>
    <col min="3584" max="3584" width="1.5703125" style="1" customWidth="1"/>
    <col min="3585" max="3585" width="23" style="1" bestFit="1" customWidth="1"/>
    <col min="3586" max="3586" width="1.42578125" style="1" customWidth="1"/>
    <col min="3587" max="3587" width="19.42578125" style="1" customWidth="1"/>
    <col min="3588" max="3588" width="29.42578125" style="1" customWidth="1"/>
    <col min="3589" max="3832" width="9.42578125" style="1"/>
    <col min="3833" max="3833" width="12.5703125" style="1" customWidth="1"/>
    <col min="3834" max="3834" width="31.85546875" style="1" customWidth="1"/>
    <col min="3835" max="3835" width="5" style="1" customWidth="1"/>
    <col min="3836" max="3836" width="1.85546875" style="1" customWidth="1"/>
    <col min="3837" max="3837" width="7.42578125" style="1" customWidth="1"/>
    <col min="3838" max="3838" width="2.42578125" style="1" customWidth="1"/>
    <col min="3839" max="3839" width="23" style="1" bestFit="1" customWidth="1"/>
    <col min="3840" max="3840" width="1.5703125" style="1" customWidth="1"/>
    <col min="3841" max="3841" width="23" style="1" bestFit="1" customWidth="1"/>
    <col min="3842" max="3842" width="1.42578125" style="1" customWidth="1"/>
    <col min="3843" max="3843" width="19.42578125" style="1" customWidth="1"/>
    <col min="3844" max="3844" width="29.42578125" style="1" customWidth="1"/>
    <col min="3845" max="4088" width="9.42578125" style="1"/>
    <col min="4089" max="4089" width="12.5703125" style="1" customWidth="1"/>
    <col min="4090" max="4090" width="31.85546875" style="1" customWidth="1"/>
    <col min="4091" max="4091" width="5" style="1" customWidth="1"/>
    <col min="4092" max="4092" width="1.85546875" style="1" customWidth="1"/>
    <col min="4093" max="4093" width="7.42578125" style="1" customWidth="1"/>
    <col min="4094" max="4094" width="2.42578125" style="1" customWidth="1"/>
    <col min="4095" max="4095" width="23" style="1" bestFit="1" customWidth="1"/>
    <col min="4096" max="4096" width="1.5703125" style="1" customWidth="1"/>
    <col min="4097" max="4097" width="23" style="1" bestFit="1" customWidth="1"/>
    <col min="4098" max="4098" width="1.42578125" style="1" customWidth="1"/>
    <col min="4099" max="4099" width="19.42578125" style="1" customWidth="1"/>
    <col min="4100" max="4100" width="29.42578125" style="1" customWidth="1"/>
    <col min="4101" max="4344" width="9.42578125" style="1"/>
    <col min="4345" max="4345" width="12.5703125" style="1" customWidth="1"/>
    <col min="4346" max="4346" width="31.85546875" style="1" customWidth="1"/>
    <col min="4347" max="4347" width="5" style="1" customWidth="1"/>
    <col min="4348" max="4348" width="1.85546875" style="1" customWidth="1"/>
    <col min="4349" max="4349" width="7.42578125" style="1" customWidth="1"/>
    <col min="4350" max="4350" width="2.42578125" style="1" customWidth="1"/>
    <col min="4351" max="4351" width="23" style="1" bestFit="1" customWidth="1"/>
    <col min="4352" max="4352" width="1.5703125" style="1" customWidth="1"/>
    <col min="4353" max="4353" width="23" style="1" bestFit="1" customWidth="1"/>
    <col min="4354" max="4354" width="1.42578125" style="1" customWidth="1"/>
    <col min="4355" max="4355" width="19.42578125" style="1" customWidth="1"/>
    <col min="4356" max="4356" width="29.42578125" style="1" customWidth="1"/>
    <col min="4357" max="4600" width="9.42578125" style="1"/>
    <col min="4601" max="4601" width="12.5703125" style="1" customWidth="1"/>
    <col min="4602" max="4602" width="31.85546875" style="1" customWidth="1"/>
    <col min="4603" max="4603" width="5" style="1" customWidth="1"/>
    <col min="4604" max="4604" width="1.85546875" style="1" customWidth="1"/>
    <col min="4605" max="4605" width="7.42578125" style="1" customWidth="1"/>
    <col min="4606" max="4606" width="2.42578125" style="1" customWidth="1"/>
    <col min="4607" max="4607" width="23" style="1" bestFit="1" customWidth="1"/>
    <col min="4608" max="4608" width="1.5703125" style="1" customWidth="1"/>
    <col min="4609" max="4609" width="23" style="1" bestFit="1" customWidth="1"/>
    <col min="4610" max="4610" width="1.42578125" style="1" customWidth="1"/>
    <col min="4611" max="4611" width="19.42578125" style="1" customWidth="1"/>
    <col min="4612" max="4612" width="29.42578125" style="1" customWidth="1"/>
    <col min="4613" max="4856" width="9.42578125" style="1"/>
    <col min="4857" max="4857" width="12.5703125" style="1" customWidth="1"/>
    <col min="4858" max="4858" width="31.85546875" style="1" customWidth="1"/>
    <col min="4859" max="4859" width="5" style="1" customWidth="1"/>
    <col min="4860" max="4860" width="1.85546875" style="1" customWidth="1"/>
    <col min="4861" max="4861" width="7.42578125" style="1" customWidth="1"/>
    <col min="4862" max="4862" width="2.42578125" style="1" customWidth="1"/>
    <col min="4863" max="4863" width="23" style="1" bestFit="1" customWidth="1"/>
    <col min="4864" max="4864" width="1.5703125" style="1" customWidth="1"/>
    <col min="4865" max="4865" width="23" style="1" bestFit="1" customWidth="1"/>
    <col min="4866" max="4866" width="1.42578125" style="1" customWidth="1"/>
    <col min="4867" max="4867" width="19.42578125" style="1" customWidth="1"/>
    <col min="4868" max="4868" width="29.42578125" style="1" customWidth="1"/>
    <col min="4869" max="5112" width="9.42578125" style="1"/>
    <col min="5113" max="5113" width="12.5703125" style="1" customWidth="1"/>
    <col min="5114" max="5114" width="31.85546875" style="1" customWidth="1"/>
    <col min="5115" max="5115" width="5" style="1" customWidth="1"/>
    <col min="5116" max="5116" width="1.85546875" style="1" customWidth="1"/>
    <col min="5117" max="5117" width="7.42578125" style="1" customWidth="1"/>
    <col min="5118" max="5118" width="2.42578125" style="1" customWidth="1"/>
    <col min="5119" max="5119" width="23" style="1" bestFit="1" customWidth="1"/>
    <col min="5120" max="5120" width="1.5703125" style="1" customWidth="1"/>
    <col min="5121" max="5121" width="23" style="1" bestFit="1" customWidth="1"/>
    <col min="5122" max="5122" width="1.42578125" style="1" customWidth="1"/>
    <col min="5123" max="5123" width="19.42578125" style="1" customWidth="1"/>
    <col min="5124" max="5124" width="29.42578125" style="1" customWidth="1"/>
    <col min="5125" max="5368" width="9.42578125" style="1"/>
    <col min="5369" max="5369" width="12.5703125" style="1" customWidth="1"/>
    <col min="5370" max="5370" width="31.85546875" style="1" customWidth="1"/>
    <col min="5371" max="5371" width="5" style="1" customWidth="1"/>
    <col min="5372" max="5372" width="1.85546875" style="1" customWidth="1"/>
    <col min="5373" max="5373" width="7.42578125" style="1" customWidth="1"/>
    <col min="5374" max="5374" width="2.42578125" style="1" customWidth="1"/>
    <col min="5375" max="5375" width="23" style="1" bestFit="1" customWidth="1"/>
    <col min="5376" max="5376" width="1.5703125" style="1" customWidth="1"/>
    <col min="5377" max="5377" width="23" style="1" bestFit="1" customWidth="1"/>
    <col min="5378" max="5378" width="1.42578125" style="1" customWidth="1"/>
    <col min="5379" max="5379" width="19.42578125" style="1" customWidth="1"/>
    <col min="5380" max="5380" width="29.42578125" style="1" customWidth="1"/>
    <col min="5381" max="5624" width="9.42578125" style="1"/>
    <col min="5625" max="5625" width="12.5703125" style="1" customWidth="1"/>
    <col min="5626" max="5626" width="31.85546875" style="1" customWidth="1"/>
    <col min="5627" max="5627" width="5" style="1" customWidth="1"/>
    <col min="5628" max="5628" width="1.85546875" style="1" customWidth="1"/>
    <col min="5629" max="5629" width="7.42578125" style="1" customWidth="1"/>
    <col min="5630" max="5630" width="2.42578125" style="1" customWidth="1"/>
    <col min="5631" max="5631" width="23" style="1" bestFit="1" customWidth="1"/>
    <col min="5632" max="5632" width="1.5703125" style="1" customWidth="1"/>
    <col min="5633" max="5633" width="23" style="1" bestFit="1" customWidth="1"/>
    <col min="5634" max="5634" width="1.42578125" style="1" customWidth="1"/>
    <col min="5635" max="5635" width="19.42578125" style="1" customWidth="1"/>
    <col min="5636" max="5636" width="29.42578125" style="1" customWidth="1"/>
    <col min="5637" max="5880" width="9.42578125" style="1"/>
    <col min="5881" max="5881" width="12.5703125" style="1" customWidth="1"/>
    <col min="5882" max="5882" width="31.85546875" style="1" customWidth="1"/>
    <col min="5883" max="5883" width="5" style="1" customWidth="1"/>
    <col min="5884" max="5884" width="1.85546875" style="1" customWidth="1"/>
    <col min="5885" max="5885" width="7.42578125" style="1" customWidth="1"/>
    <col min="5886" max="5886" width="2.42578125" style="1" customWidth="1"/>
    <col min="5887" max="5887" width="23" style="1" bestFit="1" customWidth="1"/>
    <col min="5888" max="5888" width="1.5703125" style="1" customWidth="1"/>
    <col min="5889" max="5889" width="23" style="1" bestFit="1" customWidth="1"/>
    <col min="5890" max="5890" width="1.42578125" style="1" customWidth="1"/>
    <col min="5891" max="5891" width="19.42578125" style="1" customWidth="1"/>
    <col min="5892" max="5892" width="29.42578125" style="1" customWidth="1"/>
    <col min="5893" max="6136" width="9.42578125" style="1"/>
    <col min="6137" max="6137" width="12.5703125" style="1" customWidth="1"/>
    <col min="6138" max="6138" width="31.85546875" style="1" customWidth="1"/>
    <col min="6139" max="6139" width="5" style="1" customWidth="1"/>
    <col min="6140" max="6140" width="1.85546875" style="1" customWidth="1"/>
    <col min="6141" max="6141" width="7.42578125" style="1" customWidth="1"/>
    <col min="6142" max="6142" width="2.42578125" style="1" customWidth="1"/>
    <col min="6143" max="6143" width="23" style="1" bestFit="1" customWidth="1"/>
    <col min="6144" max="6144" width="1.5703125" style="1" customWidth="1"/>
    <col min="6145" max="6145" width="23" style="1" bestFit="1" customWidth="1"/>
    <col min="6146" max="6146" width="1.42578125" style="1" customWidth="1"/>
    <col min="6147" max="6147" width="19.42578125" style="1" customWidth="1"/>
    <col min="6148" max="6148" width="29.42578125" style="1" customWidth="1"/>
    <col min="6149" max="6392" width="9.42578125" style="1"/>
    <col min="6393" max="6393" width="12.5703125" style="1" customWidth="1"/>
    <col min="6394" max="6394" width="31.85546875" style="1" customWidth="1"/>
    <col min="6395" max="6395" width="5" style="1" customWidth="1"/>
    <col min="6396" max="6396" width="1.85546875" style="1" customWidth="1"/>
    <col min="6397" max="6397" width="7.42578125" style="1" customWidth="1"/>
    <col min="6398" max="6398" width="2.42578125" style="1" customWidth="1"/>
    <col min="6399" max="6399" width="23" style="1" bestFit="1" customWidth="1"/>
    <col min="6400" max="6400" width="1.5703125" style="1" customWidth="1"/>
    <col min="6401" max="6401" width="23" style="1" bestFit="1" customWidth="1"/>
    <col min="6402" max="6402" width="1.42578125" style="1" customWidth="1"/>
    <col min="6403" max="6403" width="19.42578125" style="1" customWidth="1"/>
    <col min="6404" max="6404" width="29.42578125" style="1" customWidth="1"/>
    <col min="6405" max="6648" width="9.42578125" style="1"/>
    <col min="6649" max="6649" width="12.5703125" style="1" customWidth="1"/>
    <col min="6650" max="6650" width="31.85546875" style="1" customWidth="1"/>
    <col min="6651" max="6651" width="5" style="1" customWidth="1"/>
    <col min="6652" max="6652" width="1.85546875" style="1" customWidth="1"/>
    <col min="6653" max="6653" width="7.42578125" style="1" customWidth="1"/>
    <col min="6654" max="6654" width="2.42578125" style="1" customWidth="1"/>
    <col min="6655" max="6655" width="23" style="1" bestFit="1" customWidth="1"/>
    <col min="6656" max="6656" width="1.5703125" style="1" customWidth="1"/>
    <col min="6657" max="6657" width="23" style="1" bestFit="1" customWidth="1"/>
    <col min="6658" max="6658" width="1.42578125" style="1" customWidth="1"/>
    <col min="6659" max="6659" width="19.42578125" style="1" customWidth="1"/>
    <col min="6660" max="6660" width="29.42578125" style="1" customWidth="1"/>
    <col min="6661" max="6904" width="9.42578125" style="1"/>
    <col min="6905" max="6905" width="12.5703125" style="1" customWidth="1"/>
    <col min="6906" max="6906" width="31.85546875" style="1" customWidth="1"/>
    <col min="6907" max="6907" width="5" style="1" customWidth="1"/>
    <col min="6908" max="6908" width="1.85546875" style="1" customWidth="1"/>
    <col min="6909" max="6909" width="7.42578125" style="1" customWidth="1"/>
    <col min="6910" max="6910" width="2.42578125" style="1" customWidth="1"/>
    <col min="6911" max="6911" width="23" style="1" bestFit="1" customWidth="1"/>
    <col min="6912" max="6912" width="1.5703125" style="1" customWidth="1"/>
    <col min="6913" max="6913" width="23" style="1" bestFit="1" customWidth="1"/>
    <col min="6914" max="6914" width="1.42578125" style="1" customWidth="1"/>
    <col min="6915" max="6915" width="19.42578125" style="1" customWidth="1"/>
    <col min="6916" max="6916" width="29.42578125" style="1" customWidth="1"/>
    <col min="6917" max="7160" width="9.42578125" style="1"/>
    <col min="7161" max="7161" width="12.5703125" style="1" customWidth="1"/>
    <col min="7162" max="7162" width="31.85546875" style="1" customWidth="1"/>
    <col min="7163" max="7163" width="5" style="1" customWidth="1"/>
    <col min="7164" max="7164" width="1.85546875" style="1" customWidth="1"/>
    <col min="7165" max="7165" width="7.42578125" style="1" customWidth="1"/>
    <col min="7166" max="7166" width="2.42578125" style="1" customWidth="1"/>
    <col min="7167" max="7167" width="23" style="1" bestFit="1" customWidth="1"/>
    <col min="7168" max="7168" width="1.5703125" style="1" customWidth="1"/>
    <col min="7169" max="7169" width="23" style="1" bestFit="1" customWidth="1"/>
    <col min="7170" max="7170" width="1.42578125" style="1" customWidth="1"/>
    <col min="7171" max="7171" width="19.42578125" style="1" customWidth="1"/>
    <col min="7172" max="7172" width="29.42578125" style="1" customWidth="1"/>
    <col min="7173" max="7416" width="9.42578125" style="1"/>
    <col min="7417" max="7417" width="12.5703125" style="1" customWidth="1"/>
    <col min="7418" max="7418" width="31.85546875" style="1" customWidth="1"/>
    <col min="7419" max="7419" width="5" style="1" customWidth="1"/>
    <col min="7420" max="7420" width="1.85546875" style="1" customWidth="1"/>
    <col min="7421" max="7421" width="7.42578125" style="1" customWidth="1"/>
    <col min="7422" max="7422" width="2.42578125" style="1" customWidth="1"/>
    <col min="7423" max="7423" width="23" style="1" bestFit="1" customWidth="1"/>
    <col min="7424" max="7424" width="1.5703125" style="1" customWidth="1"/>
    <col min="7425" max="7425" width="23" style="1" bestFit="1" customWidth="1"/>
    <col min="7426" max="7426" width="1.42578125" style="1" customWidth="1"/>
    <col min="7427" max="7427" width="19.42578125" style="1" customWidth="1"/>
    <col min="7428" max="7428" width="29.42578125" style="1" customWidth="1"/>
    <col min="7429" max="7672" width="9.42578125" style="1"/>
    <col min="7673" max="7673" width="12.5703125" style="1" customWidth="1"/>
    <col min="7674" max="7674" width="31.85546875" style="1" customWidth="1"/>
    <col min="7675" max="7675" width="5" style="1" customWidth="1"/>
    <col min="7676" max="7676" width="1.85546875" style="1" customWidth="1"/>
    <col min="7677" max="7677" width="7.42578125" style="1" customWidth="1"/>
    <col min="7678" max="7678" width="2.42578125" style="1" customWidth="1"/>
    <col min="7679" max="7679" width="23" style="1" bestFit="1" customWidth="1"/>
    <col min="7680" max="7680" width="1.5703125" style="1" customWidth="1"/>
    <col min="7681" max="7681" width="23" style="1" bestFit="1" customWidth="1"/>
    <col min="7682" max="7682" width="1.42578125" style="1" customWidth="1"/>
    <col min="7683" max="7683" width="19.42578125" style="1" customWidth="1"/>
    <col min="7684" max="7684" width="29.42578125" style="1" customWidth="1"/>
    <col min="7685" max="7928" width="9.42578125" style="1"/>
    <col min="7929" max="7929" width="12.5703125" style="1" customWidth="1"/>
    <col min="7930" max="7930" width="31.85546875" style="1" customWidth="1"/>
    <col min="7931" max="7931" width="5" style="1" customWidth="1"/>
    <col min="7932" max="7932" width="1.85546875" style="1" customWidth="1"/>
    <col min="7933" max="7933" width="7.42578125" style="1" customWidth="1"/>
    <col min="7934" max="7934" width="2.42578125" style="1" customWidth="1"/>
    <col min="7935" max="7935" width="23" style="1" bestFit="1" customWidth="1"/>
    <col min="7936" max="7936" width="1.5703125" style="1" customWidth="1"/>
    <col min="7937" max="7937" width="23" style="1" bestFit="1" customWidth="1"/>
    <col min="7938" max="7938" width="1.42578125" style="1" customWidth="1"/>
    <col min="7939" max="7939" width="19.42578125" style="1" customWidth="1"/>
    <col min="7940" max="7940" width="29.42578125" style="1" customWidth="1"/>
    <col min="7941" max="8184" width="9.42578125" style="1"/>
    <col min="8185" max="8185" width="12.5703125" style="1" customWidth="1"/>
    <col min="8186" max="8186" width="31.85546875" style="1" customWidth="1"/>
    <col min="8187" max="8187" width="5" style="1" customWidth="1"/>
    <col min="8188" max="8188" width="1.85546875" style="1" customWidth="1"/>
    <col min="8189" max="8189" width="7.42578125" style="1" customWidth="1"/>
    <col min="8190" max="8190" width="2.42578125" style="1" customWidth="1"/>
    <col min="8191" max="8191" width="23" style="1" bestFit="1" customWidth="1"/>
    <col min="8192" max="8192" width="1.5703125" style="1" customWidth="1"/>
    <col min="8193" max="8193" width="23" style="1" bestFit="1" customWidth="1"/>
    <col min="8194" max="8194" width="1.42578125" style="1" customWidth="1"/>
    <col min="8195" max="8195" width="19.42578125" style="1" customWidth="1"/>
    <col min="8196" max="8196" width="29.42578125" style="1" customWidth="1"/>
    <col min="8197" max="8440" width="9.42578125" style="1"/>
    <col min="8441" max="8441" width="12.5703125" style="1" customWidth="1"/>
    <col min="8442" max="8442" width="31.85546875" style="1" customWidth="1"/>
    <col min="8443" max="8443" width="5" style="1" customWidth="1"/>
    <col min="8444" max="8444" width="1.85546875" style="1" customWidth="1"/>
    <col min="8445" max="8445" width="7.42578125" style="1" customWidth="1"/>
    <col min="8446" max="8446" width="2.42578125" style="1" customWidth="1"/>
    <col min="8447" max="8447" width="23" style="1" bestFit="1" customWidth="1"/>
    <col min="8448" max="8448" width="1.5703125" style="1" customWidth="1"/>
    <col min="8449" max="8449" width="23" style="1" bestFit="1" customWidth="1"/>
    <col min="8450" max="8450" width="1.42578125" style="1" customWidth="1"/>
    <col min="8451" max="8451" width="19.42578125" style="1" customWidth="1"/>
    <col min="8452" max="8452" width="29.42578125" style="1" customWidth="1"/>
    <col min="8453" max="8696" width="9.42578125" style="1"/>
    <col min="8697" max="8697" width="12.5703125" style="1" customWidth="1"/>
    <col min="8698" max="8698" width="31.85546875" style="1" customWidth="1"/>
    <col min="8699" max="8699" width="5" style="1" customWidth="1"/>
    <col min="8700" max="8700" width="1.85546875" style="1" customWidth="1"/>
    <col min="8701" max="8701" width="7.42578125" style="1" customWidth="1"/>
    <col min="8702" max="8702" width="2.42578125" style="1" customWidth="1"/>
    <col min="8703" max="8703" width="23" style="1" bestFit="1" customWidth="1"/>
    <col min="8704" max="8704" width="1.5703125" style="1" customWidth="1"/>
    <col min="8705" max="8705" width="23" style="1" bestFit="1" customWidth="1"/>
    <col min="8706" max="8706" width="1.42578125" style="1" customWidth="1"/>
    <col min="8707" max="8707" width="19.42578125" style="1" customWidth="1"/>
    <col min="8708" max="8708" width="29.42578125" style="1" customWidth="1"/>
    <col min="8709" max="8952" width="9.42578125" style="1"/>
    <col min="8953" max="8953" width="12.5703125" style="1" customWidth="1"/>
    <col min="8954" max="8954" width="31.85546875" style="1" customWidth="1"/>
    <col min="8955" max="8955" width="5" style="1" customWidth="1"/>
    <col min="8956" max="8956" width="1.85546875" style="1" customWidth="1"/>
    <col min="8957" max="8957" width="7.42578125" style="1" customWidth="1"/>
    <col min="8958" max="8958" width="2.42578125" style="1" customWidth="1"/>
    <col min="8959" max="8959" width="23" style="1" bestFit="1" customWidth="1"/>
    <col min="8960" max="8960" width="1.5703125" style="1" customWidth="1"/>
    <col min="8961" max="8961" width="23" style="1" bestFit="1" customWidth="1"/>
    <col min="8962" max="8962" width="1.42578125" style="1" customWidth="1"/>
    <col min="8963" max="8963" width="19.42578125" style="1" customWidth="1"/>
    <col min="8964" max="8964" width="29.42578125" style="1" customWidth="1"/>
    <col min="8965" max="9208" width="9.42578125" style="1"/>
    <col min="9209" max="9209" width="12.5703125" style="1" customWidth="1"/>
    <col min="9210" max="9210" width="31.85546875" style="1" customWidth="1"/>
    <col min="9211" max="9211" width="5" style="1" customWidth="1"/>
    <col min="9212" max="9212" width="1.85546875" style="1" customWidth="1"/>
    <col min="9213" max="9213" width="7.42578125" style="1" customWidth="1"/>
    <col min="9214" max="9214" width="2.42578125" style="1" customWidth="1"/>
    <col min="9215" max="9215" width="23" style="1" bestFit="1" customWidth="1"/>
    <col min="9216" max="9216" width="1.5703125" style="1" customWidth="1"/>
    <col min="9217" max="9217" width="23" style="1" bestFit="1" customWidth="1"/>
    <col min="9218" max="9218" width="1.42578125" style="1" customWidth="1"/>
    <col min="9219" max="9219" width="19.42578125" style="1" customWidth="1"/>
    <col min="9220" max="9220" width="29.42578125" style="1" customWidth="1"/>
    <col min="9221" max="9464" width="9.42578125" style="1"/>
    <col min="9465" max="9465" width="12.5703125" style="1" customWidth="1"/>
    <col min="9466" max="9466" width="31.85546875" style="1" customWidth="1"/>
    <col min="9467" max="9467" width="5" style="1" customWidth="1"/>
    <col min="9468" max="9468" width="1.85546875" style="1" customWidth="1"/>
    <col min="9469" max="9469" width="7.42578125" style="1" customWidth="1"/>
    <col min="9470" max="9470" width="2.42578125" style="1" customWidth="1"/>
    <col min="9471" max="9471" width="23" style="1" bestFit="1" customWidth="1"/>
    <col min="9472" max="9472" width="1.5703125" style="1" customWidth="1"/>
    <col min="9473" max="9473" width="23" style="1" bestFit="1" customWidth="1"/>
    <col min="9474" max="9474" width="1.42578125" style="1" customWidth="1"/>
    <col min="9475" max="9475" width="19.42578125" style="1" customWidth="1"/>
    <col min="9476" max="9476" width="29.42578125" style="1" customWidth="1"/>
    <col min="9477" max="9720" width="9.42578125" style="1"/>
    <col min="9721" max="9721" width="12.5703125" style="1" customWidth="1"/>
    <col min="9722" max="9722" width="31.85546875" style="1" customWidth="1"/>
    <col min="9723" max="9723" width="5" style="1" customWidth="1"/>
    <col min="9724" max="9724" width="1.85546875" style="1" customWidth="1"/>
    <col min="9725" max="9725" width="7.42578125" style="1" customWidth="1"/>
    <col min="9726" max="9726" width="2.42578125" style="1" customWidth="1"/>
    <col min="9727" max="9727" width="23" style="1" bestFit="1" customWidth="1"/>
    <col min="9728" max="9728" width="1.5703125" style="1" customWidth="1"/>
    <col min="9729" max="9729" width="23" style="1" bestFit="1" customWidth="1"/>
    <col min="9730" max="9730" width="1.42578125" style="1" customWidth="1"/>
    <col min="9731" max="9731" width="19.42578125" style="1" customWidth="1"/>
    <col min="9732" max="9732" width="29.42578125" style="1" customWidth="1"/>
    <col min="9733" max="9976" width="9.42578125" style="1"/>
    <col min="9977" max="9977" width="12.5703125" style="1" customWidth="1"/>
    <col min="9978" max="9978" width="31.85546875" style="1" customWidth="1"/>
    <col min="9979" max="9979" width="5" style="1" customWidth="1"/>
    <col min="9980" max="9980" width="1.85546875" style="1" customWidth="1"/>
    <col min="9981" max="9981" width="7.42578125" style="1" customWidth="1"/>
    <col min="9982" max="9982" width="2.42578125" style="1" customWidth="1"/>
    <col min="9983" max="9983" width="23" style="1" bestFit="1" customWidth="1"/>
    <col min="9984" max="9984" width="1.5703125" style="1" customWidth="1"/>
    <col min="9985" max="9985" width="23" style="1" bestFit="1" customWidth="1"/>
    <col min="9986" max="9986" width="1.42578125" style="1" customWidth="1"/>
    <col min="9987" max="9987" width="19.42578125" style="1" customWidth="1"/>
    <col min="9988" max="9988" width="29.42578125" style="1" customWidth="1"/>
    <col min="9989" max="10232" width="9.42578125" style="1"/>
    <col min="10233" max="10233" width="12.5703125" style="1" customWidth="1"/>
    <col min="10234" max="10234" width="31.85546875" style="1" customWidth="1"/>
    <col min="10235" max="10235" width="5" style="1" customWidth="1"/>
    <col min="10236" max="10236" width="1.85546875" style="1" customWidth="1"/>
    <col min="10237" max="10237" width="7.42578125" style="1" customWidth="1"/>
    <col min="10238" max="10238" width="2.42578125" style="1" customWidth="1"/>
    <col min="10239" max="10239" width="23" style="1" bestFit="1" customWidth="1"/>
    <col min="10240" max="10240" width="1.5703125" style="1" customWidth="1"/>
    <col min="10241" max="10241" width="23" style="1" bestFit="1" customWidth="1"/>
    <col min="10242" max="10242" width="1.42578125" style="1" customWidth="1"/>
    <col min="10243" max="10243" width="19.42578125" style="1" customWidth="1"/>
    <col min="10244" max="10244" width="29.42578125" style="1" customWidth="1"/>
    <col min="10245" max="10488" width="9.42578125" style="1"/>
    <col min="10489" max="10489" width="12.5703125" style="1" customWidth="1"/>
    <col min="10490" max="10490" width="31.85546875" style="1" customWidth="1"/>
    <col min="10491" max="10491" width="5" style="1" customWidth="1"/>
    <col min="10492" max="10492" width="1.85546875" style="1" customWidth="1"/>
    <col min="10493" max="10493" width="7.42578125" style="1" customWidth="1"/>
    <col min="10494" max="10494" width="2.42578125" style="1" customWidth="1"/>
    <col min="10495" max="10495" width="23" style="1" bestFit="1" customWidth="1"/>
    <col min="10496" max="10496" width="1.5703125" style="1" customWidth="1"/>
    <col min="10497" max="10497" width="23" style="1" bestFit="1" customWidth="1"/>
    <col min="10498" max="10498" width="1.42578125" style="1" customWidth="1"/>
    <col min="10499" max="10499" width="19.42578125" style="1" customWidth="1"/>
    <col min="10500" max="10500" width="29.42578125" style="1" customWidth="1"/>
    <col min="10501" max="10744" width="9.42578125" style="1"/>
    <col min="10745" max="10745" width="12.5703125" style="1" customWidth="1"/>
    <col min="10746" max="10746" width="31.85546875" style="1" customWidth="1"/>
    <col min="10747" max="10747" width="5" style="1" customWidth="1"/>
    <col min="10748" max="10748" width="1.85546875" style="1" customWidth="1"/>
    <col min="10749" max="10749" width="7.42578125" style="1" customWidth="1"/>
    <col min="10750" max="10750" width="2.42578125" style="1" customWidth="1"/>
    <col min="10751" max="10751" width="23" style="1" bestFit="1" customWidth="1"/>
    <col min="10752" max="10752" width="1.5703125" style="1" customWidth="1"/>
    <col min="10753" max="10753" width="23" style="1" bestFit="1" customWidth="1"/>
    <col min="10754" max="10754" width="1.42578125" style="1" customWidth="1"/>
    <col min="10755" max="10755" width="19.42578125" style="1" customWidth="1"/>
    <col min="10756" max="10756" width="29.42578125" style="1" customWidth="1"/>
    <col min="10757" max="11000" width="9.42578125" style="1"/>
    <col min="11001" max="11001" width="12.5703125" style="1" customWidth="1"/>
    <col min="11002" max="11002" width="31.85546875" style="1" customWidth="1"/>
    <col min="11003" max="11003" width="5" style="1" customWidth="1"/>
    <col min="11004" max="11004" width="1.85546875" style="1" customWidth="1"/>
    <col min="11005" max="11005" width="7.42578125" style="1" customWidth="1"/>
    <col min="11006" max="11006" width="2.42578125" style="1" customWidth="1"/>
    <col min="11007" max="11007" width="23" style="1" bestFit="1" customWidth="1"/>
    <col min="11008" max="11008" width="1.5703125" style="1" customWidth="1"/>
    <col min="11009" max="11009" width="23" style="1" bestFit="1" customWidth="1"/>
    <col min="11010" max="11010" width="1.42578125" style="1" customWidth="1"/>
    <col min="11011" max="11011" width="19.42578125" style="1" customWidth="1"/>
    <col min="11012" max="11012" width="29.42578125" style="1" customWidth="1"/>
    <col min="11013" max="11256" width="9.42578125" style="1"/>
    <col min="11257" max="11257" width="12.5703125" style="1" customWidth="1"/>
    <col min="11258" max="11258" width="31.85546875" style="1" customWidth="1"/>
    <col min="11259" max="11259" width="5" style="1" customWidth="1"/>
    <col min="11260" max="11260" width="1.85546875" style="1" customWidth="1"/>
    <col min="11261" max="11261" width="7.42578125" style="1" customWidth="1"/>
    <col min="11262" max="11262" width="2.42578125" style="1" customWidth="1"/>
    <col min="11263" max="11263" width="23" style="1" bestFit="1" customWidth="1"/>
    <col min="11264" max="11264" width="1.5703125" style="1" customWidth="1"/>
    <col min="11265" max="11265" width="23" style="1" bestFit="1" customWidth="1"/>
    <col min="11266" max="11266" width="1.42578125" style="1" customWidth="1"/>
    <col min="11267" max="11267" width="19.42578125" style="1" customWidth="1"/>
    <col min="11268" max="11268" width="29.42578125" style="1" customWidth="1"/>
    <col min="11269" max="11512" width="9.42578125" style="1"/>
    <col min="11513" max="11513" width="12.5703125" style="1" customWidth="1"/>
    <col min="11514" max="11514" width="31.85546875" style="1" customWidth="1"/>
    <col min="11515" max="11515" width="5" style="1" customWidth="1"/>
    <col min="11516" max="11516" width="1.85546875" style="1" customWidth="1"/>
    <col min="11517" max="11517" width="7.42578125" style="1" customWidth="1"/>
    <col min="11518" max="11518" width="2.42578125" style="1" customWidth="1"/>
    <col min="11519" max="11519" width="23" style="1" bestFit="1" customWidth="1"/>
    <col min="11520" max="11520" width="1.5703125" style="1" customWidth="1"/>
    <col min="11521" max="11521" width="23" style="1" bestFit="1" customWidth="1"/>
    <col min="11522" max="11522" width="1.42578125" style="1" customWidth="1"/>
    <col min="11523" max="11523" width="19.42578125" style="1" customWidth="1"/>
    <col min="11524" max="11524" width="29.42578125" style="1" customWidth="1"/>
    <col min="11525" max="11768" width="9.42578125" style="1"/>
    <col min="11769" max="11769" width="12.5703125" style="1" customWidth="1"/>
    <col min="11770" max="11770" width="31.85546875" style="1" customWidth="1"/>
    <col min="11771" max="11771" width="5" style="1" customWidth="1"/>
    <col min="11772" max="11772" width="1.85546875" style="1" customWidth="1"/>
    <col min="11773" max="11773" width="7.42578125" style="1" customWidth="1"/>
    <col min="11774" max="11774" width="2.42578125" style="1" customWidth="1"/>
    <col min="11775" max="11775" width="23" style="1" bestFit="1" customWidth="1"/>
    <col min="11776" max="11776" width="1.5703125" style="1" customWidth="1"/>
    <col min="11777" max="11777" width="23" style="1" bestFit="1" customWidth="1"/>
    <col min="11778" max="11778" width="1.42578125" style="1" customWidth="1"/>
    <col min="11779" max="11779" width="19.42578125" style="1" customWidth="1"/>
    <col min="11780" max="11780" width="29.42578125" style="1" customWidth="1"/>
    <col min="11781" max="12024" width="9.42578125" style="1"/>
    <col min="12025" max="12025" width="12.5703125" style="1" customWidth="1"/>
    <col min="12026" max="12026" width="31.85546875" style="1" customWidth="1"/>
    <col min="12027" max="12027" width="5" style="1" customWidth="1"/>
    <col min="12028" max="12028" width="1.85546875" style="1" customWidth="1"/>
    <col min="12029" max="12029" width="7.42578125" style="1" customWidth="1"/>
    <col min="12030" max="12030" width="2.42578125" style="1" customWidth="1"/>
    <col min="12031" max="12031" width="23" style="1" bestFit="1" customWidth="1"/>
    <col min="12032" max="12032" width="1.5703125" style="1" customWidth="1"/>
    <col min="12033" max="12033" width="23" style="1" bestFit="1" customWidth="1"/>
    <col min="12034" max="12034" width="1.42578125" style="1" customWidth="1"/>
    <col min="12035" max="12035" width="19.42578125" style="1" customWidth="1"/>
    <col min="12036" max="12036" width="29.42578125" style="1" customWidth="1"/>
    <col min="12037" max="12280" width="9.42578125" style="1"/>
    <col min="12281" max="12281" width="12.5703125" style="1" customWidth="1"/>
    <col min="12282" max="12282" width="31.85546875" style="1" customWidth="1"/>
    <col min="12283" max="12283" width="5" style="1" customWidth="1"/>
    <col min="12284" max="12284" width="1.85546875" style="1" customWidth="1"/>
    <col min="12285" max="12285" width="7.42578125" style="1" customWidth="1"/>
    <col min="12286" max="12286" width="2.42578125" style="1" customWidth="1"/>
    <col min="12287" max="12287" width="23" style="1" bestFit="1" customWidth="1"/>
    <col min="12288" max="12288" width="1.5703125" style="1" customWidth="1"/>
    <col min="12289" max="12289" width="23" style="1" bestFit="1" customWidth="1"/>
    <col min="12290" max="12290" width="1.42578125" style="1" customWidth="1"/>
    <col min="12291" max="12291" width="19.42578125" style="1" customWidth="1"/>
    <col min="12292" max="12292" width="29.42578125" style="1" customWidth="1"/>
    <col min="12293" max="12536" width="9.42578125" style="1"/>
    <col min="12537" max="12537" width="12.5703125" style="1" customWidth="1"/>
    <col min="12538" max="12538" width="31.85546875" style="1" customWidth="1"/>
    <col min="12539" max="12539" width="5" style="1" customWidth="1"/>
    <col min="12540" max="12540" width="1.85546875" style="1" customWidth="1"/>
    <col min="12541" max="12541" width="7.42578125" style="1" customWidth="1"/>
    <col min="12542" max="12542" width="2.42578125" style="1" customWidth="1"/>
    <col min="12543" max="12543" width="23" style="1" bestFit="1" customWidth="1"/>
    <col min="12544" max="12544" width="1.5703125" style="1" customWidth="1"/>
    <col min="12545" max="12545" width="23" style="1" bestFit="1" customWidth="1"/>
    <col min="12546" max="12546" width="1.42578125" style="1" customWidth="1"/>
    <col min="12547" max="12547" width="19.42578125" style="1" customWidth="1"/>
    <col min="12548" max="12548" width="29.42578125" style="1" customWidth="1"/>
    <col min="12549" max="12792" width="9.42578125" style="1"/>
    <col min="12793" max="12793" width="12.5703125" style="1" customWidth="1"/>
    <col min="12794" max="12794" width="31.85546875" style="1" customWidth="1"/>
    <col min="12795" max="12795" width="5" style="1" customWidth="1"/>
    <col min="12796" max="12796" width="1.85546875" style="1" customWidth="1"/>
    <col min="12797" max="12797" width="7.42578125" style="1" customWidth="1"/>
    <col min="12798" max="12798" width="2.42578125" style="1" customWidth="1"/>
    <col min="12799" max="12799" width="23" style="1" bestFit="1" customWidth="1"/>
    <col min="12800" max="12800" width="1.5703125" style="1" customWidth="1"/>
    <col min="12801" max="12801" width="23" style="1" bestFit="1" customWidth="1"/>
    <col min="12802" max="12802" width="1.42578125" style="1" customWidth="1"/>
    <col min="12803" max="12803" width="19.42578125" style="1" customWidth="1"/>
    <col min="12804" max="12804" width="29.42578125" style="1" customWidth="1"/>
    <col min="12805" max="13048" width="9.42578125" style="1"/>
    <col min="13049" max="13049" width="12.5703125" style="1" customWidth="1"/>
    <col min="13050" max="13050" width="31.85546875" style="1" customWidth="1"/>
    <col min="13051" max="13051" width="5" style="1" customWidth="1"/>
    <col min="13052" max="13052" width="1.85546875" style="1" customWidth="1"/>
    <col min="13053" max="13053" width="7.42578125" style="1" customWidth="1"/>
    <col min="13054" max="13054" width="2.42578125" style="1" customWidth="1"/>
    <col min="13055" max="13055" width="23" style="1" bestFit="1" customWidth="1"/>
    <col min="13056" max="13056" width="1.5703125" style="1" customWidth="1"/>
    <col min="13057" max="13057" width="23" style="1" bestFit="1" customWidth="1"/>
    <col min="13058" max="13058" width="1.42578125" style="1" customWidth="1"/>
    <col min="13059" max="13059" width="19.42578125" style="1" customWidth="1"/>
    <col min="13060" max="13060" width="29.42578125" style="1" customWidth="1"/>
    <col min="13061" max="13304" width="9.42578125" style="1"/>
    <col min="13305" max="13305" width="12.5703125" style="1" customWidth="1"/>
    <col min="13306" max="13306" width="31.85546875" style="1" customWidth="1"/>
    <col min="13307" max="13307" width="5" style="1" customWidth="1"/>
    <col min="13308" max="13308" width="1.85546875" style="1" customWidth="1"/>
    <col min="13309" max="13309" width="7.42578125" style="1" customWidth="1"/>
    <col min="13310" max="13310" width="2.42578125" style="1" customWidth="1"/>
    <col min="13311" max="13311" width="23" style="1" bestFit="1" customWidth="1"/>
    <col min="13312" max="13312" width="1.5703125" style="1" customWidth="1"/>
    <col min="13313" max="13313" width="23" style="1" bestFit="1" customWidth="1"/>
    <col min="13314" max="13314" width="1.42578125" style="1" customWidth="1"/>
    <col min="13315" max="13315" width="19.42578125" style="1" customWidth="1"/>
    <col min="13316" max="13316" width="29.42578125" style="1" customWidth="1"/>
    <col min="13317" max="13560" width="9.42578125" style="1"/>
    <col min="13561" max="13561" width="12.5703125" style="1" customWidth="1"/>
    <col min="13562" max="13562" width="31.85546875" style="1" customWidth="1"/>
    <col min="13563" max="13563" width="5" style="1" customWidth="1"/>
    <col min="13564" max="13564" width="1.85546875" style="1" customWidth="1"/>
    <col min="13565" max="13565" width="7.42578125" style="1" customWidth="1"/>
    <col min="13566" max="13566" width="2.42578125" style="1" customWidth="1"/>
    <col min="13567" max="13567" width="23" style="1" bestFit="1" customWidth="1"/>
    <col min="13568" max="13568" width="1.5703125" style="1" customWidth="1"/>
    <col min="13569" max="13569" width="23" style="1" bestFit="1" customWidth="1"/>
    <col min="13570" max="13570" width="1.42578125" style="1" customWidth="1"/>
    <col min="13571" max="13571" width="19.42578125" style="1" customWidth="1"/>
    <col min="13572" max="13572" width="29.42578125" style="1" customWidth="1"/>
    <col min="13573" max="13816" width="9.42578125" style="1"/>
    <col min="13817" max="13817" width="12.5703125" style="1" customWidth="1"/>
    <col min="13818" max="13818" width="31.85546875" style="1" customWidth="1"/>
    <col min="13819" max="13819" width="5" style="1" customWidth="1"/>
    <col min="13820" max="13820" width="1.85546875" style="1" customWidth="1"/>
    <col min="13821" max="13821" width="7.42578125" style="1" customWidth="1"/>
    <col min="13822" max="13822" width="2.42578125" style="1" customWidth="1"/>
    <col min="13823" max="13823" width="23" style="1" bestFit="1" customWidth="1"/>
    <col min="13824" max="13824" width="1.5703125" style="1" customWidth="1"/>
    <col min="13825" max="13825" width="23" style="1" bestFit="1" customWidth="1"/>
    <col min="13826" max="13826" width="1.42578125" style="1" customWidth="1"/>
    <col min="13827" max="13827" width="19.42578125" style="1" customWidth="1"/>
    <col min="13828" max="13828" width="29.42578125" style="1" customWidth="1"/>
    <col min="13829" max="14072" width="9.42578125" style="1"/>
    <col min="14073" max="14073" width="12.5703125" style="1" customWidth="1"/>
    <col min="14074" max="14074" width="31.85546875" style="1" customWidth="1"/>
    <col min="14075" max="14075" width="5" style="1" customWidth="1"/>
    <col min="14076" max="14076" width="1.85546875" style="1" customWidth="1"/>
    <col min="14077" max="14077" width="7.42578125" style="1" customWidth="1"/>
    <col min="14078" max="14078" width="2.42578125" style="1" customWidth="1"/>
    <col min="14079" max="14079" width="23" style="1" bestFit="1" customWidth="1"/>
    <col min="14080" max="14080" width="1.5703125" style="1" customWidth="1"/>
    <col min="14081" max="14081" width="23" style="1" bestFit="1" customWidth="1"/>
    <col min="14082" max="14082" width="1.42578125" style="1" customWidth="1"/>
    <col min="14083" max="14083" width="19.42578125" style="1" customWidth="1"/>
    <col min="14084" max="14084" width="29.42578125" style="1" customWidth="1"/>
    <col min="14085" max="14328" width="9.42578125" style="1"/>
    <col min="14329" max="14329" width="12.5703125" style="1" customWidth="1"/>
    <col min="14330" max="14330" width="31.85546875" style="1" customWidth="1"/>
    <col min="14331" max="14331" width="5" style="1" customWidth="1"/>
    <col min="14332" max="14332" width="1.85546875" style="1" customWidth="1"/>
    <col min="14333" max="14333" width="7.42578125" style="1" customWidth="1"/>
    <col min="14334" max="14334" width="2.42578125" style="1" customWidth="1"/>
    <col min="14335" max="14335" width="23" style="1" bestFit="1" customWidth="1"/>
    <col min="14336" max="14336" width="1.5703125" style="1" customWidth="1"/>
    <col min="14337" max="14337" width="23" style="1" bestFit="1" customWidth="1"/>
    <col min="14338" max="14338" width="1.42578125" style="1" customWidth="1"/>
    <col min="14339" max="14339" width="19.42578125" style="1" customWidth="1"/>
    <col min="14340" max="14340" width="29.42578125" style="1" customWidth="1"/>
    <col min="14341" max="14584" width="9.42578125" style="1"/>
    <col min="14585" max="14585" width="12.5703125" style="1" customWidth="1"/>
    <col min="14586" max="14586" width="31.85546875" style="1" customWidth="1"/>
    <col min="14587" max="14587" width="5" style="1" customWidth="1"/>
    <col min="14588" max="14588" width="1.85546875" style="1" customWidth="1"/>
    <col min="14589" max="14589" width="7.42578125" style="1" customWidth="1"/>
    <col min="14590" max="14590" width="2.42578125" style="1" customWidth="1"/>
    <col min="14591" max="14591" width="23" style="1" bestFit="1" customWidth="1"/>
    <col min="14592" max="14592" width="1.5703125" style="1" customWidth="1"/>
    <col min="14593" max="14593" width="23" style="1" bestFit="1" customWidth="1"/>
    <col min="14594" max="14594" width="1.42578125" style="1" customWidth="1"/>
    <col min="14595" max="14595" width="19.42578125" style="1" customWidth="1"/>
    <col min="14596" max="14596" width="29.42578125" style="1" customWidth="1"/>
    <col min="14597" max="14840" width="9.42578125" style="1"/>
    <col min="14841" max="14841" width="12.5703125" style="1" customWidth="1"/>
    <col min="14842" max="14842" width="31.85546875" style="1" customWidth="1"/>
    <col min="14843" max="14843" width="5" style="1" customWidth="1"/>
    <col min="14844" max="14844" width="1.85546875" style="1" customWidth="1"/>
    <col min="14845" max="14845" width="7.42578125" style="1" customWidth="1"/>
    <col min="14846" max="14846" width="2.42578125" style="1" customWidth="1"/>
    <col min="14847" max="14847" width="23" style="1" bestFit="1" customWidth="1"/>
    <col min="14848" max="14848" width="1.5703125" style="1" customWidth="1"/>
    <col min="14849" max="14849" width="23" style="1" bestFit="1" customWidth="1"/>
    <col min="14850" max="14850" width="1.42578125" style="1" customWidth="1"/>
    <col min="14851" max="14851" width="19.42578125" style="1" customWidth="1"/>
    <col min="14852" max="14852" width="29.42578125" style="1" customWidth="1"/>
    <col min="14853" max="15096" width="9.42578125" style="1"/>
    <col min="15097" max="15097" width="12.5703125" style="1" customWidth="1"/>
    <col min="15098" max="15098" width="31.85546875" style="1" customWidth="1"/>
    <col min="15099" max="15099" width="5" style="1" customWidth="1"/>
    <col min="15100" max="15100" width="1.85546875" style="1" customWidth="1"/>
    <col min="15101" max="15101" width="7.42578125" style="1" customWidth="1"/>
    <col min="15102" max="15102" width="2.42578125" style="1" customWidth="1"/>
    <col min="15103" max="15103" width="23" style="1" bestFit="1" customWidth="1"/>
    <col min="15104" max="15104" width="1.5703125" style="1" customWidth="1"/>
    <col min="15105" max="15105" width="23" style="1" bestFit="1" customWidth="1"/>
    <col min="15106" max="15106" width="1.42578125" style="1" customWidth="1"/>
    <col min="15107" max="15107" width="19.42578125" style="1" customWidth="1"/>
    <col min="15108" max="15108" width="29.42578125" style="1" customWidth="1"/>
    <col min="15109" max="15352" width="9.42578125" style="1"/>
    <col min="15353" max="15353" width="12.5703125" style="1" customWidth="1"/>
    <col min="15354" max="15354" width="31.85546875" style="1" customWidth="1"/>
    <col min="15355" max="15355" width="5" style="1" customWidth="1"/>
    <col min="15356" max="15356" width="1.85546875" style="1" customWidth="1"/>
    <col min="15357" max="15357" width="7.42578125" style="1" customWidth="1"/>
    <col min="15358" max="15358" width="2.42578125" style="1" customWidth="1"/>
    <col min="15359" max="15359" width="23" style="1" bestFit="1" customWidth="1"/>
    <col min="15360" max="15360" width="1.5703125" style="1" customWidth="1"/>
    <col min="15361" max="15361" width="23" style="1" bestFit="1" customWidth="1"/>
    <col min="15362" max="15362" width="1.42578125" style="1" customWidth="1"/>
    <col min="15363" max="15363" width="19.42578125" style="1" customWidth="1"/>
    <col min="15364" max="15364" width="29.42578125" style="1" customWidth="1"/>
    <col min="15365" max="15608" width="9.42578125" style="1"/>
    <col min="15609" max="15609" width="12.5703125" style="1" customWidth="1"/>
    <col min="15610" max="15610" width="31.85546875" style="1" customWidth="1"/>
    <col min="15611" max="15611" width="5" style="1" customWidth="1"/>
    <col min="15612" max="15612" width="1.85546875" style="1" customWidth="1"/>
    <col min="15613" max="15613" width="7.42578125" style="1" customWidth="1"/>
    <col min="15614" max="15614" width="2.42578125" style="1" customWidth="1"/>
    <col min="15615" max="15615" width="23" style="1" bestFit="1" customWidth="1"/>
    <col min="15616" max="15616" width="1.5703125" style="1" customWidth="1"/>
    <col min="15617" max="15617" width="23" style="1" bestFit="1" customWidth="1"/>
    <col min="15618" max="15618" width="1.42578125" style="1" customWidth="1"/>
    <col min="15619" max="15619" width="19.42578125" style="1" customWidth="1"/>
    <col min="15620" max="15620" width="29.42578125" style="1" customWidth="1"/>
    <col min="15621" max="15864" width="9.42578125" style="1"/>
    <col min="15865" max="15865" width="12.5703125" style="1" customWidth="1"/>
    <col min="15866" max="15866" width="31.85546875" style="1" customWidth="1"/>
    <col min="15867" max="15867" width="5" style="1" customWidth="1"/>
    <col min="15868" max="15868" width="1.85546875" style="1" customWidth="1"/>
    <col min="15869" max="15869" width="7.42578125" style="1" customWidth="1"/>
    <col min="15870" max="15870" width="2.42578125" style="1" customWidth="1"/>
    <col min="15871" max="15871" width="23" style="1" bestFit="1" customWidth="1"/>
    <col min="15872" max="15872" width="1.5703125" style="1" customWidth="1"/>
    <col min="15873" max="15873" width="23" style="1" bestFit="1" customWidth="1"/>
    <col min="15874" max="15874" width="1.42578125" style="1" customWidth="1"/>
    <col min="15875" max="15875" width="19.42578125" style="1" customWidth="1"/>
    <col min="15876" max="15876" width="29.42578125" style="1" customWidth="1"/>
    <col min="15877" max="16120" width="9.42578125" style="1"/>
    <col min="16121" max="16121" width="12.5703125" style="1" customWidth="1"/>
    <col min="16122" max="16122" width="31.85546875" style="1" customWidth="1"/>
    <col min="16123" max="16123" width="5" style="1" customWidth="1"/>
    <col min="16124" max="16124" width="1.85546875" style="1" customWidth="1"/>
    <col min="16125" max="16125" width="7.42578125" style="1" customWidth="1"/>
    <col min="16126" max="16126" width="2.42578125" style="1" customWidth="1"/>
    <col min="16127" max="16127" width="23" style="1" bestFit="1" customWidth="1"/>
    <col min="16128" max="16128" width="1.5703125" style="1" customWidth="1"/>
    <col min="16129" max="16129" width="23" style="1" bestFit="1" customWidth="1"/>
    <col min="16130" max="16130" width="1.42578125" style="1" customWidth="1"/>
    <col min="16131" max="16131" width="19.42578125" style="1" customWidth="1"/>
    <col min="16132" max="16132" width="29.42578125" style="1" customWidth="1"/>
    <col min="16133" max="16384" width="9.42578125" style="1"/>
  </cols>
  <sheetData>
    <row r="1" spans="2:15" ht="18" customHeight="1" x14ac:dyDescent="0.25">
      <c r="B1" s="298" t="s">
        <v>257</v>
      </c>
      <c r="C1" s="298"/>
      <c r="D1" s="298"/>
      <c r="E1" s="298"/>
      <c r="F1" s="298"/>
      <c r="G1" s="298"/>
    </row>
    <row r="2" spans="2:15" ht="18" customHeight="1" x14ac:dyDescent="0.25">
      <c r="B2" s="299" t="s">
        <v>258</v>
      </c>
      <c r="C2" s="299"/>
      <c r="D2" s="299"/>
      <c r="E2" s="299"/>
      <c r="F2" s="299"/>
      <c r="G2" s="299"/>
      <c r="J2" s="2"/>
      <c r="K2" s="2"/>
      <c r="L2" s="2"/>
      <c r="M2" s="2"/>
      <c r="N2" s="2"/>
      <c r="O2" s="2"/>
    </row>
    <row r="3" spans="2:15" ht="18" customHeight="1" x14ac:dyDescent="0.25">
      <c r="B3" s="298" t="s">
        <v>259</v>
      </c>
      <c r="C3" s="298"/>
      <c r="D3" s="298"/>
      <c r="E3" s="298"/>
      <c r="F3" s="298"/>
      <c r="G3" s="298"/>
    </row>
    <row r="4" spans="2:15" ht="18" customHeight="1" x14ac:dyDescent="0.25">
      <c r="B4" s="300" t="s">
        <v>0</v>
      </c>
      <c r="C4" s="300"/>
      <c r="D4" s="300"/>
      <c r="E4" s="300"/>
      <c r="F4" s="300"/>
      <c r="G4" s="3" t="s">
        <v>1</v>
      </c>
    </row>
    <row r="5" spans="2:15" ht="18" customHeight="1" x14ac:dyDescent="0.25">
      <c r="B5" s="4"/>
      <c r="C5" s="4"/>
      <c r="D5" s="4"/>
      <c r="E5" s="4"/>
      <c r="F5" s="4"/>
      <c r="G5" s="4"/>
    </row>
    <row r="6" spans="2:15" ht="18" customHeight="1" x14ac:dyDescent="0.25">
      <c r="B6" s="5" t="s">
        <v>2</v>
      </c>
      <c r="C6" s="3" t="s">
        <v>3</v>
      </c>
      <c r="D6" s="6"/>
      <c r="E6" s="7" t="s">
        <v>260</v>
      </c>
      <c r="F6" s="6"/>
      <c r="G6" s="7" t="s">
        <v>261</v>
      </c>
    </row>
    <row r="7" spans="2:15" ht="18" customHeight="1" x14ac:dyDescent="0.25">
      <c r="B7" s="5" t="s">
        <v>4</v>
      </c>
      <c r="E7" s="8" t="s">
        <v>5</v>
      </c>
      <c r="G7" s="8" t="s">
        <v>5</v>
      </c>
    </row>
    <row r="8" spans="2:15" ht="18" customHeight="1" x14ac:dyDescent="0.25">
      <c r="B8" s="9" t="s">
        <v>6</v>
      </c>
      <c r="C8" s="10">
        <v>5</v>
      </c>
      <c r="D8" s="10"/>
      <c r="E8" s="11">
        <f>'1..'!E10</f>
        <v>0</v>
      </c>
      <c r="F8" s="12"/>
      <c r="G8" s="11">
        <f>'1..'!G10</f>
        <v>0</v>
      </c>
    </row>
    <row r="9" spans="2:15" ht="18" customHeight="1" x14ac:dyDescent="0.25">
      <c r="B9" s="9" t="s">
        <v>7</v>
      </c>
      <c r="C9" s="10">
        <v>6</v>
      </c>
      <c r="D9" s="10"/>
      <c r="E9" s="11">
        <f>+'1..'!E24</f>
        <v>0</v>
      </c>
      <c r="F9" s="12"/>
      <c r="G9" s="11">
        <f>'1..'!G24</f>
        <v>0</v>
      </c>
      <c r="J9" s="13"/>
    </row>
    <row r="10" spans="2:15" ht="18" customHeight="1" x14ac:dyDescent="0.25">
      <c r="B10" s="9" t="s">
        <v>8</v>
      </c>
      <c r="C10" s="10"/>
      <c r="D10" s="10"/>
      <c r="E10" s="11">
        <f>'(2)..'!H24</f>
        <v>0</v>
      </c>
      <c r="F10" s="12"/>
      <c r="G10" s="11">
        <f>'(2)..'!N30</f>
        <v>0</v>
      </c>
      <c r="J10" s="13"/>
    </row>
    <row r="11" spans="2:15" ht="18" customHeight="1" thickBot="1" x14ac:dyDescent="0.3">
      <c r="B11" s="14" t="s">
        <v>9</v>
      </c>
      <c r="C11" s="15"/>
      <c r="D11" s="15"/>
      <c r="E11" s="16">
        <f>SUM(E8:E10)</f>
        <v>0</v>
      </c>
      <c r="F11" s="15"/>
      <c r="G11" s="16">
        <f>SUM(G8:G10)</f>
        <v>0</v>
      </c>
      <c r="J11" s="13"/>
    </row>
    <row r="12" spans="2:15" ht="18" customHeight="1" thickTop="1" x14ac:dyDescent="0.25">
      <c r="B12" s="5" t="s">
        <v>10</v>
      </c>
      <c r="C12" s="15"/>
      <c r="D12" s="15"/>
      <c r="E12" s="17"/>
      <c r="F12" s="15"/>
      <c r="G12" s="17"/>
      <c r="J12" s="13"/>
      <c r="L12" s="18"/>
    </row>
    <row r="13" spans="2:15" ht="18" customHeight="1" x14ac:dyDescent="0.25">
      <c r="B13" s="9" t="s">
        <v>11</v>
      </c>
      <c r="C13" s="10">
        <v>7</v>
      </c>
      <c r="D13" s="15"/>
      <c r="E13" s="17">
        <f>'1..'!K39</f>
        <v>0</v>
      </c>
      <c r="F13" s="15"/>
      <c r="G13" s="17">
        <f>'1..'!K40</f>
        <v>0</v>
      </c>
      <c r="J13" s="13"/>
    </row>
    <row r="14" spans="2:15" ht="18" customHeight="1" x14ac:dyDescent="0.25">
      <c r="B14" s="14" t="s">
        <v>12</v>
      </c>
      <c r="C14" s="15"/>
      <c r="D14" s="15"/>
      <c r="E14" s="19">
        <f>SUM(E13:E13)</f>
        <v>0</v>
      </c>
      <c r="F14" s="15"/>
      <c r="G14" s="19">
        <f>SUM(G13:G13)</f>
        <v>0</v>
      </c>
      <c r="J14" s="13"/>
    </row>
    <row r="15" spans="2:15" ht="18" customHeight="1" thickBot="1" x14ac:dyDescent="0.3">
      <c r="B15" s="14" t="s">
        <v>13</v>
      </c>
      <c r="C15" s="15"/>
      <c r="D15" s="15"/>
      <c r="E15" s="16">
        <f>E11+E14</f>
        <v>0</v>
      </c>
      <c r="F15" s="15"/>
      <c r="G15" s="16">
        <f>G11+G14</f>
        <v>0</v>
      </c>
      <c r="J15" s="13"/>
    </row>
    <row r="16" spans="2:15" ht="18" customHeight="1" thickTop="1" x14ac:dyDescent="0.25">
      <c r="B16" s="14"/>
      <c r="C16" s="15"/>
      <c r="D16" s="15"/>
      <c r="E16" s="17"/>
      <c r="F16" s="15"/>
      <c r="G16" s="17"/>
      <c r="J16" s="13"/>
    </row>
    <row r="17" spans="2:12" ht="18" customHeight="1" x14ac:dyDescent="0.25">
      <c r="B17" s="5" t="s">
        <v>14</v>
      </c>
      <c r="C17" s="15"/>
      <c r="D17" s="15"/>
      <c r="E17" s="11"/>
      <c r="F17" s="15"/>
      <c r="G17" s="11"/>
      <c r="J17" s="13"/>
    </row>
    <row r="18" spans="2:12" ht="18" customHeight="1" x14ac:dyDescent="0.25">
      <c r="B18" s="5" t="s">
        <v>15</v>
      </c>
      <c r="C18" s="20"/>
      <c r="D18" s="20"/>
      <c r="E18" s="11"/>
      <c r="F18" s="20"/>
      <c r="G18" s="11"/>
      <c r="J18" s="13"/>
    </row>
    <row r="19" spans="2:12" ht="18" customHeight="1" x14ac:dyDescent="0.25">
      <c r="B19" s="9" t="s">
        <v>16</v>
      </c>
      <c r="C19" s="10">
        <v>8</v>
      </c>
      <c r="D19" s="10"/>
      <c r="E19" s="11">
        <f>'(2)..'!F13</f>
        <v>0</v>
      </c>
      <c r="F19" s="21"/>
      <c r="G19" s="11">
        <f>'(2)..'!H13</f>
        <v>0</v>
      </c>
      <c r="H19" s="22"/>
      <c r="J19" s="13"/>
    </row>
    <row r="20" spans="2:12" ht="18" customHeight="1" x14ac:dyDescent="0.25">
      <c r="B20" s="9" t="s">
        <v>17</v>
      </c>
      <c r="C20" s="10">
        <v>9</v>
      </c>
      <c r="D20" s="10"/>
      <c r="E20" s="11">
        <f>'(2)..'!H30+'(2)..'!H29</f>
        <v>0</v>
      </c>
      <c r="F20" s="21"/>
      <c r="G20" s="11">
        <f>'(2)..'!N24+'(2)..'!N29</f>
        <v>0</v>
      </c>
      <c r="H20" s="22"/>
      <c r="J20" s="13"/>
    </row>
    <row r="21" spans="2:12" ht="18" customHeight="1" x14ac:dyDescent="0.25">
      <c r="B21" s="9" t="s">
        <v>18</v>
      </c>
      <c r="C21" s="10">
        <v>10</v>
      </c>
      <c r="D21" s="10"/>
      <c r="E21" s="11">
        <f>'2...'!F13</f>
        <v>0</v>
      </c>
      <c r="F21" s="21"/>
      <c r="G21" s="11">
        <f>'2...'!H13</f>
        <v>0</v>
      </c>
      <c r="H21" s="22"/>
      <c r="J21" s="13"/>
    </row>
    <row r="22" spans="2:12" ht="18" customHeight="1" x14ac:dyDescent="0.25">
      <c r="B22" s="23" t="s">
        <v>19</v>
      </c>
      <c r="C22" s="24"/>
      <c r="D22" s="24"/>
      <c r="E22" s="19">
        <f>SUM(E19:E21)</f>
        <v>0</v>
      </c>
      <c r="F22" s="20"/>
      <c r="G22" s="19">
        <f>SUM(G19:G21)</f>
        <v>0</v>
      </c>
      <c r="J22" s="13"/>
    </row>
    <row r="23" spans="2:12" ht="18" customHeight="1" x14ac:dyDescent="0.25">
      <c r="B23" s="14" t="s">
        <v>20</v>
      </c>
      <c r="C23" s="24"/>
      <c r="D23" s="24"/>
      <c r="E23" s="11"/>
      <c r="F23" s="21"/>
      <c r="G23" s="11"/>
      <c r="J23" s="13"/>
    </row>
    <row r="24" spans="2:12" s="26" customFormat="1" ht="18" customHeight="1" x14ac:dyDescent="0.5">
      <c r="B24" s="25" t="s">
        <v>21</v>
      </c>
      <c r="C24" s="10">
        <v>11</v>
      </c>
      <c r="D24" s="10"/>
      <c r="E24" s="11">
        <f>'2...'!F26</f>
        <v>0</v>
      </c>
      <c r="G24" s="11">
        <f>'2...'!H26</f>
        <v>0</v>
      </c>
      <c r="J24" s="13"/>
    </row>
    <row r="25" spans="2:12" s="26" customFormat="1" ht="18" customHeight="1" thickBot="1" x14ac:dyDescent="0.55000000000000004">
      <c r="B25" s="27" t="s">
        <v>22</v>
      </c>
      <c r="C25" s="24"/>
      <c r="D25" s="24"/>
      <c r="E25" s="16">
        <f>SUM(E22:E24)</f>
        <v>0</v>
      </c>
      <c r="G25" s="16">
        <f>SUM(G22:G24)</f>
        <v>0</v>
      </c>
      <c r="J25" s="13"/>
      <c r="L25" s="28"/>
    </row>
    <row r="26" spans="2:12" ht="18" customHeight="1" thickTop="1" x14ac:dyDescent="0.25">
      <c r="B26" s="5" t="s">
        <v>23</v>
      </c>
      <c r="C26" s="24"/>
      <c r="D26" s="24"/>
      <c r="E26" s="11"/>
      <c r="F26" s="21"/>
      <c r="G26" s="11"/>
      <c r="J26" s="13"/>
    </row>
    <row r="27" spans="2:12" ht="18" customHeight="1" x14ac:dyDescent="0.25">
      <c r="B27" s="9" t="s">
        <v>24</v>
      </c>
      <c r="C27" s="10">
        <v>12</v>
      </c>
      <c r="D27" s="10"/>
      <c r="E27" s="11">
        <f>+'5'!F13</f>
        <v>0</v>
      </c>
      <c r="F27" s="21"/>
      <c r="G27" s="11">
        <f>+'5'!F13</f>
        <v>0</v>
      </c>
      <c r="J27" s="13"/>
    </row>
    <row r="28" spans="2:12" ht="18" customHeight="1" x14ac:dyDescent="0.25">
      <c r="B28" s="9" t="s">
        <v>25</v>
      </c>
      <c r="C28" s="10"/>
      <c r="D28" s="10"/>
      <c r="E28" s="11">
        <f>+SCE!G17</f>
        <v>0</v>
      </c>
      <c r="F28" s="21"/>
      <c r="G28" s="11">
        <f>SCE!G12</f>
        <v>0</v>
      </c>
    </row>
    <row r="29" spans="2:12" ht="18" customHeight="1" x14ac:dyDescent="0.25">
      <c r="B29" s="29" t="s">
        <v>26</v>
      </c>
      <c r="C29" s="10"/>
      <c r="D29" s="10"/>
      <c r="E29" s="30">
        <f>SCE!H17</f>
        <v>0</v>
      </c>
      <c r="F29" s="20"/>
      <c r="G29" s="30">
        <f>SCE!H12</f>
        <v>0</v>
      </c>
      <c r="J29" s="13"/>
    </row>
    <row r="30" spans="2:12" ht="18" customHeight="1" x14ac:dyDescent="0.25">
      <c r="B30" s="5" t="s">
        <v>27</v>
      </c>
      <c r="C30" s="10"/>
      <c r="D30" s="10"/>
      <c r="E30" s="31">
        <f>SUM(E27:E29)</f>
        <v>0</v>
      </c>
      <c r="F30" s="20"/>
      <c r="G30" s="31">
        <f>SUM(G27:G29)</f>
        <v>0</v>
      </c>
      <c r="J30" s="13"/>
    </row>
    <row r="31" spans="2:12" ht="18" customHeight="1" thickBot="1" x14ac:dyDescent="0.3">
      <c r="B31" s="5" t="s">
        <v>28</v>
      </c>
      <c r="C31" s="20"/>
      <c r="D31" s="20"/>
      <c r="E31" s="16">
        <f>E25+E30</f>
        <v>0</v>
      </c>
      <c r="F31" s="20"/>
      <c r="G31" s="16">
        <f>G25+G30</f>
        <v>0</v>
      </c>
      <c r="J31" s="13"/>
    </row>
    <row r="32" spans="2:12" ht="18" customHeight="1" thickTop="1" x14ac:dyDescent="0.25">
      <c r="B32" s="4"/>
      <c r="C32" s="20"/>
      <c r="D32" s="20"/>
      <c r="E32" s="20"/>
      <c r="F32" s="20"/>
      <c r="G32" s="32"/>
      <c r="J32" s="18"/>
    </row>
    <row r="33" spans="2:12" ht="18" customHeight="1" x14ac:dyDescent="0.25">
      <c r="B33" s="4"/>
      <c r="C33" s="20"/>
      <c r="D33" s="20"/>
      <c r="J33" s="33"/>
      <c r="K33" s="33"/>
      <c r="L33" s="18"/>
    </row>
    <row r="34" spans="2:12" ht="18" customHeight="1" x14ac:dyDescent="0.25">
      <c r="B34" s="4"/>
      <c r="C34" s="20"/>
      <c r="D34" s="20"/>
      <c r="E34" s="20"/>
      <c r="F34" s="20"/>
      <c r="G34" s="20"/>
    </row>
    <row r="35" spans="2:12" ht="18" customHeight="1" x14ac:dyDescent="0.25">
      <c r="B35" s="4"/>
      <c r="C35" s="20"/>
      <c r="D35" s="20"/>
      <c r="E35" s="20"/>
      <c r="F35" s="20"/>
      <c r="G35" s="20"/>
    </row>
    <row r="36" spans="2:12" ht="18" customHeight="1" x14ac:dyDescent="0.25">
      <c r="B36" s="4"/>
      <c r="C36" s="20"/>
      <c r="D36" s="20"/>
      <c r="E36" s="20"/>
      <c r="F36" s="20"/>
      <c r="G36" s="20"/>
    </row>
    <row r="37" spans="2:12" ht="18" customHeight="1" x14ac:dyDescent="0.25">
      <c r="B37" s="4"/>
      <c r="C37" s="20"/>
      <c r="D37" s="20"/>
      <c r="E37" s="20"/>
      <c r="F37" s="20"/>
      <c r="G37" s="20"/>
    </row>
    <row r="38" spans="2:12" ht="18" customHeight="1" x14ac:dyDescent="0.25">
      <c r="B38" s="4"/>
      <c r="C38" s="20"/>
      <c r="D38" s="20"/>
      <c r="E38" s="20"/>
      <c r="F38" s="20"/>
      <c r="G38" s="20"/>
    </row>
    <row r="39" spans="2:12" ht="18" customHeight="1" x14ac:dyDescent="0.25">
      <c r="B39" s="4"/>
      <c r="C39" s="20"/>
      <c r="D39" s="20"/>
      <c r="E39" s="20"/>
      <c r="F39" s="20"/>
      <c r="G39" s="20"/>
    </row>
    <row r="40" spans="2:12" ht="18" customHeight="1" x14ac:dyDescent="0.25">
      <c r="B40" s="4"/>
      <c r="C40" s="20"/>
      <c r="D40" s="20"/>
      <c r="E40" s="20"/>
      <c r="F40" s="20"/>
      <c r="G40" s="20"/>
    </row>
    <row r="41" spans="2:12" ht="18" customHeight="1" x14ac:dyDescent="0.25">
      <c r="B41" s="4"/>
      <c r="C41" s="20"/>
      <c r="D41" s="20"/>
      <c r="E41" s="20"/>
      <c r="F41" s="20"/>
      <c r="G41" s="20"/>
    </row>
    <row r="42" spans="2:12" ht="18" customHeight="1" x14ac:dyDescent="0.25">
      <c r="B42" s="4"/>
      <c r="C42" s="20"/>
      <c r="D42" s="20"/>
      <c r="E42" s="20"/>
      <c r="F42" s="20"/>
      <c r="G42" s="20"/>
    </row>
    <row r="43" spans="2:12" ht="18" customHeight="1" x14ac:dyDescent="0.25">
      <c r="B43" s="4"/>
      <c r="C43" s="20"/>
      <c r="D43" s="20"/>
      <c r="E43" s="20"/>
      <c r="F43" s="20"/>
      <c r="G43" s="20"/>
    </row>
    <row r="44" spans="2:12" ht="18" customHeight="1" x14ac:dyDescent="0.25">
      <c r="B44" s="4"/>
      <c r="C44" s="20"/>
      <c r="D44" s="20"/>
      <c r="E44" s="20"/>
      <c r="F44" s="20"/>
      <c r="G44" s="20"/>
    </row>
    <row r="45" spans="2:12" ht="18" customHeight="1" x14ac:dyDescent="0.25">
      <c r="B45" s="4"/>
      <c r="C45" s="20"/>
      <c r="D45" s="20"/>
      <c r="E45" s="20"/>
      <c r="F45" s="20"/>
      <c r="G45" s="20"/>
    </row>
    <row r="46" spans="2:12" ht="18" customHeight="1" x14ac:dyDescent="0.25">
      <c r="B46" s="4"/>
      <c r="C46" s="20"/>
      <c r="D46" s="20"/>
      <c r="E46" s="20"/>
      <c r="F46" s="20"/>
      <c r="G46" s="20"/>
    </row>
    <row r="47" spans="2:12" ht="18" customHeight="1" x14ac:dyDescent="0.25">
      <c r="B47" s="4"/>
      <c r="C47" s="20"/>
      <c r="D47" s="20"/>
      <c r="E47" s="20"/>
      <c r="F47" s="20"/>
      <c r="G47" s="34"/>
    </row>
    <row r="48" spans="2:12" ht="18" customHeight="1" x14ac:dyDescent="0.25">
      <c r="B48" s="301" t="s">
        <v>29</v>
      </c>
      <c r="C48" s="301"/>
      <c r="D48" s="301"/>
      <c r="E48" s="301"/>
      <c r="F48" s="301"/>
      <c r="G48" s="301"/>
    </row>
    <row r="49" spans="2:7" ht="18" customHeight="1" x14ac:dyDescent="0.25">
      <c r="B49" s="302">
        <v>4</v>
      </c>
      <c r="C49" s="302"/>
      <c r="D49" s="302"/>
      <c r="E49" s="302"/>
      <c r="F49" s="302"/>
      <c r="G49" s="302"/>
    </row>
    <row r="50" spans="2:7" ht="18" customHeight="1" x14ac:dyDescent="0.25"/>
    <row r="51" spans="2:7" ht="18" customHeight="1" x14ac:dyDescent="0.25"/>
    <row r="52" spans="2:7" ht="18" customHeight="1" x14ac:dyDescent="0.25">
      <c r="G52" s="36"/>
    </row>
    <row r="53" spans="2:7" ht="18" customHeight="1" x14ac:dyDescent="0.25">
      <c r="G53" s="36">
        <f>G31-G11</f>
        <v>0</v>
      </c>
    </row>
    <row r="54" spans="2:7" ht="18" customHeight="1" x14ac:dyDescent="0.25"/>
    <row r="55" spans="2:7" ht="18" customHeight="1" x14ac:dyDescent="0.25"/>
  </sheetData>
  <mergeCells count="6">
    <mergeCell ref="B49:G49"/>
    <mergeCell ref="B1:G1"/>
    <mergeCell ref="B2:G2"/>
    <mergeCell ref="B3:G3"/>
    <mergeCell ref="B4:F4"/>
    <mergeCell ref="B48:G48"/>
  </mergeCells>
  <printOptions horizontalCentered="1"/>
  <pageMargins left="0" right="0" top="0.59055118110236227" bottom="0" header="0" footer="0"/>
  <pageSetup paperSize="9" scale="92" firstPageNumber="5" orientation="portrait"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4DEE2-5B76-48E1-8228-8F9DDD42A17A}">
  <sheetPr>
    <tabColor theme="4" tint="0.59999389629810485"/>
  </sheetPr>
  <dimension ref="B1:K51"/>
  <sheetViews>
    <sheetView view="pageBreakPreview" zoomScale="130" zoomScaleNormal="70" zoomScaleSheetLayoutView="130" workbookViewId="0">
      <selection activeCell="G7" sqref="G7"/>
    </sheetView>
  </sheetViews>
  <sheetFormatPr defaultColWidth="9.42578125" defaultRowHeight="33" customHeight="1" x14ac:dyDescent="0.25"/>
  <cols>
    <col min="1" max="1" width="5.5703125" style="1" customWidth="1"/>
    <col min="2" max="2" width="45.140625" style="35" customWidth="1"/>
    <col min="3" max="3" width="10.5703125" style="1" customWidth="1"/>
    <col min="4" max="4" width="1.5703125" style="1" customWidth="1"/>
    <col min="5" max="5" width="18.5703125" style="1" customWidth="1"/>
    <col min="6" max="6" width="1.5703125" style="1" customWidth="1"/>
    <col min="7" max="7" width="18.5703125" style="12" customWidth="1"/>
    <col min="8" max="8" width="5.5703125" style="1" customWidth="1"/>
    <col min="9" max="244" width="9.42578125" style="1"/>
    <col min="245" max="245" width="12.5703125" style="1" customWidth="1"/>
    <col min="246" max="246" width="31.140625" style="1" customWidth="1"/>
    <col min="247" max="247" width="4" style="1" customWidth="1"/>
    <col min="248" max="248" width="10" style="1" customWidth="1"/>
    <col min="249" max="249" width="1.42578125" style="1" customWidth="1"/>
    <col min="250" max="250" width="23" style="1" bestFit="1" customWidth="1"/>
    <col min="251" max="251" width="2.5703125" style="1" customWidth="1"/>
    <col min="252" max="252" width="23" style="1" bestFit="1" customWidth="1"/>
    <col min="253" max="253" width="0.5703125" style="1" customWidth="1"/>
    <col min="254" max="254" width="1.42578125" style="1" customWidth="1"/>
    <col min="255" max="255" width="2" style="1" customWidth="1"/>
    <col min="256" max="500" width="9.42578125" style="1"/>
    <col min="501" max="501" width="12.5703125" style="1" customWidth="1"/>
    <col min="502" max="502" width="31.140625" style="1" customWidth="1"/>
    <col min="503" max="503" width="4" style="1" customWidth="1"/>
    <col min="504" max="504" width="10" style="1" customWidth="1"/>
    <col min="505" max="505" width="1.42578125" style="1" customWidth="1"/>
    <col min="506" max="506" width="23" style="1" bestFit="1" customWidth="1"/>
    <col min="507" max="507" width="2.5703125" style="1" customWidth="1"/>
    <col min="508" max="508" width="23" style="1" bestFit="1" customWidth="1"/>
    <col min="509" max="509" width="0.5703125" style="1" customWidth="1"/>
    <col min="510" max="510" width="1.42578125" style="1" customWidth="1"/>
    <col min="511" max="511" width="2" style="1" customWidth="1"/>
    <col min="512" max="756" width="9.42578125" style="1"/>
    <col min="757" max="757" width="12.5703125" style="1" customWidth="1"/>
    <col min="758" max="758" width="31.140625" style="1" customWidth="1"/>
    <col min="759" max="759" width="4" style="1" customWidth="1"/>
    <col min="760" max="760" width="10" style="1" customWidth="1"/>
    <col min="761" max="761" width="1.42578125" style="1" customWidth="1"/>
    <col min="762" max="762" width="23" style="1" bestFit="1" customWidth="1"/>
    <col min="763" max="763" width="2.5703125" style="1" customWidth="1"/>
    <col min="764" max="764" width="23" style="1" bestFit="1" customWidth="1"/>
    <col min="765" max="765" width="0.5703125" style="1" customWidth="1"/>
    <col min="766" max="766" width="1.42578125" style="1" customWidth="1"/>
    <col min="767" max="767" width="2" style="1" customWidth="1"/>
    <col min="768" max="1012" width="9.42578125" style="1"/>
    <col min="1013" max="1013" width="12.5703125" style="1" customWidth="1"/>
    <col min="1014" max="1014" width="31.140625" style="1" customWidth="1"/>
    <col min="1015" max="1015" width="4" style="1" customWidth="1"/>
    <col min="1016" max="1016" width="10" style="1" customWidth="1"/>
    <col min="1017" max="1017" width="1.42578125" style="1" customWidth="1"/>
    <col min="1018" max="1018" width="23" style="1" bestFit="1" customWidth="1"/>
    <col min="1019" max="1019" width="2.5703125" style="1" customWidth="1"/>
    <col min="1020" max="1020" width="23" style="1" bestFit="1" customWidth="1"/>
    <col min="1021" max="1021" width="0.5703125" style="1" customWidth="1"/>
    <col min="1022" max="1022" width="1.42578125" style="1" customWidth="1"/>
    <col min="1023" max="1023" width="2" style="1" customWidth="1"/>
    <col min="1024" max="1268" width="9.42578125" style="1"/>
    <col min="1269" max="1269" width="12.5703125" style="1" customWidth="1"/>
    <col min="1270" max="1270" width="31.140625" style="1" customWidth="1"/>
    <col min="1271" max="1271" width="4" style="1" customWidth="1"/>
    <col min="1272" max="1272" width="10" style="1" customWidth="1"/>
    <col min="1273" max="1273" width="1.42578125" style="1" customWidth="1"/>
    <col min="1274" max="1274" width="23" style="1" bestFit="1" customWidth="1"/>
    <col min="1275" max="1275" width="2.5703125" style="1" customWidth="1"/>
    <col min="1276" max="1276" width="23" style="1" bestFit="1" customWidth="1"/>
    <col min="1277" max="1277" width="0.5703125" style="1" customWidth="1"/>
    <col min="1278" max="1278" width="1.42578125" style="1" customWidth="1"/>
    <col min="1279" max="1279" width="2" style="1" customWidth="1"/>
    <col min="1280" max="1524" width="9.42578125" style="1"/>
    <col min="1525" max="1525" width="12.5703125" style="1" customWidth="1"/>
    <col min="1526" max="1526" width="31.140625" style="1" customWidth="1"/>
    <col min="1527" max="1527" width="4" style="1" customWidth="1"/>
    <col min="1528" max="1528" width="10" style="1" customWidth="1"/>
    <col min="1529" max="1529" width="1.42578125" style="1" customWidth="1"/>
    <col min="1530" max="1530" width="23" style="1" bestFit="1" customWidth="1"/>
    <col min="1531" max="1531" width="2.5703125" style="1" customWidth="1"/>
    <col min="1532" max="1532" width="23" style="1" bestFit="1" customWidth="1"/>
    <col min="1533" max="1533" width="0.5703125" style="1" customWidth="1"/>
    <col min="1534" max="1534" width="1.42578125" style="1" customWidth="1"/>
    <col min="1535" max="1535" width="2" style="1" customWidth="1"/>
    <col min="1536" max="1780" width="9.42578125" style="1"/>
    <col min="1781" max="1781" width="12.5703125" style="1" customWidth="1"/>
    <col min="1782" max="1782" width="31.140625" style="1" customWidth="1"/>
    <col min="1783" max="1783" width="4" style="1" customWidth="1"/>
    <col min="1784" max="1784" width="10" style="1" customWidth="1"/>
    <col min="1785" max="1785" width="1.42578125" style="1" customWidth="1"/>
    <col min="1786" max="1786" width="23" style="1" bestFit="1" customWidth="1"/>
    <col min="1787" max="1787" width="2.5703125" style="1" customWidth="1"/>
    <col min="1788" max="1788" width="23" style="1" bestFit="1" customWidth="1"/>
    <col min="1789" max="1789" width="0.5703125" style="1" customWidth="1"/>
    <col min="1790" max="1790" width="1.42578125" style="1" customWidth="1"/>
    <col min="1791" max="1791" width="2" style="1" customWidth="1"/>
    <col min="1792" max="2036" width="9.42578125" style="1"/>
    <col min="2037" max="2037" width="12.5703125" style="1" customWidth="1"/>
    <col min="2038" max="2038" width="31.140625" style="1" customWidth="1"/>
    <col min="2039" max="2039" width="4" style="1" customWidth="1"/>
    <col min="2040" max="2040" width="10" style="1" customWidth="1"/>
    <col min="2041" max="2041" width="1.42578125" style="1" customWidth="1"/>
    <col min="2042" max="2042" width="23" style="1" bestFit="1" customWidth="1"/>
    <col min="2043" max="2043" width="2.5703125" style="1" customWidth="1"/>
    <col min="2044" max="2044" width="23" style="1" bestFit="1" customWidth="1"/>
    <col min="2045" max="2045" width="0.5703125" style="1" customWidth="1"/>
    <col min="2046" max="2046" width="1.42578125" style="1" customWidth="1"/>
    <col min="2047" max="2047" width="2" style="1" customWidth="1"/>
    <col min="2048" max="2292" width="9.42578125" style="1"/>
    <col min="2293" max="2293" width="12.5703125" style="1" customWidth="1"/>
    <col min="2294" max="2294" width="31.140625" style="1" customWidth="1"/>
    <col min="2295" max="2295" width="4" style="1" customWidth="1"/>
    <col min="2296" max="2296" width="10" style="1" customWidth="1"/>
    <col min="2297" max="2297" width="1.42578125" style="1" customWidth="1"/>
    <col min="2298" max="2298" width="23" style="1" bestFit="1" customWidth="1"/>
    <col min="2299" max="2299" width="2.5703125" style="1" customWidth="1"/>
    <col min="2300" max="2300" width="23" style="1" bestFit="1" customWidth="1"/>
    <col min="2301" max="2301" width="0.5703125" style="1" customWidth="1"/>
    <col min="2302" max="2302" width="1.42578125" style="1" customWidth="1"/>
    <col min="2303" max="2303" width="2" style="1" customWidth="1"/>
    <col min="2304" max="2548" width="9.42578125" style="1"/>
    <col min="2549" max="2549" width="12.5703125" style="1" customWidth="1"/>
    <col min="2550" max="2550" width="31.140625" style="1" customWidth="1"/>
    <col min="2551" max="2551" width="4" style="1" customWidth="1"/>
    <col min="2552" max="2552" width="10" style="1" customWidth="1"/>
    <col min="2553" max="2553" width="1.42578125" style="1" customWidth="1"/>
    <col min="2554" max="2554" width="23" style="1" bestFit="1" customWidth="1"/>
    <col min="2555" max="2555" width="2.5703125" style="1" customWidth="1"/>
    <col min="2556" max="2556" width="23" style="1" bestFit="1" customWidth="1"/>
    <col min="2557" max="2557" width="0.5703125" style="1" customWidth="1"/>
    <col min="2558" max="2558" width="1.42578125" style="1" customWidth="1"/>
    <col min="2559" max="2559" width="2" style="1" customWidth="1"/>
    <col min="2560" max="2804" width="9.42578125" style="1"/>
    <col min="2805" max="2805" width="12.5703125" style="1" customWidth="1"/>
    <col min="2806" max="2806" width="31.140625" style="1" customWidth="1"/>
    <col min="2807" max="2807" width="4" style="1" customWidth="1"/>
    <col min="2808" max="2808" width="10" style="1" customWidth="1"/>
    <col min="2809" max="2809" width="1.42578125" style="1" customWidth="1"/>
    <col min="2810" max="2810" width="23" style="1" bestFit="1" customWidth="1"/>
    <col min="2811" max="2811" width="2.5703125" style="1" customWidth="1"/>
    <col min="2812" max="2812" width="23" style="1" bestFit="1" customWidth="1"/>
    <col min="2813" max="2813" width="0.5703125" style="1" customWidth="1"/>
    <col min="2814" max="2814" width="1.42578125" style="1" customWidth="1"/>
    <col min="2815" max="2815" width="2" style="1" customWidth="1"/>
    <col min="2816" max="3060" width="9.42578125" style="1"/>
    <col min="3061" max="3061" width="12.5703125" style="1" customWidth="1"/>
    <col min="3062" max="3062" width="31.140625" style="1" customWidth="1"/>
    <col min="3063" max="3063" width="4" style="1" customWidth="1"/>
    <col min="3064" max="3064" width="10" style="1" customWidth="1"/>
    <col min="3065" max="3065" width="1.42578125" style="1" customWidth="1"/>
    <col min="3066" max="3066" width="23" style="1" bestFit="1" customWidth="1"/>
    <col min="3067" max="3067" width="2.5703125" style="1" customWidth="1"/>
    <col min="3068" max="3068" width="23" style="1" bestFit="1" customWidth="1"/>
    <col min="3069" max="3069" width="0.5703125" style="1" customWidth="1"/>
    <col min="3070" max="3070" width="1.42578125" style="1" customWidth="1"/>
    <col min="3071" max="3071" width="2" style="1" customWidth="1"/>
    <col min="3072" max="3316" width="9.42578125" style="1"/>
    <col min="3317" max="3317" width="12.5703125" style="1" customWidth="1"/>
    <col min="3318" max="3318" width="31.140625" style="1" customWidth="1"/>
    <col min="3319" max="3319" width="4" style="1" customWidth="1"/>
    <col min="3320" max="3320" width="10" style="1" customWidth="1"/>
    <col min="3321" max="3321" width="1.42578125" style="1" customWidth="1"/>
    <col min="3322" max="3322" width="23" style="1" bestFit="1" customWidth="1"/>
    <col min="3323" max="3323" width="2.5703125" style="1" customWidth="1"/>
    <col min="3324" max="3324" width="23" style="1" bestFit="1" customWidth="1"/>
    <col min="3325" max="3325" width="0.5703125" style="1" customWidth="1"/>
    <col min="3326" max="3326" width="1.42578125" style="1" customWidth="1"/>
    <col min="3327" max="3327" width="2" style="1" customWidth="1"/>
    <col min="3328" max="3572" width="9.42578125" style="1"/>
    <col min="3573" max="3573" width="12.5703125" style="1" customWidth="1"/>
    <col min="3574" max="3574" width="31.140625" style="1" customWidth="1"/>
    <col min="3575" max="3575" width="4" style="1" customWidth="1"/>
    <col min="3576" max="3576" width="10" style="1" customWidth="1"/>
    <col min="3577" max="3577" width="1.42578125" style="1" customWidth="1"/>
    <col min="3578" max="3578" width="23" style="1" bestFit="1" customWidth="1"/>
    <col min="3579" max="3579" width="2.5703125" style="1" customWidth="1"/>
    <col min="3580" max="3580" width="23" style="1" bestFit="1" customWidth="1"/>
    <col min="3581" max="3581" width="0.5703125" style="1" customWidth="1"/>
    <col min="3582" max="3582" width="1.42578125" style="1" customWidth="1"/>
    <col min="3583" max="3583" width="2" style="1" customWidth="1"/>
    <col min="3584" max="3828" width="9.42578125" style="1"/>
    <col min="3829" max="3829" width="12.5703125" style="1" customWidth="1"/>
    <col min="3830" max="3830" width="31.140625" style="1" customWidth="1"/>
    <col min="3831" max="3831" width="4" style="1" customWidth="1"/>
    <col min="3832" max="3832" width="10" style="1" customWidth="1"/>
    <col min="3833" max="3833" width="1.42578125" style="1" customWidth="1"/>
    <col min="3834" max="3834" width="23" style="1" bestFit="1" customWidth="1"/>
    <col min="3835" max="3835" width="2.5703125" style="1" customWidth="1"/>
    <col min="3836" max="3836" width="23" style="1" bestFit="1" customWidth="1"/>
    <col min="3837" max="3837" width="0.5703125" style="1" customWidth="1"/>
    <col min="3838" max="3838" width="1.42578125" style="1" customWidth="1"/>
    <col min="3839" max="3839" width="2" style="1" customWidth="1"/>
    <col min="3840" max="4084" width="9.42578125" style="1"/>
    <col min="4085" max="4085" width="12.5703125" style="1" customWidth="1"/>
    <col min="4086" max="4086" width="31.140625" style="1" customWidth="1"/>
    <col min="4087" max="4087" width="4" style="1" customWidth="1"/>
    <col min="4088" max="4088" width="10" style="1" customWidth="1"/>
    <col min="4089" max="4089" width="1.42578125" style="1" customWidth="1"/>
    <col min="4090" max="4090" width="23" style="1" bestFit="1" customWidth="1"/>
    <col min="4091" max="4091" width="2.5703125" style="1" customWidth="1"/>
    <col min="4092" max="4092" width="23" style="1" bestFit="1" customWidth="1"/>
    <col min="4093" max="4093" width="0.5703125" style="1" customWidth="1"/>
    <col min="4094" max="4094" width="1.42578125" style="1" customWidth="1"/>
    <col min="4095" max="4095" width="2" style="1" customWidth="1"/>
    <col min="4096" max="4340" width="9.42578125" style="1"/>
    <col min="4341" max="4341" width="12.5703125" style="1" customWidth="1"/>
    <col min="4342" max="4342" width="31.140625" style="1" customWidth="1"/>
    <col min="4343" max="4343" width="4" style="1" customWidth="1"/>
    <col min="4344" max="4344" width="10" style="1" customWidth="1"/>
    <col min="4345" max="4345" width="1.42578125" style="1" customWidth="1"/>
    <col min="4346" max="4346" width="23" style="1" bestFit="1" customWidth="1"/>
    <col min="4347" max="4347" width="2.5703125" style="1" customWidth="1"/>
    <col min="4348" max="4348" width="23" style="1" bestFit="1" customWidth="1"/>
    <col min="4349" max="4349" width="0.5703125" style="1" customWidth="1"/>
    <col min="4350" max="4350" width="1.42578125" style="1" customWidth="1"/>
    <col min="4351" max="4351" width="2" style="1" customWidth="1"/>
    <col min="4352" max="4596" width="9.42578125" style="1"/>
    <col min="4597" max="4597" width="12.5703125" style="1" customWidth="1"/>
    <col min="4598" max="4598" width="31.140625" style="1" customWidth="1"/>
    <col min="4599" max="4599" width="4" style="1" customWidth="1"/>
    <col min="4600" max="4600" width="10" style="1" customWidth="1"/>
    <col min="4601" max="4601" width="1.42578125" style="1" customWidth="1"/>
    <col min="4602" max="4602" width="23" style="1" bestFit="1" customWidth="1"/>
    <col min="4603" max="4603" width="2.5703125" style="1" customWidth="1"/>
    <col min="4604" max="4604" width="23" style="1" bestFit="1" customWidth="1"/>
    <col min="4605" max="4605" width="0.5703125" style="1" customWidth="1"/>
    <col min="4606" max="4606" width="1.42578125" style="1" customWidth="1"/>
    <col min="4607" max="4607" width="2" style="1" customWidth="1"/>
    <col min="4608" max="4852" width="9.42578125" style="1"/>
    <col min="4853" max="4853" width="12.5703125" style="1" customWidth="1"/>
    <col min="4854" max="4854" width="31.140625" style="1" customWidth="1"/>
    <col min="4855" max="4855" width="4" style="1" customWidth="1"/>
    <col min="4856" max="4856" width="10" style="1" customWidth="1"/>
    <col min="4857" max="4857" width="1.42578125" style="1" customWidth="1"/>
    <col min="4858" max="4858" width="23" style="1" bestFit="1" customWidth="1"/>
    <col min="4859" max="4859" width="2.5703125" style="1" customWidth="1"/>
    <col min="4860" max="4860" width="23" style="1" bestFit="1" customWidth="1"/>
    <col min="4861" max="4861" width="0.5703125" style="1" customWidth="1"/>
    <col min="4862" max="4862" width="1.42578125" style="1" customWidth="1"/>
    <col min="4863" max="4863" width="2" style="1" customWidth="1"/>
    <col min="4864" max="5108" width="9.42578125" style="1"/>
    <col min="5109" max="5109" width="12.5703125" style="1" customWidth="1"/>
    <col min="5110" max="5110" width="31.140625" style="1" customWidth="1"/>
    <col min="5111" max="5111" width="4" style="1" customWidth="1"/>
    <col min="5112" max="5112" width="10" style="1" customWidth="1"/>
    <col min="5113" max="5113" width="1.42578125" style="1" customWidth="1"/>
    <col min="5114" max="5114" width="23" style="1" bestFit="1" customWidth="1"/>
    <col min="5115" max="5115" width="2.5703125" style="1" customWidth="1"/>
    <col min="5116" max="5116" width="23" style="1" bestFit="1" customWidth="1"/>
    <col min="5117" max="5117" width="0.5703125" style="1" customWidth="1"/>
    <col min="5118" max="5118" width="1.42578125" style="1" customWidth="1"/>
    <col min="5119" max="5119" width="2" style="1" customWidth="1"/>
    <col min="5120" max="5364" width="9.42578125" style="1"/>
    <col min="5365" max="5365" width="12.5703125" style="1" customWidth="1"/>
    <col min="5366" max="5366" width="31.140625" style="1" customWidth="1"/>
    <col min="5367" max="5367" width="4" style="1" customWidth="1"/>
    <col min="5368" max="5368" width="10" style="1" customWidth="1"/>
    <col min="5369" max="5369" width="1.42578125" style="1" customWidth="1"/>
    <col min="5370" max="5370" width="23" style="1" bestFit="1" customWidth="1"/>
    <col min="5371" max="5371" width="2.5703125" style="1" customWidth="1"/>
    <col min="5372" max="5372" width="23" style="1" bestFit="1" customWidth="1"/>
    <col min="5373" max="5373" width="0.5703125" style="1" customWidth="1"/>
    <col min="5374" max="5374" width="1.42578125" style="1" customWidth="1"/>
    <col min="5375" max="5375" width="2" style="1" customWidth="1"/>
    <col min="5376" max="5620" width="9.42578125" style="1"/>
    <col min="5621" max="5621" width="12.5703125" style="1" customWidth="1"/>
    <col min="5622" max="5622" width="31.140625" style="1" customWidth="1"/>
    <col min="5623" max="5623" width="4" style="1" customWidth="1"/>
    <col min="5624" max="5624" width="10" style="1" customWidth="1"/>
    <col min="5625" max="5625" width="1.42578125" style="1" customWidth="1"/>
    <col min="5626" max="5626" width="23" style="1" bestFit="1" customWidth="1"/>
    <col min="5627" max="5627" width="2.5703125" style="1" customWidth="1"/>
    <col min="5628" max="5628" width="23" style="1" bestFit="1" customWidth="1"/>
    <col min="5629" max="5629" width="0.5703125" style="1" customWidth="1"/>
    <col min="5630" max="5630" width="1.42578125" style="1" customWidth="1"/>
    <col min="5631" max="5631" width="2" style="1" customWidth="1"/>
    <col min="5632" max="5876" width="9.42578125" style="1"/>
    <col min="5877" max="5877" width="12.5703125" style="1" customWidth="1"/>
    <col min="5878" max="5878" width="31.140625" style="1" customWidth="1"/>
    <col min="5879" max="5879" width="4" style="1" customWidth="1"/>
    <col min="5880" max="5880" width="10" style="1" customWidth="1"/>
    <col min="5881" max="5881" width="1.42578125" style="1" customWidth="1"/>
    <col min="5882" max="5882" width="23" style="1" bestFit="1" customWidth="1"/>
    <col min="5883" max="5883" width="2.5703125" style="1" customWidth="1"/>
    <col min="5884" max="5884" width="23" style="1" bestFit="1" customWidth="1"/>
    <col min="5885" max="5885" width="0.5703125" style="1" customWidth="1"/>
    <col min="5886" max="5886" width="1.42578125" style="1" customWidth="1"/>
    <col min="5887" max="5887" width="2" style="1" customWidth="1"/>
    <col min="5888" max="6132" width="9.42578125" style="1"/>
    <col min="6133" max="6133" width="12.5703125" style="1" customWidth="1"/>
    <col min="6134" max="6134" width="31.140625" style="1" customWidth="1"/>
    <col min="6135" max="6135" width="4" style="1" customWidth="1"/>
    <col min="6136" max="6136" width="10" style="1" customWidth="1"/>
    <col min="6137" max="6137" width="1.42578125" style="1" customWidth="1"/>
    <col min="6138" max="6138" width="23" style="1" bestFit="1" customWidth="1"/>
    <col min="6139" max="6139" width="2.5703125" style="1" customWidth="1"/>
    <col min="6140" max="6140" width="23" style="1" bestFit="1" customWidth="1"/>
    <col min="6141" max="6141" width="0.5703125" style="1" customWidth="1"/>
    <col min="6142" max="6142" width="1.42578125" style="1" customWidth="1"/>
    <col min="6143" max="6143" width="2" style="1" customWidth="1"/>
    <col min="6144" max="6388" width="9.42578125" style="1"/>
    <col min="6389" max="6389" width="12.5703125" style="1" customWidth="1"/>
    <col min="6390" max="6390" width="31.140625" style="1" customWidth="1"/>
    <col min="6391" max="6391" width="4" style="1" customWidth="1"/>
    <col min="6392" max="6392" width="10" style="1" customWidth="1"/>
    <col min="6393" max="6393" width="1.42578125" style="1" customWidth="1"/>
    <col min="6394" max="6394" width="23" style="1" bestFit="1" customWidth="1"/>
    <col min="6395" max="6395" width="2.5703125" style="1" customWidth="1"/>
    <col min="6396" max="6396" width="23" style="1" bestFit="1" customWidth="1"/>
    <col min="6397" max="6397" width="0.5703125" style="1" customWidth="1"/>
    <col min="6398" max="6398" width="1.42578125" style="1" customWidth="1"/>
    <col min="6399" max="6399" width="2" style="1" customWidth="1"/>
    <col min="6400" max="6644" width="9.42578125" style="1"/>
    <col min="6645" max="6645" width="12.5703125" style="1" customWidth="1"/>
    <col min="6646" max="6646" width="31.140625" style="1" customWidth="1"/>
    <col min="6647" max="6647" width="4" style="1" customWidth="1"/>
    <col min="6648" max="6648" width="10" style="1" customWidth="1"/>
    <col min="6649" max="6649" width="1.42578125" style="1" customWidth="1"/>
    <col min="6650" max="6650" width="23" style="1" bestFit="1" customWidth="1"/>
    <col min="6651" max="6651" width="2.5703125" style="1" customWidth="1"/>
    <col min="6652" max="6652" width="23" style="1" bestFit="1" customWidth="1"/>
    <col min="6653" max="6653" width="0.5703125" style="1" customWidth="1"/>
    <col min="6654" max="6654" width="1.42578125" style="1" customWidth="1"/>
    <col min="6655" max="6655" width="2" style="1" customWidth="1"/>
    <col min="6656" max="6900" width="9.42578125" style="1"/>
    <col min="6901" max="6901" width="12.5703125" style="1" customWidth="1"/>
    <col min="6902" max="6902" width="31.140625" style="1" customWidth="1"/>
    <col min="6903" max="6903" width="4" style="1" customWidth="1"/>
    <col min="6904" max="6904" width="10" style="1" customWidth="1"/>
    <col min="6905" max="6905" width="1.42578125" style="1" customWidth="1"/>
    <col min="6906" max="6906" width="23" style="1" bestFit="1" customWidth="1"/>
    <col min="6907" max="6907" width="2.5703125" style="1" customWidth="1"/>
    <col min="6908" max="6908" width="23" style="1" bestFit="1" customWidth="1"/>
    <col min="6909" max="6909" width="0.5703125" style="1" customWidth="1"/>
    <col min="6910" max="6910" width="1.42578125" style="1" customWidth="1"/>
    <col min="6911" max="6911" width="2" style="1" customWidth="1"/>
    <col min="6912" max="7156" width="9.42578125" style="1"/>
    <col min="7157" max="7157" width="12.5703125" style="1" customWidth="1"/>
    <col min="7158" max="7158" width="31.140625" style="1" customWidth="1"/>
    <col min="7159" max="7159" width="4" style="1" customWidth="1"/>
    <col min="7160" max="7160" width="10" style="1" customWidth="1"/>
    <col min="7161" max="7161" width="1.42578125" style="1" customWidth="1"/>
    <col min="7162" max="7162" width="23" style="1" bestFit="1" customWidth="1"/>
    <col min="7163" max="7163" width="2.5703125" style="1" customWidth="1"/>
    <col min="7164" max="7164" width="23" style="1" bestFit="1" customWidth="1"/>
    <col min="7165" max="7165" width="0.5703125" style="1" customWidth="1"/>
    <col min="7166" max="7166" width="1.42578125" style="1" customWidth="1"/>
    <col min="7167" max="7167" width="2" style="1" customWidth="1"/>
    <col min="7168" max="7412" width="9.42578125" style="1"/>
    <col min="7413" max="7413" width="12.5703125" style="1" customWidth="1"/>
    <col min="7414" max="7414" width="31.140625" style="1" customWidth="1"/>
    <col min="7415" max="7415" width="4" style="1" customWidth="1"/>
    <col min="7416" max="7416" width="10" style="1" customWidth="1"/>
    <col min="7417" max="7417" width="1.42578125" style="1" customWidth="1"/>
    <col min="7418" max="7418" width="23" style="1" bestFit="1" customWidth="1"/>
    <col min="7419" max="7419" width="2.5703125" style="1" customWidth="1"/>
    <col min="7420" max="7420" width="23" style="1" bestFit="1" customWidth="1"/>
    <col min="7421" max="7421" width="0.5703125" style="1" customWidth="1"/>
    <col min="7422" max="7422" width="1.42578125" style="1" customWidth="1"/>
    <col min="7423" max="7423" width="2" style="1" customWidth="1"/>
    <col min="7424" max="7668" width="9.42578125" style="1"/>
    <col min="7669" max="7669" width="12.5703125" style="1" customWidth="1"/>
    <col min="7670" max="7670" width="31.140625" style="1" customWidth="1"/>
    <col min="7671" max="7671" width="4" style="1" customWidth="1"/>
    <col min="7672" max="7672" width="10" style="1" customWidth="1"/>
    <col min="7673" max="7673" width="1.42578125" style="1" customWidth="1"/>
    <col min="7674" max="7674" width="23" style="1" bestFit="1" customWidth="1"/>
    <col min="7675" max="7675" width="2.5703125" style="1" customWidth="1"/>
    <col min="7676" max="7676" width="23" style="1" bestFit="1" customWidth="1"/>
    <col min="7677" max="7677" width="0.5703125" style="1" customWidth="1"/>
    <col min="7678" max="7678" width="1.42578125" style="1" customWidth="1"/>
    <col min="7679" max="7679" width="2" style="1" customWidth="1"/>
    <col min="7680" max="7924" width="9.42578125" style="1"/>
    <col min="7925" max="7925" width="12.5703125" style="1" customWidth="1"/>
    <col min="7926" max="7926" width="31.140625" style="1" customWidth="1"/>
    <col min="7927" max="7927" width="4" style="1" customWidth="1"/>
    <col min="7928" max="7928" width="10" style="1" customWidth="1"/>
    <col min="7929" max="7929" width="1.42578125" style="1" customWidth="1"/>
    <col min="7930" max="7930" width="23" style="1" bestFit="1" customWidth="1"/>
    <col min="7931" max="7931" width="2.5703125" style="1" customWidth="1"/>
    <col min="7932" max="7932" width="23" style="1" bestFit="1" customWidth="1"/>
    <col min="7933" max="7933" width="0.5703125" style="1" customWidth="1"/>
    <col min="7934" max="7934" width="1.42578125" style="1" customWidth="1"/>
    <col min="7935" max="7935" width="2" style="1" customWidth="1"/>
    <col min="7936" max="8180" width="9.42578125" style="1"/>
    <col min="8181" max="8181" width="12.5703125" style="1" customWidth="1"/>
    <col min="8182" max="8182" width="31.140625" style="1" customWidth="1"/>
    <col min="8183" max="8183" width="4" style="1" customWidth="1"/>
    <col min="8184" max="8184" width="10" style="1" customWidth="1"/>
    <col min="8185" max="8185" width="1.42578125" style="1" customWidth="1"/>
    <col min="8186" max="8186" width="23" style="1" bestFit="1" customWidth="1"/>
    <col min="8187" max="8187" width="2.5703125" style="1" customWidth="1"/>
    <col min="8188" max="8188" width="23" style="1" bestFit="1" customWidth="1"/>
    <col min="8189" max="8189" width="0.5703125" style="1" customWidth="1"/>
    <col min="8190" max="8190" width="1.42578125" style="1" customWidth="1"/>
    <col min="8191" max="8191" width="2" style="1" customWidth="1"/>
    <col min="8192" max="8436" width="9.42578125" style="1"/>
    <col min="8437" max="8437" width="12.5703125" style="1" customWidth="1"/>
    <col min="8438" max="8438" width="31.140625" style="1" customWidth="1"/>
    <col min="8439" max="8439" width="4" style="1" customWidth="1"/>
    <col min="8440" max="8440" width="10" style="1" customWidth="1"/>
    <col min="8441" max="8441" width="1.42578125" style="1" customWidth="1"/>
    <col min="8442" max="8442" width="23" style="1" bestFit="1" customWidth="1"/>
    <col min="8443" max="8443" width="2.5703125" style="1" customWidth="1"/>
    <col min="8444" max="8444" width="23" style="1" bestFit="1" customWidth="1"/>
    <col min="8445" max="8445" width="0.5703125" style="1" customWidth="1"/>
    <col min="8446" max="8446" width="1.42578125" style="1" customWidth="1"/>
    <col min="8447" max="8447" width="2" style="1" customWidth="1"/>
    <col min="8448" max="8692" width="9.42578125" style="1"/>
    <col min="8693" max="8693" width="12.5703125" style="1" customWidth="1"/>
    <col min="8694" max="8694" width="31.140625" style="1" customWidth="1"/>
    <col min="8695" max="8695" width="4" style="1" customWidth="1"/>
    <col min="8696" max="8696" width="10" style="1" customWidth="1"/>
    <col min="8697" max="8697" width="1.42578125" style="1" customWidth="1"/>
    <col min="8698" max="8698" width="23" style="1" bestFit="1" customWidth="1"/>
    <col min="8699" max="8699" width="2.5703125" style="1" customWidth="1"/>
    <col min="8700" max="8700" width="23" style="1" bestFit="1" customWidth="1"/>
    <col min="8701" max="8701" width="0.5703125" style="1" customWidth="1"/>
    <col min="8702" max="8702" width="1.42578125" style="1" customWidth="1"/>
    <col min="8703" max="8703" width="2" style="1" customWidth="1"/>
    <col min="8704" max="8948" width="9.42578125" style="1"/>
    <col min="8949" max="8949" width="12.5703125" style="1" customWidth="1"/>
    <col min="8950" max="8950" width="31.140625" style="1" customWidth="1"/>
    <col min="8951" max="8951" width="4" style="1" customWidth="1"/>
    <col min="8952" max="8952" width="10" style="1" customWidth="1"/>
    <col min="8953" max="8953" width="1.42578125" style="1" customWidth="1"/>
    <col min="8954" max="8954" width="23" style="1" bestFit="1" customWidth="1"/>
    <col min="8955" max="8955" width="2.5703125" style="1" customWidth="1"/>
    <col min="8956" max="8956" width="23" style="1" bestFit="1" customWidth="1"/>
    <col min="8957" max="8957" width="0.5703125" style="1" customWidth="1"/>
    <col min="8958" max="8958" width="1.42578125" style="1" customWidth="1"/>
    <col min="8959" max="8959" width="2" style="1" customWidth="1"/>
    <col min="8960" max="9204" width="9.42578125" style="1"/>
    <col min="9205" max="9205" width="12.5703125" style="1" customWidth="1"/>
    <col min="9206" max="9206" width="31.140625" style="1" customWidth="1"/>
    <col min="9207" max="9207" width="4" style="1" customWidth="1"/>
    <col min="9208" max="9208" width="10" style="1" customWidth="1"/>
    <col min="9209" max="9209" width="1.42578125" style="1" customWidth="1"/>
    <col min="9210" max="9210" width="23" style="1" bestFit="1" customWidth="1"/>
    <col min="9211" max="9211" width="2.5703125" style="1" customWidth="1"/>
    <col min="9212" max="9212" width="23" style="1" bestFit="1" customWidth="1"/>
    <col min="9213" max="9213" width="0.5703125" style="1" customWidth="1"/>
    <col min="9214" max="9214" width="1.42578125" style="1" customWidth="1"/>
    <col min="9215" max="9215" width="2" style="1" customWidth="1"/>
    <col min="9216" max="9460" width="9.42578125" style="1"/>
    <col min="9461" max="9461" width="12.5703125" style="1" customWidth="1"/>
    <col min="9462" max="9462" width="31.140625" style="1" customWidth="1"/>
    <col min="9463" max="9463" width="4" style="1" customWidth="1"/>
    <col min="9464" max="9464" width="10" style="1" customWidth="1"/>
    <col min="9465" max="9465" width="1.42578125" style="1" customWidth="1"/>
    <col min="9466" max="9466" width="23" style="1" bestFit="1" customWidth="1"/>
    <col min="9467" max="9467" width="2.5703125" style="1" customWidth="1"/>
    <col min="9468" max="9468" width="23" style="1" bestFit="1" customWidth="1"/>
    <col min="9469" max="9469" width="0.5703125" style="1" customWidth="1"/>
    <col min="9470" max="9470" width="1.42578125" style="1" customWidth="1"/>
    <col min="9471" max="9471" width="2" style="1" customWidth="1"/>
    <col min="9472" max="9716" width="9.42578125" style="1"/>
    <col min="9717" max="9717" width="12.5703125" style="1" customWidth="1"/>
    <col min="9718" max="9718" width="31.140625" style="1" customWidth="1"/>
    <col min="9719" max="9719" width="4" style="1" customWidth="1"/>
    <col min="9720" max="9720" width="10" style="1" customWidth="1"/>
    <col min="9721" max="9721" width="1.42578125" style="1" customWidth="1"/>
    <col min="9722" max="9722" width="23" style="1" bestFit="1" customWidth="1"/>
    <col min="9723" max="9723" width="2.5703125" style="1" customWidth="1"/>
    <col min="9724" max="9724" width="23" style="1" bestFit="1" customWidth="1"/>
    <col min="9725" max="9725" width="0.5703125" style="1" customWidth="1"/>
    <col min="9726" max="9726" width="1.42578125" style="1" customWidth="1"/>
    <col min="9727" max="9727" width="2" style="1" customWidth="1"/>
    <col min="9728" max="9972" width="9.42578125" style="1"/>
    <col min="9973" max="9973" width="12.5703125" style="1" customWidth="1"/>
    <col min="9974" max="9974" width="31.140625" style="1" customWidth="1"/>
    <col min="9975" max="9975" width="4" style="1" customWidth="1"/>
    <col min="9976" max="9976" width="10" style="1" customWidth="1"/>
    <col min="9977" max="9977" width="1.42578125" style="1" customWidth="1"/>
    <col min="9978" max="9978" width="23" style="1" bestFit="1" customWidth="1"/>
    <col min="9979" max="9979" width="2.5703125" style="1" customWidth="1"/>
    <col min="9980" max="9980" width="23" style="1" bestFit="1" customWidth="1"/>
    <col min="9981" max="9981" width="0.5703125" style="1" customWidth="1"/>
    <col min="9982" max="9982" width="1.42578125" style="1" customWidth="1"/>
    <col min="9983" max="9983" width="2" style="1" customWidth="1"/>
    <col min="9984" max="10228" width="9.42578125" style="1"/>
    <col min="10229" max="10229" width="12.5703125" style="1" customWidth="1"/>
    <col min="10230" max="10230" width="31.140625" style="1" customWidth="1"/>
    <col min="10231" max="10231" width="4" style="1" customWidth="1"/>
    <col min="10232" max="10232" width="10" style="1" customWidth="1"/>
    <col min="10233" max="10233" width="1.42578125" style="1" customWidth="1"/>
    <col min="10234" max="10234" width="23" style="1" bestFit="1" customWidth="1"/>
    <col min="10235" max="10235" width="2.5703125" style="1" customWidth="1"/>
    <col min="10236" max="10236" width="23" style="1" bestFit="1" customWidth="1"/>
    <col min="10237" max="10237" width="0.5703125" style="1" customWidth="1"/>
    <col min="10238" max="10238" width="1.42578125" style="1" customWidth="1"/>
    <col min="10239" max="10239" width="2" style="1" customWidth="1"/>
    <col min="10240" max="10484" width="9.42578125" style="1"/>
    <col min="10485" max="10485" width="12.5703125" style="1" customWidth="1"/>
    <col min="10486" max="10486" width="31.140625" style="1" customWidth="1"/>
    <col min="10487" max="10487" width="4" style="1" customWidth="1"/>
    <col min="10488" max="10488" width="10" style="1" customWidth="1"/>
    <col min="10489" max="10489" width="1.42578125" style="1" customWidth="1"/>
    <col min="10490" max="10490" width="23" style="1" bestFit="1" customWidth="1"/>
    <col min="10491" max="10491" width="2.5703125" style="1" customWidth="1"/>
    <col min="10492" max="10492" width="23" style="1" bestFit="1" customWidth="1"/>
    <col min="10493" max="10493" width="0.5703125" style="1" customWidth="1"/>
    <col min="10494" max="10494" width="1.42578125" style="1" customWidth="1"/>
    <col min="10495" max="10495" width="2" style="1" customWidth="1"/>
    <col min="10496" max="10740" width="9.42578125" style="1"/>
    <col min="10741" max="10741" width="12.5703125" style="1" customWidth="1"/>
    <col min="10742" max="10742" width="31.140625" style="1" customWidth="1"/>
    <col min="10743" max="10743" width="4" style="1" customWidth="1"/>
    <col min="10744" max="10744" width="10" style="1" customWidth="1"/>
    <col min="10745" max="10745" width="1.42578125" style="1" customWidth="1"/>
    <col min="10746" max="10746" width="23" style="1" bestFit="1" customWidth="1"/>
    <col min="10747" max="10747" width="2.5703125" style="1" customWidth="1"/>
    <col min="10748" max="10748" width="23" style="1" bestFit="1" customWidth="1"/>
    <col min="10749" max="10749" width="0.5703125" style="1" customWidth="1"/>
    <col min="10750" max="10750" width="1.42578125" style="1" customWidth="1"/>
    <col min="10751" max="10751" width="2" style="1" customWidth="1"/>
    <col min="10752" max="10996" width="9.42578125" style="1"/>
    <col min="10997" max="10997" width="12.5703125" style="1" customWidth="1"/>
    <col min="10998" max="10998" width="31.140625" style="1" customWidth="1"/>
    <col min="10999" max="10999" width="4" style="1" customWidth="1"/>
    <col min="11000" max="11000" width="10" style="1" customWidth="1"/>
    <col min="11001" max="11001" width="1.42578125" style="1" customWidth="1"/>
    <col min="11002" max="11002" width="23" style="1" bestFit="1" customWidth="1"/>
    <col min="11003" max="11003" width="2.5703125" style="1" customWidth="1"/>
    <col min="11004" max="11004" width="23" style="1" bestFit="1" customWidth="1"/>
    <col min="11005" max="11005" width="0.5703125" style="1" customWidth="1"/>
    <col min="11006" max="11006" width="1.42578125" style="1" customWidth="1"/>
    <col min="11007" max="11007" width="2" style="1" customWidth="1"/>
    <col min="11008" max="11252" width="9.42578125" style="1"/>
    <col min="11253" max="11253" width="12.5703125" style="1" customWidth="1"/>
    <col min="11254" max="11254" width="31.140625" style="1" customWidth="1"/>
    <col min="11255" max="11255" width="4" style="1" customWidth="1"/>
    <col min="11256" max="11256" width="10" style="1" customWidth="1"/>
    <col min="11257" max="11257" width="1.42578125" style="1" customWidth="1"/>
    <col min="11258" max="11258" width="23" style="1" bestFit="1" customWidth="1"/>
    <col min="11259" max="11259" width="2.5703125" style="1" customWidth="1"/>
    <col min="11260" max="11260" width="23" style="1" bestFit="1" customWidth="1"/>
    <col min="11261" max="11261" width="0.5703125" style="1" customWidth="1"/>
    <col min="11262" max="11262" width="1.42578125" style="1" customWidth="1"/>
    <col min="11263" max="11263" width="2" style="1" customWidth="1"/>
    <col min="11264" max="11508" width="9.42578125" style="1"/>
    <col min="11509" max="11509" width="12.5703125" style="1" customWidth="1"/>
    <col min="11510" max="11510" width="31.140625" style="1" customWidth="1"/>
    <col min="11511" max="11511" width="4" style="1" customWidth="1"/>
    <col min="11512" max="11512" width="10" style="1" customWidth="1"/>
    <col min="11513" max="11513" width="1.42578125" style="1" customWidth="1"/>
    <col min="11514" max="11514" width="23" style="1" bestFit="1" customWidth="1"/>
    <col min="11515" max="11515" width="2.5703125" style="1" customWidth="1"/>
    <col min="11516" max="11516" width="23" style="1" bestFit="1" customWidth="1"/>
    <col min="11517" max="11517" width="0.5703125" style="1" customWidth="1"/>
    <col min="11518" max="11518" width="1.42578125" style="1" customWidth="1"/>
    <col min="11519" max="11519" width="2" style="1" customWidth="1"/>
    <col min="11520" max="11764" width="9.42578125" style="1"/>
    <col min="11765" max="11765" width="12.5703125" style="1" customWidth="1"/>
    <col min="11766" max="11766" width="31.140625" style="1" customWidth="1"/>
    <col min="11767" max="11767" width="4" style="1" customWidth="1"/>
    <col min="11768" max="11768" width="10" style="1" customWidth="1"/>
    <col min="11769" max="11769" width="1.42578125" style="1" customWidth="1"/>
    <col min="11770" max="11770" width="23" style="1" bestFit="1" customWidth="1"/>
    <col min="11771" max="11771" width="2.5703125" style="1" customWidth="1"/>
    <col min="11772" max="11772" width="23" style="1" bestFit="1" customWidth="1"/>
    <col min="11773" max="11773" width="0.5703125" style="1" customWidth="1"/>
    <col min="11774" max="11774" width="1.42578125" style="1" customWidth="1"/>
    <col min="11775" max="11775" width="2" style="1" customWidth="1"/>
    <col min="11776" max="12020" width="9.42578125" style="1"/>
    <col min="12021" max="12021" width="12.5703125" style="1" customWidth="1"/>
    <col min="12022" max="12022" width="31.140625" style="1" customWidth="1"/>
    <col min="12023" max="12023" width="4" style="1" customWidth="1"/>
    <col min="12024" max="12024" width="10" style="1" customWidth="1"/>
    <col min="12025" max="12025" width="1.42578125" style="1" customWidth="1"/>
    <col min="12026" max="12026" width="23" style="1" bestFit="1" customWidth="1"/>
    <col min="12027" max="12027" width="2.5703125" style="1" customWidth="1"/>
    <col min="12028" max="12028" width="23" style="1" bestFit="1" customWidth="1"/>
    <col min="12029" max="12029" width="0.5703125" style="1" customWidth="1"/>
    <col min="12030" max="12030" width="1.42578125" style="1" customWidth="1"/>
    <col min="12031" max="12031" width="2" style="1" customWidth="1"/>
    <col min="12032" max="12276" width="9.42578125" style="1"/>
    <col min="12277" max="12277" width="12.5703125" style="1" customWidth="1"/>
    <col min="12278" max="12278" width="31.140625" style="1" customWidth="1"/>
    <col min="12279" max="12279" width="4" style="1" customWidth="1"/>
    <col min="12280" max="12280" width="10" style="1" customWidth="1"/>
    <col min="12281" max="12281" width="1.42578125" style="1" customWidth="1"/>
    <col min="12282" max="12282" width="23" style="1" bestFit="1" customWidth="1"/>
    <col min="12283" max="12283" width="2.5703125" style="1" customWidth="1"/>
    <col min="12284" max="12284" width="23" style="1" bestFit="1" customWidth="1"/>
    <col min="12285" max="12285" width="0.5703125" style="1" customWidth="1"/>
    <col min="12286" max="12286" width="1.42578125" style="1" customWidth="1"/>
    <col min="12287" max="12287" width="2" style="1" customWidth="1"/>
    <col min="12288" max="12532" width="9.42578125" style="1"/>
    <col min="12533" max="12533" width="12.5703125" style="1" customWidth="1"/>
    <col min="12534" max="12534" width="31.140625" style="1" customWidth="1"/>
    <col min="12535" max="12535" width="4" style="1" customWidth="1"/>
    <col min="12536" max="12536" width="10" style="1" customWidth="1"/>
    <col min="12537" max="12537" width="1.42578125" style="1" customWidth="1"/>
    <col min="12538" max="12538" width="23" style="1" bestFit="1" customWidth="1"/>
    <col min="12539" max="12539" width="2.5703125" style="1" customWidth="1"/>
    <col min="12540" max="12540" width="23" style="1" bestFit="1" customWidth="1"/>
    <col min="12541" max="12541" width="0.5703125" style="1" customWidth="1"/>
    <col min="12542" max="12542" width="1.42578125" style="1" customWidth="1"/>
    <col min="12543" max="12543" width="2" style="1" customWidth="1"/>
    <col min="12544" max="12788" width="9.42578125" style="1"/>
    <col min="12789" max="12789" width="12.5703125" style="1" customWidth="1"/>
    <col min="12790" max="12790" width="31.140625" style="1" customWidth="1"/>
    <col min="12791" max="12791" width="4" style="1" customWidth="1"/>
    <col min="12792" max="12792" width="10" style="1" customWidth="1"/>
    <col min="12793" max="12793" width="1.42578125" style="1" customWidth="1"/>
    <col min="12794" max="12794" width="23" style="1" bestFit="1" customWidth="1"/>
    <col min="12795" max="12795" width="2.5703125" style="1" customWidth="1"/>
    <col min="12796" max="12796" width="23" style="1" bestFit="1" customWidth="1"/>
    <col min="12797" max="12797" width="0.5703125" style="1" customWidth="1"/>
    <col min="12798" max="12798" width="1.42578125" style="1" customWidth="1"/>
    <col min="12799" max="12799" width="2" style="1" customWidth="1"/>
    <col min="12800" max="13044" width="9.42578125" style="1"/>
    <col min="13045" max="13045" width="12.5703125" style="1" customWidth="1"/>
    <col min="13046" max="13046" width="31.140625" style="1" customWidth="1"/>
    <col min="13047" max="13047" width="4" style="1" customWidth="1"/>
    <col min="13048" max="13048" width="10" style="1" customWidth="1"/>
    <col min="13049" max="13049" width="1.42578125" style="1" customWidth="1"/>
    <col min="13050" max="13050" width="23" style="1" bestFit="1" customWidth="1"/>
    <col min="13051" max="13051" width="2.5703125" style="1" customWidth="1"/>
    <col min="13052" max="13052" width="23" style="1" bestFit="1" customWidth="1"/>
    <col min="13053" max="13053" width="0.5703125" style="1" customWidth="1"/>
    <col min="13054" max="13054" width="1.42578125" style="1" customWidth="1"/>
    <col min="13055" max="13055" width="2" style="1" customWidth="1"/>
    <col min="13056" max="13300" width="9.42578125" style="1"/>
    <col min="13301" max="13301" width="12.5703125" style="1" customWidth="1"/>
    <col min="13302" max="13302" width="31.140625" style="1" customWidth="1"/>
    <col min="13303" max="13303" width="4" style="1" customWidth="1"/>
    <col min="13304" max="13304" width="10" style="1" customWidth="1"/>
    <col min="13305" max="13305" width="1.42578125" style="1" customWidth="1"/>
    <col min="13306" max="13306" width="23" style="1" bestFit="1" customWidth="1"/>
    <col min="13307" max="13307" width="2.5703125" style="1" customWidth="1"/>
    <col min="13308" max="13308" width="23" style="1" bestFit="1" customWidth="1"/>
    <col min="13309" max="13309" width="0.5703125" style="1" customWidth="1"/>
    <col min="13310" max="13310" width="1.42578125" style="1" customWidth="1"/>
    <col min="13311" max="13311" width="2" style="1" customWidth="1"/>
    <col min="13312" max="13556" width="9.42578125" style="1"/>
    <col min="13557" max="13557" width="12.5703125" style="1" customWidth="1"/>
    <col min="13558" max="13558" width="31.140625" style="1" customWidth="1"/>
    <col min="13559" max="13559" width="4" style="1" customWidth="1"/>
    <col min="13560" max="13560" width="10" style="1" customWidth="1"/>
    <col min="13561" max="13561" width="1.42578125" style="1" customWidth="1"/>
    <col min="13562" max="13562" width="23" style="1" bestFit="1" customWidth="1"/>
    <col min="13563" max="13563" width="2.5703125" style="1" customWidth="1"/>
    <col min="13564" max="13564" width="23" style="1" bestFit="1" customWidth="1"/>
    <col min="13565" max="13565" width="0.5703125" style="1" customWidth="1"/>
    <col min="13566" max="13566" width="1.42578125" style="1" customWidth="1"/>
    <col min="13567" max="13567" width="2" style="1" customWidth="1"/>
    <col min="13568" max="13812" width="9.42578125" style="1"/>
    <col min="13813" max="13813" width="12.5703125" style="1" customWidth="1"/>
    <col min="13814" max="13814" width="31.140625" style="1" customWidth="1"/>
    <col min="13815" max="13815" width="4" style="1" customWidth="1"/>
    <col min="13816" max="13816" width="10" style="1" customWidth="1"/>
    <col min="13817" max="13817" width="1.42578125" style="1" customWidth="1"/>
    <col min="13818" max="13818" width="23" style="1" bestFit="1" customWidth="1"/>
    <col min="13819" max="13819" width="2.5703125" style="1" customWidth="1"/>
    <col min="13820" max="13820" width="23" style="1" bestFit="1" customWidth="1"/>
    <col min="13821" max="13821" width="0.5703125" style="1" customWidth="1"/>
    <col min="13822" max="13822" width="1.42578125" style="1" customWidth="1"/>
    <col min="13823" max="13823" width="2" style="1" customWidth="1"/>
    <col min="13824" max="14068" width="9.42578125" style="1"/>
    <col min="14069" max="14069" width="12.5703125" style="1" customWidth="1"/>
    <col min="14070" max="14070" width="31.140625" style="1" customWidth="1"/>
    <col min="14071" max="14071" width="4" style="1" customWidth="1"/>
    <col min="14072" max="14072" width="10" style="1" customWidth="1"/>
    <col min="14073" max="14073" width="1.42578125" style="1" customWidth="1"/>
    <col min="14074" max="14074" width="23" style="1" bestFit="1" customWidth="1"/>
    <col min="14075" max="14075" width="2.5703125" style="1" customWidth="1"/>
    <col min="14076" max="14076" width="23" style="1" bestFit="1" customWidth="1"/>
    <col min="14077" max="14077" width="0.5703125" style="1" customWidth="1"/>
    <col min="14078" max="14078" width="1.42578125" style="1" customWidth="1"/>
    <col min="14079" max="14079" width="2" style="1" customWidth="1"/>
    <col min="14080" max="14324" width="9.42578125" style="1"/>
    <col min="14325" max="14325" width="12.5703125" style="1" customWidth="1"/>
    <col min="14326" max="14326" width="31.140625" style="1" customWidth="1"/>
    <col min="14327" max="14327" width="4" style="1" customWidth="1"/>
    <col min="14328" max="14328" width="10" style="1" customWidth="1"/>
    <col min="14329" max="14329" width="1.42578125" style="1" customWidth="1"/>
    <col min="14330" max="14330" width="23" style="1" bestFit="1" customWidth="1"/>
    <col min="14331" max="14331" width="2.5703125" style="1" customWidth="1"/>
    <col min="14332" max="14332" width="23" style="1" bestFit="1" customWidth="1"/>
    <col min="14333" max="14333" width="0.5703125" style="1" customWidth="1"/>
    <col min="14334" max="14334" width="1.42578125" style="1" customWidth="1"/>
    <col min="14335" max="14335" width="2" style="1" customWidth="1"/>
    <col min="14336" max="14580" width="9.42578125" style="1"/>
    <col min="14581" max="14581" width="12.5703125" style="1" customWidth="1"/>
    <col min="14582" max="14582" width="31.140625" style="1" customWidth="1"/>
    <col min="14583" max="14583" width="4" style="1" customWidth="1"/>
    <col min="14584" max="14584" width="10" style="1" customWidth="1"/>
    <col min="14585" max="14585" width="1.42578125" style="1" customWidth="1"/>
    <col min="14586" max="14586" width="23" style="1" bestFit="1" customWidth="1"/>
    <col min="14587" max="14587" width="2.5703125" style="1" customWidth="1"/>
    <col min="14588" max="14588" width="23" style="1" bestFit="1" customWidth="1"/>
    <col min="14589" max="14589" width="0.5703125" style="1" customWidth="1"/>
    <col min="14590" max="14590" width="1.42578125" style="1" customWidth="1"/>
    <col min="14591" max="14591" width="2" style="1" customWidth="1"/>
    <col min="14592" max="14836" width="9.42578125" style="1"/>
    <col min="14837" max="14837" width="12.5703125" style="1" customWidth="1"/>
    <col min="14838" max="14838" width="31.140625" style="1" customWidth="1"/>
    <col min="14839" max="14839" width="4" style="1" customWidth="1"/>
    <col min="14840" max="14840" width="10" style="1" customWidth="1"/>
    <col min="14841" max="14841" width="1.42578125" style="1" customWidth="1"/>
    <col min="14842" max="14842" width="23" style="1" bestFit="1" customWidth="1"/>
    <col min="14843" max="14843" width="2.5703125" style="1" customWidth="1"/>
    <col min="14844" max="14844" width="23" style="1" bestFit="1" customWidth="1"/>
    <col min="14845" max="14845" width="0.5703125" style="1" customWidth="1"/>
    <col min="14846" max="14846" width="1.42578125" style="1" customWidth="1"/>
    <col min="14847" max="14847" width="2" style="1" customWidth="1"/>
    <col min="14848" max="15092" width="9.42578125" style="1"/>
    <col min="15093" max="15093" width="12.5703125" style="1" customWidth="1"/>
    <col min="15094" max="15094" width="31.140625" style="1" customWidth="1"/>
    <col min="15095" max="15095" width="4" style="1" customWidth="1"/>
    <col min="15096" max="15096" width="10" style="1" customWidth="1"/>
    <col min="15097" max="15097" width="1.42578125" style="1" customWidth="1"/>
    <col min="15098" max="15098" width="23" style="1" bestFit="1" customWidth="1"/>
    <col min="15099" max="15099" width="2.5703125" style="1" customWidth="1"/>
    <col min="15100" max="15100" width="23" style="1" bestFit="1" customWidth="1"/>
    <col min="15101" max="15101" width="0.5703125" style="1" customWidth="1"/>
    <col min="15102" max="15102" width="1.42578125" style="1" customWidth="1"/>
    <col min="15103" max="15103" width="2" style="1" customWidth="1"/>
    <col min="15104" max="15348" width="9.42578125" style="1"/>
    <col min="15349" max="15349" width="12.5703125" style="1" customWidth="1"/>
    <col min="15350" max="15350" width="31.140625" style="1" customWidth="1"/>
    <col min="15351" max="15351" width="4" style="1" customWidth="1"/>
    <col min="15352" max="15352" width="10" style="1" customWidth="1"/>
    <col min="15353" max="15353" width="1.42578125" style="1" customWidth="1"/>
    <col min="15354" max="15354" width="23" style="1" bestFit="1" customWidth="1"/>
    <col min="15355" max="15355" width="2.5703125" style="1" customWidth="1"/>
    <col min="15356" max="15356" width="23" style="1" bestFit="1" customWidth="1"/>
    <col min="15357" max="15357" width="0.5703125" style="1" customWidth="1"/>
    <col min="15358" max="15358" width="1.42578125" style="1" customWidth="1"/>
    <col min="15359" max="15359" width="2" style="1" customWidth="1"/>
    <col min="15360" max="15604" width="9.42578125" style="1"/>
    <col min="15605" max="15605" width="12.5703125" style="1" customWidth="1"/>
    <col min="15606" max="15606" width="31.140625" style="1" customWidth="1"/>
    <col min="15607" max="15607" width="4" style="1" customWidth="1"/>
    <col min="15608" max="15608" width="10" style="1" customWidth="1"/>
    <col min="15609" max="15609" width="1.42578125" style="1" customWidth="1"/>
    <col min="15610" max="15610" width="23" style="1" bestFit="1" customWidth="1"/>
    <col min="15611" max="15611" width="2.5703125" style="1" customWidth="1"/>
    <col min="15612" max="15612" width="23" style="1" bestFit="1" customWidth="1"/>
    <col min="15613" max="15613" width="0.5703125" style="1" customWidth="1"/>
    <col min="15614" max="15614" width="1.42578125" style="1" customWidth="1"/>
    <col min="15615" max="15615" width="2" style="1" customWidth="1"/>
    <col min="15616" max="15860" width="9.42578125" style="1"/>
    <col min="15861" max="15861" width="12.5703125" style="1" customWidth="1"/>
    <col min="15862" max="15862" width="31.140625" style="1" customWidth="1"/>
    <col min="15863" max="15863" width="4" style="1" customWidth="1"/>
    <col min="15864" max="15864" width="10" style="1" customWidth="1"/>
    <col min="15865" max="15865" width="1.42578125" style="1" customWidth="1"/>
    <col min="15866" max="15866" width="23" style="1" bestFit="1" customWidth="1"/>
    <col min="15867" max="15867" width="2.5703125" style="1" customWidth="1"/>
    <col min="15868" max="15868" width="23" style="1" bestFit="1" customWidth="1"/>
    <col min="15869" max="15869" width="0.5703125" style="1" customWidth="1"/>
    <col min="15870" max="15870" width="1.42578125" style="1" customWidth="1"/>
    <col min="15871" max="15871" width="2" style="1" customWidth="1"/>
    <col min="15872" max="16116" width="9.42578125" style="1"/>
    <col min="16117" max="16117" width="12.5703125" style="1" customWidth="1"/>
    <col min="16118" max="16118" width="31.140625" style="1" customWidth="1"/>
    <col min="16119" max="16119" width="4" style="1" customWidth="1"/>
    <col min="16120" max="16120" width="10" style="1" customWidth="1"/>
    <col min="16121" max="16121" width="1.42578125" style="1" customWidth="1"/>
    <col min="16122" max="16122" width="23" style="1" bestFit="1" customWidth="1"/>
    <col min="16123" max="16123" width="2.5703125" style="1" customWidth="1"/>
    <col min="16124" max="16124" width="23" style="1" bestFit="1" customWidth="1"/>
    <col min="16125" max="16125" width="0.5703125" style="1" customWidth="1"/>
    <col min="16126" max="16126" width="1.42578125" style="1" customWidth="1"/>
    <col min="16127" max="16127" width="2" style="1" customWidth="1"/>
    <col min="16128" max="16384" width="9.42578125" style="1"/>
  </cols>
  <sheetData>
    <row r="1" spans="2:11" ht="18" customHeight="1" x14ac:dyDescent="0.25">
      <c r="B1" s="298" t="str">
        <f>SOFP!B1</f>
        <v>"COMPANY NAME AS PER AOA"</v>
      </c>
      <c r="C1" s="298"/>
      <c r="D1" s="298"/>
      <c r="E1" s="298"/>
      <c r="F1" s="298"/>
      <c r="G1" s="298"/>
    </row>
    <row r="2" spans="2:11" ht="18" customHeight="1" x14ac:dyDescent="0.25">
      <c r="B2" s="299" t="str">
        <f>SOFP!B2</f>
        <v>"TYPE OF COMPANY AS PER AOA"</v>
      </c>
      <c r="C2" s="299"/>
      <c r="D2" s="299"/>
      <c r="E2" s="299"/>
      <c r="F2" s="299"/>
      <c r="G2" s="299"/>
    </row>
    <row r="3" spans="2:11" ht="18" customHeight="1" x14ac:dyDescent="0.25">
      <c r="B3" s="37" t="s">
        <v>262</v>
      </c>
      <c r="C3" s="38"/>
      <c r="D3" s="38"/>
      <c r="E3" s="38"/>
      <c r="F3" s="38"/>
      <c r="G3" s="38"/>
    </row>
    <row r="4" spans="2:11" ht="18" customHeight="1" x14ac:dyDescent="0.25">
      <c r="B4" s="300" t="s">
        <v>30</v>
      </c>
      <c r="C4" s="300"/>
      <c r="D4" s="300"/>
      <c r="E4" s="300"/>
      <c r="F4" s="300"/>
      <c r="G4" s="3" t="s">
        <v>31</v>
      </c>
    </row>
    <row r="5" spans="2:11" ht="18" customHeight="1" x14ac:dyDescent="0.25">
      <c r="B5" s="4"/>
      <c r="C5" s="4"/>
      <c r="D5" s="4"/>
      <c r="E5" s="4"/>
      <c r="F5" s="4"/>
      <c r="G5" s="6"/>
    </row>
    <row r="6" spans="2:11" ht="84" customHeight="1" x14ac:dyDescent="0.5">
      <c r="B6" s="39"/>
      <c r="C6" s="40" t="s">
        <v>3</v>
      </c>
      <c r="D6" s="41"/>
      <c r="E6" s="42" t="str">
        <f>SOFP!E6</f>
        <v>CURRENT YEAR</v>
      </c>
      <c r="F6" s="41"/>
      <c r="G6" s="42" t="str">
        <f>SOFP!G6</f>
        <v>PREVIOUS YEAR</v>
      </c>
    </row>
    <row r="7" spans="2:11" ht="18" customHeight="1" x14ac:dyDescent="0.5">
      <c r="B7" s="39"/>
      <c r="C7" s="41"/>
      <c r="D7" s="41"/>
      <c r="E7" s="43" t="s">
        <v>5</v>
      </c>
      <c r="F7" s="41"/>
      <c r="G7" s="43" t="s">
        <v>5</v>
      </c>
    </row>
    <row r="8" spans="2:11" ht="18" customHeight="1" x14ac:dyDescent="0.25">
      <c r="B8" s="9" t="s">
        <v>32</v>
      </c>
      <c r="C8" s="21"/>
      <c r="D8" s="21"/>
      <c r="E8" s="44">
        <f>-SUM('Client TB (2)'!I78,'Client TB (2)'!I77)</f>
        <v>0</v>
      </c>
      <c r="F8" s="21"/>
      <c r="G8" s="44"/>
    </row>
    <row r="9" spans="2:11" ht="18" customHeight="1" x14ac:dyDescent="0.25">
      <c r="B9" s="9" t="s">
        <v>33</v>
      </c>
      <c r="C9" s="45">
        <v>14</v>
      </c>
      <c r="D9" s="45"/>
      <c r="E9" s="46">
        <f>'6'!D10</f>
        <v>0</v>
      </c>
      <c r="F9" s="21"/>
      <c r="G9" s="46">
        <f>'6'!F9</f>
        <v>0</v>
      </c>
      <c r="I9" s="47"/>
      <c r="J9" s="47"/>
    </row>
    <row r="10" spans="2:11" ht="18" customHeight="1" x14ac:dyDescent="0.25">
      <c r="B10" s="5" t="s">
        <v>34</v>
      </c>
      <c r="C10" s="48"/>
      <c r="D10" s="48"/>
      <c r="E10" s="49">
        <f>SUM(E8:E9)</f>
        <v>0</v>
      </c>
      <c r="F10" s="20"/>
      <c r="G10" s="49">
        <f>SUM(G8:G9)</f>
        <v>0</v>
      </c>
      <c r="I10" s="50" t="e">
        <f>+E10/E8</f>
        <v>#DIV/0!</v>
      </c>
      <c r="J10" s="50"/>
      <c r="K10" s="50" t="e">
        <f t="shared" ref="K10" si="0">+G10/G8</f>
        <v>#DIV/0!</v>
      </c>
    </row>
    <row r="11" spans="2:11" ht="18" customHeight="1" x14ac:dyDescent="0.25">
      <c r="B11" s="9" t="s">
        <v>35</v>
      </c>
      <c r="C11" s="45">
        <v>15</v>
      </c>
      <c r="D11" s="45"/>
      <c r="E11" s="44">
        <f>-'6'!D35</f>
        <v>0</v>
      </c>
      <c r="F11" s="21"/>
      <c r="G11" s="44">
        <f>-('6'!F35)</f>
        <v>0</v>
      </c>
    </row>
    <row r="12" spans="2:11" ht="18" customHeight="1" x14ac:dyDescent="0.25">
      <c r="B12" s="9" t="s">
        <v>36</v>
      </c>
      <c r="C12" s="45"/>
      <c r="D12" s="45"/>
      <c r="E12" s="44"/>
      <c r="F12" s="21"/>
      <c r="G12" s="44"/>
    </row>
    <row r="13" spans="2:11" ht="18" customHeight="1" x14ac:dyDescent="0.25">
      <c r="B13" s="9" t="s">
        <v>37</v>
      </c>
      <c r="C13" s="45"/>
      <c r="D13" s="45"/>
      <c r="E13" s="44">
        <f>-SUM('Client TB (2)'!I91:I93)</f>
        <v>0</v>
      </c>
      <c r="F13" s="21"/>
      <c r="G13" s="44"/>
    </row>
    <row r="14" spans="2:11" ht="18" customHeight="1" x14ac:dyDescent="0.25">
      <c r="B14" s="9" t="s">
        <v>38</v>
      </c>
      <c r="C14" s="45"/>
      <c r="D14" s="45"/>
      <c r="E14" s="51">
        <v>0</v>
      </c>
      <c r="F14" s="21"/>
      <c r="G14" s="44"/>
    </row>
    <row r="15" spans="2:11" ht="18" customHeight="1" x14ac:dyDescent="0.25">
      <c r="B15" s="5" t="s">
        <v>39</v>
      </c>
      <c r="C15" s="45"/>
      <c r="D15" s="45"/>
      <c r="E15" s="49">
        <f>SUM(E10:E13)</f>
        <v>0</v>
      </c>
      <c r="F15" s="21"/>
      <c r="G15" s="49">
        <f>SUM(G10:G14)</f>
        <v>0</v>
      </c>
      <c r="I15" s="47" t="e">
        <f>+E15/E8</f>
        <v>#DIV/0!</v>
      </c>
      <c r="J15" s="47"/>
      <c r="K15" s="47" t="e">
        <f>+G15/G8</f>
        <v>#DIV/0!</v>
      </c>
    </row>
    <row r="16" spans="2:11" ht="18" customHeight="1" x14ac:dyDescent="0.25">
      <c r="B16" s="9" t="s">
        <v>40</v>
      </c>
      <c r="C16" s="45"/>
      <c r="D16" s="45"/>
      <c r="E16" s="52">
        <f>-('2...'!F13)</f>
        <v>0</v>
      </c>
      <c r="F16" s="21"/>
      <c r="G16" s="52">
        <f>-('2...'!H13)</f>
        <v>0</v>
      </c>
    </row>
    <row r="17" spans="2:7" ht="18" customHeight="1" x14ac:dyDescent="0.25">
      <c r="B17" s="9" t="s">
        <v>41</v>
      </c>
      <c r="C17" s="45">
        <v>10</v>
      </c>
      <c r="D17" s="45"/>
      <c r="E17" s="44">
        <v>0</v>
      </c>
      <c r="F17" s="21"/>
      <c r="G17" s="44">
        <v>0</v>
      </c>
    </row>
    <row r="18" spans="2:7" s="55" customFormat="1" ht="18" customHeight="1" thickBot="1" x14ac:dyDescent="0.3">
      <c r="B18" s="5" t="s">
        <v>42</v>
      </c>
      <c r="C18" s="53"/>
      <c r="D18" s="53"/>
      <c r="E18" s="54">
        <f>SUM(E15:E17)</f>
        <v>0</v>
      </c>
      <c r="F18" s="53"/>
      <c r="G18" s="54">
        <f>SUM(G15:G17)</f>
        <v>0</v>
      </c>
    </row>
    <row r="19" spans="2:7" s="55" customFormat="1" ht="18" customHeight="1" thickTop="1" x14ac:dyDescent="0.25">
      <c r="B19" s="4"/>
      <c r="C19" s="53"/>
      <c r="D19" s="53"/>
      <c r="E19" s="53"/>
      <c r="F19" s="53"/>
      <c r="G19" s="53"/>
    </row>
    <row r="20" spans="2:7" s="55" customFormat="1" ht="18" customHeight="1" x14ac:dyDescent="0.25">
      <c r="B20" s="35"/>
      <c r="G20" s="56"/>
    </row>
    <row r="21" spans="2:7" s="55" customFormat="1" ht="18" customHeight="1" x14ac:dyDescent="0.25">
      <c r="B21" s="4"/>
      <c r="G21" s="56"/>
    </row>
    <row r="22" spans="2:7" ht="18" customHeight="1" x14ac:dyDescent="0.25"/>
    <row r="23" spans="2:7" ht="18" customHeight="1" x14ac:dyDescent="0.25"/>
    <row r="24" spans="2:7" ht="18" customHeight="1" x14ac:dyDescent="0.25"/>
    <row r="25" spans="2:7" ht="18" customHeight="1" x14ac:dyDescent="0.25"/>
    <row r="26" spans="2:7" ht="18" customHeight="1" x14ac:dyDescent="0.25"/>
    <row r="27" spans="2:7" ht="18" customHeight="1" x14ac:dyDescent="0.25"/>
    <row r="28" spans="2:7" ht="18" customHeight="1" x14ac:dyDescent="0.25"/>
    <row r="29" spans="2:7" ht="18" customHeight="1" x14ac:dyDescent="0.25"/>
    <row r="30" spans="2:7" ht="18" customHeight="1" x14ac:dyDescent="0.25"/>
    <row r="31" spans="2:7" ht="18" customHeight="1" x14ac:dyDescent="0.25"/>
    <row r="32" spans="2:7" ht="18" customHeight="1" x14ac:dyDescent="0.25"/>
    <row r="33" spans="2:7" ht="18" customHeight="1" x14ac:dyDescent="0.25"/>
    <row r="34" spans="2:7" ht="18" customHeight="1" x14ac:dyDescent="0.25"/>
    <row r="35" spans="2:7" ht="18" customHeight="1" x14ac:dyDescent="0.25"/>
    <row r="36" spans="2:7" ht="18" customHeight="1" x14ac:dyDescent="0.25"/>
    <row r="37" spans="2:7" ht="18" customHeight="1" x14ac:dyDescent="0.25"/>
    <row r="38" spans="2:7" ht="18" customHeight="1" x14ac:dyDescent="0.25"/>
    <row r="39" spans="2:7" ht="18" customHeight="1" x14ac:dyDescent="0.25"/>
    <row r="40" spans="2:7" ht="18" customHeight="1" x14ac:dyDescent="0.25"/>
    <row r="41" spans="2:7" ht="18" customHeight="1" x14ac:dyDescent="0.25"/>
    <row r="42" spans="2:7" ht="18" customHeight="1" x14ac:dyDescent="0.25"/>
    <row r="43" spans="2:7" ht="18" customHeight="1" x14ac:dyDescent="0.25"/>
    <row r="44" spans="2:7" ht="18" customHeight="1" x14ac:dyDescent="0.25"/>
    <row r="45" spans="2:7" ht="18" customHeight="1" x14ac:dyDescent="0.25">
      <c r="B45" s="301" t="str">
        <f>SOFP!B48:G48</f>
        <v>The Attached notes  from (1) to (16) Form a part of these financial statements</v>
      </c>
      <c r="C45" s="301"/>
      <c r="D45" s="301"/>
      <c r="E45" s="301"/>
      <c r="F45" s="301"/>
      <c r="G45" s="301"/>
    </row>
    <row r="46" spans="2:7" ht="18" customHeight="1" x14ac:dyDescent="0.25">
      <c r="B46" s="302">
        <f>SOFP!B49:G49+1</f>
        <v>5</v>
      </c>
      <c r="C46" s="302"/>
      <c r="D46" s="302"/>
      <c r="E46" s="302"/>
      <c r="F46" s="302"/>
      <c r="G46" s="302"/>
    </row>
    <row r="47" spans="2:7" ht="18" customHeight="1" x14ac:dyDescent="0.25"/>
    <row r="48" spans="2:7" ht="18" customHeight="1" x14ac:dyDescent="0.25"/>
    <row r="49" ht="18" customHeight="1" x14ac:dyDescent="0.25"/>
    <row r="50" ht="18" customHeight="1" x14ac:dyDescent="0.25"/>
    <row r="51" ht="18" customHeight="1" x14ac:dyDescent="0.25"/>
  </sheetData>
  <mergeCells count="5">
    <mergeCell ref="B1:G1"/>
    <mergeCell ref="B2:G2"/>
    <mergeCell ref="B4:F4"/>
    <mergeCell ref="B45:G45"/>
    <mergeCell ref="B46:G46"/>
  </mergeCells>
  <printOptions horizontalCentered="1"/>
  <pageMargins left="0" right="0" top="0.59055118110236227" bottom="0" header="0" footer="0"/>
  <pageSetup paperSize="9" scale="92" firstPageNumber="5" orientation="portrait" useFirstPageNumber="1" r:id="rId1"/>
  <headerFooter alignWithMargins="0"/>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1F0F7-F813-448E-883D-32DF00604D16}">
  <sheetPr>
    <tabColor theme="4" tint="0.59999389629810485"/>
  </sheetPr>
  <dimension ref="B1:J36"/>
  <sheetViews>
    <sheetView zoomScale="130" zoomScaleNormal="130" zoomScaleSheetLayoutView="101" zoomScalePageLayoutView="85" workbookViewId="0">
      <selection activeCell="J7" sqref="J7"/>
    </sheetView>
  </sheetViews>
  <sheetFormatPr defaultColWidth="9.42578125" defaultRowHeight="27" customHeight="1" x14ac:dyDescent="0.25"/>
  <cols>
    <col min="1" max="1" width="5.5703125" style="58" customWidth="1"/>
    <col min="2" max="2" width="53.5703125" style="58" customWidth="1"/>
    <col min="3" max="3" width="17.5703125" style="62" customWidth="1"/>
    <col min="4" max="4" width="1.5703125" style="62" customWidth="1"/>
    <col min="5" max="5" width="18.5703125" style="62" customWidth="1"/>
    <col min="6" max="6" width="1.5703125" style="62" customWidth="1"/>
    <col min="7" max="8" width="18.85546875" style="62" customWidth="1"/>
    <col min="9" max="9" width="1.5703125" style="62" customWidth="1"/>
    <col min="10" max="10" width="18.5703125" style="62" customWidth="1"/>
    <col min="11" max="11" width="5.5703125" style="58" customWidth="1"/>
    <col min="12" max="12" width="9.42578125" style="58"/>
    <col min="13" max="13" width="9.5703125" style="58" bestFit="1" customWidth="1"/>
    <col min="14" max="252" width="9.42578125" style="58"/>
    <col min="253" max="253" width="12.5703125" style="58" customWidth="1"/>
    <col min="254" max="254" width="38" style="58" customWidth="1"/>
    <col min="255" max="255" width="2.42578125" style="58" customWidth="1"/>
    <col min="256" max="256" width="21.42578125" style="58" bestFit="1" customWidth="1"/>
    <col min="257" max="257" width="3.5703125" style="58" customWidth="1"/>
    <col min="258" max="258" width="21.42578125" style="58" bestFit="1" customWidth="1"/>
    <col min="259" max="259" width="3.5703125" style="58" customWidth="1"/>
    <col min="260" max="260" width="23" style="58" bestFit="1" customWidth="1"/>
    <col min="261" max="261" width="3.5703125" style="58" customWidth="1"/>
    <col min="262" max="262" width="23" style="58" bestFit="1" customWidth="1"/>
    <col min="263" max="263" width="1.42578125" style="58" customWidth="1"/>
    <col min="264" max="264" width="9.42578125" style="58"/>
    <col min="265" max="265" width="13.5703125" style="58" bestFit="1" customWidth="1"/>
    <col min="266" max="508" width="9.42578125" style="58"/>
    <col min="509" max="509" width="12.5703125" style="58" customWidth="1"/>
    <col min="510" max="510" width="38" style="58" customWidth="1"/>
    <col min="511" max="511" width="2.42578125" style="58" customWidth="1"/>
    <col min="512" max="512" width="21.42578125" style="58" bestFit="1" customWidth="1"/>
    <col min="513" max="513" width="3.5703125" style="58" customWidth="1"/>
    <col min="514" max="514" width="21.42578125" style="58" bestFit="1" customWidth="1"/>
    <col min="515" max="515" width="3.5703125" style="58" customWidth="1"/>
    <col min="516" max="516" width="23" style="58" bestFit="1" customWidth="1"/>
    <col min="517" max="517" width="3.5703125" style="58" customWidth="1"/>
    <col min="518" max="518" width="23" style="58" bestFit="1" customWidth="1"/>
    <col min="519" max="519" width="1.42578125" style="58" customWidth="1"/>
    <col min="520" max="520" width="9.42578125" style="58"/>
    <col min="521" max="521" width="13.5703125" style="58" bestFit="1" customWidth="1"/>
    <col min="522" max="764" width="9.42578125" style="58"/>
    <col min="765" max="765" width="12.5703125" style="58" customWidth="1"/>
    <col min="766" max="766" width="38" style="58" customWidth="1"/>
    <col min="767" max="767" width="2.42578125" style="58" customWidth="1"/>
    <col min="768" max="768" width="21.42578125" style="58" bestFit="1" customWidth="1"/>
    <col min="769" max="769" width="3.5703125" style="58" customWidth="1"/>
    <col min="770" max="770" width="21.42578125" style="58" bestFit="1" customWidth="1"/>
    <col min="771" max="771" width="3.5703125" style="58" customWidth="1"/>
    <col min="772" max="772" width="23" style="58" bestFit="1" customWidth="1"/>
    <col min="773" max="773" width="3.5703125" style="58" customWidth="1"/>
    <col min="774" max="774" width="23" style="58" bestFit="1" customWidth="1"/>
    <col min="775" max="775" width="1.42578125" style="58" customWidth="1"/>
    <col min="776" max="776" width="9.42578125" style="58"/>
    <col min="777" max="777" width="13.5703125" style="58" bestFit="1" customWidth="1"/>
    <col min="778" max="1020" width="9.42578125" style="58"/>
    <col min="1021" max="1021" width="12.5703125" style="58" customWidth="1"/>
    <col min="1022" max="1022" width="38" style="58" customWidth="1"/>
    <col min="1023" max="1023" width="2.42578125" style="58" customWidth="1"/>
    <col min="1024" max="1024" width="21.42578125" style="58" bestFit="1" customWidth="1"/>
    <col min="1025" max="1025" width="3.5703125" style="58" customWidth="1"/>
    <col min="1026" max="1026" width="21.42578125" style="58" bestFit="1" customWidth="1"/>
    <col min="1027" max="1027" width="3.5703125" style="58" customWidth="1"/>
    <col min="1028" max="1028" width="23" style="58" bestFit="1" customWidth="1"/>
    <col min="1029" max="1029" width="3.5703125" style="58" customWidth="1"/>
    <col min="1030" max="1030" width="23" style="58" bestFit="1" customWidth="1"/>
    <col min="1031" max="1031" width="1.42578125" style="58" customWidth="1"/>
    <col min="1032" max="1032" width="9.42578125" style="58"/>
    <col min="1033" max="1033" width="13.5703125" style="58" bestFit="1" customWidth="1"/>
    <col min="1034" max="1276" width="9.42578125" style="58"/>
    <col min="1277" max="1277" width="12.5703125" style="58" customWidth="1"/>
    <col min="1278" max="1278" width="38" style="58" customWidth="1"/>
    <col min="1279" max="1279" width="2.42578125" style="58" customWidth="1"/>
    <col min="1280" max="1280" width="21.42578125" style="58" bestFit="1" customWidth="1"/>
    <col min="1281" max="1281" width="3.5703125" style="58" customWidth="1"/>
    <col min="1282" max="1282" width="21.42578125" style="58" bestFit="1" customWidth="1"/>
    <col min="1283" max="1283" width="3.5703125" style="58" customWidth="1"/>
    <col min="1284" max="1284" width="23" style="58" bestFit="1" customWidth="1"/>
    <col min="1285" max="1285" width="3.5703125" style="58" customWidth="1"/>
    <col min="1286" max="1286" width="23" style="58" bestFit="1" customWidth="1"/>
    <col min="1287" max="1287" width="1.42578125" style="58" customWidth="1"/>
    <col min="1288" max="1288" width="9.42578125" style="58"/>
    <col min="1289" max="1289" width="13.5703125" style="58" bestFit="1" customWidth="1"/>
    <col min="1290" max="1532" width="9.42578125" style="58"/>
    <col min="1533" max="1533" width="12.5703125" style="58" customWidth="1"/>
    <col min="1534" max="1534" width="38" style="58" customWidth="1"/>
    <col min="1535" max="1535" width="2.42578125" style="58" customWidth="1"/>
    <col min="1536" max="1536" width="21.42578125" style="58" bestFit="1" customWidth="1"/>
    <col min="1537" max="1537" width="3.5703125" style="58" customWidth="1"/>
    <col min="1538" max="1538" width="21.42578125" style="58" bestFit="1" customWidth="1"/>
    <col min="1539" max="1539" width="3.5703125" style="58" customWidth="1"/>
    <col min="1540" max="1540" width="23" style="58" bestFit="1" customWidth="1"/>
    <col min="1541" max="1541" width="3.5703125" style="58" customWidth="1"/>
    <col min="1542" max="1542" width="23" style="58" bestFit="1" customWidth="1"/>
    <col min="1543" max="1543" width="1.42578125" style="58" customWidth="1"/>
    <col min="1544" max="1544" width="9.42578125" style="58"/>
    <col min="1545" max="1545" width="13.5703125" style="58" bestFit="1" customWidth="1"/>
    <col min="1546" max="1788" width="9.42578125" style="58"/>
    <col min="1789" max="1789" width="12.5703125" style="58" customWidth="1"/>
    <col min="1790" max="1790" width="38" style="58" customWidth="1"/>
    <col min="1791" max="1791" width="2.42578125" style="58" customWidth="1"/>
    <col min="1792" max="1792" width="21.42578125" style="58" bestFit="1" customWidth="1"/>
    <col min="1793" max="1793" width="3.5703125" style="58" customWidth="1"/>
    <col min="1794" max="1794" width="21.42578125" style="58" bestFit="1" customWidth="1"/>
    <col min="1795" max="1795" width="3.5703125" style="58" customWidth="1"/>
    <col min="1796" max="1796" width="23" style="58" bestFit="1" customWidth="1"/>
    <col min="1797" max="1797" width="3.5703125" style="58" customWidth="1"/>
    <col min="1798" max="1798" width="23" style="58" bestFit="1" customWidth="1"/>
    <col min="1799" max="1799" width="1.42578125" style="58" customWidth="1"/>
    <col min="1800" max="1800" width="9.42578125" style="58"/>
    <col min="1801" max="1801" width="13.5703125" style="58" bestFit="1" customWidth="1"/>
    <col min="1802" max="2044" width="9.42578125" style="58"/>
    <col min="2045" max="2045" width="12.5703125" style="58" customWidth="1"/>
    <col min="2046" max="2046" width="38" style="58" customWidth="1"/>
    <col min="2047" max="2047" width="2.42578125" style="58" customWidth="1"/>
    <col min="2048" max="2048" width="21.42578125" style="58" bestFit="1" customWidth="1"/>
    <col min="2049" max="2049" width="3.5703125" style="58" customWidth="1"/>
    <col min="2050" max="2050" width="21.42578125" style="58" bestFit="1" customWidth="1"/>
    <col min="2051" max="2051" width="3.5703125" style="58" customWidth="1"/>
    <col min="2052" max="2052" width="23" style="58" bestFit="1" customWidth="1"/>
    <col min="2053" max="2053" width="3.5703125" style="58" customWidth="1"/>
    <col min="2054" max="2054" width="23" style="58" bestFit="1" customWidth="1"/>
    <col min="2055" max="2055" width="1.42578125" style="58" customWidth="1"/>
    <col min="2056" max="2056" width="9.42578125" style="58"/>
    <col min="2057" max="2057" width="13.5703125" style="58" bestFit="1" customWidth="1"/>
    <col min="2058" max="2300" width="9.42578125" style="58"/>
    <col min="2301" max="2301" width="12.5703125" style="58" customWidth="1"/>
    <col min="2302" max="2302" width="38" style="58" customWidth="1"/>
    <col min="2303" max="2303" width="2.42578125" style="58" customWidth="1"/>
    <col min="2304" max="2304" width="21.42578125" style="58" bestFit="1" customWidth="1"/>
    <col min="2305" max="2305" width="3.5703125" style="58" customWidth="1"/>
    <col min="2306" max="2306" width="21.42578125" style="58" bestFit="1" customWidth="1"/>
    <col min="2307" max="2307" width="3.5703125" style="58" customWidth="1"/>
    <col min="2308" max="2308" width="23" style="58" bestFit="1" customWidth="1"/>
    <col min="2309" max="2309" width="3.5703125" style="58" customWidth="1"/>
    <col min="2310" max="2310" width="23" style="58" bestFit="1" customWidth="1"/>
    <col min="2311" max="2311" width="1.42578125" style="58" customWidth="1"/>
    <col min="2312" max="2312" width="9.42578125" style="58"/>
    <col min="2313" max="2313" width="13.5703125" style="58" bestFit="1" customWidth="1"/>
    <col min="2314" max="2556" width="9.42578125" style="58"/>
    <col min="2557" max="2557" width="12.5703125" style="58" customWidth="1"/>
    <col min="2558" max="2558" width="38" style="58" customWidth="1"/>
    <col min="2559" max="2559" width="2.42578125" style="58" customWidth="1"/>
    <col min="2560" max="2560" width="21.42578125" style="58" bestFit="1" customWidth="1"/>
    <col min="2561" max="2561" width="3.5703125" style="58" customWidth="1"/>
    <col min="2562" max="2562" width="21.42578125" style="58" bestFit="1" customWidth="1"/>
    <col min="2563" max="2563" width="3.5703125" style="58" customWidth="1"/>
    <col min="2564" max="2564" width="23" style="58" bestFit="1" customWidth="1"/>
    <col min="2565" max="2565" width="3.5703125" style="58" customWidth="1"/>
    <col min="2566" max="2566" width="23" style="58" bestFit="1" customWidth="1"/>
    <col min="2567" max="2567" width="1.42578125" style="58" customWidth="1"/>
    <col min="2568" max="2568" width="9.42578125" style="58"/>
    <col min="2569" max="2569" width="13.5703125" style="58" bestFit="1" customWidth="1"/>
    <col min="2570" max="2812" width="9.42578125" style="58"/>
    <col min="2813" max="2813" width="12.5703125" style="58" customWidth="1"/>
    <col min="2814" max="2814" width="38" style="58" customWidth="1"/>
    <col min="2815" max="2815" width="2.42578125" style="58" customWidth="1"/>
    <col min="2816" max="2816" width="21.42578125" style="58" bestFit="1" customWidth="1"/>
    <col min="2817" max="2817" width="3.5703125" style="58" customWidth="1"/>
    <col min="2818" max="2818" width="21.42578125" style="58" bestFit="1" customWidth="1"/>
    <col min="2819" max="2819" width="3.5703125" style="58" customWidth="1"/>
    <col min="2820" max="2820" width="23" style="58" bestFit="1" customWidth="1"/>
    <col min="2821" max="2821" width="3.5703125" style="58" customWidth="1"/>
    <col min="2822" max="2822" width="23" style="58" bestFit="1" customWidth="1"/>
    <col min="2823" max="2823" width="1.42578125" style="58" customWidth="1"/>
    <col min="2824" max="2824" width="9.42578125" style="58"/>
    <col min="2825" max="2825" width="13.5703125" style="58" bestFit="1" customWidth="1"/>
    <col min="2826" max="3068" width="9.42578125" style="58"/>
    <col min="3069" max="3069" width="12.5703125" style="58" customWidth="1"/>
    <col min="3070" max="3070" width="38" style="58" customWidth="1"/>
    <col min="3071" max="3071" width="2.42578125" style="58" customWidth="1"/>
    <col min="3072" max="3072" width="21.42578125" style="58" bestFit="1" customWidth="1"/>
    <col min="3073" max="3073" width="3.5703125" style="58" customWidth="1"/>
    <col min="3074" max="3074" width="21.42578125" style="58" bestFit="1" customWidth="1"/>
    <col min="3075" max="3075" width="3.5703125" style="58" customWidth="1"/>
    <col min="3076" max="3076" width="23" style="58" bestFit="1" customWidth="1"/>
    <col min="3077" max="3077" width="3.5703125" style="58" customWidth="1"/>
    <col min="3078" max="3078" width="23" style="58" bestFit="1" customWidth="1"/>
    <col min="3079" max="3079" width="1.42578125" style="58" customWidth="1"/>
    <col min="3080" max="3080" width="9.42578125" style="58"/>
    <col min="3081" max="3081" width="13.5703125" style="58" bestFit="1" customWidth="1"/>
    <col min="3082" max="3324" width="9.42578125" style="58"/>
    <col min="3325" max="3325" width="12.5703125" style="58" customWidth="1"/>
    <col min="3326" max="3326" width="38" style="58" customWidth="1"/>
    <col min="3327" max="3327" width="2.42578125" style="58" customWidth="1"/>
    <col min="3328" max="3328" width="21.42578125" style="58" bestFit="1" customWidth="1"/>
    <col min="3329" max="3329" width="3.5703125" style="58" customWidth="1"/>
    <col min="3330" max="3330" width="21.42578125" style="58" bestFit="1" customWidth="1"/>
    <col min="3331" max="3331" width="3.5703125" style="58" customWidth="1"/>
    <col min="3332" max="3332" width="23" style="58" bestFit="1" customWidth="1"/>
    <col min="3333" max="3333" width="3.5703125" style="58" customWidth="1"/>
    <col min="3334" max="3334" width="23" style="58" bestFit="1" customWidth="1"/>
    <col min="3335" max="3335" width="1.42578125" style="58" customWidth="1"/>
    <col min="3336" max="3336" width="9.42578125" style="58"/>
    <col min="3337" max="3337" width="13.5703125" style="58" bestFit="1" customWidth="1"/>
    <col min="3338" max="3580" width="9.42578125" style="58"/>
    <col min="3581" max="3581" width="12.5703125" style="58" customWidth="1"/>
    <col min="3582" max="3582" width="38" style="58" customWidth="1"/>
    <col min="3583" max="3583" width="2.42578125" style="58" customWidth="1"/>
    <col min="3584" max="3584" width="21.42578125" style="58" bestFit="1" customWidth="1"/>
    <col min="3585" max="3585" width="3.5703125" style="58" customWidth="1"/>
    <col min="3586" max="3586" width="21.42578125" style="58" bestFit="1" customWidth="1"/>
    <col min="3587" max="3587" width="3.5703125" style="58" customWidth="1"/>
    <col min="3588" max="3588" width="23" style="58" bestFit="1" customWidth="1"/>
    <col min="3589" max="3589" width="3.5703125" style="58" customWidth="1"/>
    <col min="3590" max="3590" width="23" style="58" bestFit="1" customWidth="1"/>
    <col min="3591" max="3591" width="1.42578125" style="58" customWidth="1"/>
    <col min="3592" max="3592" width="9.42578125" style="58"/>
    <col min="3593" max="3593" width="13.5703125" style="58" bestFit="1" customWidth="1"/>
    <col min="3594" max="3836" width="9.42578125" style="58"/>
    <col min="3837" max="3837" width="12.5703125" style="58" customWidth="1"/>
    <col min="3838" max="3838" width="38" style="58" customWidth="1"/>
    <col min="3839" max="3839" width="2.42578125" style="58" customWidth="1"/>
    <col min="3840" max="3840" width="21.42578125" style="58" bestFit="1" customWidth="1"/>
    <col min="3841" max="3841" width="3.5703125" style="58" customWidth="1"/>
    <col min="3842" max="3842" width="21.42578125" style="58" bestFit="1" customWidth="1"/>
    <col min="3843" max="3843" width="3.5703125" style="58" customWidth="1"/>
    <col min="3844" max="3844" width="23" style="58" bestFit="1" customWidth="1"/>
    <col min="3845" max="3845" width="3.5703125" style="58" customWidth="1"/>
    <col min="3846" max="3846" width="23" style="58" bestFit="1" customWidth="1"/>
    <col min="3847" max="3847" width="1.42578125" style="58" customWidth="1"/>
    <col min="3848" max="3848" width="9.42578125" style="58"/>
    <col min="3849" max="3849" width="13.5703125" style="58" bestFit="1" customWidth="1"/>
    <col min="3850" max="4092" width="9.42578125" style="58"/>
    <col min="4093" max="4093" width="12.5703125" style="58" customWidth="1"/>
    <col min="4094" max="4094" width="38" style="58" customWidth="1"/>
    <col min="4095" max="4095" width="2.42578125" style="58" customWidth="1"/>
    <col min="4096" max="4096" width="21.42578125" style="58" bestFit="1" customWidth="1"/>
    <col min="4097" max="4097" width="3.5703125" style="58" customWidth="1"/>
    <col min="4098" max="4098" width="21.42578125" style="58" bestFit="1" customWidth="1"/>
    <col min="4099" max="4099" width="3.5703125" style="58" customWidth="1"/>
    <col min="4100" max="4100" width="23" style="58" bestFit="1" customWidth="1"/>
    <col min="4101" max="4101" width="3.5703125" style="58" customWidth="1"/>
    <col min="4102" max="4102" width="23" style="58" bestFit="1" customWidth="1"/>
    <col min="4103" max="4103" width="1.42578125" style="58" customWidth="1"/>
    <col min="4104" max="4104" width="9.42578125" style="58"/>
    <col min="4105" max="4105" width="13.5703125" style="58" bestFit="1" customWidth="1"/>
    <col min="4106" max="4348" width="9.42578125" style="58"/>
    <col min="4349" max="4349" width="12.5703125" style="58" customWidth="1"/>
    <col min="4350" max="4350" width="38" style="58" customWidth="1"/>
    <col min="4351" max="4351" width="2.42578125" style="58" customWidth="1"/>
    <col min="4352" max="4352" width="21.42578125" style="58" bestFit="1" customWidth="1"/>
    <col min="4353" max="4353" width="3.5703125" style="58" customWidth="1"/>
    <col min="4354" max="4354" width="21.42578125" style="58" bestFit="1" customWidth="1"/>
    <col min="4355" max="4355" width="3.5703125" style="58" customWidth="1"/>
    <col min="4356" max="4356" width="23" style="58" bestFit="1" customWidth="1"/>
    <col min="4357" max="4357" width="3.5703125" style="58" customWidth="1"/>
    <col min="4358" max="4358" width="23" style="58" bestFit="1" customWidth="1"/>
    <col min="4359" max="4359" width="1.42578125" style="58" customWidth="1"/>
    <col min="4360" max="4360" width="9.42578125" style="58"/>
    <col min="4361" max="4361" width="13.5703125" style="58" bestFit="1" customWidth="1"/>
    <col min="4362" max="4604" width="9.42578125" style="58"/>
    <col min="4605" max="4605" width="12.5703125" style="58" customWidth="1"/>
    <col min="4606" max="4606" width="38" style="58" customWidth="1"/>
    <col min="4607" max="4607" width="2.42578125" style="58" customWidth="1"/>
    <col min="4608" max="4608" width="21.42578125" style="58" bestFit="1" customWidth="1"/>
    <col min="4609" max="4609" width="3.5703125" style="58" customWidth="1"/>
    <col min="4610" max="4610" width="21.42578125" style="58" bestFit="1" customWidth="1"/>
    <col min="4611" max="4611" width="3.5703125" style="58" customWidth="1"/>
    <col min="4612" max="4612" width="23" style="58" bestFit="1" customWidth="1"/>
    <col min="4613" max="4613" width="3.5703125" style="58" customWidth="1"/>
    <col min="4614" max="4614" width="23" style="58" bestFit="1" customWidth="1"/>
    <col min="4615" max="4615" width="1.42578125" style="58" customWidth="1"/>
    <col min="4616" max="4616" width="9.42578125" style="58"/>
    <col min="4617" max="4617" width="13.5703125" style="58" bestFit="1" customWidth="1"/>
    <col min="4618" max="4860" width="9.42578125" style="58"/>
    <col min="4861" max="4861" width="12.5703125" style="58" customWidth="1"/>
    <col min="4862" max="4862" width="38" style="58" customWidth="1"/>
    <col min="4863" max="4863" width="2.42578125" style="58" customWidth="1"/>
    <col min="4864" max="4864" width="21.42578125" style="58" bestFit="1" customWidth="1"/>
    <col min="4865" max="4865" width="3.5703125" style="58" customWidth="1"/>
    <col min="4866" max="4866" width="21.42578125" style="58" bestFit="1" customWidth="1"/>
    <col min="4867" max="4867" width="3.5703125" style="58" customWidth="1"/>
    <col min="4868" max="4868" width="23" style="58" bestFit="1" customWidth="1"/>
    <col min="4869" max="4869" width="3.5703125" style="58" customWidth="1"/>
    <col min="4870" max="4870" width="23" style="58" bestFit="1" customWidth="1"/>
    <col min="4871" max="4871" width="1.42578125" style="58" customWidth="1"/>
    <col min="4872" max="4872" width="9.42578125" style="58"/>
    <col min="4873" max="4873" width="13.5703125" style="58" bestFit="1" customWidth="1"/>
    <col min="4874" max="5116" width="9.42578125" style="58"/>
    <col min="5117" max="5117" width="12.5703125" style="58" customWidth="1"/>
    <col min="5118" max="5118" width="38" style="58" customWidth="1"/>
    <col min="5119" max="5119" width="2.42578125" style="58" customWidth="1"/>
    <col min="5120" max="5120" width="21.42578125" style="58" bestFit="1" customWidth="1"/>
    <col min="5121" max="5121" width="3.5703125" style="58" customWidth="1"/>
    <col min="5122" max="5122" width="21.42578125" style="58" bestFit="1" customWidth="1"/>
    <col min="5123" max="5123" width="3.5703125" style="58" customWidth="1"/>
    <col min="5124" max="5124" width="23" style="58" bestFit="1" customWidth="1"/>
    <col min="5125" max="5125" width="3.5703125" style="58" customWidth="1"/>
    <col min="5126" max="5126" width="23" style="58" bestFit="1" customWidth="1"/>
    <col min="5127" max="5127" width="1.42578125" style="58" customWidth="1"/>
    <col min="5128" max="5128" width="9.42578125" style="58"/>
    <col min="5129" max="5129" width="13.5703125" style="58" bestFit="1" customWidth="1"/>
    <col min="5130" max="5372" width="9.42578125" style="58"/>
    <col min="5373" max="5373" width="12.5703125" style="58" customWidth="1"/>
    <col min="5374" max="5374" width="38" style="58" customWidth="1"/>
    <col min="5375" max="5375" width="2.42578125" style="58" customWidth="1"/>
    <col min="5376" max="5376" width="21.42578125" style="58" bestFit="1" customWidth="1"/>
    <col min="5377" max="5377" width="3.5703125" style="58" customWidth="1"/>
    <col min="5378" max="5378" width="21.42578125" style="58" bestFit="1" customWidth="1"/>
    <col min="5379" max="5379" width="3.5703125" style="58" customWidth="1"/>
    <col min="5380" max="5380" width="23" style="58" bestFit="1" customWidth="1"/>
    <col min="5381" max="5381" width="3.5703125" style="58" customWidth="1"/>
    <col min="5382" max="5382" width="23" style="58" bestFit="1" customWidth="1"/>
    <col min="5383" max="5383" width="1.42578125" style="58" customWidth="1"/>
    <col min="5384" max="5384" width="9.42578125" style="58"/>
    <col min="5385" max="5385" width="13.5703125" style="58" bestFit="1" customWidth="1"/>
    <col min="5386" max="5628" width="9.42578125" style="58"/>
    <col min="5629" max="5629" width="12.5703125" style="58" customWidth="1"/>
    <col min="5630" max="5630" width="38" style="58" customWidth="1"/>
    <col min="5631" max="5631" width="2.42578125" style="58" customWidth="1"/>
    <col min="5632" max="5632" width="21.42578125" style="58" bestFit="1" customWidth="1"/>
    <col min="5633" max="5633" width="3.5703125" style="58" customWidth="1"/>
    <col min="5634" max="5634" width="21.42578125" style="58" bestFit="1" customWidth="1"/>
    <col min="5635" max="5635" width="3.5703125" style="58" customWidth="1"/>
    <col min="5636" max="5636" width="23" style="58" bestFit="1" customWidth="1"/>
    <col min="5637" max="5637" width="3.5703125" style="58" customWidth="1"/>
    <col min="5638" max="5638" width="23" style="58" bestFit="1" customWidth="1"/>
    <col min="5639" max="5639" width="1.42578125" style="58" customWidth="1"/>
    <col min="5640" max="5640" width="9.42578125" style="58"/>
    <col min="5641" max="5641" width="13.5703125" style="58" bestFit="1" customWidth="1"/>
    <col min="5642" max="5884" width="9.42578125" style="58"/>
    <col min="5885" max="5885" width="12.5703125" style="58" customWidth="1"/>
    <col min="5886" max="5886" width="38" style="58" customWidth="1"/>
    <col min="5887" max="5887" width="2.42578125" style="58" customWidth="1"/>
    <col min="5888" max="5888" width="21.42578125" style="58" bestFit="1" customWidth="1"/>
    <col min="5889" max="5889" width="3.5703125" style="58" customWidth="1"/>
    <col min="5890" max="5890" width="21.42578125" style="58" bestFit="1" customWidth="1"/>
    <col min="5891" max="5891" width="3.5703125" style="58" customWidth="1"/>
    <col min="5892" max="5892" width="23" style="58" bestFit="1" customWidth="1"/>
    <col min="5893" max="5893" width="3.5703125" style="58" customWidth="1"/>
    <col min="5894" max="5894" width="23" style="58" bestFit="1" customWidth="1"/>
    <col min="5895" max="5895" width="1.42578125" style="58" customWidth="1"/>
    <col min="5896" max="5896" width="9.42578125" style="58"/>
    <col min="5897" max="5897" width="13.5703125" style="58" bestFit="1" customWidth="1"/>
    <col min="5898" max="6140" width="9.42578125" style="58"/>
    <col min="6141" max="6141" width="12.5703125" style="58" customWidth="1"/>
    <col min="6142" max="6142" width="38" style="58" customWidth="1"/>
    <col min="6143" max="6143" width="2.42578125" style="58" customWidth="1"/>
    <col min="6144" max="6144" width="21.42578125" style="58" bestFit="1" customWidth="1"/>
    <col min="6145" max="6145" width="3.5703125" style="58" customWidth="1"/>
    <col min="6146" max="6146" width="21.42578125" style="58" bestFit="1" customWidth="1"/>
    <col min="6147" max="6147" width="3.5703125" style="58" customWidth="1"/>
    <col min="6148" max="6148" width="23" style="58" bestFit="1" customWidth="1"/>
    <col min="6149" max="6149" width="3.5703125" style="58" customWidth="1"/>
    <col min="6150" max="6150" width="23" style="58" bestFit="1" customWidth="1"/>
    <col min="6151" max="6151" width="1.42578125" style="58" customWidth="1"/>
    <col min="6152" max="6152" width="9.42578125" style="58"/>
    <col min="6153" max="6153" width="13.5703125" style="58" bestFit="1" customWidth="1"/>
    <col min="6154" max="6396" width="9.42578125" style="58"/>
    <col min="6397" max="6397" width="12.5703125" style="58" customWidth="1"/>
    <col min="6398" max="6398" width="38" style="58" customWidth="1"/>
    <col min="6399" max="6399" width="2.42578125" style="58" customWidth="1"/>
    <col min="6400" max="6400" width="21.42578125" style="58" bestFit="1" customWidth="1"/>
    <col min="6401" max="6401" width="3.5703125" style="58" customWidth="1"/>
    <col min="6402" max="6402" width="21.42578125" style="58" bestFit="1" customWidth="1"/>
    <col min="6403" max="6403" width="3.5703125" style="58" customWidth="1"/>
    <col min="6404" max="6404" width="23" style="58" bestFit="1" customWidth="1"/>
    <col min="6405" max="6405" width="3.5703125" style="58" customWidth="1"/>
    <col min="6406" max="6406" width="23" style="58" bestFit="1" customWidth="1"/>
    <col min="6407" max="6407" width="1.42578125" style="58" customWidth="1"/>
    <col min="6408" max="6408" width="9.42578125" style="58"/>
    <col min="6409" max="6409" width="13.5703125" style="58" bestFit="1" customWidth="1"/>
    <col min="6410" max="6652" width="9.42578125" style="58"/>
    <col min="6653" max="6653" width="12.5703125" style="58" customWidth="1"/>
    <col min="6654" max="6654" width="38" style="58" customWidth="1"/>
    <col min="6655" max="6655" width="2.42578125" style="58" customWidth="1"/>
    <col min="6656" max="6656" width="21.42578125" style="58" bestFit="1" customWidth="1"/>
    <col min="6657" max="6657" width="3.5703125" style="58" customWidth="1"/>
    <col min="6658" max="6658" width="21.42578125" style="58" bestFit="1" customWidth="1"/>
    <col min="6659" max="6659" width="3.5703125" style="58" customWidth="1"/>
    <col min="6660" max="6660" width="23" style="58" bestFit="1" customWidth="1"/>
    <col min="6661" max="6661" width="3.5703125" style="58" customWidth="1"/>
    <col min="6662" max="6662" width="23" style="58" bestFit="1" customWidth="1"/>
    <col min="6663" max="6663" width="1.42578125" style="58" customWidth="1"/>
    <col min="6664" max="6664" width="9.42578125" style="58"/>
    <col min="6665" max="6665" width="13.5703125" style="58" bestFit="1" customWidth="1"/>
    <col min="6666" max="6908" width="9.42578125" style="58"/>
    <col min="6909" max="6909" width="12.5703125" style="58" customWidth="1"/>
    <col min="6910" max="6910" width="38" style="58" customWidth="1"/>
    <col min="6911" max="6911" width="2.42578125" style="58" customWidth="1"/>
    <col min="6912" max="6912" width="21.42578125" style="58" bestFit="1" customWidth="1"/>
    <col min="6913" max="6913" width="3.5703125" style="58" customWidth="1"/>
    <col min="6914" max="6914" width="21.42578125" style="58" bestFit="1" customWidth="1"/>
    <col min="6915" max="6915" width="3.5703125" style="58" customWidth="1"/>
    <col min="6916" max="6916" width="23" style="58" bestFit="1" customWidth="1"/>
    <col min="6917" max="6917" width="3.5703125" style="58" customWidth="1"/>
    <col min="6918" max="6918" width="23" style="58" bestFit="1" customWidth="1"/>
    <col min="6919" max="6919" width="1.42578125" style="58" customWidth="1"/>
    <col min="6920" max="6920" width="9.42578125" style="58"/>
    <col min="6921" max="6921" width="13.5703125" style="58" bestFit="1" customWidth="1"/>
    <col min="6922" max="7164" width="9.42578125" style="58"/>
    <col min="7165" max="7165" width="12.5703125" style="58" customWidth="1"/>
    <col min="7166" max="7166" width="38" style="58" customWidth="1"/>
    <col min="7167" max="7167" width="2.42578125" style="58" customWidth="1"/>
    <col min="7168" max="7168" width="21.42578125" style="58" bestFit="1" customWidth="1"/>
    <col min="7169" max="7169" width="3.5703125" style="58" customWidth="1"/>
    <col min="7170" max="7170" width="21.42578125" style="58" bestFit="1" customWidth="1"/>
    <col min="7171" max="7171" width="3.5703125" style="58" customWidth="1"/>
    <col min="7172" max="7172" width="23" style="58" bestFit="1" customWidth="1"/>
    <col min="7173" max="7173" width="3.5703125" style="58" customWidth="1"/>
    <col min="7174" max="7174" width="23" style="58" bestFit="1" customWidth="1"/>
    <col min="7175" max="7175" width="1.42578125" style="58" customWidth="1"/>
    <col min="7176" max="7176" width="9.42578125" style="58"/>
    <col min="7177" max="7177" width="13.5703125" style="58" bestFit="1" customWidth="1"/>
    <col min="7178" max="7420" width="9.42578125" style="58"/>
    <col min="7421" max="7421" width="12.5703125" style="58" customWidth="1"/>
    <col min="7422" max="7422" width="38" style="58" customWidth="1"/>
    <col min="7423" max="7423" width="2.42578125" style="58" customWidth="1"/>
    <col min="7424" max="7424" width="21.42578125" style="58" bestFit="1" customWidth="1"/>
    <col min="7425" max="7425" width="3.5703125" style="58" customWidth="1"/>
    <col min="7426" max="7426" width="21.42578125" style="58" bestFit="1" customWidth="1"/>
    <col min="7427" max="7427" width="3.5703125" style="58" customWidth="1"/>
    <col min="7428" max="7428" width="23" style="58" bestFit="1" customWidth="1"/>
    <col min="7429" max="7429" width="3.5703125" style="58" customWidth="1"/>
    <col min="7430" max="7430" width="23" style="58" bestFit="1" customWidth="1"/>
    <col min="7431" max="7431" width="1.42578125" style="58" customWidth="1"/>
    <col min="7432" max="7432" width="9.42578125" style="58"/>
    <col min="7433" max="7433" width="13.5703125" style="58" bestFit="1" customWidth="1"/>
    <col min="7434" max="7676" width="9.42578125" style="58"/>
    <col min="7677" max="7677" width="12.5703125" style="58" customWidth="1"/>
    <col min="7678" max="7678" width="38" style="58" customWidth="1"/>
    <col min="7679" max="7679" width="2.42578125" style="58" customWidth="1"/>
    <col min="7680" max="7680" width="21.42578125" style="58" bestFit="1" customWidth="1"/>
    <col min="7681" max="7681" width="3.5703125" style="58" customWidth="1"/>
    <col min="7682" max="7682" width="21.42578125" style="58" bestFit="1" customWidth="1"/>
    <col min="7683" max="7683" width="3.5703125" style="58" customWidth="1"/>
    <col min="7684" max="7684" width="23" style="58" bestFit="1" customWidth="1"/>
    <col min="7685" max="7685" width="3.5703125" style="58" customWidth="1"/>
    <col min="7686" max="7686" width="23" style="58" bestFit="1" customWidth="1"/>
    <col min="7687" max="7687" width="1.42578125" style="58" customWidth="1"/>
    <col min="7688" max="7688" width="9.42578125" style="58"/>
    <col min="7689" max="7689" width="13.5703125" style="58" bestFit="1" customWidth="1"/>
    <col min="7690" max="7932" width="9.42578125" style="58"/>
    <col min="7933" max="7933" width="12.5703125" style="58" customWidth="1"/>
    <col min="7934" max="7934" width="38" style="58" customWidth="1"/>
    <col min="7935" max="7935" width="2.42578125" style="58" customWidth="1"/>
    <col min="7936" max="7936" width="21.42578125" style="58" bestFit="1" customWidth="1"/>
    <col min="7937" max="7937" width="3.5703125" style="58" customWidth="1"/>
    <col min="7938" max="7938" width="21.42578125" style="58" bestFit="1" customWidth="1"/>
    <col min="7939" max="7939" width="3.5703125" style="58" customWidth="1"/>
    <col min="7940" max="7940" width="23" style="58" bestFit="1" customWidth="1"/>
    <col min="7941" max="7941" width="3.5703125" style="58" customWidth="1"/>
    <col min="7942" max="7942" width="23" style="58" bestFit="1" customWidth="1"/>
    <col min="7943" max="7943" width="1.42578125" style="58" customWidth="1"/>
    <col min="7944" max="7944" width="9.42578125" style="58"/>
    <col min="7945" max="7945" width="13.5703125" style="58" bestFit="1" customWidth="1"/>
    <col min="7946" max="8188" width="9.42578125" style="58"/>
    <col min="8189" max="8189" width="12.5703125" style="58" customWidth="1"/>
    <col min="8190" max="8190" width="38" style="58" customWidth="1"/>
    <col min="8191" max="8191" width="2.42578125" style="58" customWidth="1"/>
    <col min="8192" max="8192" width="21.42578125" style="58" bestFit="1" customWidth="1"/>
    <col min="8193" max="8193" width="3.5703125" style="58" customWidth="1"/>
    <col min="8194" max="8194" width="21.42578125" style="58" bestFit="1" customWidth="1"/>
    <col min="8195" max="8195" width="3.5703125" style="58" customWidth="1"/>
    <col min="8196" max="8196" width="23" style="58" bestFit="1" customWidth="1"/>
    <col min="8197" max="8197" width="3.5703125" style="58" customWidth="1"/>
    <col min="8198" max="8198" width="23" style="58" bestFit="1" customWidth="1"/>
    <col min="8199" max="8199" width="1.42578125" style="58" customWidth="1"/>
    <col min="8200" max="8200" width="9.42578125" style="58"/>
    <col min="8201" max="8201" width="13.5703125" style="58" bestFit="1" customWidth="1"/>
    <col min="8202" max="8444" width="9.42578125" style="58"/>
    <col min="8445" max="8445" width="12.5703125" style="58" customWidth="1"/>
    <col min="8446" max="8446" width="38" style="58" customWidth="1"/>
    <col min="8447" max="8447" width="2.42578125" style="58" customWidth="1"/>
    <col min="8448" max="8448" width="21.42578125" style="58" bestFit="1" customWidth="1"/>
    <col min="8449" max="8449" width="3.5703125" style="58" customWidth="1"/>
    <col min="8450" max="8450" width="21.42578125" style="58" bestFit="1" customWidth="1"/>
    <col min="8451" max="8451" width="3.5703125" style="58" customWidth="1"/>
    <col min="8452" max="8452" width="23" style="58" bestFit="1" customWidth="1"/>
    <col min="8453" max="8453" width="3.5703125" style="58" customWidth="1"/>
    <col min="8454" max="8454" width="23" style="58" bestFit="1" customWidth="1"/>
    <col min="8455" max="8455" width="1.42578125" style="58" customWidth="1"/>
    <col min="8456" max="8456" width="9.42578125" style="58"/>
    <col min="8457" max="8457" width="13.5703125" style="58" bestFit="1" customWidth="1"/>
    <col min="8458" max="8700" width="9.42578125" style="58"/>
    <col min="8701" max="8701" width="12.5703125" style="58" customWidth="1"/>
    <col min="8702" max="8702" width="38" style="58" customWidth="1"/>
    <col min="8703" max="8703" width="2.42578125" style="58" customWidth="1"/>
    <col min="8704" max="8704" width="21.42578125" style="58" bestFit="1" customWidth="1"/>
    <col min="8705" max="8705" width="3.5703125" style="58" customWidth="1"/>
    <col min="8706" max="8706" width="21.42578125" style="58" bestFit="1" customWidth="1"/>
    <col min="8707" max="8707" width="3.5703125" style="58" customWidth="1"/>
    <col min="8708" max="8708" width="23" style="58" bestFit="1" customWidth="1"/>
    <col min="8709" max="8709" width="3.5703125" style="58" customWidth="1"/>
    <col min="8710" max="8710" width="23" style="58" bestFit="1" customWidth="1"/>
    <col min="8711" max="8711" width="1.42578125" style="58" customWidth="1"/>
    <col min="8712" max="8712" width="9.42578125" style="58"/>
    <col min="8713" max="8713" width="13.5703125" style="58" bestFit="1" customWidth="1"/>
    <col min="8714" max="8956" width="9.42578125" style="58"/>
    <col min="8957" max="8957" width="12.5703125" style="58" customWidth="1"/>
    <col min="8958" max="8958" width="38" style="58" customWidth="1"/>
    <col min="8959" max="8959" width="2.42578125" style="58" customWidth="1"/>
    <col min="8960" max="8960" width="21.42578125" style="58" bestFit="1" customWidth="1"/>
    <col min="8961" max="8961" width="3.5703125" style="58" customWidth="1"/>
    <col min="8962" max="8962" width="21.42578125" style="58" bestFit="1" customWidth="1"/>
    <col min="8963" max="8963" width="3.5703125" style="58" customWidth="1"/>
    <col min="8964" max="8964" width="23" style="58" bestFit="1" customWidth="1"/>
    <col min="8965" max="8965" width="3.5703125" style="58" customWidth="1"/>
    <col min="8966" max="8966" width="23" style="58" bestFit="1" customWidth="1"/>
    <col min="8967" max="8967" width="1.42578125" style="58" customWidth="1"/>
    <col min="8968" max="8968" width="9.42578125" style="58"/>
    <col min="8969" max="8969" width="13.5703125" style="58" bestFit="1" customWidth="1"/>
    <col min="8970" max="9212" width="9.42578125" style="58"/>
    <col min="9213" max="9213" width="12.5703125" style="58" customWidth="1"/>
    <col min="9214" max="9214" width="38" style="58" customWidth="1"/>
    <col min="9215" max="9215" width="2.42578125" style="58" customWidth="1"/>
    <col min="9216" max="9216" width="21.42578125" style="58" bestFit="1" customWidth="1"/>
    <col min="9217" max="9217" width="3.5703125" style="58" customWidth="1"/>
    <col min="9218" max="9218" width="21.42578125" style="58" bestFit="1" customWidth="1"/>
    <col min="9219" max="9219" width="3.5703125" style="58" customWidth="1"/>
    <col min="9220" max="9220" width="23" style="58" bestFit="1" customWidth="1"/>
    <col min="9221" max="9221" width="3.5703125" style="58" customWidth="1"/>
    <col min="9222" max="9222" width="23" style="58" bestFit="1" customWidth="1"/>
    <col min="9223" max="9223" width="1.42578125" style="58" customWidth="1"/>
    <col min="9224" max="9224" width="9.42578125" style="58"/>
    <col min="9225" max="9225" width="13.5703125" style="58" bestFit="1" customWidth="1"/>
    <col min="9226" max="9468" width="9.42578125" style="58"/>
    <col min="9469" max="9469" width="12.5703125" style="58" customWidth="1"/>
    <col min="9470" max="9470" width="38" style="58" customWidth="1"/>
    <col min="9471" max="9471" width="2.42578125" style="58" customWidth="1"/>
    <col min="9472" max="9472" width="21.42578125" style="58" bestFit="1" customWidth="1"/>
    <col min="9473" max="9473" width="3.5703125" style="58" customWidth="1"/>
    <col min="9474" max="9474" width="21.42578125" style="58" bestFit="1" customWidth="1"/>
    <col min="9475" max="9475" width="3.5703125" style="58" customWidth="1"/>
    <col min="9476" max="9476" width="23" style="58" bestFit="1" customWidth="1"/>
    <col min="9477" max="9477" width="3.5703125" style="58" customWidth="1"/>
    <col min="9478" max="9478" width="23" style="58" bestFit="1" customWidth="1"/>
    <col min="9479" max="9479" width="1.42578125" style="58" customWidth="1"/>
    <col min="9480" max="9480" width="9.42578125" style="58"/>
    <col min="9481" max="9481" width="13.5703125" style="58" bestFit="1" customWidth="1"/>
    <col min="9482" max="9724" width="9.42578125" style="58"/>
    <col min="9725" max="9725" width="12.5703125" style="58" customWidth="1"/>
    <col min="9726" max="9726" width="38" style="58" customWidth="1"/>
    <col min="9727" max="9727" width="2.42578125" style="58" customWidth="1"/>
    <col min="9728" max="9728" width="21.42578125" style="58" bestFit="1" customWidth="1"/>
    <col min="9729" max="9729" width="3.5703125" style="58" customWidth="1"/>
    <col min="9730" max="9730" width="21.42578125" style="58" bestFit="1" customWidth="1"/>
    <col min="9731" max="9731" width="3.5703125" style="58" customWidth="1"/>
    <col min="9732" max="9732" width="23" style="58" bestFit="1" customWidth="1"/>
    <col min="9733" max="9733" width="3.5703125" style="58" customWidth="1"/>
    <col min="9734" max="9734" width="23" style="58" bestFit="1" customWidth="1"/>
    <col min="9735" max="9735" width="1.42578125" style="58" customWidth="1"/>
    <col min="9736" max="9736" width="9.42578125" style="58"/>
    <col min="9737" max="9737" width="13.5703125" style="58" bestFit="1" customWidth="1"/>
    <col min="9738" max="9980" width="9.42578125" style="58"/>
    <col min="9981" max="9981" width="12.5703125" style="58" customWidth="1"/>
    <col min="9982" max="9982" width="38" style="58" customWidth="1"/>
    <col min="9983" max="9983" width="2.42578125" style="58" customWidth="1"/>
    <col min="9984" max="9984" width="21.42578125" style="58" bestFit="1" customWidth="1"/>
    <col min="9985" max="9985" width="3.5703125" style="58" customWidth="1"/>
    <col min="9986" max="9986" width="21.42578125" style="58" bestFit="1" customWidth="1"/>
    <col min="9987" max="9987" width="3.5703125" style="58" customWidth="1"/>
    <col min="9988" max="9988" width="23" style="58" bestFit="1" customWidth="1"/>
    <col min="9989" max="9989" width="3.5703125" style="58" customWidth="1"/>
    <col min="9990" max="9990" width="23" style="58" bestFit="1" customWidth="1"/>
    <col min="9991" max="9991" width="1.42578125" style="58" customWidth="1"/>
    <col min="9992" max="9992" width="9.42578125" style="58"/>
    <col min="9993" max="9993" width="13.5703125" style="58" bestFit="1" customWidth="1"/>
    <col min="9994" max="10236" width="9.42578125" style="58"/>
    <col min="10237" max="10237" width="12.5703125" style="58" customWidth="1"/>
    <col min="10238" max="10238" width="38" style="58" customWidth="1"/>
    <col min="10239" max="10239" width="2.42578125" style="58" customWidth="1"/>
    <col min="10240" max="10240" width="21.42578125" style="58" bestFit="1" customWidth="1"/>
    <col min="10241" max="10241" width="3.5703125" style="58" customWidth="1"/>
    <col min="10242" max="10242" width="21.42578125" style="58" bestFit="1" customWidth="1"/>
    <col min="10243" max="10243" width="3.5703125" style="58" customWidth="1"/>
    <col min="10244" max="10244" width="23" style="58" bestFit="1" customWidth="1"/>
    <col min="10245" max="10245" width="3.5703125" style="58" customWidth="1"/>
    <col min="10246" max="10246" width="23" style="58" bestFit="1" customWidth="1"/>
    <col min="10247" max="10247" width="1.42578125" style="58" customWidth="1"/>
    <col min="10248" max="10248" width="9.42578125" style="58"/>
    <col min="10249" max="10249" width="13.5703125" style="58" bestFit="1" customWidth="1"/>
    <col min="10250" max="10492" width="9.42578125" style="58"/>
    <col min="10493" max="10493" width="12.5703125" style="58" customWidth="1"/>
    <col min="10494" max="10494" width="38" style="58" customWidth="1"/>
    <col min="10495" max="10495" width="2.42578125" style="58" customWidth="1"/>
    <col min="10496" max="10496" width="21.42578125" style="58" bestFit="1" customWidth="1"/>
    <col min="10497" max="10497" width="3.5703125" style="58" customWidth="1"/>
    <col min="10498" max="10498" width="21.42578125" style="58" bestFit="1" customWidth="1"/>
    <col min="10499" max="10499" width="3.5703125" style="58" customWidth="1"/>
    <col min="10500" max="10500" width="23" style="58" bestFit="1" customWidth="1"/>
    <col min="10501" max="10501" width="3.5703125" style="58" customWidth="1"/>
    <col min="10502" max="10502" width="23" style="58" bestFit="1" customWidth="1"/>
    <col min="10503" max="10503" width="1.42578125" style="58" customWidth="1"/>
    <col min="10504" max="10504" width="9.42578125" style="58"/>
    <col min="10505" max="10505" width="13.5703125" style="58" bestFit="1" customWidth="1"/>
    <col min="10506" max="10748" width="9.42578125" style="58"/>
    <col min="10749" max="10749" width="12.5703125" style="58" customWidth="1"/>
    <col min="10750" max="10750" width="38" style="58" customWidth="1"/>
    <col min="10751" max="10751" width="2.42578125" style="58" customWidth="1"/>
    <col min="10752" max="10752" width="21.42578125" style="58" bestFit="1" customWidth="1"/>
    <col min="10753" max="10753" width="3.5703125" style="58" customWidth="1"/>
    <col min="10754" max="10754" width="21.42578125" style="58" bestFit="1" customWidth="1"/>
    <col min="10755" max="10755" width="3.5703125" style="58" customWidth="1"/>
    <col min="10756" max="10756" width="23" style="58" bestFit="1" customWidth="1"/>
    <col min="10757" max="10757" width="3.5703125" style="58" customWidth="1"/>
    <col min="10758" max="10758" width="23" style="58" bestFit="1" customWidth="1"/>
    <col min="10759" max="10759" width="1.42578125" style="58" customWidth="1"/>
    <col min="10760" max="10760" width="9.42578125" style="58"/>
    <col min="10761" max="10761" width="13.5703125" style="58" bestFit="1" customWidth="1"/>
    <col min="10762" max="11004" width="9.42578125" style="58"/>
    <col min="11005" max="11005" width="12.5703125" style="58" customWidth="1"/>
    <col min="11006" max="11006" width="38" style="58" customWidth="1"/>
    <col min="11007" max="11007" width="2.42578125" style="58" customWidth="1"/>
    <col min="11008" max="11008" width="21.42578125" style="58" bestFit="1" customWidth="1"/>
    <col min="11009" max="11009" width="3.5703125" style="58" customWidth="1"/>
    <col min="11010" max="11010" width="21.42578125" style="58" bestFit="1" customWidth="1"/>
    <col min="11011" max="11011" width="3.5703125" style="58" customWidth="1"/>
    <col min="11012" max="11012" width="23" style="58" bestFit="1" customWidth="1"/>
    <col min="11013" max="11013" width="3.5703125" style="58" customWidth="1"/>
    <col min="11014" max="11014" width="23" style="58" bestFit="1" customWidth="1"/>
    <col min="11015" max="11015" width="1.42578125" style="58" customWidth="1"/>
    <col min="11016" max="11016" width="9.42578125" style="58"/>
    <col min="11017" max="11017" width="13.5703125" style="58" bestFit="1" customWidth="1"/>
    <col min="11018" max="11260" width="9.42578125" style="58"/>
    <col min="11261" max="11261" width="12.5703125" style="58" customWidth="1"/>
    <col min="11262" max="11262" width="38" style="58" customWidth="1"/>
    <col min="11263" max="11263" width="2.42578125" style="58" customWidth="1"/>
    <col min="11264" max="11264" width="21.42578125" style="58" bestFit="1" customWidth="1"/>
    <col min="11265" max="11265" width="3.5703125" style="58" customWidth="1"/>
    <col min="11266" max="11266" width="21.42578125" style="58" bestFit="1" customWidth="1"/>
    <col min="11267" max="11267" width="3.5703125" style="58" customWidth="1"/>
    <col min="11268" max="11268" width="23" style="58" bestFit="1" customWidth="1"/>
    <col min="11269" max="11269" width="3.5703125" style="58" customWidth="1"/>
    <col min="11270" max="11270" width="23" style="58" bestFit="1" customWidth="1"/>
    <col min="11271" max="11271" width="1.42578125" style="58" customWidth="1"/>
    <col min="11272" max="11272" width="9.42578125" style="58"/>
    <col min="11273" max="11273" width="13.5703125" style="58" bestFit="1" customWidth="1"/>
    <col min="11274" max="11516" width="9.42578125" style="58"/>
    <col min="11517" max="11517" width="12.5703125" style="58" customWidth="1"/>
    <col min="11518" max="11518" width="38" style="58" customWidth="1"/>
    <col min="11519" max="11519" width="2.42578125" style="58" customWidth="1"/>
    <col min="11520" max="11520" width="21.42578125" style="58" bestFit="1" customWidth="1"/>
    <col min="11521" max="11521" width="3.5703125" style="58" customWidth="1"/>
    <col min="11522" max="11522" width="21.42578125" style="58" bestFit="1" customWidth="1"/>
    <col min="11523" max="11523" width="3.5703125" style="58" customWidth="1"/>
    <col min="11524" max="11524" width="23" style="58" bestFit="1" customWidth="1"/>
    <col min="11525" max="11525" width="3.5703125" style="58" customWidth="1"/>
    <col min="11526" max="11526" width="23" style="58" bestFit="1" customWidth="1"/>
    <col min="11527" max="11527" width="1.42578125" style="58" customWidth="1"/>
    <col min="11528" max="11528" width="9.42578125" style="58"/>
    <col min="11529" max="11529" width="13.5703125" style="58" bestFit="1" customWidth="1"/>
    <col min="11530" max="11772" width="9.42578125" style="58"/>
    <col min="11773" max="11773" width="12.5703125" style="58" customWidth="1"/>
    <col min="11774" max="11774" width="38" style="58" customWidth="1"/>
    <col min="11775" max="11775" width="2.42578125" style="58" customWidth="1"/>
    <col min="11776" max="11776" width="21.42578125" style="58" bestFit="1" customWidth="1"/>
    <col min="11777" max="11777" width="3.5703125" style="58" customWidth="1"/>
    <col min="11778" max="11778" width="21.42578125" style="58" bestFit="1" customWidth="1"/>
    <col min="11779" max="11779" width="3.5703125" style="58" customWidth="1"/>
    <col min="11780" max="11780" width="23" style="58" bestFit="1" customWidth="1"/>
    <col min="11781" max="11781" width="3.5703125" style="58" customWidth="1"/>
    <col min="11782" max="11782" width="23" style="58" bestFit="1" customWidth="1"/>
    <col min="11783" max="11783" width="1.42578125" style="58" customWidth="1"/>
    <col min="11784" max="11784" width="9.42578125" style="58"/>
    <col min="11785" max="11785" width="13.5703125" style="58" bestFit="1" customWidth="1"/>
    <col min="11786" max="12028" width="9.42578125" style="58"/>
    <col min="12029" max="12029" width="12.5703125" style="58" customWidth="1"/>
    <col min="12030" max="12030" width="38" style="58" customWidth="1"/>
    <col min="12031" max="12031" width="2.42578125" style="58" customWidth="1"/>
    <col min="12032" max="12032" width="21.42578125" style="58" bestFit="1" customWidth="1"/>
    <col min="12033" max="12033" width="3.5703125" style="58" customWidth="1"/>
    <col min="12034" max="12034" width="21.42578125" style="58" bestFit="1" customWidth="1"/>
    <col min="12035" max="12035" width="3.5703125" style="58" customWidth="1"/>
    <col min="12036" max="12036" width="23" style="58" bestFit="1" customWidth="1"/>
    <col min="12037" max="12037" width="3.5703125" style="58" customWidth="1"/>
    <col min="12038" max="12038" width="23" style="58" bestFit="1" customWidth="1"/>
    <col min="12039" max="12039" width="1.42578125" style="58" customWidth="1"/>
    <col min="12040" max="12040" width="9.42578125" style="58"/>
    <col min="12041" max="12041" width="13.5703125" style="58" bestFit="1" customWidth="1"/>
    <col min="12042" max="12284" width="9.42578125" style="58"/>
    <col min="12285" max="12285" width="12.5703125" style="58" customWidth="1"/>
    <col min="12286" max="12286" width="38" style="58" customWidth="1"/>
    <col min="12287" max="12287" width="2.42578125" style="58" customWidth="1"/>
    <col min="12288" max="12288" width="21.42578125" style="58" bestFit="1" customWidth="1"/>
    <col min="12289" max="12289" width="3.5703125" style="58" customWidth="1"/>
    <col min="12290" max="12290" width="21.42578125" style="58" bestFit="1" customWidth="1"/>
    <col min="12291" max="12291" width="3.5703125" style="58" customWidth="1"/>
    <col min="12292" max="12292" width="23" style="58" bestFit="1" customWidth="1"/>
    <col min="12293" max="12293" width="3.5703125" style="58" customWidth="1"/>
    <col min="12294" max="12294" width="23" style="58" bestFit="1" customWidth="1"/>
    <col min="12295" max="12295" width="1.42578125" style="58" customWidth="1"/>
    <col min="12296" max="12296" width="9.42578125" style="58"/>
    <col min="12297" max="12297" width="13.5703125" style="58" bestFit="1" customWidth="1"/>
    <col min="12298" max="12540" width="9.42578125" style="58"/>
    <col min="12541" max="12541" width="12.5703125" style="58" customWidth="1"/>
    <col min="12542" max="12542" width="38" style="58" customWidth="1"/>
    <col min="12543" max="12543" width="2.42578125" style="58" customWidth="1"/>
    <col min="12544" max="12544" width="21.42578125" style="58" bestFit="1" customWidth="1"/>
    <col min="12545" max="12545" width="3.5703125" style="58" customWidth="1"/>
    <col min="12546" max="12546" width="21.42578125" style="58" bestFit="1" customWidth="1"/>
    <col min="12547" max="12547" width="3.5703125" style="58" customWidth="1"/>
    <col min="12548" max="12548" width="23" style="58" bestFit="1" customWidth="1"/>
    <col min="12549" max="12549" width="3.5703125" style="58" customWidth="1"/>
    <col min="12550" max="12550" width="23" style="58" bestFit="1" customWidth="1"/>
    <col min="12551" max="12551" width="1.42578125" style="58" customWidth="1"/>
    <col min="12552" max="12552" width="9.42578125" style="58"/>
    <col min="12553" max="12553" width="13.5703125" style="58" bestFit="1" customWidth="1"/>
    <col min="12554" max="12796" width="9.42578125" style="58"/>
    <col min="12797" max="12797" width="12.5703125" style="58" customWidth="1"/>
    <col min="12798" max="12798" width="38" style="58" customWidth="1"/>
    <col min="12799" max="12799" width="2.42578125" style="58" customWidth="1"/>
    <col min="12800" max="12800" width="21.42578125" style="58" bestFit="1" customWidth="1"/>
    <col min="12801" max="12801" width="3.5703125" style="58" customWidth="1"/>
    <col min="12802" max="12802" width="21.42578125" style="58" bestFit="1" customWidth="1"/>
    <col min="12803" max="12803" width="3.5703125" style="58" customWidth="1"/>
    <col min="12804" max="12804" width="23" style="58" bestFit="1" customWidth="1"/>
    <col min="12805" max="12805" width="3.5703125" style="58" customWidth="1"/>
    <col min="12806" max="12806" width="23" style="58" bestFit="1" customWidth="1"/>
    <col min="12807" max="12807" width="1.42578125" style="58" customWidth="1"/>
    <col min="12808" max="12808" width="9.42578125" style="58"/>
    <col min="12809" max="12809" width="13.5703125" style="58" bestFit="1" customWidth="1"/>
    <col min="12810" max="13052" width="9.42578125" style="58"/>
    <col min="13053" max="13053" width="12.5703125" style="58" customWidth="1"/>
    <col min="13054" max="13054" width="38" style="58" customWidth="1"/>
    <col min="13055" max="13055" width="2.42578125" style="58" customWidth="1"/>
    <col min="13056" max="13056" width="21.42578125" style="58" bestFit="1" customWidth="1"/>
    <col min="13057" max="13057" width="3.5703125" style="58" customWidth="1"/>
    <col min="13058" max="13058" width="21.42578125" style="58" bestFit="1" customWidth="1"/>
    <col min="13059" max="13059" width="3.5703125" style="58" customWidth="1"/>
    <col min="13060" max="13060" width="23" style="58" bestFit="1" customWidth="1"/>
    <col min="13061" max="13061" width="3.5703125" style="58" customWidth="1"/>
    <col min="13062" max="13062" width="23" style="58" bestFit="1" customWidth="1"/>
    <col min="13063" max="13063" width="1.42578125" style="58" customWidth="1"/>
    <col min="13064" max="13064" width="9.42578125" style="58"/>
    <col min="13065" max="13065" width="13.5703125" style="58" bestFit="1" customWidth="1"/>
    <col min="13066" max="13308" width="9.42578125" style="58"/>
    <col min="13309" max="13309" width="12.5703125" style="58" customWidth="1"/>
    <col min="13310" max="13310" width="38" style="58" customWidth="1"/>
    <col min="13311" max="13311" width="2.42578125" style="58" customWidth="1"/>
    <col min="13312" max="13312" width="21.42578125" style="58" bestFit="1" customWidth="1"/>
    <col min="13313" max="13313" width="3.5703125" style="58" customWidth="1"/>
    <col min="13314" max="13314" width="21.42578125" style="58" bestFit="1" customWidth="1"/>
    <col min="13315" max="13315" width="3.5703125" style="58" customWidth="1"/>
    <col min="13316" max="13316" width="23" style="58" bestFit="1" customWidth="1"/>
    <col min="13317" max="13317" width="3.5703125" style="58" customWidth="1"/>
    <col min="13318" max="13318" width="23" style="58" bestFit="1" customWidth="1"/>
    <col min="13319" max="13319" width="1.42578125" style="58" customWidth="1"/>
    <col min="13320" max="13320" width="9.42578125" style="58"/>
    <col min="13321" max="13321" width="13.5703125" style="58" bestFit="1" customWidth="1"/>
    <col min="13322" max="13564" width="9.42578125" style="58"/>
    <col min="13565" max="13565" width="12.5703125" style="58" customWidth="1"/>
    <col min="13566" max="13566" width="38" style="58" customWidth="1"/>
    <col min="13567" max="13567" width="2.42578125" style="58" customWidth="1"/>
    <col min="13568" max="13568" width="21.42578125" style="58" bestFit="1" customWidth="1"/>
    <col min="13569" max="13569" width="3.5703125" style="58" customWidth="1"/>
    <col min="13570" max="13570" width="21.42578125" style="58" bestFit="1" customWidth="1"/>
    <col min="13571" max="13571" width="3.5703125" style="58" customWidth="1"/>
    <col min="13572" max="13572" width="23" style="58" bestFit="1" customWidth="1"/>
    <col min="13573" max="13573" width="3.5703125" style="58" customWidth="1"/>
    <col min="13574" max="13574" width="23" style="58" bestFit="1" customWidth="1"/>
    <col min="13575" max="13575" width="1.42578125" style="58" customWidth="1"/>
    <col min="13576" max="13576" width="9.42578125" style="58"/>
    <col min="13577" max="13577" width="13.5703125" style="58" bestFit="1" customWidth="1"/>
    <col min="13578" max="13820" width="9.42578125" style="58"/>
    <col min="13821" max="13821" width="12.5703125" style="58" customWidth="1"/>
    <col min="13822" max="13822" width="38" style="58" customWidth="1"/>
    <col min="13823" max="13823" width="2.42578125" style="58" customWidth="1"/>
    <col min="13824" max="13824" width="21.42578125" style="58" bestFit="1" customWidth="1"/>
    <col min="13825" max="13825" width="3.5703125" style="58" customWidth="1"/>
    <col min="13826" max="13826" width="21.42578125" style="58" bestFit="1" customWidth="1"/>
    <col min="13827" max="13827" width="3.5703125" style="58" customWidth="1"/>
    <col min="13828" max="13828" width="23" style="58" bestFit="1" customWidth="1"/>
    <col min="13829" max="13829" width="3.5703125" style="58" customWidth="1"/>
    <col min="13830" max="13830" width="23" style="58" bestFit="1" customWidth="1"/>
    <col min="13831" max="13831" width="1.42578125" style="58" customWidth="1"/>
    <col min="13832" max="13832" width="9.42578125" style="58"/>
    <col min="13833" max="13833" width="13.5703125" style="58" bestFit="1" customWidth="1"/>
    <col min="13834" max="14076" width="9.42578125" style="58"/>
    <col min="14077" max="14077" width="12.5703125" style="58" customWidth="1"/>
    <col min="14078" max="14078" width="38" style="58" customWidth="1"/>
    <col min="14079" max="14079" width="2.42578125" style="58" customWidth="1"/>
    <col min="14080" max="14080" width="21.42578125" style="58" bestFit="1" customWidth="1"/>
    <col min="14081" max="14081" width="3.5703125" style="58" customWidth="1"/>
    <col min="14082" max="14082" width="21.42578125" style="58" bestFit="1" customWidth="1"/>
    <col min="14083" max="14083" width="3.5703125" style="58" customWidth="1"/>
    <col min="14084" max="14084" width="23" style="58" bestFit="1" customWidth="1"/>
    <col min="14085" max="14085" width="3.5703125" style="58" customWidth="1"/>
    <col min="14086" max="14086" width="23" style="58" bestFit="1" customWidth="1"/>
    <col min="14087" max="14087" width="1.42578125" style="58" customWidth="1"/>
    <col min="14088" max="14088" width="9.42578125" style="58"/>
    <col min="14089" max="14089" width="13.5703125" style="58" bestFit="1" customWidth="1"/>
    <col min="14090" max="14332" width="9.42578125" style="58"/>
    <col min="14333" max="14333" width="12.5703125" style="58" customWidth="1"/>
    <col min="14334" max="14334" width="38" style="58" customWidth="1"/>
    <col min="14335" max="14335" width="2.42578125" style="58" customWidth="1"/>
    <col min="14336" max="14336" width="21.42578125" style="58" bestFit="1" customWidth="1"/>
    <col min="14337" max="14337" width="3.5703125" style="58" customWidth="1"/>
    <col min="14338" max="14338" width="21.42578125" style="58" bestFit="1" customWidth="1"/>
    <col min="14339" max="14339" width="3.5703125" style="58" customWidth="1"/>
    <col min="14340" max="14340" width="23" style="58" bestFit="1" customWidth="1"/>
    <col min="14341" max="14341" width="3.5703125" style="58" customWidth="1"/>
    <col min="14342" max="14342" width="23" style="58" bestFit="1" customWidth="1"/>
    <col min="14343" max="14343" width="1.42578125" style="58" customWidth="1"/>
    <col min="14344" max="14344" width="9.42578125" style="58"/>
    <col min="14345" max="14345" width="13.5703125" style="58" bestFit="1" customWidth="1"/>
    <col min="14346" max="14588" width="9.42578125" style="58"/>
    <col min="14589" max="14589" width="12.5703125" style="58" customWidth="1"/>
    <col min="14590" max="14590" width="38" style="58" customWidth="1"/>
    <col min="14591" max="14591" width="2.42578125" style="58" customWidth="1"/>
    <col min="14592" max="14592" width="21.42578125" style="58" bestFit="1" customWidth="1"/>
    <col min="14593" max="14593" width="3.5703125" style="58" customWidth="1"/>
    <col min="14594" max="14594" width="21.42578125" style="58" bestFit="1" customWidth="1"/>
    <col min="14595" max="14595" width="3.5703125" style="58" customWidth="1"/>
    <col min="14596" max="14596" width="23" style="58" bestFit="1" customWidth="1"/>
    <col min="14597" max="14597" width="3.5703125" style="58" customWidth="1"/>
    <col min="14598" max="14598" width="23" style="58" bestFit="1" customWidth="1"/>
    <col min="14599" max="14599" width="1.42578125" style="58" customWidth="1"/>
    <col min="14600" max="14600" width="9.42578125" style="58"/>
    <col min="14601" max="14601" width="13.5703125" style="58" bestFit="1" customWidth="1"/>
    <col min="14602" max="14844" width="9.42578125" style="58"/>
    <col min="14845" max="14845" width="12.5703125" style="58" customWidth="1"/>
    <col min="14846" max="14846" width="38" style="58" customWidth="1"/>
    <col min="14847" max="14847" width="2.42578125" style="58" customWidth="1"/>
    <col min="14848" max="14848" width="21.42578125" style="58" bestFit="1" customWidth="1"/>
    <col min="14849" max="14849" width="3.5703125" style="58" customWidth="1"/>
    <col min="14850" max="14850" width="21.42578125" style="58" bestFit="1" customWidth="1"/>
    <col min="14851" max="14851" width="3.5703125" style="58" customWidth="1"/>
    <col min="14852" max="14852" width="23" style="58" bestFit="1" customWidth="1"/>
    <col min="14853" max="14853" width="3.5703125" style="58" customWidth="1"/>
    <col min="14854" max="14854" width="23" style="58" bestFit="1" customWidth="1"/>
    <col min="14855" max="14855" width="1.42578125" style="58" customWidth="1"/>
    <col min="14856" max="14856" width="9.42578125" style="58"/>
    <col min="14857" max="14857" width="13.5703125" style="58" bestFit="1" customWidth="1"/>
    <col min="14858" max="15100" width="9.42578125" style="58"/>
    <col min="15101" max="15101" width="12.5703125" style="58" customWidth="1"/>
    <col min="15102" max="15102" width="38" style="58" customWidth="1"/>
    <col min="15103" max="15103" width="2.42578125" style="58" customWidth="1"/>
    <col min="15104" max="15104" width="21.42578125" style="58" bestFit="1" customWidth="1"/>
    <col min="15105" max="15105" width="3.5703125" style="58" customWidth="1"/>
    <col min="15106" max="15106" width="21.42578125" style="58" bestFit="1" customWidth="1"/>
    <col min="15107" max="15107" width="3.5703125" style="58" customWidth="1"/>
    <col min="15108" max="15108" width="23" style="58" bestFit="1" customWidth="1"/>
    <col min="15109" max="15109" width="3.5703125" style="58" customWidth="1"/>
    <col min="15110" max="15110" width="23" style="58" bestFit="1" customWidth="1"/>
    <col min="15111" max="15111" width="1.42578125" style="58" customWidth="1"/>
    <col min="15112" max="15112" width="9.42578125" style="58"/>
    <col min="15113" max="15113" width="13.5703125" style="58" bestFit="1" customWidth="1"/>
    <col min="15114" max="15356" width="9.42578125" style="58"/>
    <col min="15357" max="15357" width="12.5703125" style="58" customWidth="1"/>
    <col min="15358" max="15358" width="38" style="58" customWidth="1"/>
    <col min="15359" max="15359" width="2.42578125" style="58" customWidth="1"/>
    <col min="15360" max="15360" width="21.42578125" style="58" bestFit="1" customWidth="1"/>
    <col min="15361" max="15361" width="3.5703125" style="58" customWidth="1"/>
    <col min="15362" max="15362" width="21.42578125" style="58" bestFit="1" customWidth="1"/>
    <col min="15363" max="15363" width="3.5703125" style="58" customWidth="1"/>
    <col min="15364" max="15364" width="23" style="58" bestFit="1" customWidth="1"/>
    <col min="15365" max="15365" width="3.5703125" style="58" customWidth="1"/>
    <col min="15366" max="15366" width="23" style="58" bestFit="1" customWidth="1"/>
    <col min="15367" max="15367" width="1.42578125" style="58" customWidth="1"/>
    <col min="15368" max="15368" width="9.42578125" style="58"/>
    <col min="15369" max="15369" width="13.5703125" style="58" bestFit="1" customWidth="1"/>
    <col min="15370" max="15612" width="9.42578125" style="58"/>
    <col min="15613" max="15613" width="12.5703125" style="58" customWidth="1"/>
    <col min="15614" max="15614" width="38" style="58" customWidth="1"/>
    <col min="15615" max="15615" width="2.42578125" style="58" customWidth="1"/>
    <col min="15616" max="15616" width="21.42578125" style="58" bestFit="1" customWidth="1"/>
    <col min="15617" max="15617" width="3.5703125" style="58" customWidth="1"/>
    <col min="15618" max="15618" width="21.42578125" style="58" bestFit="1" customWidth="1"/>
    <col min="15619" max="15619" width="3.5703125" style="58" customWidth="1"/>
    <col min="15620" max="15620" width="23" style="58" bestFit="1" customWidth="1"/>
    <col min="15621" max="15621" width="3.5703125" style="58" customWidth="1"/>
    <col min="15622" max="15622" width="23" style="58" bestFit="1" customWidth="1"/>
    <col min="15623" max="15623" width="1.42578125" style="58" customWidth="1"/>
    <col min="15624" max="15624" width="9.42578125" style="58"/>
    <col min="15625" max="15625" width="13.5703125" style="58" bestFit="1" customWidth="1"/>
    <col min="15626" max="15868" width="9.42578125" style="58"/>
    <col min="15869" max="15869" width="12.5703125" style="58" customWidth="1"/>
    <col min="15870" max="15870" width="38" style="58" customWidth="1"/>
    <col min="15871" max="15871" width="2.42578125" style="58" customWidth="1"/>
    <col min="15872" max="15872" width="21.42578125" style="58" bestFit="1" customWidth="1"/>
    <col min="15873" max="15873" width="3.5703125" style="58" customWidth="1"/>
    <col min="15874" max="15874" width="21.42578125" style="58" bestFit="1" customWidth="1"/>
    <col min="15875" max="15875" width="3.5703125" style="58" customWidth="1"/>
    <col min="15876" max="15876" width="23" style="58" bestFit="1" customWidth="1"/>
    <col min="15877" max="15877" width="3.5703125" style="58" customWidth="1"/>
    <col min="15878" max="15878" width="23" style="58" bestFit="1" customWidth="1"/>
    <col min="15879" max="15879" width="1.42578125" style="58" customWidth="1"/>
    <col min="15880" max="15880" width="9.42578125" style="58"/>
    <col min="15881" max="15881" width="13.5703125" style="58" bestFit="1" customWidth="1"/>
    <col min="15882" max="16124" width="9.42578125" style="58"/>
    <col min="16125" max="16125" width="12.5703125" style="58" customWidth="1"/>
    <col min="16126" max="16126" width="38" style="58" customWidth="1"/>
    <col min="16127" max="16127" width="2.42578125" style="58" customWidth="1"/>
    <col min="16128" max="16128" width="21.42578125" style="58" bestFit="1" customWidth="1"/>
    <col min="16129" max="16129" width="3.5703125" style="58" customWidth="1"/>
    <col min="16130" max="16130" width="21.42578125" style="58" bestFit="1" customWidth="1"/>
    <col min="16131" max="16131" width="3.5703125" style="58" customWidth="1"/>
    <col min="16132" max="16132" width="23" style="58" bestFit="1" customWidth="1"/>
    <col min="16133" max="16133" width="3.5703125" style="58" customWidth="1"/>
    <col min="16134" max="16134" width="23" style="58" bestFit="1" customWidth="1"/>
    <col min="16135" max="16135" width="1.42578125" style="58" customWidth="1"/>
    <col min="16136" max="16136" width="9.42578125" style="58"/>
    <col min="16137" max="16137" width="13.5703125" style="58" bestFit="1" customWidth="1"/>
    <col min="16138" max="16384" width="9.42578125" style="58"/>
  </cols>
  <sheetData>
    <row r="1" spans="2:10" ht="18" customHeight="1" x14ac:dyDescent="0.25">
      <c r="B1" s="303" t="str">
        <f>SOFP!B1</f>
        <v>"COMPANY NAME AS PER AOA"</v>
      </c>
      <c r="C1" s="303"/>
      <c r="D1" s="303"/>
      <c r="E1" s="303"/>
      <c r="F1" s="303"/>
      <c r="G1" s="303"/>
      <c r="H1" s="303"/>
      <c r="I1" s="57"/>
      <c r="J1" s="57"/>
    </row>
    <row r="2" spans="2:10" ht="18" customHeight="1" x14ac:dyDescent="0.25">
      <c r="B2" s="304" t="str">
        <f>SOFP!B2</f>
        <v>"TYPE OF COMPANY AS PER AOA"</v>
      </c>
      <c r="C2" s="304"/>
      <c r="D2" s="304"/>
      <c r="E2" s="304"/>
      <c r="F2" s="304"/>
      <c r="G2" s="304"/>
      <c r="H2" s="304"/>
      <c r="I2" s="57"/>
      <c r="J2" s="57"/>
    </row>
    <row r="3" spans="2:10" ht="18" customHeight="1" x14ac:dyDescent="0.25">
      <c r="B3" s="305" t="s">
        <v>263</v>
      </c>
      <c r="C3" s="305"/>
      <c r="D3" s="305"/>
      <c r="E3" s="305"/>
      <c r="F3" s="305"/>
      <c r="G3" s="305"/>
      <c r="H3" s="305"/>
      <c r="I3" s="57"/>
      <c r="J3" s="57"/>
    </row>
    <row r="4" spans="2:10" ht="18" customHeight="1" x14ac:dyDescent="0.25">
      <c r="B4" s="306" t="s">
        <v>30</v>
      </c>
      <c r="C4" s="306"/>
      <c r="D4" s="306"/>
      <c r="E4" s="306"/>
      <c r="F4" s="306"/>
      <c r="G4" s="306"/>
      <c r="H4" s="306"/>
      <c r="I4" s="306"/>
      <c r="J4" s="59" t="s">
        <v>43</v>
      </c>
    </row>
    <row r="5" spans="2:10" ht="18" customHeight="1" x14ac:dyDescent="0.25">
      <c r="B5" s="60"/>
      <c r="C5" s="60"/>
      <c r="D5" s="60"/>
      <c r="E5" s="60"/>
      <c r="F5" s="60"/>
      <c r="G5" s="60"/>
      <c r="H5" s="61"/>
      <c r="I5" s="61"/>
      <c r="J5" s="61"/>
    </row>
    <row r="6" spans="2:10" ht="18" customHeight="1" x14ac:dyDescent="0.25">
      <c r="B6" s="60"/>
      <c r="C6" s="60"/>
      <c r="D6" s="60"/>
      <c r="E6" s="60"/>
      <c r="F6" s="60"/>
      <c r="G6" s="60"/>
      <c r="H6" s="61"/>
      <c r="I6" s="61"/>
      <c r="J6" s="61"/>
    </row>
    <row r="7" spans="2:10" ht="39.950000000000003" customHeight="1" x14ac:dyDescent="0.25">
      <c r="D7" s="63"/>
      <c r="E7" s="64" t="s">
        <v>44</v>
      </c>
      <c r="F7" s="63"/>
      <c r="G7" s="64" t="s">
        <v>25</v>
      </c>
      <c r="H7" s="64" t="s">
        <v>45</v>
      </c>
      <c r="I7" s="63"/>
      <c r="J7" s="64" t="s">
        <v>27</v>
      </c>
    </row>
    <row r="8" spans="2:10" s="66" customFormat="1" ht="37.5" x14ac:dyDescent="0.45">
      <c r="B8" s="65" t="s">
        <v>268</v>
      </c>
      <c r="D8" s="67"/>
      <c r="E8" s="68" t="s">
        <v>5</v>
      </c>
      <c r="F8" s="67"/>
      <c r="G8" s="68" t="s">
        <v>5</v>
      </c>
      <c r="H8" s="68" t="s">
        <v>5</v>
      </c>
      <c r="I8" s="67"/>
      <c r="J8" s="68" t="s">
        <v>5</v>
      </c>
    </row>
    <row r="9" spans="2:10" s="66" customFormat="1" ht="18" customHeight="1" x14ac:dyDescent="0.45">
      <c r="B9" s="69" t="s">
        <v>264</v>
      </c>
      <c r="D9" s="70"/>
      <c r="E9" s="70"/>
      <c r="F9" s="70"/>
      <c r="G9" s="70"/>
      <c r="H9" s="70"/>
      <c r="I9" s="70"/>
      <c r="J9" s="70">
        <f>SUM(D9:H9)</f>
        <v>0</v>
      </c>
    </row>
    <row r="10" spans="2:10" s="66" customFormat="1" ht="18" customHeight="1" x14ac:dyDescent="0.45">
      <c r="B10" s="69" t="s">
        <v>46</v>
      </c>
      <c r="D10" s="70"/>
      <c r="E10" s="70">
        <v>0</v>
      </c>
      <c r="F10" s="70"/>
      <c r="G10" s="70">
        <v>0</v>
      </c>
      <c r="H10" s="70">
        <f>SCI!G18</f>
        <v>0</v>
      </c>
      <c r="I10" s="70"/>
      <c r="J10" s="70">
        <f>SUM(D10:H10)</f>
        <v>0</v>
      </c>
    </row>
    <row r="11" spans="2:10" s="66" customFormat="1" ht="18" customHeight="1" x14ac:dyDescent="0.45">
      <c r="B11" s="69" t="s">
        <v>47</v>
      </c>
      <c r="D11" s="70"/>
      <c r="E11" s="70">
        <v>0</v>
      </c>
      <c r="F11" s="70"/>
      <c r="G11" s="70">
        <v>0</v>
      </c>
      <c r="H11" s="70">
        <v>0</v>
      </c>
      <c r="I11" s="70"/>
      <c r="J11" s="70">
        <v>0</v>
      </c>
    </row>
    <row r="12" spans="2:10" ht="18" customHeight="1" thickBot="1" x14ac:dyDescent="0.3">
      <c r="B12" s="71" t="s">
        <v>265</v>
      </c>
      <c r="C12" s="58"/>
      <c r="D12" s="72"/>
      <c r="E12" s="73">
        <f>SUM(E9:E11)</f>
        <v>0</v>
      </c>
      <c r="F12" s="72"/>
      <c r="G12" s="73">
        <f>SUM(G9:G10)</f>
        <v>0</v>
      </c>
      <c r="H12" s="73">
        <f>SUM(H9:H11)</f>
        <v>0</v>
      </c>
      <c r="I12" s="67"/>
      <c r="J12" s="73">
        <f>E12+G12+H12</f>
        <v>0</v>
      </c>
    </row>
    <row r="13" spans="2:10" ht="18" customHeight="1" thickTop="1" x14ac:dyDescent="0.25">
      <c r="B13" s="74"/>
    </row>
    <row r="14" spans="2:10" ht="18" customHeight="1" x14ac:dyDescent="0.45">
      <c r="B14" s="69" t="s">
        <v>266</v>
      </c>
      <c r="C14" s="66"/>
      <c r="D14" s="70"/>
      <c r="E14" s="70">
        <f>E12</f>
        <v>0</v>
      </c>
      <c r="F14" s="70"/>
      <c r="G14" s="70">
        <f>G12</f>
        <v>0</v>
      </c>
      <c r="H14" s="70">
        <f>H12</f>
        <v>0</v>
      </c>
      <c r="I14" s="70"/>
      <c r="J14" s="70">
        <f>SUM(D14:H14)</f>
        <v>0</v>
      </c>
    </row>
    <row r="15" spans="2:10" ht="18" customHeight="1" x14ac:dyDescent="0.45">
      <c r="B15" s="69" t="s">
        <v>48</v>
      </c>
      <c r="C15" s="66"/>
      <c r="D15" s="70"/>
      <c r="E15" s="70"/>
      <c r="F15" s="70"/>
      <c r="G15" s="70"/>
      <c r="H15" s="70">
        <f>'Client TB (2)'!H75</f>
        <v>0</v>
      </c>
      <c r="I15" s="70"/>
      <c r="J15" s="70">
        <f>H15</f>
        <v>0</v>
      </c>
    </row>
    <row r="16" spans="2:10" ht="18" customHeight="1" x14ac:dyDescent="0.45">
      <c r="B16" s="69" t="s">
        <v>46</v>
      </c>
      <c r="C16" s="66"/>
      <c r="D16" s="70"/>
      <c r="E16" s="70">
        <v>0</v>
      </c>
      <c r="F16" s="70"/>
      <c r="G16" s="70">
        <v>0</v>
      </c>
      <c r="H16" s="70">
        <f>+SCI!E18-G16</f>
        <v>0</v>
      </c>
      <c r="I16" s="70"/>
      <c r="J16" s="70">
        <f>SUM(D16:H16)</f>
        <v>0</v>
      </c>
    </row>
    <row r="17" spans="2:10" ht="18" customHeight="1" thickBot="1" x14ac:dyDescent="0.3">
      <c r="B17" s="71" t="s">
        <v>267</v>
      </c>
      <c r="C17" s="58"/>
      <c r="D17" s="72"/>
      <c r="E17" s="73">
        <f>SUM(E14:E16)</f>
        <v>0</v>
      </c>
      <c r="F17" s="72"/>
      <c r="G17" s="73">
        <f>SUM(G14:G16)</f>
        <v>0</v>
      </c>
      <c r="H17" s="73">
        <f>SUM(H14:H16)</f>
        <v>0</v>
      </c>
      <c r="I17" s="67"/>
      <c r="J17" s="73">
        <f>SUM(J14:J16)</f>
        <v>0</v>
      </c>
    </row>
    <row r="18" spans="2:10" ht="18" customHeight="1" thickTop="1" x14ac:dyDescent="0.25"/>
    <row r="19" spans="2:10" ht="18" customHeight="1" x14ac:dyDescent="0.25"/>
    <row r="20" spans="2:10" ht="18" customHeight="1" x14ac:dyDescent="0.25"/>
    <row r="21" spans="2:10" ht="18" customHeight="1" x14ac:dyDescent="0.25"/>
    <row r="22" spans="2:10" ht="18" customHeight="1" x14ac:dyDescent="0.25"/>
    <row r="23" spans="2:10" ht="18" customHeight="1" x14ac:dyDescent="0.25"/>
    <row r="24" spans="2:10" ht="18" customHeight="1" x14ac:dyDescent="0.25"/>
    <row r="25" spans="2:10" ht="18" customHeight="1" x14ac:dyDescent="0.25"/>
    <row r="26" spans="2:10" ht="18" customHeight="1" x14ac:dyDescent="0.25"/>
    <row r="27" spans="2:10" ht="18" customHeight="1" x14ac:dyDescent="0.25"/>
    <row r="28" spans="2:10" ht="18" customHeight="1" x14ac:dyDescent="0.25"/>
    <row r="29" spans="2:10" ht="18" customHeight="1" x14ac:dyDescent="0.25">
      <c r="B29" s="307" t="str">
        <f>SCI!B45:G45</f>
        <v>The Attached notes  from (1) to (16) Form a part of these financial statements</v>
      </c>
      <c r="C29" s="307"/>
      <c r="D29" s="307"/>
      <c r="E29" s="307"/>
      <c r="F29" s="307"/>
      <c r="G29" s="307"/>
      <c r="H29" s="307"/>
      <c r="I29" s="307"/>
      <c r="J29" s="307"/>
    </row>
    <row r="30" spans="2:10" ht="18" customHeight="1" x14ac:dyDescent="0.25">
      <c r="B30" s="308">
        <f>SCI!B46:G46+1</f>
        <v>6</v>
      </c>
      <c r="C30" s="308"/>
      <c r="D30" s="308"/>
      <c r="E30" s="308"/>
      <c r="F30" s="308"/>
      <c r="G30" s="308"/>
      <c r="H30" s="308"/>
      <c r="I30" s="308"/>
      <c r="J30" s="308"/>
    </row>
    <row r="31" spans="2:10" ht="18" customHeight="1" x14ac:dyDescent="0.25"/>
    <row r="32" spans="2:10" ht="18" customHeight="1" x14ac:dyDescent="0.25"/>
    <row r="33" ht="18" customHeight="1" x14ac:dyDescent="0.25"/>
    <row r="34" ht="18" customHeight="1" x14ac:dyDescent="0.25"/>
    <row r="35" ht="18" customHeight="1" x14ac:dyDescent="0.25"/>
    <row r="36" ht="18" customHeight="1" x14ac:dyDescent="0.25"/>
  </sheetData>
  <mergeCells count="6">
    <mergeCell ref="B30:J30"/>
    <mergeCell ref="B1:H1"/>
    <mergeCell ref="B2:H2"/>
    <mergeCell ref="B3:H3"/>
    <mergeCell ref="B4:I4"/>
    <mergeCell ref="B29:J29"/>
  </mergeCells>
  <printOptions horizontalCentered="1"/>
  <pageMargins left="0" right="0" top="0.59055118110236227" bottom="0" header="0" footer="0"/>
  <pageSetup paperSize="9" firstPageNumber="5" orientation="landscape" useFirstPageNumber="1" r:id="rId1"/>
  <headerFooter alignWithMargins="0"/>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A733F-0D5F-41B1-9492-1BE78407AA73}">
  <sheetPr>
    <tabColor theme="4" tint="0.59999389629810485"/>
  </sheetPr>
  <dimension ref="B1:J62"/>
  <sheetViews>
    <sheetView zoomScale="145" zoomScaleNormal="145" zoomScaleSheetLayoutView="115" workbookViewId="0">
      <selection activeCell="F6" sqref="F6"/>
    </sheetView>
  </sheetViews>
  <sheetFormatPr defaultColWidth="9.42578125" defaultRowHeight="27.75" customHeight="1" x14ac:dyDescent="0.25"/>
  <cols>
    <col min="1" max="1" width="5.5703125" style="58" customWidth="1"/>
    <col min="2" max="2" width="65.5703125" style="58" customWidth="1"/>
    <col min="3" max="3" width="1.5703125" style="60" customWidth="1"/>
    <col min="4" max="4" width="18.5703125" style="60" customWidth="1"/>
    <col min="5" max="5" width="1.5703125" style="60" customWidth="1"/>
    <col min="6" max="6" width="18.5703125" style="62" customWidth="1"/>
    <col min="7" max="7" width="5.5703125" style="58" customWidth="1"/>
    <col min="8" max="8" width="9.85546875" style="58" bestFit="1" customWidth="1"/>
    <col min="9" max="9" width="9.42578125" style="58"/>
    <col min="10" max="10" width="14.42578125" style="58" customWidth="1"/>
    <col min="11" max="249" width="9.42578125" style="58"/>
    <col min="250" max="250" width="12.5703125" style="58" customWidth="1"/>
    <col min="251" max="251" width="52.42578125" style="58" customWidth="1"/>
    <col min="252" max="252" width="1" style="58" customWidth="1"/>
    <col min="253" max="253" width="18.5703125" style="58" customWidth="1"/>
    <col min="254" max="254" width="1.5703125" style="58" customWidth="1"/>
    <col min="255" max="255" width="18.5703125" style="58" customWidth="1"/>
    <col min="256" max="256" width="1.42578125" style="58" customWidth="1"/>
    <col min="257" max="257" width="1" style="58" customWidth="1"/>
    <col min="258" max="258" width="1.42578125" style="58" customWidth="1"/>
    <col min="259" max="259" width="13.5703125" style="58" bestFit="1" customWidth="1"/>
    <col min="260" max="260" width="18.42578125" style="58" bestFit="1" customWidth="1"/>
    <col min="261" max="261" width="16.42578125" style="58" customWidth="1"/>
    <col min="262" max="262" width="14.42578125" style="58" bestFit="1" customWidth="1"/>
    <col min="263" max="505" width="9.42578125" style="58"/>
    <col min="506" max="506" width="12.5703125" style="58" customWidth="1"/>
    <col min="507" max="507" width="52.42578125" style="58" customWidth="1"/>
    <col min="508" max="508" width="1" style="58" customWidth="1"/>
    <col min="509" max="509" width="18.5703125" style="58" customWidth="1"/>
    <col min="510" max="510" width="1.5703125" style="58" customWidth="1"/>
    <col min="511" max="511" width="18.5703125" style="58" customWidth="1"/>
    <col min="512" max="512" width="1.42578125" style="58" customWidth="1"/>
    <col min="513" max="513" width="1" style="58" customWidth="1"/>
    <col min="514" max="514" width="1.42578125" style="58" customWidth="1"/>
    <col min="515" max="515" width="13.5703125" style="58" bestFit="1" customWidth="1"/>
    <col min="516" max="516" width="18.42578125" style="58" bestFit="1" customWidth="1"/>
    <col min="517" max="517" width="16.42578125" style="58" customWidth="1"/>
    <col min="518" max="518" width="14.42578125" style="58" bestFit="1" customWidth="1"/>
    <col min="519" max="761" width="9.42578125" style="58"/>
    <col min="762" max="762" width="12.5703125" style="58" customWidth="1"/>
    <col min="763" max="763" width="52.42578125" style="58" customWidth="1"/>
    <col min="764" max="764" width="1" style="58" customWidth="1"/>
    <col min="765" max="765" width="18.5703125" style="58" customWidth="1"/>
    <col min="766" max="766" width="1.5703125" style="58" customWidth="1"/>
    <col min="767" max="767" width="18.5703125" style="58" customWidth="1"/>
    <col min="768" max="768" width="1.42578125" style="58" customWidth="1"/>
    <col min="769" max="769" width="1" style="58" customWidth="1"/>
    <col min="770" max="770" width="1.42578125" style="58" customWidth="1"/>
    <col min="771" max="771" width="13.5703125" style="58" bestFit="1" customWidth="1"/>
    <col min="772" max="772" width="18.42578125" style="58" bestFit="1" customWidth="1"/>
    <col min="773" max="773" width="16.42578125" style="58" customWidth="1"/>
    <col min="774" max="774" width="14.42578125" style="58" bestFit="1" customWidth="1"/>
    <col min="775" max="1017" width="9.42578125" style="58"/>
    <col min="1018" max="1018" width="12.5703125" style="58" customWidth="1"/>
    <col min="1019" max="1019" width="52.42578125" style="58" customWidth="1"/>
    <col min="1020" max="1020" width="1" style="58" customWidth="1"/>
    <col min="1021" max="1021" width="18.5703125" style="58" customWidth="1"/>
    <col min="1022" max="1022" width="1.5703125" style="58" customWidth="1"/>
    <col min="1023" max="1023" width="18.5703125" style="58" customWidth="1"/>
    <col min="1024" max="1024" width="1.42578125" style="58" customWidth="1"/>
    <col min="1025" max="1025" width="1" style="58" customWidth="1"/>
    <col min="1026" max="1026" width="1.42578125" style="58" customWidth="1"/>
    <col min="1027" max="1027" width="13.5703125" style="58" bestFit="1" customWidth="1"/>
    <col min="1028" max="1028" width="18.42578125" style="58" bestFit="1" customWidth="1"/>
    <col min="1029" max="1029" width="16.42578125" style="58" customWidth="1"/>
    <col min="1030" max="1030" width="14.42578125" style="58" bestFit="1" customWidth="1"/>
    <col min="1031" max="1273" width="9.42578125" style="58"/>
    <col min="1274" max="1274" width="12.5703125" style="58" customWidth="1"/>
    <col min="1275" max="1275" width="52.42578125" style="58" customWidth="1"/>
    <col min="1276" max="1276" width="1" style="58" customWidth="1"/>
    <col min="1277" max="1277" width="18.5703125" style="58" customWidth="1"/>
    <col min="1278" max="1278" width="1.5703125" style="58" customWidth="1"/>
    <col min="1279" max="1279" width="18.5703125" style="58" customWidth="1"/>
    <col min="1280" max="1280" width="1.42578125" style="58" customWidth="1"/>
    <col min="1281" max="1281" width="1" style="58" customWidth="1"/>
    <col min="1282" max="1282" width="1.42578125" style="58" customWidth="1"/>
    <col min="1283" max="1283" width="13.5703125" style="58" bestFit="1" customWidth="1"/>
    <col min="1284" max="1284" width="18.42578125" style="58" bestFit="1" customWidth="1"/>
    <col min="1285" max="1285" width="16.42578125" style="58" customWidth="1"/>
    <col min="1286" max="1286" width="14.42578125" style="58" bestFit="1" customWidth="1"/>
    <col min="1287" max="1529" width="9.42578125" style="58"/>
    <col min="1530" max="1530" width="12.5703125" style="58" customWidth="1"/>
    <col min="1531" max="1531" width="52.42578125" style="58" customWidth="1"/>
    <col min="1532" max="1532" width="1" style="58" customWidth="1"/>
    <col min="1533" max="1533" width="18.5703125" style="58" customWidth="1"/>
    <col min="1534" max="1534" width="1.5703125" style="58" customWidth="1"/>
    <col min="1535" max="1535" width="18.5703125" style="58" customWidth="1"/>
    <col min="1536" max="1536" width="1.42578125" style="58" customWidth="1"/>
    <col min="1537" max="1537" width="1" style="58" customWidth="1"/>
    <col min="1538" max="1538" width="1.42578125" style="58" customWidth="1"/>
    <col min="1539" max="1539" width="13.5703125" style="58" bestFit="1" customWidth="1"/>
    <col min="1540" max="1540" width="18.42578125" style="58" bestFit="1" customWidth="1"/>
    <col min="1541" max="1541" width="16.42578125" style="58" customWidth="1"/>
    <col min="1542" max="1542" width="14.42578125" style="58" bestFit="1" customWidth="1"/>
    <col min="1543" max="1785" width="9.42578125" style="58"/>
    <col min="1786" max="1786" width="12.5703125" style="58" customWidth="1"/>
    <col min="1787" max="1787" width="52.42578125" style="58" customWidth="1"/>
    <col min="1788" max="1788" width="1" style="58" customWidth="1"/>
    <col min="1789" max="1789" width="18.5703125" style="58" customWidth="1"/>
    <col min="1790" max="1790" width="1.5703125" style="58" customWidth="1"/>
    <col min="1791" max="1791" width="18.5703125" style="58" customWidth="1"/>
    <col min="1792" max="1792" width="1.42578125" style="58" customWidth="1"/>
    <col min="1793" max="1793" width="1" style="58" customWidth="1"/>
    <col min="1794" max="1794" width="1.42578125" style="58" customWidth="1"/>
    <col min="1795" max="1795" width="13.5703125" style="58" bestFit="1" customWidth="1"/>
    <col min="1796" max="1796" width="18.42578125" style="58" bestFit="1" customWidth="1"/>
    <col min="1797" max="1797" width="16.42578125" style="58" customWidth="1"/>
    <col min="1798" max="1798" width="14.42578125" style="58" bestFit="1" customWidth="1"/>
    <col min="1799" max="2041" width="9.42578125" style="58"/>
    <col min="2042" max="2042" width="12.5703125" style="58" customWidth="1"/>
    <col min="2043" max="2043" width="52.42578125" style="58" customWidth="1"/>
    <col min="2044" max="2044" width="1" style="58" customWidth="1"/>
    <col min="2045" max="2045" width="18.5703125" style="58" customWidth="1"/>
    <col min="2046" max="2046" width="1.5703125" style="58" customWidth="1"/>
    <col min="2047" max="2047" width="18.5703125" style="58" customWidth="1"/>
    <col min="2048" max="2048" width="1.42578125" style="58" customWidth="1"/>
    <col min="2049" max="2049" width="1" style="58" customWidth="1"/>
    <col min="2050" max="2050" width="1.42578125" style="58" customWidth="1"/>
    <col min="2051" max="2051" width="13.5703125" style="58" bestFit="1" customWidth="1"/>
    <col min="2052" max="2052" width="18.42578125" style="58" bestFit="1" customWidth="1"/>
    <col min="2053" max="2053" width="16.42578125" style="58" customWidth="1"/>
    <col min="2054" max="2054" width="14.42578125" style="58" bestFit="1" customWidth="1"/>
    <col min="2055" max="2297" width="9.42578125" style="58"/>
    <col min="2298" max="2298" width="12.5703125" style="58" customWidth="1"/>
    <col min="2299" max="2299" width="52.42578125" style="58" customWidth="1"/>
    <col min="2300" max="2300" width="1" style="58" customWidth="1"/>
    <col min="2301" max="2301" width="18.5703125" style="58" customWidth="1"/>
    <col min="2302" max="2302" width="1.5703125" style="58" customWidth="1"/>
    <col min="2303" max="2303" width="18.5703125" style="58" customWidth="1"/>
    <col min="2304" max="2304" width="1.42578125" style="58" customWidth="1"/>
    <col min="2305" max="2305" width="1" style="58" customWidth="1"/>
    <col min="2306" max="2306" width="1.42578125" style="58" customWidth="1"/>
    <col min="2307" max="2307" width="13.5703125" style="58" bestFit="1" customWidth="1"/>
    <col min="2308" max="2308" width="18.42578125" style="58" bestFit="1" customWidth="1"/>
    <col min="2309" max="2309" width="16.42578125" style="58" customWidth="1"/>
    <col min="2310" max="2310" width="14.42578125" style="58" bestFit="1" customWidth="1"/>
    <col min="2311" max="2553" width="9.42578125" style="58"/>
    <col min="2554" max="2554" width="12.5703125" style="58" customWidth="1"/>
    <col min="2555" max="2555" width="52.42578125" style="58" customWidth="1"/>
    <col min="2556" max="2556" width="1" style="58" customWidth="1"/>
    <col min="2557" max="2557" width="18.5703125" style="58" customWidth="1"/>
    <col min="2558" max="2558" width="1.5703125" style="58" customWidth="1"/>
    <col min="2559" max="2559" width="18.5703125" style="58" customWidth="1"/>
    <col min="2560" max="2560" width="1.42578125" style="58" customWidth="1"/>
    <col min="2561" max="2561" width="1" style="58" customWidth="1"/>
    <col min="2562" max="2562" width="1.42578125" style="58" customWidth="1"/>
    <col min="2563" max="2563" width="13.5703125" style="58" bestFit="1" customWidth="1"/>
    <col min="2564" max="2564" width="18.42578125" style="58" bestFit="1" customWidth="1"/>
    <col min="2565" max="2565" width="16.42578125" style="58" customWidth="1"/>
    <col min="2566" max="2566" width="14.42578125" style="58" bestFit="1" customWidth="1"/>
    <col min="2567" max="2809" width="9.42578125" style="58"/>
    <col min="2810" max="2810" width="12.5703125" style="58" customWidth="1"/>
    <col min="2811" max="2811" width="52.42578125" style="58" customWidth="1"/>
    <col min="2812" max="2812" width="1" style="58" customWidth="1"/>
    <col min="2813" max="2813" width="18.5703125" style="58" customWidth="1"/>
    <col min="2814" max="2814" width="1.5703125" style="58" customWidth="1"/>
    <col min="2815" max="2815" width="18.5703125" style="58" customWidth="1"/>
    <col min="2816" max="2816" width="1.42578125" style="58" customWidth="1"/>
    <col min="2817" max="2817" width="1" style="58" customWidth="1"/>
    <col min="2818" max="2818" width="1.42578125" style="58" customWidth="1"/>
    <col min="2819" max="2819" width="13.5703125" style="58" bestFit="1" customWidth="1"/>
    <col min="2820" max="2820" width="18.42578125" style="58" bestFit="1" customWidth="1"/>
    <col min="2821" max="2821" width="16.42578125" style="58" customWidth="1"/>
    <col min="2822" max="2822" width="14.42578125" style="58" bestFit="1" customWidth="1"/>
    <col min="2823" max="3065" width="9.42578125" style="58"/>
    <col min="3066" max="3066" width="12.5703125" style="58" customWidth="1"/>
    <col min="3067" max="3067" width="52.42578125" style="58" customWidth="1"/>
    <col min="3068" max="3068" width="1" style="58" customWidth="1"/>
    <col min="3069" max="3069" width="18.5703125" style="58" customWidth="1"/>
    <col min="3070" max="3070" width="1.5703125" style="58" customWidth="1"/>
    <col min="3071" max="3071" width="18.5703125" style="58" customWidth="1"/>
    <col min="3072" max="3072" width="1.42578125" style="58" customWidth="1"/>
    <col min="3073" max="3073" width="1" style="58" customWidth="1"/>
    <col min="3074" max="3074" width="1.42578125" style="58" customWidth="1"/>
    <col min="3075" max="3075" width="13.5703125" style="58" bestFit="1" customWidth="1"/>
    <col min="3076" max="3076" width="18.42578125" style="58" bestFit="1" customWidth="1"/>
    <col min="3077" max="3077" width="16.42578125" style="58" customWidth="1"/>
    <col min="3078" max="3078" width="14.42578125" style="58" bestFit="1" customWidth="1"/>
    <col min="3079" max="3321" width="9.42578125" style="58"/>
    <col min="3322" max="3322" width="12.5703125" style="58" customWidth="1"/>
    <col min="3323" max="3323" width="52.42578125" style="58" customWidth="1"/>
    <col min="3324" max="3324" width="1" style="58" customWidth="1"/>
    <col min="3325" max="3325" width="18.5703125" style="58" customWidth="1"/>
    <col min="3326" max="3326" width="1.5703125" style="58" customWidth="1"/>
    <col min="3327" max="3327" width="18.5703125" style="58" customWidth="1"/>
    <col min="3328" max="3328" width="1.42578125" style="58" customWidth="1"/>
    <col min="3329" max="3329" width="1" style="58" customWidth="1"/>
    <col min="3330" max="3330" width="1.42578125" style="58" customWidth="1"/>
    <col min="3331" max="3331" width="13.5703125" style="58" bestFit="1" customWidth="1"/>
    <col min="3332" max="3332" width="18.42578125" style="58" bestFit="1" customWidth="1"/>
    <col min="3333" max="3333" width="16.42578125" style="58" customWidth="1"/>
    <col min="3334" max="3334" width="14.42578125" style="58" bestFit="1" customWidth="1"/>
    <col min="3335" max="3577" width="9.42578125" style="58"/>
    <col min="3578" max="3578" width="12.5703125" style="58" customWidth="1"/>
    <col min="3579" max="3579" width="52.42578125" style="58" customWidth="1"/>
    <col min="3580" max="3580" width="1" style="58" customWidth="1"/>
    <col min="3581" max="3581" width="18.5703125" style="58" customWidth="1"/>
    <col min="3582" max="3582" width="1.5703125" style="58" customWidth="1"/>
    <col min="3583" max="3583" width="18.5703125" style="58" customWidth="1"/>
    <col min="3584" max="3584" width="1.42578125" style="58" customWidth="1"/>
    <col min="3585" max="3585" width="1" style="58" customWidth="1"/>
    <col min="3586" max="3586" width="1.42578125" style="58" customWidth="1"/>
    <col min="3587" max="3587" width="13.5703125" style="58" bestFit="1" customWidth="1"/>
    <col min="3588" max="3588" width="18.42578125" style="58" bestFit="1" customWidth="1"/>
    <col min="3589" max="3589" width="16.42578125" style="58" customWidth="1"/>
    <col min="3590" max="3590" width="14.42578125" style="58" bestFit="1" customWidth="1"/>
    <col min="3591" max="3833" width="9.42578125" style="58"/>
    <col min="3834" max="3834" width="12.5703125" style="58" customWidth="1"/>
    <col min="3835" max="3835" width="52.42578125" style="58" customWidth="1"/>
    <col min="3836" max="3836" width="1" style="58" customWidth="1"/>
    <col min="3837" max="3837" width="18.5703125" style="58" customWidth="1"/>
    <col min="3838" max="3838" width="1.5703125" style="58" customWidth="1"/>
    <col min="3839" max="3839" width="18.5703125" style="58" customWidth="1"/>
    <col min="3840" max="3840" width="1.42578125" style="58" customWidth="1"/>
    <col min="3841" max="3841" width="1" style="58" customWidth="1"/>
    <col min="3842" max="3842" width="1.42578125" style="58" customWidth="1"/>
    <col min="3843" max="3843" width="13.5703125" style="58" bestFit="1" customWidth="1"/>
    <col min="3844" max="3844" width="18.42578125" style="58" bestFit="1" customWidth="1"/>
    <col min="3845" max="3845" width="16.42578125" style="58" customWidth="1"/>
    <col min="3846" max="3846" width="14.42578125" style="58" bestFit="1" customWidth="1"/>
    <col min="3847" max="4089" width="9.42578125" style="58"/>
    <col min="4090" max="4090" width="12.5703125" style="58" customWidth="1"/>
    <col min="4091" max="4091" width="52.42578125" style="58" customWidth="1"/>
    <col min="4092" max="4092" width="1" style="58" customWidth="1"/>
    <col min="4093" max="4093" width="18.5703125" style="58" customWidth="1"/>
    <col min="4094" max="4094" width="1.5703125" style="58" customWidth="1"/>
    <col min="4095" max="4095" width="18.5703125" style="58" customWidth="1"/>
    <col min="4096" max="4096" width="1.42578125" style="58" customWidth="1"/>
    <col min="4097" max="4097" width="1" style="58" customWidth="1"/>
    <col min="4098" max="4098" width="1.42578125" style="58" customWidth="1"/>
    <col min="4099" max="4099" width="13.5703125" style="58" bestFit="1" customWidth="1"/>
    <col min="4100" max="4100" width="18.42578125" style="58" bestFit="1" customWidth="1"/>
    <col min="4101" max="4101" width="16.42578125" style="58" customWidth="1"/>
    <col min="4102" max="4102" width="14.42578125" style="58" bestFit="1" customWidth="1"/>
    <col min="4103" max="4345" width="9.42578125" style="58"/>
    <col min="4346" max="4346" width="12.5703125" style="58" customWidth="1"/>
    <col min="4347" max="4347" width="52.42578125" style="58" customWidth="1"/>
    <col min="4348" max="4348" width="1" style="58" customWidth="1"/>
    <col min="4349" max="4349" width="18.5703125" style="58" customWidth="1"/>
    <col min="4350" max="4350" width="1.5703125" style="58" customWidth="1"/>
    <col min="4351" max="4351" width="18.5703125" style="58" customWidth="1"/>
    <col min="4352" max="4352" width="1.42578125" style="58" customWidth="1"/>
    <col min="4353" max="4353" width="1" style="58" customWidth="1"/>
    <col min="4354" max="4354" width="1.42578125" style="58" customWidth="1"/>
    <col min="4355" max="4355" width="13.5703125" style="58" bestFit="1" customWidth="1"/>
    <col min="4356" max="4356" width="18.42578125" style="58" bestFit="1" customWidth="1"/>
    <col min="4357" max="4357" width="16.42578125" style="58" customWidth="1"/>
    <col min="4358" max="4358" width="14.42578125" style="58" bestFit="1" customWidth="1"/>
    <col min="4359" max="4601" width="9.42578125" style="58"/>
    <col min="4602" max="4602" width="12.5703125" style="58" customWidth="1"/>
    <col min="4603" max="4603" width="52.42578125" style="58" customWidth="1"/>
    <col min="4604" max="4604" width="1" style="58" customWidth="1"/>
    <col min="4605" max="4605" width="18.5703125" style="58" customWidth="1"/>
    <col min="4606" max="4606" width="1.5703125" style="58" customWidth="1"/>
    <col min="4607" max="4607" width="18.5703125" style="58" customWidth="1"/>
    <col min="4608" max="4608" width="1.42578125" style="58" customWidth="1"/>
    <col min="4609" max="4609" width="1" style="58" customWidth="1"/>
    <col min="4610" max="4610" width="1.42578125" style="58" customWidth="1"/>
    <col min="4611" max="4611" width="13.5703125" style="58" bestFit="1" customWidth="1"/>
    <col min="4612" max="4612" width="18.42578125" style="58" bestFit="1" customWidth="1"/>
    <col min="4613" max="4613" width="16.42578125" style="58" customWidth="1"/>
    <col min="4614" max="4614" width="14.42578125" style="58" bestFit="1" customWidth="1"/>
    <col min="4615" max="4857" width="9.42578125" style="58"/>
    <col min="4858" max="4858" width="12.5703125" style="58" customWidth="1"/>
    <col min="4859" max="4859" width="52.42578125" style="58" customWidth="1"/>
    <col min="4860" max="4860" width="1" style="58" customWidth="1"/>
    <col min="4861" max="4861" width="18.5703125" style="58" customWidth="1"/>
    <col min="4862" max="4862" width="1.5703125" style="58" customWidth="1"/>
    <col min="4863" max="4863" width="18.5703125" style="58" customWidth="1"/>
    <col min="4864" max="4864" width="1.42578125" style="58" customWidth="1"/>
    <col min="4865" max="4865" width="1" style="58" customWidth="1"/>
    <col min="4866" max="4866" width="1.42578125" style="58" customWidth="1"/>
    <col min="4867" max="4867" width="13.5703125" style="58" bestFit="1" customWidth="1"/>
    <col min="4868" max="4868" width="18.42578125" style="58" bestFit="1" customWidth="1"/>
    <col min="4869" max="4869" width="16.42578125" style="58" customWidth="1"/>
    <col min="4870" max="4870" width="14.42578125" style="58" bestFit="1" customWidth="1"/>
    <col min="4871" max="5113" width="9.42578125" style="58"/>
    <col min="5114" max="5114" width="12.5703125" style="58" customWidth="1"/>
    <col min="5115" max="5115" width="52.42578125" style="58" customWidth="1"/>
    <col min="5116" max="5116" width="1" style="58" customWidth="1"/>
    <col min="5117" max="5117" width="18.5703125" style="58" customWidth="1"/>
    <col min="5118" max="5118" width="1.5703125" style="58" customWidth="1"/>
    <col min="5119" max="5119" width="18.5703125" style="58" customWidth="1"/>
    <col min="5120" max="5120" width="1.42578125" style="58" customWidth="1"/>
    <col min="5121" max="5121" width="1" style="58" customWidth="1"/>
    <col min="5122" max="5122" width="1.42578125" style="58" customWidth="1"/>
    <col min="5123" max="5123" width="13.5703125" style="58" bestFit="1" customWidth="1"/>
    <col min="5124" max="5124" width="18.42578125" style="58" bestFit="1" customWidth="1"/>
    <col min="5125" max="5125" width="16.42578125" style="58" customWidth="1"/>
    <col min="5126" max="5126" width="14.42578125" style="58" bestFit="1" customWidth="1"/>
    <col min="5127" max="5369" width="9.42578125" style="58"/>
    <col min="5370" max="5370" width="12.5703125" style="58" customWidth="1"/>
    <col min="5371" max="5371" width="52.42578125" style="58" customWidth="1"/>
    <col min="5372" max="5372" width="1" style="58" customWidth="1"/>
    <col min="5373" max="5373" width="18.5703125" style="58" customWidth="1"/>
    <col min="5374" max="5374" width="1.5703125" style="58" customWidth="1"/>
    <col min="5375" max="5375" width="18.5703125" style="58" customWidth="1"/>
    <col min="5376" max="5376" width="1.42578125" style="58" customWidth="1"/>
    <col min="5377" max="5377" width="1" style="58" customWidth="1"/>
    <col min="5378" max="5378" width="1.42578125" style="58" customWidth="1"/>
    <col min="5379" max="5379" width="13.5703125" style="58" bestFit="1" customWidth="1"/>
    <col min="5380" max="5380" width="18.42578125" style="58" bestFit="1" customWidth="1"/>
    <col min="5381" max="5381" width="16.42578125" style="58" customWidth="1"/>
    <col min="5382" max="5382" width="14.42578125" style="58" bestFit="1" customWidth="1"/>
    <col min="5383" max="5625" width="9.42578125" style="58"/>
    <col min="5626" max="5626" width="12.5703125" style="58" customWidth="1"/>
    <col min="5627" max="5627" width="52.42578125" style="58" customWidth="1"/>
    <col min="5628" max="5628" width="1" style="58" customWidth="1"/>
    <col min="5629" max="5629" width="18.5703125" style="58" customWidth="1"/>
    <col min="5630" max="5630" width="1.5703125" style="58" customWidth="1"/>
    <col min="5631" max="5631" width="18.5703125" style="58" customWidth="1"/>
    <col min="5632" max="5632" width="1.42578125" style="58" customWidth="1"/>
    <col min="5633" max="5633" width="1" style="58" customWidth="1"/>
    <col min="5634" max="5634" width="1.42578125" style="58" customWidth="1"/>
    <col min="5635" max="5635" width="13.5703125" style="58" bestFit="1" customWidth="1"/>
    <col min="5636" max="5636" width="18.42578125" style="58" bestFit="1" customWidth="1"/>
    <col min="5637" max="5637" width="16.42578125" style="58" customWidth="1"/>
    <col min="5638" max="5638" width="14.42578125" style="58" bestFit="1" customWidth="1"/>
    <col min="5639" max="5881" width="9.42578125" style="58"/>
    <col min="5882" max="5882" width="12.5703125" style="58" customWidth="1"/>
    <col min="5883" max="5883" width="52.42578125" style="58" customWidth="1"/>
    <col min="5884" max="5884" width="1" style="58" customWidth="1"/>
    <col min="5885" max="5885" width="18.5703125" style="58" customWidth="1"/>
    <col min="5886" max="5886" width="1.5703125" style="58" customWidth="1"/>
    <col min="5887" max="5887" width="18.5703125" style="58" customWidth="1"/>
    <col min="5888" max="5888" width="1.42578125" style="58" customWidth="1"/>
    <col min="5889" max="5889" width="1" style="58" customWidth="1"/>
    <col min="5890" max="5890" width="1.42578125" style="58" customWidth="1"/>
    <col min="5891" max="5891" width="13.5703125" style="58" bestFit="1" customWidth="1"/>
    <col min="5892" max="5892" width="18.42578125" style="58" bestFit="1" customWidth="1"/>
    <col min="5893" max="5893" width="16.42578125" style="58" customWidth="1"/>
    <col min="5894" max="5894" width="14.42578125" style="58" bestFit="1" customWidth="1"/>
    <col min="5895" max="6137" width="9.42578125" style="58"/>
    <col min="6138" max="6138" width="12.5703125" style="58" customWidth="1"/>
    <col min="6139" max="6139" width="52.42578125" style="58" customWidth="1"/>
    <col min="6140" max="6140" width="1" style="58" customWidth="1"/>
    <col min="6141" max="6141" width="18.5703125" style="58" customWidth="1"/>
    <col min="6142" max="6142" width="1.5703125" style="58" customWidth="1"/>
    <col min="6143" max="6143" width="18.5703125" style="58" customWidth="1"/>
    <col min="6144" max="6144" width="1.42578125" style="58" customWidth="1"/>
    <col min="6145" max="6145" width="1" style="58" customWidth="1"/>
    <col min="6146" max="6146" width="1.42578125" style="58" customWidth="1"/>
    <col min="6147" max="6147" width="13.5703125" style="58" bestFit="1" customWidth="1"/>
    <col min="6148" max="6148" width="18.42578125" style="58" bestFit="1" customWidth="1"/>
    <col min="6149" max="6149" width="16.42578125" style="58" customWidth="1"/>
    <col min="6150" max="6150" width="14.42578125" style="58" bestFit="1" customWidth="1"/>
    <col min="6151" max="6393" width="9.42578125" style="58"/>
    <col min="6394" max="6394" width="12.5703125" style="58" customWidth="1"/>
    <col min="6395" max="6395" width="52.42578125" style="58" customWidth="1"/>
    <col min="6396" max="6396" width="1" style="58" customWidth="1"/>
    <col min="6397" max="6397" width="18.5703125" style="58" customWidth="1"/>
    <col min="6398" max="6398" width="1.5703125" style="58" customWidth="1"/>
    <col min="6399" max="6399" width="18.5703125" style="58" customWidth="1"/>
    <col min="6400" max="6400" width="1.42578125" style="58" customWidth="1"/>
    <col min="6401" max="6401" width="1" style="58" customWidth="1"/>
    <col min="6402" max="6402" width="1.42578125" style="58" customWidth="1"/>
    <col min="6403" max="6403" width="13.5703125" style="58" bestFit="1" customWidth="1"/>
    <col min="6404" max="6404" width="18.42578125" style="58" bestFit="1" customWidth="1"/>
    <col min="6405" max="6405" width="16.42578125" style="58" customWidth="1"/>
    <col min="6406" max="6406" width="14.42578125" style="58" bestFit="1" customWidth="1"/>
    <col min="6407" max="6649" width="9.42578125" style="58"/>
    <col min="6650" max="6650" width="12.5703125" style="58" customWidth="1"/>
    <col min="6651" max="6651" width="52.42578125" style="58" customWidth="1"/>
    <col min="6652" max="6652" width="1" style="58" customWidth="1"/>
    <col min="6653" max="6653" width="18.5703125" style="58" customWidth="1"/>
    <col min="6654" max="6654" width="1.5703125" style="58" customWidth="1"/>
    <col min="6655" max="6655" width="18.5703125" style="58" customWidth="1"/>
    <col min="6656" max="6656" width="1.42578125" style="58" customWidth="1"/>
    <col min="6657" max="6657" width="1" style="58" customWidth="1"/>
    <col min="6658" max="6658" width="1.42578125" style="58" customWidth="1"/>
    <col min="6659" max="6659" width="13.5703125" style="58" bestFit="1" customWidth="1"/>
    <col min="6660" max="6660" width="18.42578125" style="58" bestFit="1" customWidth="1"/>
    <col min="6661" max="6661" width="16.42578125" style="58" customWidth="1"/>
    <col min="6662" max="6662" width="14.42578125" style="58" bestFit="1" customWidth="1"/>
    <col min="6663" max="6905" width="9.42578125" style="58"/>
    <col min="6906" max="6906" width="12.5703125" style="58" customWidth="1"/>
    <col min="6907" max="6907" width="52.42578125" style="58" customWidth="1"/>
    <col min="6908" max="6908" width="1" style="58" customWidth="1"/>
    <col min="6909" max="6909" width="18.5703125" style="58" customWidth="1"/>
    <col min="6910" max="6910" width="1.5703125" style="58" customWidth="1"/>
    <col min="6911" max="6911" width="18.5703125" style="58" customWidth="1"/>
    <col min="6912" max="6912" width="1.42578125" style="58" customWidth="1"/>
    <col min="6913" max="6913" width="1" style="58" customWidth="1"/>
    <col min="6914" max="6914" width="1.42578125" style="58" customWidth="1"/>
    <col min="6915" max="6915" width="13.5703125" style="58" bestFit="1" customWidth="1"/>
    <col min="6916" max="6916" width="18.42578125" style="58" bestFit="1" customWidth="1"/>
    <col min="6917" max="6917" width="16.42578125" style="58" customWidth="1"/>
    <col min="6918" max="6918" width="14.42578125" style="58" bestFit="1" customWidth="1"/>
    <col min="6919" max="7161" width="9.42578125" style="58"/>
    <col min="7162" max="7162" width="12.5703125" style="58" customWidth="1"/>
    <col min="7163" max="7163" width="52.42578125" style="58" customWidth="1"/>
    <col min="7164" max="7164" width="1" style="58" customWidth="1"/>
    <col min="7165" max="7165" width="18.5703125" style="58" customWidth="1"/>
    <col min="7166" max="7166" width="1.5703125" style="58" customWidth="1"/>
    <col min="7167" max="7167" width="18.5703125" style="58" customWidth="1"/>
    <col min="7168" max="7168" width="1.42578125" style="58" customWidth="1"/>
    <col min="7169" max="7169" width="1" style="58" customWidth="1"/>
    <col min="7170" max="7170" width="1.42578125" style="58" customWidth="1"/>
    <col min="7171" max="7171" width="13.5703125" style="58" bestFit="1" customWidth="1"/>
    <col min="7172" max="7172" width="18.42578125" style="58" bestFit="1" customWidth="1"/>
    <col min="7173" max="7173" width="16.42578125" style="58" customWidth="1"/>
    <col min="7174" max="7174" width="14.42578125" style="58" bestFit="1" customWidth="1"/>
    <col min="7175" max="7417" width="9.42578125" style="58"/>
    <col min="7418" max="7418" width="12.5703125" style="58" customWidth="1"/>
    <col min="7419" max="7419" width="52.42578125" style="58" customWidth="1"/>
    <col min="7420" max="7420" width="1" style="58" customWidth="1"/>
    <col min="7421" max="7421" width="18.5703125" style="58" customWidth="1"/>
    <col min="7422" max="7422" width="1.5703125" style="58" customWidth="1"/>
    <col min="7423" max="7423" width="18.5703125" style="58" customWidth="1"/>
    <col min="7424" max="7424" width="1.42578125" style="58" customWidth="1"/>
    <col min="7425" max="7425" width="1" style="58" customWidth="1"/>
    <col min="7426" max="7426" width="1.42578125" style="58" customWidth="1"/>
    <col min="7427" max="7427" width="13.5703125" style="58" bestFit="1" customWidth="1"/>
    <col min="7428" max="7428" width="18.42578125" style="58" bestFit="1" customWidth="1"/>
    <col min="7429" max="7429" width="16.42578125" style="58" customWidth="1"/>
    <col min="7430" max="7430" width="14.42578125" style="58" bestFit="1" customWidth="1"/>
    <col min="7431" max="7673" width="9.42578125" style="58"/>
    <col min="7674" max="7674" width="12.5703125" style="58" customWidth="1"/>
    <col min="7675" max="7675" width="52.42578125" style="58" customWidth="1"/>
    <col min="7676" max="7676" width="1" style="58" customWidth="1"/>
    <col min="7677" max="7677" width="18.5703125" style="58" customWidth="1"/>
    <col min="7678" max="7678" width="1.5703125" style="58" customWidth="1"/>
    <col min="7679" max="7679" width="18.5703125" style="58" customWidth="1"/>
    <col min="7680" max="7680" width="1.42578125" style="58" customWidth="1"/>
    <col min="7681" max="7681" width="1" style="58" customWidth="1"/>
    <col min="7682" max="7682" width="1.42578125" style="58" customWidth="1"/>
    <col min="7683" max="7683" width="13.5703125" style="58" bestFit="1" customWidth="1"/>
    <col min="7684" max="7684" width="18.42578125" style="58" bestFit="1" customWidth="1"/>
    <col min="7685" max="7685" width="16.42578125" style="58" customWidth="1"/>
    <col min="7686" max="7686" width="14.42578125" style="58" bestFit="1" customWidth="1"/>
    <col min="7687" max="7929" width="9.42578125" style="58"/>
    <col min="7930" max="7930" width="12.5703125" style="58" customWidth="1"/>
    <col min="7931" max="7931" width="52.42578125" style="58" customWidth="1"/>
    <col min="7932" max="7932" width="1" style="58" customWidth="1"/>
    <col min="7933" max="7933" width="18.5703125" style="58" customWidth="1"/>
    <col min="7934" max="7934" width="1.5703125" style="58" customWidth="1"/>
    <col min="7935" max="7935" width="18.5703125" style="58" customWidth="1"/>
    <col min="7936" max="7936" width="1.42578125" style="58" customWidth="1"/>
    <col min="7937" max="7937" width="1" style="58" customWidth="1"/>
    <col min="7938" max="7938" width="1.42578125" style="58" customWidth="1"/>
    <col min="7939" max="7939" width="13.5703125" style="58" bestFit="1" customWidth="1"/>
    <col min="7940" max="7940" width="18.42578125" style="58" bestFit="1" customWidth="1"/>
    <col min="7941" max="7941" width="16.42578125" style="58" customWidth="1"/>
    <col min="7942" max="7942" width="14.42578125" style="58" bestFit="1" customWidth="1"/>
    <col min="7943" max="8185" width="9.42578125" style="58"/>
    <col min="8186" max="8186" width="12.5703125" style="58" customWidth="1"/>
    <col min="8187" max="8187" width="52.42578125" style="58" customWidth="1"/>
    <col min="8188" max="8188" width="1" style="58" customWidth="1"/>
    <col min="8189" max="8189" width="18.5703125" style="58" customWidth="1"/>
    <col min="8190" max="8190" width="1.5703125" style="58" customWidth="1"/>
    <col min="8191" max="8191" width="18.5703125" style="58" customWidth="1"/>
    <col min="8192" max="8192" width="1.42578125" style="58" customWidth="1"/>
    <col min="8193" max="8193" width="1" style="58" customWidth="1"/>
    <col min="8194" max="8194" width="1.42578125" style="58" customWidth="1"/>
    <col min="8195" max="8195" width="13.5703125" style="58" bestFit="1" customWidth="1"/>
    <col min="8196" max="8196" width="18.42578125" style="58" bestFit="1" customWidth="1"/>
    <col min="8197" max="8197" width="16.42578125" style="58" customWidth="1"/>
    <col min="8198" max="8198" width="14.42578125" style="58" bestFit="1" customWidth="1"/>
    <col min="8199" max="8441" width="9.42578125" style="58"/>
    <col min="8442" max="8442" width="12.5703125" style="58" customWidth="1"/>
    <col min="8443" max="8443" width="52.42578125" style="58" customWidth="1"/>
    <col min="8444" max="8444" width="1" style="58" customWidth="1"/>
    <col min="8445" max="8445" width="18.5703125" style="58" customWidth="1"/>
    <col min="8446" max="8446" width="1.5703125" style="58" customWidth="1"/>
    <col min="8447" max="8447" width="18.5703125" style="58" customWidth="1"/>
    <col min="8448" max="8448" width="1.42578125" style="58" customWidth="1"/>
    <col min="8449" max="8449" width="1" style="58" customWidth="1"/>
    <col min="8450" max="8450" width="1.42578125" style="58" customWidth="1"/>
    <col min="8451" max="8451" width="13.5703125" style="58" bestFit="1" customWidth="1"/>
    <col min="8452" max="8452" width="18.42578125" style="58" bestFit="1" customWidth="1"/>
    <col min="8453" max="8453" width="16.42578125" style="58" customWidth="1"/>
    <col min="8454" max="8454" width="14.42578125" style="58" bestFit="1" customWidth="1"/>
    <col min="8455" max="8697" width="9.42578125" style="58"/>
    <col min="8698" max="8698" width="12.5703125" style="58" customWidth="1"/>
    <col min="8699" max="8699" width="52.42578125" style="58" customWidth="1"/>
    <col min="8700" max="8700" width="1" style="58" customWidth="1"/>
    <col min="8701" max="8701" width="18.5703125" style="58" customWidth="1"/>
    <col min="8702" max="8702" width="1.5703125" style="58" customWidth="1"/>
    <col min="8703" max="8703" width="18.5703125" style="58" customWidth="1"/>
    <col min="8704" max="8704" width="1.42578125" style="58" customWidth="1"/>
    <col min="8705" max="8705" width="1" style="58" customWidth="1"/>
    <col min="8706" max="8706" width="1.42578125" style="58" customWidth="1"/>
    <col min="8707" max="8707" width="13.5703125" style="58" bestFit="1" customWidth="1"/>
    <col min="8708" max="8708" width="18.42578125" style="58" bestFit="1" customWidth="1"/>
    <col min="8709" max="8709" width="16.42578125" style="58" customWidth="1"/>
    <col min="8710" max="8710" width="14.42578125" style="58" bestFit="1" customWidth="1"/>
    <col min="8711" max="8953" width="9.42578125" style="58"/>
    <col min="8954" max="8954" width="12.5703125" style="58" customWidth="1"/>
    <col min="8955" max="8955" width="52.42578125" style="58" customWidth="1"/>
    <col min="8956" max="8956" width="1" style="58" customWidth="1"/>
    <col min="8957" max="8957" width="18.5703125" style="58" customWidth="1"/>
    <col min="8958" max="8958" width="1.5703125" style="58" customWidth="1"/>
    <col min="8959" max="8959" width="18.5703125" style="58" customWidth="1"/>
    <col min="8960" max="8960" width="1.42578125" style="58" customWidth="1"/>
    <col min="8961" max="8961" width="1" style="58" customWidth="1"/>
    <col min="8962" max="8962" width="1.42578125" style="58" customWidth="1"/>
    <col min="8963" max="8963" width="13.5703125" style="58" bestFit="1" customWidth="1"/>
    <col min="8964" max="8964" width="18.42578125" style="58" bestFit="1" customWidth="1"/>
    <col min="8965" max="8965" width="16.42578125" style="58" customWidth="1"/>
    <col min="8966" max="8966" width="14.42578125" style="58" bestFit="1" customWidth="1"/>
    <col min="8967" max="9209" width="9.42578125" style="58"/>
    <col min="9210" max="9210" width="12.5703125" style="58" customWidth="1"/>
    <col min="9211" max="9211" width="52.42578125" style="58" customWidth="1"/>
    <col min="9212" max="9212" width="1" style="58" customWidth="1"/>
    <col min="9213" max="9213" width="18.5703125" style="58" customWidth="1"/>
    <col min="9214" max="9214" width="1.5703125" style="58" customWidth="1"/>
    <col min="9215" max="9215" width="18.5703125" style="58" customWidth="1"/>
    <col min="9216" max="9216" width="1.42578125" style="58" customWidth="1"/>
    <col min="9217" max="9217" width="1" style="58" customWidth="1"/>
    <col min="9218" max="9218" width="1.42578125" style="58" customWidth="1"/>
    <col min="9219" max="9219" width="13.5703125" style="58" bestFit="1" customWidth="1"/>
    <col min="9220" max="9220" width="18.42578125" style="58" bestFit="1" customWidth="1"/>
    <col min="9221" max="9221" width="16.42578125" style="58" customWidth="1"/>
    <col min="9222" max="9222" width="14.42578125" style="58" bestFit="1" customWidth="1"/>
    <col min="9223" max="9465" width="9.42578125" style="58"/>
    <col min="9466" max="9466" width="12.5703125" style="58" customWidth="1"/>
    <col min="9467" max="9467" width="52.42578125" style="58" customWidth="1"/>
    <col min="9468" max="9468" width="1" style="58" customWidth="1"/>
    <col min="9469" max="9469" width="18.5703125" style="58" customWidth="1"/>
    <col min="9470" max="9470" width="1.5703125" style="58" customWidth="1"/>
    <col min="9471" max="9471" width="18.5703125" style="58" customWidth="1"/>
    <col min="9472" max="9472" width="1.42578125" style="58" customWidth="1"/>
    <col min="9473" max="9473" width="1" style="58" customWidth="1"/>
    <col min="9474" max="9474" width="1.42578125" style="58" customWidth="1"/>
    <col min="9475" max="9475" width="13.5703125" style="58" bestFit="1" customWidth="1"/>
    <col min="9476" max="9476" width="18.42578125" style="58" bestFit="1" customWidth="1"/>
    <col min="9477" max="9477" width="16.42578125" style="58" customWidth="1"/>
    <col min="9478" max="9478" width="14.42578125" style="58" bestFit="1" customWidth="1"/>
    <col min="9479" max="9721" width="9.42578125" style="58"/>
    <col min="9722" max="9722" width="12.5703125" style="58" customWidth="1"/>
    <col min="9723" max="9723" width="52.42578125" style="58" customWidth="1"/>
    <col min="9724" max="9724" width="1" style="58" customWidth="1"/>
    <col min="9725" max="9725" width="18.5703125" style="58" customWidth="1"/>
    <col min="9726" max="9726" width="1.5703125" style="58" customWidth="1"/>
    <col min="9727" max="9727" width="18.5703125" style="58" customWidth="1"/>
    <col min="9728" max="9728" width="1.42578125" style="58" customWidth="1"/>
    <col min="9729" max="9729" width="1" style="58" customWidth="1"/>
    <col min="9730" max="9730" width="1.42578125" style="58" customWidth="1"/>
    <col min="9731" max="9731" width="13.5703125" style="58" bestFit="1" customWidth="1"/>
    <col min="9732" max="9732" width="18.42578125" style="58" bestFit="1" customWidth="1"/>
    <col min="9733" max="9733" width="16.42578125" style="58" customWidth="1"/>
    <col min="9734" max="9734" width="14.42578125" style="58" bestFit="1" customWidth="1"/>
    <col min="9735" max="9977" width="9.42578125" style="58"/>
    <col min="9978" max="9978" width="12.5703125" style="58" customWidth="1"/>
    <col min="9979" max="9979" width="52.42578125" style="58" customWidth="1"/>
    <col min="9980" max="9980" width="1" style="58" customWidth="1"/>
    <col min="9981" max="9981" width="18.5703125" style="58" customWidth="1"/>
    <col min="9982" max="9982" width="1.5703125" style="58" customWidth="1"/>
    <col min="9983" max="9983" width="18.5703125" style="58" customWidth="1"/>
    <col min="9984" max="9984" width="1.42578125" style="58" customWidth="1"/>
    <col min="9985" max="9985" width="1" style="58" customWidth="1"/>
    <col min="9986" max="9986" width="1.42578125" style="58" customWidth="1"/>
    <col min="9987" max="9987" width="13.5703125" style="58" bestFit="1" customWidth="1"/>
    <col min="9988" max="9988" width="18.42578125" style="58" bestFit="1" customWidth="1"/>
    <col min="9989" max="9989" width="16.42578125" style="58" customWidth="1"/>
    <col min="9990" max="9990" width="14.42578125" style="58" bestFit="1" customWidth="1"/>
    <col min="9991" max="10233" width="9.42578125" style="58"/>
    <col min="10234" max="10234" width="12.5703125" style="58" customWidth="1"/>
    <col min="10235" max="10235" width="52.42578125" style="58" customWidth="1"/>
    <col min="10236" max="10236" width="1" style="58" customWidth="1"/>
    <col min="10237" max="10237" width="18.5703125" style="58" customWidth="1"/>
    <col min="10238" max="10238" width="1.5703125" style="58" customWidth="1"/>
    <col min="10239" max="10239" width="18.5703125" style="58" customWidth="1"/>
    <col min="10240" max="10240" width="1.42578125" style="58" customWidth="1"/>
    <col min="10241" max="10241" width="1" style="58" customWidth="1"/>
    <col min="10242" max="10242" width="1.42578125" style="58" customWidth="1"/>
    <col min="10243" max="10243" width="13.5703125" style="58" bestFit="1" customWidth="1"/>
    <col min="10244" max="10244" width="18.42578125" style="58" bestFit="1" customWidth="1"/>
    <col min="10245" max="10245" width="16.42578125" style="58" customWidth="1"/>
    <col min="10246" max="10246" width="14.42578125" style="58" bestFit="1" customWidth="1"/>
    <col min="10247" max="10489" width="9.42578125" style="58"/>
    <col min="10490" max="10490" width="12.5703125" style="58" customWidth="1"/>
    <col min="10491" max="10491" width="52.42578125" style="58" customWidth="1"/>
    <col min="10492" max="10492" width="1" style="58" customWidth="1"/>
    <col min="10493" max="10493" width="18.5703125" style="58" customWidth="1"/>
    <col min="10494" max="10494" width="1.5703125" style="58" customWidth="1"/>
    <col min="10495" max="10495" width="18.5703125" style="58" customWidth="1"/>
    <col min="10496" max="10496" width="1.42578125" style="58" customWidth="1"/>
    <col min="10497" max="10497" width="1" style="58" customWidth="1"/>
    <col min="10498" max="10498" width="1.42578125" style="58" customWidth="1"/>
    <col min="10499" max="10499" width="13.5703125" style="58" bestFit="1" customWidth="1"/>
    <col min="10500" max="10500" width="18.42578125" style="58" bestFit="1" customWidth="1"/>
    <col min="10501" max="10501" width="16.42578125" style="58" customWidth="1"/>
    <col min="10502" max="10502" width="14.42578125" style="58" bestFit="1" customWidth="1"/>
    <col min="10503" max="10745" width="9.42578125" style="58"/>
    <col min="10746" max="10746" width="12.5703125" style="58" customWidth="1"/>
    <col min="10747" max="10747" width="52.42578125" style="58" customWidth="1"/>
    <col min="10748" max="10748" width="1" style="58" customWidth="1"/>
    <col min="10749" max="10749" width="18.5703125" style="58" customWidth="1"/>
    <col min="10750" max="10750" width="1.5703125" style="58" customWidth="1"/>
    <col min="10751" max="10751" width="18.5703125" style="58" customWidth="1"/>
    <col min="10752" max="10752" width="1.42578125" style="58" customWidth="1"/>
    <col min="10753" max="10753" width="1" style="58" customWidth="1"/>
    <col min="10754" max="10754" width="1.42578125" style="58" customWidth="1"/>
    <col min="10755" max="10755" width="13.5703125" style="58" bestFit="1" customWidth="1"/>
    <col min="10756" max="10756" width="18.42578125" style="58" bestFit="1" customWidth="1"/>
    <col min="10757" max="10757" width="16.42578125" style="58" customWidth="1"/>
    <col min="10758" max="10758" width="14.42578125" style="58" bestFit="1" customWidth="1"/>
    <col min="10759" max="11001" width="9.42578125" style="58"/>
    <col min="11002" max="11002" width="12.5703125" style="58" customWidth="1"/>
    <col min="11003" max="11003" width="52.42578125" style="58" customWidth="1"/>
    <col min="11004" max="11004" width="1" style="58" customWidth="1"/>
    <col min="11005" max="11005" width="18.5703125" style="58" customWidth="1"/>
    <col min="11006" max="11006" width="1.5703125" style="58" customWidth="1"/>
    <col min="11007" max="11007" width="18.5703125" style="58" customWidth="1"/>
    <col min="11008" max="11008" width="1.42578125" style="58" customWidth="1"/>
    <col min="11009" max="11009" width="1" style="58" customWidth="1"/>
    <col min="11010" max="11010" width="1.42578125" style="58" customWidth="1"/>
    <col min="11011" max="11011" width="13.5703125" style="58" bestFit="1" customWidth="1"/>
    <col min="11012" max="11012" width="18.42578125" style="58" bestFit="1" customWidth="1"/>
    <col min="11013" max="11013" width="16.42578125" style="58" customWidth="1"/>
    <col min="11014" max="11014" width="14.42578125" style="58" bestFit="1" customWidth="1"/>
    <col min="11015" max="11257" width="9.42578125" style="58"/>
    <col min="11258" max="11258" width="12.5703125" style="58" customWidth="1"/>
    <col min="11259" max="11259" width="52.42578125" style="58" customWidth="1"/>
    <col min="11260" max="11260" width="1" style="58" customWidth="1"/>
    <col min="11261" max="11261" width="18.5703125" style="58" customWidth="1"/>
    <col min="11262" max="11262" width="1.5703125" style="58" customWidth="1"/>
    <col min="11263" max="11263" width="18.5703125" style="58" customWidth="1"/>
    <col min="11264" max="11264" width="1.42578125" style="58" customWidth="1"/>
    <col min="11265" max="11265" width="1" style="58" customWidth="1"/>
    <col min="11266" max="11266" width="1.42578125" style="58" customWidth="1"/>
    <col min="11267" max="11267" width="13.5703125" style="58" bestFit="1" customWidth="1"/>
    <col min="11268" max="11268" width="18.42578125" style="58" bestFit="1" customWidth="1"/>
    <col min="11269" max="11269" width="16.42578125" style="58" customWidth="1"/>
    <col min="11270" max="11270" width="14.42578125" style="58" bestFit="1" customWidth="1"/>
    <col min="11271" max="11513" width="9.42578125" style="58"/>
    <col min="11514" max="11514" width="12.5703125" style="58" customWidth="1"/>
    <col min="11515" max="11515" width="52.42578125" style="58" customWidth="1"/>
    <col min="11516" max="11516" width="1" style="58" customWidth="1"/>
    <col min="11517" max="11517" width="18.5703125" style="58" customWidth="1"/>
    <col min="11518" max="11518" width="1.5703125" style="58" customWidth="1"/>
    <col min="11519" max="11519" width="18.5703125" style="58" customWidth="1"/>
    <col min="11520" max="11520" width="1.42578125" style="58" customWidth="1"/>
    <col min="11521" max="11521" width="1" style="58" customWidth="1"/>
    <col min="11522" max="11522" width="1.42578125" style="58" customWidth="1"/>
    <col min="11523" max="11523" width="13.5703125" style="58" bestFit="1" customWidth="1"/>
    <col min="11524" max="11524" width="18.42578125" style="58" bestFit="1" customWidth="1"/>
    <col min="11525" max="11525" width="16.42578125" style="58" customWidth="1"/>
    <col min="11526" max="11526" width="14.42578125" style="58" bestFit="1" customWidth="1"/>
    <col min="11527" max="11769" width="9.42578125" style="58"/>
    <col min="11770" max="11770" width="12.5703125" style="58" customWidth="1"/>
    <col min="11771" max="11771" width="52.42578125" style="58" customWidth="1"/>
    <col min="11772" max="11772" width="1" style="58" customWidth="1"/>
    <col min="11773" max="11773" width="18.5703125" style="58" customWidth="1"/>
    <col min="11774" max="11774" width="1.5703125" style="58" customWidth="1"/>
    <col min="11775" max="11775" width="18.5703125" style="58" customWidth="1"/>
    <col min="11776" max="11776" width="1.42578125" style="58" customWidth="1"/>
    <col min="11777" max="11777" width="1" style="58" customWidth="1"/>
    <col min="11778" max="11778" width="1.42578125" style="58" customWidth="1"/>
    <col min="11779" max="11779" width="13.5703125" style="58" bestFit="1" customWidth="1"/>
    <col min="11780" max="11780" width="18.42578125" style="58" bestFit="1" customWidth="1"/>
    <col min="11781" max="11781" width="16.42578125" style="58" customWidth="1"/>
    <col min="11782" max="11782" width="14.42578125" style="58" bestFit="1" customWidth="1"/>
    <col min="11783" max="12025" width="9.42578125" style="58"/>
    <col min="12026" max="12026" width="12.5703125" style="58" customWidth="1"/>
    <col min="12027" max="12027" width="52.42578125" style="58" customWidth="1"/>
    <col min="12028" max="12028" width="1" style="58" customWidth="1"/>
    <col min="12029" max="12029" width="18.5703125" style="58" customWidth="1"/>
    <col min="12030" max="12030" width="1.5703125" style="58" customWidth="1"/>
    <col min="12031" max="12031" width="18.5703125" style="58" customWidth="1"/>
    <col min="12032" max="12032" width="1.42578125" style="58" customWidth="1"/>
    <col min="12033" max="12033" width="1" style="58" customWidth="1"/>
    <col min="12034" max="12034" width="1.42578125" style="58" customWidth="1"/>
    <col min="12035" max="12035" width="13.5703125" style="58" bestFit="1" customWidth="1"/>
    <col min="12036" max="12036" width="18.42578125" style="58" bestFit="1" customWidth="1"/>
    <col min="12037" max="12037" width="16.42578125" style="58" customWidth="1"/>
    <col min="12038" max="12038" width="14.42578125" style="58" bestFit="1" customWidth="1"/>
    <col min="12039" max="12281" width="9.42578125" style="58"/>
    <col min="12282" max="12282" width="12.5703125" style="58" customWidth="1"/>
    <col min="12283" max="12283" width="52.42578125" style="58" customWidth="1"/>
    <col min="12284" max="12284" width="1" style="58" customWidth="1"/>
    <col min="12285" max="12285" width="18.5703125" style="58" customWidth="1"/>
    <col min="12286" max="12286" width="1.5703125" style="58" customWidth="1"/>
    <col min="12287" max="12287" width="18.5703125" style="58" customWidth="1"/>
    <col min="12288" max="12288" width="1.42578125" style="58" customWidth="1"/>
    <col min="12289" max="12289" width="1" style="58" customWidth="1"/>
    <col min="12290" max="12290" width="1.42578125" style="58" customWidth="1"/>
    <col min="12291" max="12291" width="13.5703125" style="58" bestFit="1" customWidth="1"/>
    <col min="12292" max="12292" width="18.42578125" style="58" bestFit="1" customWidth="1"/>
    <col min="12293" max="12293" width="16.42578125" style="58" customWidth="1"/>
    <col min="12294" max="12294" width="14.42578125" style="58" bestFit="1" customWidth="1"/>
    <col min="12295" max="12537" width="9.42578125" style="58"/>
    <col min="12538" max="12538" width="12.5703125" style="58" customWidth="1"/>
    <col min="12539" max="12539" width="52.42578125" style="58" customWidth="1"/>
    <col min="12540" max="12540" width="1" style="58" customWidth="1"/>
    <col min="12541" max="12541" width="18.5703125" style="58" customWidth="1"/>
    <col min="12542" max="12542" width="1.5703125" style="58" customWidth="1"/>
    <col min="12543" max="12543" width="18.5703125" style="58" customWidth="1"/>
    <col min="12544" max="12544" width="1.42578125" style="58" customWidth="1"/>
    <col min="12545" max="12545" width="1" style="58" customWidth="1"/>
    <col min="12546" max="12546" width="1.42578125" style="58" customWidth="1"/>
    <col min="12547" max="12547" width="13.5703125" style="58" bestFit="1" customWidth="1"/>
    <col min="12548" max="12548" width="18.42578125" style="58" bestFit="1" customWidth="1"/>
    <col min="12549" max="12549" width="16.42578125" style="58" customWidth="1"/>
    <col min="12550" max="12550" width="14.42578125" style="58" bestFit="1" customWidth="1"/>
    <col min="12551" max="12793" width="9.42578125" style="58"/>
    <col min="12794" max="12794" width="12.5703125" style="58" customWidth="1"/>
    <col min="12795" max="12795" width="52.42578125" style="58" customWidth="1"/>
    <col min="12796" max="12796" width="1" style="58" customWidth="1"/>
    <col min="12797" max="12797" width="18.5703125" style="58" customWidth="1"/>
    <col min="12798" max="12798" width="1.5703125" style="58" customWidth="1"/>
    <col min="12799" max="12799" width="18.5703125" style="58" customWidth="1"/>
    <col min="12800" max="12800" width="1.42578125" style="58" customWidth="1"/>
    <col min="12801" max="12801" width="1" style="58" customWidth="1"/>
    <col min="12802" max="12802" width="1.42578125" style="58" customWidth="1"/>
    <col min="12803" max="12803" width="13.5703125" style="58" bestFit="1" customWidth="1"/>
    <col min="12804" max="12804" width="18.42578125" style="58" bestFit="1" customWidth="1"/>
    <col min="12805" max="12805" width="16.42578125" style="58" customWidth="1"/>
    <col min="12806" max="12806" width="14.42578125" style="58" bestFit="1" customWidth="1"/>
    <col min="12807" max="13049" width="9.42578125" style="58"/>
    <col min="13050" max="13050" width="12.5703125" style="58" customWidth="1"/>
    <col min="13051" max="13051" width="52.42578125" style="58" customWidth="1"/>
    <col min="13052" max="13052" width="1" style="58" customWidth="1"/>
    <col min="13053" max="13053" width="18.5703125" style="58" customWidth="1"/>
    <col min="13054" max="13054" width="1.5703125" style="58" customWidth="1"/>
    <col min="13055" max="13055" width="18.5703125" style="58" customWidth="1"/>
    <col min="13056" max="13056" width="1.42578125" style="58" customWidth="1"/>
    <col min="13057" max="13057" width="1" style="58" customWidth="1"/>
    <col min="13058" max="13058" width="1.42578125" style="58" customWidth="1"/>
    <col min="13059" max="13059" width="13.5703125" style="58" bestFit="1" customWidth="1"/>
    <col min="13060" max="13060" width="18.42578125" style="58" bestFit="1" customWidth="1"/>
    <col min="13061" max="13061" width="16.42578125" style="58" customWidth="1"/>
    <col min="13062" max="13062" width="14.42578125" style="58" bestFit="1" customWidth="1"/>
    <col min="13063" max="13305" width="9.42578125" style="58"/>
    <col min="13306" max="13306" width="12.5703125" style="58" customWidth="1"/>
    <col min="13307" max="13307" width="52.42578125" style="58" customWidth="1"/>
    <col min="13308" max="13308" width="1" style="58" customWidth="1"/>
    <col min="13309" max="13309" width="18.5703125" style="58" customWidth="1"/>
    <col min="13310" max="13310" width="1.5703125" style="58" customWidth="1"/>
    <col min="13311" max="13311" width="18.5703125" style="58" customWidth="1"/>
    <col min="13312" max="13312" width="1.42578125" style="58" customWidth="1"/>
    <col min="13313" max="13313" width="1" style="58" customWidth="1"/>
    <col min="13314" max="13314" width="1.42578125" style="58" customWidth="1"/>
    <col min="13315" max="13315" width="13.5703125" style="58" bestFit="1" customWidth="1"/>
    <col min="13316" max="13316" width="18.42578125" style="58" bestFit="1" customWidth="1"/>
    <col min="13317" max="13317" width="16.42578125" style="58" customWidth="1"/>
    <col min="13318" max="13318" width="14.42578125" style="58" bestFit="1" customWidth="1"/>
    <col min="13319" max="13561" width="9.42578125" style="58"/>
    <col min="13562" max="13562" width="12.5703125" style="58" customWidth="1"/>
    <col min="13563" max="13563" width="52.42578125" style="58" customWidth="1"/>
    <col min="13564" max="13564" width="1" style="58" customWidth="1"/>
    <col min="13565" max="13565" width="18.5703125" style="58" customWidth="1"/>
    <col min="13566" max="13566" width="1.5703125" style="58" customWidth="1"/>
    <col min="13567" max="13567" width="18.5703125" style="58" customWidth="1"/>
    <col min="13568" max="13568" width="1.42578125" style="58" customWidth="1"/>
    <col min="13569" max="13569" width="1" style="58" customWidth="1"/>
    <col min="13570" max="13570" width="1.42578125" style="58" customWidth="1"/>
    <col min="13571" max="13571" width="13.5703125" style="58" bestFit="1" customWidth="1"/>
    <col min="13572" max="13572" width="18.42578125" style="58" bestFit="1" customWidth="1"/>
    <col min="13573" max="13573" width="16.42578125" style="58" customWidth="1"/>
    <col min="13574" max="13574" width="14.42578125" style="58" bestFit="1" customWidth="1"/>
    <col min="13575" max="13817" width="9.42578125" style="58"/>
    <col min="13818" max="13818" width="12.5703125" style="58" customWidth="1"/>
    <col min="13819" max="13819" width="52.42578125" style="58" customWidth="1"/>
    <col min="13820" max="13820" width="1" style="58" customWidth="1"/>
    <col min="13821" max="13821" width="18.5703125" style="58" customWidth="1"/>
    <col min="13822" max="13822" width="1.5703125" style="58" customWidth="1"/>
    <col min="13823" max="13823" width="18.5703125" style="58" customWidth="1"/>
    <col min="13824" max="13824" width="1.42578125" style="58" customWidth="1"/>
    <col min="13825" max="13825" width="1" style="58" customWidth="1"/>
    <col min="13826" max="13826" width="1.42578125" style="58" customWidth="1"/>
    <col min="13827" max="13827" width="13.5703125" style="58" bestFit="1" customWidth="1"/>
    <col min="13828" max="13828" width="18.42578125" style="58" bestFit="1" customWidth="1"/>
    <col min="13829" max="13829" width="16.42578125" style="58" customWidth="1"/>
    <col min="13830" max="13830" width="14.42578125" style="58" bestFit="1" customWidth="1"/>
    <col min="13831" max="14073" width="9.42578125" style="58"/>
    <col min="14074" max="14074" width="12.5703125" style="58" customWidth="1"/>
    <col min="14075" max="14075" width="52.42578125" style="58" customWidth="1"/>
    <col min="14076" max="14076" width="1" style="58" customWidth="1"/>
    <col min="14077" max="14077" width="18.5703125" style="58" customWidth="1"/>
    <col min="14078" max="14078" width="1.5703125" style="58" customWidth="1"/>
    <col min="14079" max="14079" width="18.5703125" style="58" customWidth="1"/>
    <col min="14080" max="14080" width="1.42578125" style="58" customWidth="1"/>
    <col min="14081" max="14081" width="1" style="58" customWidth="1"/>
    <col min="14082" max="14082" width="1.42578125" style="58" customWidth="1"/>
    <col min="14083" max="14083" width="13.5703125" style="58" bestFit="1" customWidth="1"/>
    <col min="14084" max="14084" width="18.42578125" style="58" bestFit="1" customWidth="1"/>
    <col min="14085" max="14085" width="16.42578125" style="58" customWidth="1"/>
    <col min="14086" max="14086" width="14.42578125" style="58" bestFit="1" customWidth="1"/>
    <col min="14087" max="14329" width="9.42578125" style="58"/>
    <col min="14330" max="14330" width="12.5703125" style="58" customWidth="1"/>
    <col min="14331" max="14331" width="52.42578125" style="58" customWidth="1"/>
    <col min="14332" max="14332" width="1" style="58" customWidth="1"/>
    <col min="14333" max="14333" width="18.5703125" style="58" customWidth="1"/>
    <col min="14334" max="14334" width="1.5703125" style="58" customWidth="1"/>
    <col min="14335" max="14335" width="18.5703125" style="58" customWidth="1"/>
    <col min="14336" max="14336" width="1.42578125" style="58" customWidth="1"/>
    <col min="14337" max="14337" width="1" style="58" customWidth="1"/>
    <col min="14338" max="14338" width="1.42578125" style="58" customWidth="1"/>
    <col min="14339" max="14339" width="13.5703125" style="58" bestFit="1" customWidth="1"/>
    <col min="14340" max="14340" width="18.42578125" style="58" bestFit="1" customWidth="1"/>
    <col min="14341" max="14341" width="16.42578125" style="58" customWidth="1"/>
    <col min="14342" max="14342" width="14.42578125" style="58" bestFit="1" customWidth="1"/>
    <col min="14343" max="14585" width="9.42578125" style="58"/>
    <col min="14586" max="14586" width="12.5703125" style="58" customWidth="1"/>
    <col min="14587" max="14587" width="52.42578125" style="58" customWidth="1"/>
    <col min="14588" max="14588" width="1" style="58" customWidth="1"/>
    <col min="14589" max="14589" width="18.5703125" style="58" customWidth="1"/>
    <col min="14590" max="14590" width="1.5703125" style="58" customWidth="1"/>
    <col min="14591" max="14591" width="18.5703125" style="58" customWidth="1"/>
    <col min="14592" max="14592" width="1.42578125" style="58" customWidth="1"/>
    <col min="14593" max="14593" width="1" style="58" customWidth="1"/>
    <col min="14594" max="14594" width="1.42578125" style="58" customWidth="1"/>
    <col min="14595" max="14595" width="13.5703125" style="58" bestFit="1" customWidth="1"/>
    <col min="14596" max="14596" width="18.42578125" style="58" bestFit="1" customWidth="1"/>
    <col min="14597" max="14597" width="16.42578125" style="58" customWidth="1"/>
    <col min="14598" max="14598" width="14.42578125" style="58" bestFit="1" customWidth="1"/>
    <col min="14599" max="14841" width="9.42578125" style="58"/>
    <col min="14842" max="14842" width="12.5703125" style="58" customWidth="1"/>
    <col min="14843" max="14843" width="52.42578125" style="58" customWidth="1"/>
    <col min="14844" max="14844" width="1" style="58" customWidth="1"/>
    <col min="14845" max="14845" width="18.5703125" style="58" customWidth="1"/>
    <col min="14846" max="14846" width="1.5703125" style="58" customWidth="1"/>
    <col min="14847" max="14847" width="18.5703125" style="58" customWidth="1"/>
    <col min="14848" max="14848" width="1.42578125" style="58" customWidth="1"/>
    <col min="14849" max="14849" width="1" style="58" customWidth="1"/>
    <col min="14850" max="14850" width="1.42578125" style="58" customWidth="1"/>
    <col min="14851" max="14851" width="13.5703125" style="58" bestFit="1" customWidth="1"/>
    <col min="14852" max="14852" width="18.42578125" style="58" bestFit="1" customWidth="1"/>
    <col min="14853" max="14853" width="16.42578125" style="58" customWidth="1"/>
    <col min="14854" max="14854" width="14.42578125" style="58" bestFit="1" customWidth="1"/>
    <col min="14855" max="15097" width="9.42578125" style="58"/>
    <col min="15098" max="15098" width="12.5703125" style="58" customWidth="1"/>
    <col min="15099" max="15099" width="52.42578125" style="58" customWidth="1"/>
    <col min="15100" max="15100" width="1" style="58" customWidth="1"/>
    <col min="15101" max="15101" width="18.5703125" style="58" customWidth="1"/>
    <col min="15102" max="15102" width="1.5703125" style="58" customWidth="1"/>
    <col min="15103" max="15103" width="18.5703125" style="58" customWidth="1"/>
    <col min="15104" max="15104" width="1.42578125" style="58" customWidth="1"/>
    <col min="15105" max="15105" width="1" style="58" customWidth="1"/>
    <col min="15106" max="15106" width="1.42578125" style="58" customWidth="1"/>
    <col min="15107" max="15107" width="13.5703125" style="58" bestFit="1" customWidth="1"/>
    <col min="15108" max="15108" width="18.42578125" style="58" bestFit="1" customWidth="1"/>
    <col min="15109" max="15109" width="16.42578125" style="58" customWidth="1"/>
    <col min="15110" max="15110" width="14.42578125" style="58" bestFit="1" customWidth="1"/>
    <col min="15111" max="15353" width="9.42578125" style="58"/>
    <col min="15354" max="15354" width="12.5703125" style="58" customWidth="1"/>
    <col min="15355" max="15355" width="52.42578125" style="58" customWidth="1"/>
    <col min="15356" max="15356" width="1" style="58" customWidth="1"/>
    <col min="15357" max="15357" width="18.5703125" style="58" customWidth="1"/>
    <col min="15358" max="15358" width="1.5703125" style="58" customWidth="1"/>
    <col min="15359" max="15359" width="18.5703125" style="58" customWidth="1"/>
    <col min="15360" max="15360" width="1.42578125" style="58" customWidth="1"/>
    <col min="15361" max="15361" width="1" style="58" customWidth="1"/>
    <col min="15362" max="15362" width="1.42578125" style="58" customWidth="1"/>
    <col min="15363" max="15363" width="13.5703125" style="58" bestFit="1" customWidth="1"/>
    <col min="15364" max="15364" width="18.42578125" style="58" bestFit="1" customWidth="1"/>
    <col min="15365" max="15365" width="16.42578125" style="58" customWidth="1"/>
    <col min="15366" max="15366" width="14.42578125" style="58" bestFit="1" customWidth="1"/>
    <col min="15367" max="15609" width="9.42578125" style="58"/>
    <col min="15610" max="15610" width="12.5703125" style="58" customWidth="1"/>
    <col min="15611" max="15611" width="52.42578125" style="58" customWidth="1"/>
    <col min="15612" max="15612" width="1" style="58" customWidth="1"/>
    <col min="15613" max="15613" width="18.5703125" style="58" customWidth="1"/>
    <col min="15614" max="15614" width="1.5703125" style="58" customWidth="1"/>
    <col min="15615" max="15615" width="18.5703125" style="58" customWidth="1"/>
    <col min="15616" max="15616" width="1.42578125" style="58" customWidth="1"/>
    <col min="15617" max="15617" width="1" style="58" customWidth="1"/>
    <col min="15618" max="15618" width="1.42578125" style="58" customWidth="1"/>
    <col min="15619" max="15619" width="13.5703125" style="58" bestFit="1" customWidth="1"/>
    <col min="15620" max="15620" width="18.42578125" style="58" bestFit="1" customWidth="1"/>
    <col min="15621" max="15621" width="16.42578125" style="58" customWidth="1"/>
    <col min="15622" max="15622" width="14.42578125" style="58" bestFit="1" customWidth="1"/>
    <col min="15623" max="15865" width="9.42578125" style="58"/>
    <col min="15866" max="15866" width="12.5703125" style="58" customWidth="1"/>
    <col min="15867" max="15867" width="52.42578125" style="58" customWidth="1"/>
    <col min="15868" max="15868" width="1" style="58" customWidth="1"/>
    <col min="15869" max="15869" width="18.5703125" style="58" customWidth="1"/>
    <col min="15870" max="15870" width="1.5703125" style="58" customWidth="1"/>
    <col min="15871" max="15871" width="18.5703125" style="58" customWidth="1"/>
    <col min="15872" max="15872" width="1.42578125" style="58" customWidth="1"/>
    <col min="15873" max="15873" width="1" style="58" customWidth="1"/>
    <col min="15874" max="15874" width="1.42578125" style="58" customWidth="1"/>
    <col min="15875" max="15875" width="13.5703125" style="58" bestFit="1" customWidth="1"/>
    <col min="15876" max="15876" width="18.42578125" style="58" bestFit="1" customWidth="1"/>
    <col min="15877" max="15877" width="16.42578125" style="58" customWidth="1"/>
    <col min="15878" max="15878" width="14.42578125" style="58" bestFit="1" customWidth="1"/>
    <col min="15879" max="16121" width="9.42578125" style="58"/>
    <col min="16122" max="16122" width="12.5703125" style="58" customWidth="1"/>
    <col min="16123" max="16123" width="52.42578125" style="58" customWidth="1"/>
    <col min="16124" max="16124" width="1" style="58" customWidth="1"/>
    <col min="16125" max="16125" width="18.5703125" style="58" customWidth="1"/>
    <col min="16126" max="16126" width="1.5703125" style="58" customWidth="1"/>
    <col min="16127" max="16127" width="18.5703125" style="58" customWidth="1"/>
    <col min="16128" max="16128" width="1.42578125" style="58" customWidth="1"/>
    <col min="16129" max="16129" width="1" style="58" customWidth="1"/>
    <col min="16130" max="16130" width="1.42578125" style="58" customWidth="1"/>
    <col min="16131" max="16131" width="13.5703125" style="58" bestFit="1" customWidth="1"/>
    <col min="16132" max="16132" width="18.42578125" style="58" bestFit="1" customWidth="1"/>
    <col min="16133" max="16133" width="16.42578125" style="58" customWidth="1"/>
    <col min="16134" max="16134" width="14.42578125" style="58" bestFit="1" customWidth="1"/>
    <col min="16135" max="16384" width="9.42578125" style="58"/>
  </cols>
  <sheetData>
    <row r="1" spans="2:7" ht="18" customHeight="1" x14ac:dyDescent="0.25">
      <c r="B1" s="303" t="str">
        <f>SCI!B1:G1</f>
        <v>"COMPANY NAME AS PER AOA"</v>
      </c>
      <c r="C1" s="303"/>
      <c r="D1" s="303"/>
      <c r="E1" s="303"/>
      <c r="F1" s="303"/>
      <c r="G1" s="303"/>
    </row>
    <row r="2" spans="2:7" ht="18" customHeight="1" x14ac:dyDescent="0.25">
      <c r="B2" s="304" t="str">
        <f>SCI!B2:G2</f>
        <v>"TYPE OF COMPANY AS PER AOA"</v>
      </c>
      <c r="C2" s="304"/>
      <c r="D2" s="304"/>
      <c r="E2" s="304"/>
      <c r="F2" s="304"/>
      <c r="G2" s="304"/>
    </row>
    <row r="3" spans="2:7" ht="18" customHeight="1" x14ac:dyDescent="0.25">
      <c r="B3" s="75" t="s">
        <v>253</v>
      </c>
      <c r="C3" s="76"/>
      <c r="D3" s="76"/>
      <c r="E3" s="76"/>
      <c r="F3" s="76"/>
      <c r="G3" s="76"/>
    </row>
    <row r="4" spans="2:7" ht="18" customHeight="1" x14ac:dyDescent="0.25">
      <c r="B4" s="306" t="s">
        <v>30</v>
      </c>
      <c r="C4" s="306"/>
      <c r="D4" s="77"/>
      <c r="E4" s="77"/>
      <c r="F4" s="59" t="s">
        <v>49</v>
      </c>
      <c r="G4" s="78"/>
    </row>
    <row r="5" spans="2:7" ht="18" customHeight="1" x14ac:dyDescent="0.25">
      <c r="B5" s="79"/>
      <c r="C5" s="79"/>
      <c r="D5" s="79"/>
      <c r="E5" s="79"/>
      <c r="F5" s="80"/>
    </row>
    <row r="6" spans="2:7" ht="18.75" x14ac:dyDescent="0.45">
      <c r="B6" s="81"/>
      <c r="D6" s="82" t="str">
        <f>SCI!E6</f>
        <v>CURRENT YEAR</v>
      </c>
      <c r="F6" s="83" t="str">
        <f>SCI!G6</f>
        <v>PREVIOUS YEAR</v>
      </c>
    </row>
    <row r="7" spans="2:7" ht="18" customHeight="1" x14ac:dyDescent="0.25">
      <c r="B7" s="84" t="s">
        <v>50</v>
      </c>
      <c r="D7" s="85" t="s">
        <v>5</v>
      </c>
      <c r="F7" s="85" t="s">
        <v>5</v>
      </c>
    </row>
    <row r="8" spans="2:7" ht="18" customHeight="1" x14ac:dyDescent="0.25">
      <c r="B8" s="86" t="s">
        <v>51</v>
      </c>
      <c r="D8" s="70">
        <f>SCI!E15</f>
        <v>0</v>
      </c>
      <c r="F8" s="70">
        <f>SCI!G15</f>
        <v>0</v>
      </c>
    </row>
    <row r="9" spans="2:7" ht="18" customHeight="1" x14ac:dyDescent="0.25">
      <c r="B9" s="84" t="s">
        <v>52</v>
      </c>
      <c r="D9" s="70"/>
      <c r="F9" s="70"/>
    </row>
    <row r="10" spans="2:7" ht="18" customHeight="1" x14ac:dyDescent="0.25">
      <c r="B10" s="84" t="s">
        <v>53</v>
      </c>
      <c r="D10" s="70"/>
      <c r="F10" s="70"/>
    </row>
    <row r="11" spans="2:7" ht="18" customHeight="1" x14ac:dyDescent="0.25">
      <c r="B11" s="86" t="s">
        <v>54</v>
      </c>
      <c r="D11" s="70">
        <f>'1..'!K35</f>
        <v>0</v>
      </c>
      <c r="F11" s="70"/>
    </row>
    <row r="12" spans="2:7" ht="18" customHeight="1" x14ac:dyDescent="0.25">
      <c r="B12" s="86" t="s">
        <v>55</v>
      </c>
      <c r="D12" s="70">
        <f>'6'!D19</f>
        <v>0</v>
      </c>
      <c r="F12" s="70"/>
    </row>
    <row r="13" spans="2:7" ht="18" customHeight="1" x14ac:dyDescent="0.25">
      <c r="B13" s="86" t="s">
        <v>56</v>
      </c>
      <c r="D13" s="70">
        <f>'Client TB (2)'!I145</f>
        <v>0</v>
      </c>
      <c r="F13" s="70"/>
    </row>
    <row r="14" spans="2:7" ht="18" customHeight="1" x14ac:dyDescent="0.25">
      <c r="B14" s="84" t="s">
        <v>57</v>
      </c>
      <c r="D14" s="70"/>
      <c r="F14" s="70"/>
    </row>
    <row r="15" spans="2:7" ht="18" customHeight="1" x14ac:dyDescent="0.25">
      <c r="B15" s="86" t="s">
        <v>58</v>
      </c>
      <c r="D15" s="70"/>
      <c r="F15" s="70"/>
    </row>
    <row r="16" spans="2:7" s="87" customFormat="1" ht="18" customHeight="1" x14ac:dyDescent="0.25">
      <c r="B16" s="86" t="s">
        <v>59</v>
      </c>
      <c r="C16" s="60"/>
      <c r="D16" s="70"/>
      <c r="E16" s="60"/>
      <c r="F16" s="70"/>
    </row>
    <row r="17" spans="2:10" s="87" customFormat="1" ht="18" customHeight="1" x14ac:dyDescent="0.25">
      <c r="B17" s="86" t="str">
        <f>SOFP!B20</f>
        <v>DUE TO RELATED PARTY</v>
      </c>
      <c r="C17" s="60"/>
      <c r="D17" s="70"/>
      <c r="E17" s="60"/>
      <c r="F17" s="70"/>
    </row>
    <row r="18" spans="2:10" s="87" customFormat="1" ht="18" customHeight="1" x14ac:dyDescent="0.25">
      <c r="B18" s="86" t="s">
        <v>8</v>
      </c>
      <c r="C18" s="60"/>
      <c r="D18" s="70"/>
      <c r="E18" s="60"/>
      <c r="F18" s="70"/>
    </row>
    <row r="19" spans="2:10" ht="18" customHeight="1" x14ac:dyDescent="0.25">
      <c r="B19" s="84" t="s">
        <v>60</v>
      </c>
      <c r="D19" s="88">
        <f>SUM(D8:D18)</f>
        <v>0</v>
      </c>
      <c r="F19" s="88">
        <f>SUM(F8:F18)</f>
        <v>0</v>
      </c>
    </row>
    <row r="20" spans="2:10" ht="18" customHeight="1" x14ac:dyDescent="0.25">
      <c r="B20" s="86" t="s">
        <v>61</v>
      </c>
      <c r="D20" s="89">
        <v>0</v>
      </c>
      <c r="F20" s="90"/>
    </row>
    <row r="21" spans="2:10" ht="18" customHeight="1" x14ac:dyDescent="0.25">
      <c r="B21" s="84" t="s">
        <v>60</v>
      </c>
      <c r="D21" s="72">
        <f>D19+D20</f>
        <v>0</v>
      </c>
      <c r="F21" s="72">
        <f>F19+F20</f>
        <v>0</v>
      </c>
    </row>
    <row r="22" spans="2:10" ht="18" customHeight="1" x14ac:dyDescent="0.45">
      <c r="B22" s="84" t="s">
        <v>62</v>
      </c>
      <c r="D22" s="91"/>
      <c r="F22" s="91"/>
    </row>
    <row r="23" spans="2:10" ht="18" customHeight="1" x14ac:dyDescent="0.25">
      <c r="B23" s="86" t="s">
        <v>63</v>
      </c>
      <c r="D23" s="70">
        <f>-('1..'!K29)</f>
        <v>0</v>
      </c>
      <c r="F23" s="70"/>
    </row>
    <row r="24" spans="2:10" ht="18" customHeight="1" x14ac:dyDescent="0.25">
      <c r="B24" s="84" t="s">
        <v>64</v>
      </c>
      <c r="C24" s="92"/>
      <c r="D24" s="93">
        <f>SUM(D23)</f>
        <v>0</v>
      </c>
      <c r="E24" s="92"/>
      <c r="F24" s="93">
        <f>SUM(F23)</f>
        <v>0</v>
      </c>
    </row>
    <row r="25" spans="2:10" ht="18" customHeight="1" x14ac:dyDescent="0.25">
      <c r="B25" s="84" t="s">
        <v>65</v>
      </c>
      <c r="C25" s="92"/>
      <c r="D25" s="72"/>
      <c r="E25" s="92"/>
      <c r="F25" s="72"/>
    </row>
    <row r="26" spans="2:10" ht="18" customHeight="1" x14ac:dyDescent="0.25">
      <c r="B26" s="86" t="s">
        <v>44</v>
      </c>
      <c r="C26" s="92"/>
      <c r="D26" s="70">
        <v>0</v>
      </c>
      <c r="E26" s="92"/>
      <c r="F26" s="70">
        <v>0</v>
      </c>
      <c r="J26" s="94"/>
    </row>
    <row r="27" spans="2:10" ht="18" customHeight="1" x14ac:dyDescent="0.25">
      <c r="B27" s="84" t="s">
        <v>66</v>
      </c>
      <c r="C27" s="92"/>
      <c r="D27" s="88">
        <f>SUM(D26:D26)</f>
        <v>0</v>
      </c>
      <c r="E27" s="92"/>
      <c r="F27" s="88">
        <f>SUM(F26:F26)</f>
        <v>0</v>
      </c>
    </row>
    <row r="28" spans="2:10" ht="18" customHeight="1" x14ac:dyDescent="0.25">
      <c r="B28" s="84" t="s">
        <v>67</v>
      </c>
      <c r="C28" s="92"/>
      <c r="D28" s="88">
        <f>D21+D24+D27</f>
        <v>0</v>
      </c>
      <c r="E28" s="92"/>
      <c r="F28" s="88">
        <f>F21+F24+F27</f>
        <v>0</v>
      </c>
      <c r="J28" s="94"/>
    </row>
    <row r="29" spans="2:10" ht="18" customHeight="1" x14ac:dyDescent="0.25">
      <c r="B29" s="86" t="s">
        <v>68</v>
      </c>
      <c r="C29" s="92"/>
      <c r="D29" s="70">
        <f>F30</f>
        <v>0</v>
      </c>
      <c r="E29" s="92"/>
      <c r="F29" s="70"/>
      <c r="H29" s="95"/>
    </row>
    <row r="30" spans="2:10" ht="18" customHeight="1" thickBot="1" x14ac:dyDescent="0.3">
      <c r="B30" s="84" t="s">
        <v>69</v>
      </c>
      <c r="C30" s="92"/>
      <c r="D30" s="73">
        <f>SUM(D28:D29)</f>
        <v>0</v>
      </c>
      <c r="E30" s="92"/>
      <c r="F30" s="73">
        <f>SUM(F28:F29)</f>
        <v>0</v>
      </c>
    </row>
    <row r="31" spans="2:10" ht="18" customHeight="1" thickTop="1" x14ac:dyDescent="0.25">
      <c r="C31" s="58"/>
      <c r="D31" s="58"/>
      <c r="E31" s="58"/>
      <c r="F31" s="58"/>
    </row>
    <row r="32" spans="2:10" ht="18" customHeight="1" x14ac:dyDescent="0.25">
      <c r="B32" s="96"/>
      <c r="C32" s="92"/>
      <c r="D32" s="97">
        <f>SOFP!E8</f>
        <v>0</v>
      </c>
      <c r="E32" s="92"/>
      <c r="F32" s="98">
        <f>SOFP!G8</f>
        <v>0</v>
      </c>
    </row>
    <row r="33" spans="2:10" ht="18" customHeight="1" x14ac:dyDescent="0.25">
      <c r="B33" s="99"/>
      <c r="C33" s="100">
        <f t="shared" ref="C33:D33" si="0">C32-C30</f>
        <v>0</v>
      </c>
      <c r="D33" s="100">
        <f t="shared" si="0"/>
        <v>0</v>
      </c>
      <c r="E33" s="100"/>
      <c r="F33" s="100">
        <f>F32-F30</f>
        <v>0</v>
      </c>
    </row>
    <row r="34" spans="2:10" ht="18" customHeight="1" x14ac:dyDescent="0.25">
      <c r="B34" s="99"/>
      <c r="C34" s="92"/>
      <c r="D34" s="92"/>
      <c r="E34" s="92"/>
      <c r="F34" s="100"/>
      <c r="J34" s="101"/>
    </row>
    <row r="35" spans="2:10" ht="18" customHeight="1" x14ac:dyDescent="0.25">
      <c r="B35" s="99"/>
      <c r="C35" s="92"/>
      <c r="D35" s="92"/>
      <c r="E35" s="92"/>
      <c r="F35" s="100"/>
      <c r="J35" s="101"/>
    </row>
    <row r="36" spans="2:10" ht="18" customHeight="1" x14ac:dyDescent="0.25">
      <c r="B36" s="99"/>
      <c r="C36" s="92"/>
      <c r="D36" s="92"/>
      <c r="E36" s="92"/>
      <c r="F36" s="100"/>
      <c r="J36" s="101"/>
    </row>
    <row r="37" spans="2:10" ht="18" customHeight="1" x14ac:dyDescent="0.25">
      <c r="B37" s="99"/>
      <c r="C37" s="92"/>
      <c r="D37" s="92"/>
      <c r="E37" s="92"/>
      <c r="F37" s="100"/>
      <c r="J37" s="101"/>
    </row>
    <row r="38" spans="2:10" ht="18" customHeight="1" x14ac:dyDescent="0.25">
      <c r="B38" s="99"/>
      <c r="C38" s="92"/>
      <c r="D38" s="92"/>
      <c r="E38" s="92"/>
      <c r="F38" s="100"/>
      <c r="J38" s="101"/>
    </row>
    <row r="39" spans="2:10" ht="18" customHeight="1" x14ac:dyDescent="0.25">
      <c r="B39" s="99"/>
      <c r="C39" s="92"/>
      <c r="D39" s="92"/>
      <c r="E39" s="92"/>
      <c r="F39" s="100"/>
      <c r="J39" s="101"/>
    </row>
    <row r="40" spans="2:10" ht="18" customHeight="1" x14ac:dyDescent="0.25">
      <c r="B40" s="99"/>
      <c r="C40" s="92"/>
      <c r="D40" s="92"/>
      <c r="E40" s="92"/>
      <c r="F40" s="100"/>
      <c r="J40" s="101"/>
    </row>
    <row r="41" spans="2:10" ht="18" customHeight="1" x14ac:dyDescent="0.25">
      <c r="B41" s="99"/>
      <c r="C41" s="92"/>
      <c r="D41" s="92"/>
      <c r="E41" s="92"/>
      <c r="F41" s="100"/>
      <c r="J41" s="101"/>
    </row>
    <row r="42" spans="2:10" ht="18" customHeight="1" x14ac:dyDescent="0.25">
      <c r="B42" s="99"/>
      <c r="C42" s="92"/>
      <c r="D42" s="92"/>
      <c r="E42" s="92"/>
      <c r="F42" s="100"/>
      <c r="J42" s="101"/>
    </row>
    <row r="43" spans="2:10" ht="18" customHeight="1" x14ac:dyDescent="0.25">
      <c r="B43" s="99"/>
      <c r="C43" s="92"/>
      <c r="D43" s="92"/>
      <c r="E43" s="92"/>
      <c r="F43" s="100"/>
      <c r="J43" s="101"/>
    </row>
    <row r="44" spans="2:10" ht="18" customHeight="1" x14ac:dyDescent="0.25">
      <c r="B44" s="99"/>
      <c r="C44" s="92"/>
      <c r="D44" s="92"/>
      <c r="E44" s="92"/>
      <c r="F44" s="100"/>
      <c r="J44" s="101"/>
    </row>
    <row r="45" spans="2:10" ht="18" customHeight="1" x14ac:dyDescent="0.25">
      <c r="B45" s="99"/>
      <c r="C45" s="92"/>
      <c r="D45" s="92"/>
      <c r="E45" s="92"/>
      <c r="F45" s="100"/>
      <c r="J45" s="101"/>
    </row>
    <row r="46" spans="2:10" ht="18" customHeight="1" x14ac:dyDescent="0.25">
      <c r="B46" s="99"/>
      <c r="C46" s="92"/>
      <c r="D46" s="92"/>
      <c r="E46" s="92"/>
      <c r="F46" s="100"/>
      <c r="J46" s="101"/>
    </row>
    <row r="47" spans="2:10" ht="18" customHeight="1" x14ac:dyDescent="0.25">
      <c r="B47" s="99"/>
      <c r="C47" s="92"/>
      <c r="D47" s="92"/>
      <c r="E47" s="92"/>
      <c r="F47" s="100"/>
      <c r="J47" s="101"/>
    </row>
    <row r="48" spans="2:10" ht="18" customHeight="1" x14ac:dyDescent="0.25">
      <c r="B48" s="99"/>
      <c r="C48" s="92"/>
      <c r="D48" s="92"/>
      <c r="E48" s="92"/>
      <c r="F48" s="100"/>
      <c r="J48" s="101"/>
    </row>
    <row r="49" spans="2:10" ht="18" customHeight="1" x14ac:dyDescent="0.25">
      <c r="B49" s="99"/>
      <c r="C49" s="92"/>
      <c r="D49" s="92"/>
      <c r="E49" s="92"/>
      <c r="F49" s="100"/>
      <c r="J49" s="101"/>
    </row>
    <row r="50" spans="2:10" ht="18" customHeight="1" x14ac:dyDescent="0.25">
      <c r="B50" s="99"/>
      <c r="C50" s="92"/>
      <c r="D50" s="92"/>
      <c r="E50" s="92"/>
      <c r="F50" s="100"/>
      <c r="J50" s="101"/>
    </row>
    <row r="51" spans="2:10" ht="18" customHeight="1" x14ac:dyDescent="0.25">
      <c r="B51" s="99"/>
      <c r="C51" s="92"/>
      <c r="D51" s="92"/>
      <c r="E51" s="92"/>
      <c r="F51" s="100"/>
      <c r="J51" s="101"/>
    </row>
    <row r="52" spans="2:10" ht="18" customHeight="1" x14ac:dyDescent="0.25">
      <c r="B52" s="99"/>
      <c r="C52" s="92"/>
      <c r="D52" s="92"/>
      <c r="E52" s="92"/>
      <c r="F52" s="100"/>
      <c r="J52" s="101"/>
    </row>
    <row r="53" spans="2:10" ht="18" customHeight="1" x14ac:dyDescent="0.25">
      <c r="B53" s="99"/>
      <c r="C53" s="92"/>
      <c r="D53" s="92"/>
      <c r="E53" s="92"/>
      <c r="F53" s="100"/>
      <c r="J53" s="101"/>
    </row>
    <row r="54" spans="2:10" ht="18" customHeight="1" x14ac:dyDescent="0.25">
      <c r="B54" s="307" t="str">
        <f>SCE!B29:J29</f>
        <v>The Attached notes  from (1) to (16) Form a part of these financial statements</v>
      </c>
      <c r="C54" s="307"/>
      <c r="D54" s="307"/>
      <c r="E54" s="307"/>
      <c r="F54" s="307"/>
    </row>
    <row r="55" spans="2:10" ht="18" customHeight="1" x14ac:dyDescent="0.25">
      <c r="B55" s="309">
        <f>SCE!B30:J30+1</f>
        <v>7</v>
      </c>
      <c r="C55" s="309"/>
      <c r="D55" s="309"/>
      <c r="E55" s="309"/>
      <c r="F55" s="309"/>
    </row>
    <row r="56" spans="2:10" ht="18" customHeight="1" x14ac:dyDescent="0.25"/>
    <row r="57" spans="2:10" ht="18" customHeight="1" x14ac:dyDescent="0.25">
      <c r="D57" s="102"/>
    </row>
    <row r="58" spans="2:10" ht="18" customHeight="1" x14ac:dyDescent="0.25"/>
    <row r="59" spans="2:10" ht="18" customHeight="1" x14ac:dyDescent="0.25">
      <c r="F59" s="100"/>
    </row>
    <row r="60" spans="2:10" ht="18" customHeight="1" x14ac:dyDescent="0.25"/>
    <row r="61" spans="2:10" ht="18" customHeight="1" x14ac:dyDescent="0.25"/>
    <row r="62" spans="2:10" ht="18" customHeight="1" x14ac:dyDescent="0.25"/>
  </sheetData>
  <mergeCells count="5">
    <mergeCell ref="B1:G1"/>
    <mergeCell ref="B2:G2"/>
    <mergeCell ref="B4:C4"/>
    <mergeCell ref="B54:F54"/>
    <mergeCell ref="B55:F55"/>
  </mergeCells>
  <printOptions horizontalCentered="1"/>
  <pageMargins left="0" right="0" top="0.59055118110236227" bottom="0" header="0" footer="0"/>
  <pageSetup paperSize="9" scale="85" firstPageNumber="5" orientation="portrait" useFirstPageNumber="1" r:id="rId1"/>
  <headerFooter alignWithMargins="0"/>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03691-D89B-4365-8CFC-70B95764799A}">
  <sheetPr>
    <tabColor theme="4" tint="0.59999389629810485"/>
  </sheetPr>
  <dimension ref="B1:R23"/>
  <sheetViews>
    <sheetView showGridLines="0" view="pageBreakPreview" topLeftCell="A7" zoomScale="130" zoomScaleNormal="70" zoomScaleSheetLayoutView="130" workbookViewId="0">
      <selection activeCell="B9" sqref="B9:J9"/>
    </sheetView>
  </sheetViews>
  <sheetFormatPr defaultColWidth="8.5703125" defaultRowHeight="18.75" x14ac:dyDescent="0.45"/>
  <cols>
    <col min="1" max="1" width="5.5703125" style="104" customWidth="1"/>
    <col min="2" max="3" width="12.85546875" style="104" customWidth="1"/>
    <col min="4" max="5" width="9.140625" style="104" customWidth="1"/>
    <col min="6" max="6" width="13.85546875" style="104" customWidth="1"/>
    <col min="7" max="7" width="13.140625" style="104" customWidth="1"/>
    <col min="8" max="8" width="8" style="104" customWidth="1"/>
    <col min="9" max="9" width="5.5703125" style="104" customWidth="1"/>
    <col min="10" max="10" width="25.42578125" style="117" customWidth="1"/>
    <col min="11" max="11" width="5.5703125" style="104" customWidth="1"/>
    <col min="12" max="12" width="9" style="104" bestFit="1" customWidth="1"/>
    <col min="13" max="13" width="10.28515625" style="104" bestFit="1" customWidth="1"/>
    <col min="14" max="16" width="5.5703125" style="104" customWidth="1"/>
    <col min="17" max="17" width="3" style="104" customWidth="1"/>
    <col min="18" max="20" width="13.42578125" style="104" customWidth="1"/>
    <col min="21" max="16384" width="8.5703125" style="104"/>
  </cols>
  <sheetData>
    <row r="1" spans="2:18" ht="18" customHeight="1" x14ac:dyDescent="0.45">
      <c r="B1" s="318" t="str">
        <f>SCF!B1:F1</f>
        <v>"COMPANY NAME AS PER AOA"</v>
      </c>
      <c r="C1" s="318"/>
      <c r="D1" s="318"/>
      <c r="E1" s="318"/>
      <c r="F1" s="319"/>
      <c r="G1" s="319"/>
      <c r="H1" s="319"/>
      <c r="I1" s="319"/>
      <c r="J1" s="103"/>
    </row>
    <row r="2" spans="2:18" ht="18" customHeight="1" x14ac:dyDescent="0.45">
      <c r="B2" s="320" t="str">
        <f>SCI!B2:G2</f>
        <v>"TYPE OF COMPANY AS PER AOA"</v>
      </c>
      <c r="C2" s="320"/>
      <c r="D2" s="320"/>
      <c r="E2" s="320"/>
      <c r="F2" s="321"/>
      <c r="G2" s="321"/>
      <c r="H2" s="321"/>
      <c r="I2" s="321"/>
      <c r="J2" s="105"/>
    </row>
    <row r="3" spans="2:18" ht="18" customHeight="1" x14ac:dyDescent="0.45">
      <c r="B3" s="106" t="s">
        <v>269</v>
      </c>
      <c r="C3" s="107"/>
      <c r="D3" s="107"/>
      <c r="E3" s="107"/>
      <c r="F3" s="103"/>
      <c r="G3" s="108"/>
      <c r="H3" s="108"/>
      <c r="I3" s="108"/>
      <c r="J3" s="103"/>
    </row>
    <row r="4" spans="2:18" ht="18" customHeight="1" x14ac:dyDescent="0.45">
      <c r="B4" s="109" t="s">
        <v>30</v>
      </c>
      <c r="C4" s="109"/>
      <c r="D4" s="109"/>
      <c r="E4" s="109"/>
      <c r="F4" s="110"/>
      <c r="G4" s="110"/>
      <c r="H4" s="110"/>
      <c r="I4" s="110"/>
      <c r="J4" s="111"/>
    </row>
    <row r="5" spans="2:18" ht="18" customHeight="1" x14ac:dyDescent="0.45">
      <c r="B5" s="322"/>
      <c r="C5" s="322"/>
      <c r="D5" s="322"/>
      <c r="E5" s="322"/>
      <c r="F5" s="322"/>
      <c r="G5" s="322"/>
      <c r="H5" s="322"/>
      <c r="I5" s="322"/>
      <c r="J5" s="322"/>
    </row>
    <row r="6" spans="2:18" ht="18" customHeight="1" x14ac:dyDescent="0.45">
      <c r="B6" s="312" t="s">
        <v>70</v>
      </c>
      <c r="C6" s="312"/>
      <c r="D6" s="312"/>
      <c r="E6" s="312"/>
      <c r="F6" s="312"/>
      <c r="G6" s="312"/>
      <c r="H6" s="312"/>
      <c r="I6" s="312"/>
      <c r="J6" s="312"/>
    </row>
    <row r="7" spans="2:18" ht="131.44999999999999" customHeight="1" x14ac:dyDescent="0.45">
      <c r="B7" s="313" t="s">
        <v>256</v>
      </c>
      <c r="C7" s="313"/>
      <c r="D7" s="313"/>
      <c r="E7" s="313"/>
      <c r="F7" s="313"/>
      <c r="G7" s="313"/>
      <c r="H7" s="313"/>
      <c r="I7" s="313"/>
      <c r="J7" s="313"/>
    </row>
    <row r="8" spans="2:18" ht="18" customHeight="1" x14ac:dyDescent="0.45">
      <c r="B8" s="112" t="s">
        <v>71</v>
      </c>
      <c r="C8" s="113"/>
      <c r="D8" s="113"/>
      <c r="E8" s="113"/>
      <c r="F8" s="113"/>
      <c r="G8" s="113"/>
      <c r="H8" s="113"/>
      <c r="I8" s="113"/>
      <c r="J8" s="113"/>
    </row>
    <row r="9" spans="2:18" ht="125.25" customHeight="1" x14ac:dyDescent="0.45">
      <c r="B9" s="316" t="s">
        <v>270</v>
      </c>
      <c r="C9" s="316"/>
      <c r="D9" s="316"/>
      <c r="E9" s="316"/>
      <c r="F9" s="316"/>
      <c r="G9" s="316"/>
      <c r="H9" s="316"/>
      <c r="I9" s="316"/>
      <c r="J9" s="316"/>
      <c r="L9" s="114">
        <f>SOFP!E29</f>
        <v>0</v>
      </c>
      <c r="M9" s="114">
        <f>'8'!C23</f>
        <v>0</v>
      </c>
    </row>
    <row r="10" spans="2:18" ht="20.25" customHeight="1" x14ac:dyDescent="0.45">
      <c r="B10" s="312" t="s">
        <v>72</v>
      </c>
      <c r="C10" s="312"/>
      <c r="D10" s="312"/>
      <c r="E10" s="312"/>
      <c r="F10" s="312"/>
      <c r="G10" s="312"/>
      <c r="H10" s="312"/>
      <c r="I10" s="312"/>
      <c r="J10" s="312"/>
    </row>
    <row r="11" spans="2:18" ht="20.25" customHeight="1" x14ac:dyDescent="0.45">
      <c r="B11" s="310" t="s">
        <v>255</v>
      </c>
      <c r="C11" s="310"/>
      <c r="D11" s="310"/>
      <c r="E11" s="310"/>
      <c r="F11" s="310"/>
      <c r="G11" s="310"/>
      <c r="H11" s="310"/>
      <c r="I11" s="310"/>
      <c r="J11" s="310"/>
    </row>
    <row r="12" spans="2:18" ht="20.25" customHeight="1" x14ac:dyDescent="0.45">
      <c r="B12" s="317" t="s">
        <v>73</v>
      </c>
      <c r="C12" s="317"/>
      <c r="D12" s="317"/>
      <c r="E12" s="317"/>
      <c r="F12" s="317"/>
      <c r="G12" s="317"/>
      <c r="H12" s="317"/>
      <c r="I12" s="317"/>
      <c r="J12" s="317"/>
    </row>
    <row r="13" spans="2:18" ht="72" customHeight="1" x14ac:dyDescent="0.45">
      <c r="B13" s="313" t="s">
        <v>254</v>
      </c>
      <c r="C13" s="313"/>
      <c r="D13" s="313"/>
      <c r="E13" s="313"/>
      <c r="F13" s="313"/>
      <c r="G13" s="313"/>
      <c r="H13" s="313"/>
      <c r="I13" s="313"/>
      <c r="J13" s="313"/>
    </row>
    <row r="14" spans="2:18" ht="20.25" customHeight="1" x14ac:dyDescent="0.45">
      <c r="B14" s="312" t="s">
        <v>74</v>
      </c>
      <c r="C14" s="312"/>
      <c r="D14" s="312"/>
      <c r="E14" s="312"/>
      <c r="F14" s="312"/>
      <c r="G14" s="312"/>
      <c r="H14" s="312"/>
      <c r="I14" s="312"/>
      <c r="J14" s="312"/>
      <c r="R14" s="104" t="s">
        <v>75</v>
      </c>
    </row>
    <row r="15" spans="2:18" ht="20.25" customHeight="1" x14ac:dyDescent="0.45">
      <c r="B15" s="312" t="s">
        <v>76</v>
      </c>
      <c r="C15" s="312"/>
      <c r="D15" s="312"/>
      <c r="E15" s="312"/>
      <c r="F15" s="312"/>
      <c r="G15" s="312"/>
      <c r="H15" s="312"/>
      <c r="I15" s="312"/>
      <c r="J15" s="312"/>
    </row>
    <row r="16" spans="2:18" ht="88.5" customHeight="1" x14ac:dyDescent="0.45">
      <c r="B16" s="313" t="s">
        <v>77</v>
      </c>
      <c r="C16" s="313"/>
      <c r="D16" s="313"/>
      <c r="E16" s="313"/>
      <c r="F16" s="313"/>
      <c r="G16" s="313"/>
      <c r="H16" s="313"/>
      <c r="I16" s="313"/>
      <c r="J16" s="313"/>
    </row>
    <row r="17" spans="2:14" ht="20.25" customHeight="1" x14ac:dyDescent="0.45">
      <c r="B17" s="314" t="s">
        <v>78</v>
      </c>
      <c r="C17" s="314"/>
      <c r="D17" s="314"/>
      <c r="E17" s="314"/>
      <c r="F17" s="314"/>
      <c r="G17" s="314"/>
      <c r="H17" s="314"/>
      <c r="I17" s="314"/>
      <c r="J17" s="314"/>
    </row>
    <row r="18" spans="2:14" ht="40.5" customHeight="1" x14ac:dyDescent="0.45">
      <c r="B18" s="315" t="s">
        <v>79</v>
      </c>
      <c r="C18" s="315"/>
      <c r="D18" s="315"/>
      <c r="E18" s="315"/>
      <c r="F18" s="315"/>
      <c r="G18" s="315"/>
      <c r="H18" s="315"/>
      <c r="I18" s="315"/>
      <c r="J18" s="315"/>
    </row>
    <row r="19" spans="2:14" ht="20.25" customHeight="1" x14ac:dyDescent="0.45">
      <c r="B19" s="312" t="s">
        <v>80</v>
      </c>
      <c r="C19" s="312"/>
      <c r="D19" s="312"/>
      <c r="E19" s="312"/>
      <c r="F19" s="312"/>
      <c r="G19" s="312"/>
      <c r="H19" s="312"/>
      <c r="I19" s="312"/>
      <c r="J19" s="312"/>
    </row>
    <row r="20" spans="2:14" ht="38.25" customHeight="1" x14ac:dyDescent="0.45">
      <c r="B20" s="310" t="s">
        <v>81</v>
      </c>
      <c r="C20" s="310"/>
      <c r="D20" s="310"/>
      <c r="E20" s="310"/>
      <c r="F20" s="310"/>
      <c r="G20" s="310"/>
      <c r="H20" s="310"/>
      <c r="I20" s="310"/>
      <c r="J20" s="310"/>
    </row>
    <row r="21" spans="2:14" ht="29.25" customHeight="1" x14ac:dyDescent="0.45">
      <c r="J21" s="115"/>
    </row>
    <row r="22" spans="2:14" ht="20.25" customHeight="1" x14ac:dyDescent="0.45">
      <c r="J22" s="115"/>
    </row>
    <row r="23" spans="2:14" ht="20.25" customHeight="1" x14ac:dyDescent="0.45">
      <c r="B23" s="311">
        <f>SCF!B55:F55+1</f>
        <v>8</v>
      </c>
      <c r="C23" s="311"/>
      <c r="D23" s="311"/>
      <c r="E23" s="311"/>
      <c r="F23" s="311"/>
      <c r="G23" s="311"/>
      <c r="H23" s="311"/>
      <c r="I23" s="311"/>
      <c r="J23" s="311"/>
      <c r="K23" s="116"/>
      <c r="L23" s="116"/>
      <c r="M23" s="116"/>
      <c r="N23" s="116"/>
    </row>
  </sheetData>
  <mergeCells count="20">
    <mergeCell ref="B13:J13"/>
    <mergeCell ref="B1:E1"/>
    <mergeCell ref="F1:I1"/>
    <mergeCell ref="B2:E2"/>
    <mergeCell ref="F2:I2"/>
    <mergeCell ref="B5:J5"/>
    <mergeCell ref="B6:J6"/>
    <mergeCell ref="B7:J7"/>
    <mergeCell ref="B9:J9"/>
    <mergeCell ref="B10:J10"/>
    <mergeCell ref="B11:J11"/>
    <mergeCell ref="B12:J12"/>
    <mergeCell ref="B20:J20"/>
    <mergeCell ref="B23:J23"/>
    <mergeCell ref="B14:J14"/>
    <mergeCell ref="B15:J15"/>
    <mergeCell ref="B16:J16"/>
    <mergeCell ref="B17:J17"/>
    <mergeCell ref="B18:J18"/>
    <mergeCell ref="B19:J19"/>
  </mergeCells>
  <printOptions horizontalCentered="1"/>
  <pageMargins left="0" right="0" top="0.59055118110236227" bottom="0" header="0" footer="0"/>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C8586-365C-4A4B-864A-0BD9D8E2DB9E}">
  <sheetPr>
    <tabColor theme="4" tint="0.59999389629810485"/>
  </sheetPr>
  <dimension ref="B1:B25"/>
  <sheetViews>
    <sheetView topLeftCell="A16" zoomScale="130" zoomScaleNormal="130" zoomScaleSheetLayoutView="99" workbookViewId="0">
      <selection activeCell="B7" sqref="B7"/>
    </sheetView>
  </sheetViews>
  <sheetFormatPr defaultColWidth="8.5703125" defaultRowHeight="18" x14ac:dyDescent="0.45"/>
  <cols>
    <col min="1" max="1" width="5.5703125" style="118" customWidth="1"/>
    <col min="2" max="2" width="107" style="130" customWidth="1"/>
    <col min="3" max="3" width="5.5703125" style="118" customWidth="1"/>
    <col min="4" max="16384" width="8.5703125" style="118"/>
  </cols>
  <sheetData>
    <row r="1" spans="2:2" ht="20.25" customHeight="1" x14ac:dyDescent="0.45">
      <c r="B1" s="75" t="str">
        <f>'S 1'!B1</f>
        <v>"COMPANY NAME AS PER AOA"</v>
      </c>
    </row>
    <row r="2" spans="2:2" ht="20.25" customHeight="1" x14ac:dyDescent="0.45">
      <c r="B2" s="119" t="str">
        <f>'S 1'!B2</f>
        <v>"TYPE OF COMPANY AS PER AOA"</v>
      </c>
    </row>
    <row r="3" spans="2:2" ht="20.25" customHeight="1" x14ac:dyDescent="0.45">
      <c r="B3" s="75" t="str">
        <f>'S 1'!B3</f>
        <v>NOTES TO THE FINANACIAL STATEMENT FOR THE YEAR ENDED " END DATE OF CURRENT YEAR"</v>
      </c>
    </row>
    <row r="4" spans="2:2" ht="20.25" customHeight="1" x14ac:dyDescent="0.45">
      <c r="B4" s="120" t="str">
        <f>'S 1'!B4</f>
        <v>(All amounts in Saudi Riyals unless otherwies stated)</v>
      </c>
    </row>
    <row r="5" spans="2:2" ht="20.25" customHeight="1" x14ac:dyDescent="0.45">
      <c r="B5" s="121"/>
    </row>
    <row r="6" spans="2:2" ht="18.75" x14ac:dyDescent="0.45">
      <c r="B6" s="112" t="s">
        <v>82</v>
      </c>
    </row>
    <row r="7" spans="2:2" ht="39.75" customHeight="1" x14ac:dyDescent="0.45">
      <c r="B7" s="122" t="s">
        <v>83</v>
      </c>
    </row>
    <row r="8" spans="2:2" ht="18.75" x14ac:dyDescent="0.45">
      <c r="B8" s="123" t="s">
        <v>84</v>
      </c>
    </row>
    <row r="9" spans="2:2" ht="110.25" customHeight="1" x14ac:dyDescent="0.45">
      <c r="B9" s="124" t="s">
        <v>85</v>
      </c>
    </row>
    <row r="10" spans="2:2" ht="18.75" x14ac:dyDescent="0.45">
      <c r="B10" s="112" t="s">
        <v>86</v>
      </c>
    </row>
    <row r="11" spans="2:2" ht="64.5" customHeight="1" x14ac:dyDescent="0.45">
      <c r="B11" s="124" t="s">
        <v>87</v>
      </c>
    </row>
    <row r="12" spans="2:2" ht="18.75" x14ac:dyDescent="0.45">
      <c r="B12" s="112" t="s">
        <v>88</v>
      </c>
    </row>
    <row r="13" spans="2:2" ht="37.5" x14ac:dyDescent="0.45">
      <c r="B13" s="125" t="s">
        <v>89</v>
      </c>
    </row>
    <row r="14" spans="2:2" ht="18.75" x14ac:dyDescent="0.45">
      <c r="B14" s="126" t="s">
        <v>90</v>
      </c>
    </row>
    <row r="15" spans="2:2" ht="65.25" customHeight="1" x14ac:dyDescent="0.45">
      <c r="B15" s="124" t="s">
        <v>91</v>
      </c>
    </row>
    <row r="16" spans="2:2" ht="18.75" x14ac:dyDescent="0.45">
      <c r="B16" s="127" t="s">
        <v>92</v>
      </c>
    </row>
    <row r="17" spans="2:2" ht="56.25" x14ac:dyDescent="0.45">
      <c r="B17" s="122" t="s">
        <v>93</v>
      </c>
    </row>
    <row r="18" spans="2:2" ht="37.5" x14ac:dyDescent="0.45">
      <c r="B18" s="122" t="s">
        <v>94</v>
      </c>
    </row>
    <row r="19" spans="2:2" ht="56.25" x14ac:dyDescent="0.45">
      <c r="B19" s="122" t="s">
        <v>95</v>
      </c>
    </row>
    <row r="20" spans="2:2" ht="18.75" x14ac:dyDescent="0.45">
      <c r="B20" s="127" t="s">
        <v>96</v>
      </c>
    </row>
    <row r="21" spans="2:2" ht="56.25" x14ac:dyDescent="0.45">
      <c r="B21" s="125" t="s">
        <v>97</v>
      </c>
    </row>
    <row r="22" spans="2:2" ht="20.25" customHeight="1" x14ac:dyDescent="0.45">
      <c r="B22" s="128"/>
    </row>
    <row r="23" spans="2:2" ht="20.25" customHeight="1" x14ac:dyDescent="0.45">
      <c r="B23" s="128"/>
    </row>
    <row r="24" spans="2:2" ht="20.25" customHeight="1" x14ac:dyDescent="0.45">
      <c r="B24" s="115"/>
    </row>
    <row r="25" spans="2:2" ht="20.25" customHeight="1" x14ac:dyDescent="0.45">
      <c r="B25" s="129">
        <f>'S 1'!B23+1</f>
        <v>9</v>
      </c>
    </row>
  </sheetData>
  <printOptions horizontalCentered="1"/>
  <pageMargins left="0" right="0" top="0.59055118110236227" bottom="0" header="0" footer="0"/>
  <pageSetup paperSize="9" scale="8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61EFB-E484-460A-A60E-899D39142E5A}">
  <sheetPr>
    <tabColor theme="4" tint="0.59999389629810485"/>
  </sheetPr>
  <dimension ref="B1:B24"/>
  <sheetViews>
    <sheetView view="pageBreakPreview" zoomScaleNormal="100" zoomScaleSheetLayoutView="100" workbookViewId="0">
      <selection activeCell="J18" sqref="J18"/>
    </sheetView>
  </sheetViews>
  <sheetFormatPr defaultColWidth="8.5703125" defaultRowHeight="18" x14ac:dyDescent="0.45"/>
  <cols>
    <col min="1" max="1" width="5.5703125" style="118" customWidth="1"/>
    <col min="2" max="2" width="107.42578125" style="136" customWidth="1"/>
    <col min="3" max="3" width="5.5703125" style="118" customWidth="1"/>
    <col min="4" max="16384" width="8.5703125" style="118"/>
  </cols>
  <sheetData>
    <row r="1" spans="2:2" ht="20.25" customHeight="1" x14ac:dyDescent="0.45">
      <c r="B1" s="75" t="str">
        <f>'S 2'!B1</f>
        <v>"COMPANY NAME AS PER AOA"</v>
      </c>
    </row>
    <row r="2" spans="2:2" ht="20.25" customHeight="1" x14ac:dyDescent="0.45">
      <c r="B2" s="119" t="str">
        <f>'S 2'!B2</f>
        <v>"TYPE OF COMPANY AS PER AOA"</v>
      </c>
    </row>
    <row r="3" spans="2:2" ht="20.25" customHeight="1" x14ac:dyDescent="0.45">
      <c r="B3" s="75" t="str">
        <f>'S 2'!B3</f>
        <v>NOTES TO THE FINANACIAL STATEMENT FOR THE YEAR ENDED " END DATE OF CURRENT YEAR"</v>
      </c>
    </row>
    <row r="4" spans="2:2" ht="20.25" customHeight="1" x14ac:dyDescent="0.45">
      <c r="B4" s="120" t="str">
        <f>'S 2'!B4</f>
        <v>(All amounts in Saudi Riyals unless otherwies stated)</v>
      </c>
    </row>
    <row r="5" spans="2:2" ht="20.25" x14ac:dyDescent="0.45">
      <c r="B5" s="121"/>
    </row>
    <row r="6" spans="2:2" ht="18.75" x14ac:dyDescent="0.45">
      <c r="B6" s="112" t="s">
        <v>98</v>
      </c>
    </row>
    <row r="7" spans="2:2" ht="24.95" customHeight="1" x14ac:dyDescent="0.45">
      <c r="B7" s="123" t="s">
        <v>99</v>
      </c>
    </row>
    <row r="8" spans="2:2" ht="18.75" x14ac:dyDescent="0.45">
      <c r="B8" s="131" t="s">
        <v>100</v>
      </c>
    </row>
    <row r="9" spans="2:2" ht="24.95" customHeight="1" x14ac:dyDescent="0.45">
      <c r="B9" s="123" t="s">
        <v>101</v>
      </c>
    </row>
    <row r="10" spans="2:2" ht="129.75" customHeight="1" x14ac:dyDescent="0.45">
      <c r="B10" s="132" t="s">
        <v>102</v>
      </c>
    </row>
    <row r="11" spans="2:2" ht="24.95" customHeight="1" x14ac:dyDescent="0.45">
      <c r="B11" s="123" t="s">
        <v>103</v>
      </c>
    </row>
    <row r="12" spans="2:2" ht="64.5" customHeight="1" x14ac:dyDescent="0.45">
      <c r="B12" s="133" t="s">
        <v>104</v>
      </c>
    </row>
    <row r="13" spans="2:2" ht="24.95" customHeight="1" x14ac:dyDescent="0.45">
      <c r="B13" s="123" t="s">
        <v>105</v>
      </c>
    </row>
    <row r="14" spans="2:2" ht="66" customHeight="1" x14ac:dyDescent="0.45">
      <c r="B14" s="133" t="s">
        <v>106</v>
      </c>
    </row>
    <row r="15" spans="2:2" ht="243" customHeight="1" x14ac:dyDescent="0.45">
      <c r="B15" s="125" t="s">
        <v>107</v>
      </c>
    </row>
    <row r="16" spans="2:2" ht="20.25" customHeight="1" x14ac:dyDescent="0.45">
      <c r="B16" s="125"/>
    </row>
    <row r="17" spans="2:2" ht="20.25" customHeight="1" x14ac:dyDescent="0.45">
      <c r="B17" s="128"/>
    </row>
    <row r="18" spans="2:2" ht="20.25" customHeight="1" x14ac:dyDescent="0.45">
      <c r="B18" s="128"/>
    </row>
    <row r="19" spans="2:2" ht="20.25" customHeight="1" x14ac:dyDescent="0.45">
      <c r="B19" s="128"/>
    </row>
    <row r="20" spans="2:2" ht="20.25" customHeight="1" x14ac:dyDescent="0.45">
      <c r="B20" s="128"/>
    </row>
    <row r="21" spans="2:2" ht="25.5" customHeight="1" x14ac:dyDescent="0.45">
      <c r="B21" s="128"/>
    </row>
    <row r="22" spans="2:2" ht="20.25" customHeight="1" x14ac:dyDescent="0.45">
      <c r="B22" s="128"/>
    </row>
    <row r="23" spans="2:2" ht="20.25" customHeight="1" x14ac:dyDescent="0.45">
      <c r="B23" s="134">
        <f>'S 2'!B25+1</f>
        <v>10</v>
      </c>
    </row>
    <row r="24" spans="2:2" ht="18.75" x14ac:dyDescent="0.45">
      <c r="B24" s="135"/>
    </row>
  </sheetData>
  <printOptions horizontalCentered="1"/>
  <pageMargins left="0" right="0" top="0.59055118110236227" bottom="0" header="0" footer="0"/>
  <pageSetup paperSize="9" scale="85"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3C0EE-0626-45B8-9233-0424BD6CF4F5}">
  <sheetPr>
    <tabColor theme="4" tint="0.59999389629810485"/>
  </sheetPr>
  <dimension ref="B1:B21"/>
  <sheetViews>
    <sheetView view="pageBreakPreview" topLeftCell="A4" zoomScaleNormal="100" zoomScaleSheetLayoutView="100" workbookViewId="0">
      <selection activeCell="J18" sqref="J18"/>
    </sheetView>
  </sheetViews>
  <sheetFormatPr defaultRowHeight="15" x14ac:dyDescent="0.25"/>
  <cols>
    <col min="1" max="1" width="5.5703125" customWidth="1"/>
    <col min="2" max="2" width="107" style="141" customWidth="1"/>
    <col min="3" max="3" width="5.5703125" customWidth="1"/>
  </cols>
  <sheetData>
    <row r="1" spans="2:2" ht="20.25" customHeight="1" x14ac:dyDescent="0.25">
      <c r="B1" s="75" t="str">
        <f>'S 3'!B1</f>
        <v>"COMPANY NAME AS PER AOA"</v>
      </c>
    </row>
    <row r="2" spans="2:2" ht="20.25" customHeight="1" x14ac:dyDescent="0.25">
      <c r="B2" s="119" t="str">
        <f>'S 3'!B2</f>
        <v>"TYPE OF COMPANY AS PER AOA"</v>
      </c>
    </row>
    <row r="3" spans="2:2" ht="20.25" customHeight="1" x14ac:dyDescent="0.25">
      <c r="B3" s="75" t="str">
        <f>'S 3'!B3</f>
        <v>NOTES TO THE FINANACIAL STATEMENT FOR THE YEAR ENDED " END DATE OF CURRENT YEAR"</v>
      </c>
    </row>
    <row r="4" spans="2:2" ht="20.25" customHeight="1" x14ac:dyDescent="0.25">
      <c r="B4" s="120" t="str">
        <f>'S 3'!B4</f>
        <v>(All amounts in Saudi Riyals unless otherwies stated)</v>
      </c>
    </row>
    <row r="5" spans="2:2" ht="20.25" customHeight="1" x14ac:dyDescent="0.25">
      <c r="B5" s="121"/>
    </row>
    <row r="6" spans="2:2" ht="20.25" customHeight="1" x14ac:dyDescent="0.25">
      <c r="B6" s="112" t="s">
        <v>98</v>
      </c>
    </row>
    <row r="7" spans="2:2" ht="24.95" customHeight="1" x14ac:dyDescent="0.25">
      <c r="B7" s="137" t="s">
        <v>108</v>
      </c>
    </row>
    <row r="8" spans="2:2" ht="65.25" customHeight="1" x14ac:dyDescent="0.25">
      <c r="B8" s="124" t="s">
        <v>109</v>
      </c>
    </row>
    <row r="9" spans="2:2" ht="24.95" customHeight="1" x14ac:dyDescent="0.25">
      <c r="B9" s="137" t="s">
        <v>110</v>
      </c>
    </row>
    <row r="10" spans="2:2" ht="84.75" customHeight="1" x14ac:dyDescent="0.25">
      <c r="B10" s="124" t="s">
        <v>111</v>
      </c>
    </row>
    <row r="11" spans="2:2" ht="24.95" customHeight="1" x14ac:dyDescent="0.25">
      <c r="B11" s="137" t="s">
        <v>112</v>
      </c>
    </row>
    <row r="12" spans="2:2" ht="84.75" customHeight="1" x14ac:dyDescent="0.25">
      <c r="B12" s="124" t="s">
        <v>113</v>
      </c>
    </row>
    <row r="13" spans="2:2" ht="24.95" customHeight="1" x14ac:dyDescent="0.25">
      <c r="B13" s="137" t="s">
        <v>114</v>
      </c>
    </row>
    <row r="14" spans="2:2" ht="41.25" customHeight="1" x14ac:dyDescent="0.25">
      <c r="B14" s="138" t="s">
        <v>115</v>
      </c>
    </row>
    <row r="15" spans="2:2" ht="24.95" customHeight="1" x14ac:dyDescent="0.25">
      <c r="B15" s="139" t="s">
        <v>116</v>
      </c>
    </row>
    <row r="16" spans="2:2" ht="86.25" customHeight="1" x14ac:dyDescent="0.25">
      <c r="B16" s="140" t="s">
        <v>117</v>
      </c>
    </row>
    <row r="17" spans="2:2" ht="24.95" customHeight="1" x14ac:dyDescent="0.25">
      <c r="B17" s="139" t="s">
        <v>118</v>
      </c>
    </row>
    <row r="18" spans="2:2" ht="125.25" customHeight="1" x14ac:dyDescent="0.25">
      <c r="B18" s="140" t="s">
        <v>119</v>
      </c>
    </row>
    <row r="19" spans="2:2" ht="24.95" customHeight="1" x14ac:dyDescent="0.25">
      <c r="B19" s="112" t="s">
        <v>120</v>
      </c>
    </row>
    <row r="20" spans="2:2" ht="105.75" customHeight="1" x14ac:dyDescent="0.25">
      <c r="B20" s="140" t="s">
        <v>121</v>
      </c>
    </row>
    <row r="21" spans="2:2" ht="18.75" x14ac:dyDescent="0.25">
      <c r="B21" s="134">
        <f>'S 3'!B23+1</f>
        <v>11</v>
      </c>
    </row>
  </sheetData>
  <printOptions horizontalCentered="1"/>
  <pageMargins left="0" right="0" top="0.59055118110236227" bottom="0" header="0" footer="0"/>
  <pageSetup paperSize="9" scale="8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4B4E2-4CFF-43B3-A643-56BABF7B8598}">
  <sheetPr>
    <tabColor theme="4" tint="0.59999389629810485"/>
  </sheetPr>
  <dimension ref="B1:B25"/>
  <sheetViews>
    <sheetView view="pageBreakPreview" topLeftCell="A13" zoomScaleNormal="100" zoomScaleSheetLayoutView="100" workbookViewId="0">
      <selection activeCell="J18" sqref="J18"/>
    </sheetView>
  </sheetViews>
  <sheetFormatPr defaultColWidth="8.5703125" defaultRowHeight="18" x14ac:dyDescent="0.45"/>
  <cols>
    <col min="1" max="1" width="5.5703125" style="118" customWidth="1"/>
    <col min="2" max="2" width="107.42578125" style="130" customWidth="1"/>
    <col min="3" max="3" width="5.5703125" style="118" customWidth="1"/>
    <col min="4" max="16384" width="8.5703125" style="118"/>
  </cols>
  <sheetData>
    <row r="1" spans="2:2" ht="20.25" customHeight="1" x14ac:dyDescent="0.45">
      <c r="B1" s="75" t="str">
        <f>'S 3'!B1</f>
        <v>"COMPANY NAME AS PER AOA"</v>
      </c>
    </row>
    <row r="2" spans="2:2" ht="20.25" customHeight="1" x14ac:dyDescent="0.45">
      <c r="B2" s="119" t="str">
        <f>'S 3'!B2</f>
        <v>"TYPE OF COMPANY AS PER AOA"</v>
      </c>
    </row>
    <row r="3" spans="2:2" ht="20.25" customHeight="1" x14ac:dyDescent="0.45">
      <c r="B3" s="75" t="str">
        <f>'S 3'!B3</f>
        <v>NOTES TO THE FINANACIAL STATEMENT FOR THE YEAR ENDED " END DATE OF CURRENT YEAR"</v>
      </c>
    </row>
    <row r="4" spans="2:2" ht="20.25" customHeight="1" x14ac:dyDescent="0.45">
      <c r="B4" s="120" t="str">
        <f>'S 3'!B4</f>
        <v>(All amounts in Saudi Riyals unless otherwies stated)</v>
      </c>
    </row>
    <row r="5" spans="2:2" ht="20.25" customHeight="1" x14ac:dyDescent="0.45">
      <c r="B5" s="121"/>
    </row>
    <row r="6" spans="2:2" ht="18.75" x14ac:dyDescent="0.45">
      <c r="B6" s="112" t="s">
        <v>98</v>
      </c>
    </row>
    <row r="7" spans="2:2" ht="24.95" customHeight="1" x14ac:dyDescent="0.45">
      <c r="B7" s="112" t="s">
        <v>122</v>
      </c>
    </row>
    <row r="8" spans="2:2" s="142" customFormat="1" ht="20.25" customHeight="1" x14ac:dyDescent="0.25">
      <c r="B8" s="122" t="s">
        <v>123</v>
      </c>
    </row>
    <row r="9" spans="2:2" s="142" customFormat="1" ht="20.25" customHeight="1" x14ac:dyDescent="0.25">
      <c r="B9" s="131" t="s">
        <v>124</v>
      </c>
    </row>
    <row r="10" spans="2:2" s="142" customFormat="1" ht="20.25" customHeight="1" x14ac:dyDescent="0.25">
      <c r="B10" s="131" t="s">
        <v>125</v>
      </c>
    </row>
    <row r="11" spans="2:2" s="142" customFormat="1" ht="20.25" customHeight="1" x14ac:dyDescent="0.25">
      <c r="B11" s="131" t="s">
        <v>126</v>
      </c>
    </row>
    <row r="12" spans="2:2" s="142" customFormat="1" ht="37.5" x14ac:dyDescent="0.25">
      <c r="B12" s="131" t="s">
        <v>127</v>
      </c>
    </row>
    <row r="13" spans="2:2" ht="24.95" customHeight="1" x14ac:dyDescent="0.45">
      <c r="B13" s="112" t="s">
        <v>128</v>
      </c>
    </row>
    <row r="14" spans="2:2" ht="56.25" x14ac:dyDescent="0.45">
      <c r="B14" s="125" t="s">
        <v>129</v>
      </c>
    </row>
    <row r="15" spans="2:2" ht="18.75" x14ac:dyDescent="0.45">
      <c r="B15" s="137" t="s">
        <v>130</v>
      </c>
    </row>
    <row r="16" spans="2:2" ht="75" x14ac:dyDescent="0.45">
      <c r="B16" s="125" t="s">
        <v>131</v>
      </c>
    </row>
    <row r="17" spans="2:2" ht="24.95" customHeight="1" x14ac:dyDescent="0.45">
      <c r="B17" s="112" t="s">
        <v>132</v>
      </c>
    </row>
    <row r="18" spans="2:2" ht="85.5" customHeight="1" x14ac:dyDescent="0.45">
      <c r="B18" s="124" t="s">
        <v>133</v>
      </c>
    </row>
    <row r="19" spans="2:2" ht="75" x14ac:dyDescent="0.45">
      <c r="B19" s="140" t="s">
        <v>134</v>
      </c>
    </row>
    <row r="20" spans="2:2" ht="24.95" customHeight="1" x14ac:dyDescent="0.45">
      <c r="B20" s="112" t="s">
        <v>135</v>
      </c>
    </row>
    <row r="21" spans="2:2" ht="108.75" customHeight="1" x14ac:dyDescent="0.45">
      <c r="B21" s="140" t="s">
        <v>136</v>
      </c>
    </row>
    <row r="22" spans="2:2" ht="21" customHeight="1" x14ac:dyDescent="0.45">
      <c r="B22" s="143"/>
    </row>
    <row r="23" spans="2:2" ht="26.25" customHeight="1" x14ac:dyDescent="0.45">
      <c r="B23" s="143"/>
    </row>
    <row r="24" spans="2:2" ht="21" customHeight="1" x14ac:dyDescent="0.45">
      <c r="B24" s="143"/>
    </row>
    <row r="25" spans="2:2" ht="20.25" x14ac:dyDescent="0.45">
      <c r="B25" s="129">
        <f>'S 4'!B21+1</f>
        <v>12</v>
      </c>
    </row>
  </sheetData>
  <printOptions horizontalCentered="1"/>
  <pageMargins left="0" right="0" top="0.59055118110236227" bottom="0" header="0" footer="0"/>
  <pageSetup paperSize="9" scale="85"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522BB-5A2A-416B-B536-630FE41AF0A4}">
  <sheetPr>
    <tabColor theme="4" tint="0.59999389629810485"/>
  </sheetPr>
  <dimension ref="A1:Q54"/>
  <sheetViews>
    <sheetView topLeftCell="A25" zoomScale="130" zoomScaleNormal="130" zoomScaleSheetLayoutView="102" workbookViewId="0">
      <selection activeCell="B41" sqref="B41"/>
    </sheetView>
  </sheetViews>
  <sheetFormatPr defaultColWidth="8" defaultRowHeight="20.25" x14ac:dyDescent="0.5"/>
  <cols>
    <col min="1" max="1" width="5.5703125" style="148" customWidth="1"/>
    <col min="2" max="2" width="49.5703125" style="196" customWidth="1"/>
    <col min="3" max="3" width="9" style="196" customWidth="1"/>
    <col min="4" max="4" width="1.5703125" style="196" customWidth="1"/>
    <col min="5" max="5" width="16.5703125" style="196" customWidth="1"/>
    <col min="6" max="6" width="1.5703125" style="196" customWidth="1"/>
    <col min="7" max="11" width="16.5703125" style="196" customWidth="1"/>
    <col min="12" max="12" width="18.5703125" style="196" customWidth="1"/>
    <col min="13" max="13" width="16.5703125" style="148" customWidth="1"/>
    <col min="14" max="14" width="1.5703125" style="148" customWidth="1"/>
    <col min="15" max="15" width="16.5703125" style="148" customWidth="1"/>
    <col min="16" max="16" width="1.5703125" style="148" customWidth="1"/>
    <col min="17" max="17" width="16.5703125" style="148" customWidth="1"/>
    <col min="18" max="18" width="5.5703125" style="148" customWidth="1"/>
    <col min="19" max="20" width="8" style="148"/>
    <col min="21" max="21" width="7.7109375" style="148" customWidth="1"/>
    <col min="22" max="246" width="8" style="148"/>
    <col min="247" max="248" width="3.42578125" style="148" customWidth="1"/>
    <col min="249" max="249" width="35.5703125" style="148" customWidth="1"/>
    <col min="250" max="250" width="14.5703125" style="148" customWidth="1"/>
    <col min="251" max="251" width="1.140625" style="148" customWidth="1"/>
    <col min="252" max="252" width="15.140625" style="148" bestFit="1" customWidth="1"/>
    <col min="253" max="253" width="1.140625" style="148" customWidth="1"/>
    <col min="254" max="254" width="14.5703125" style="148" customWidth="1"/>
    <col min="255" max="255" width="1.140625" style="148" customWidth="1"/>
    <col min="256" max="256" width="14.5703125" style="148" customWidth="1"/>
    <col min="257" max="257" width="1.140625" style="148" customWidth="1"/>
    <col min="258" max="258" width="12.42578125" style="148" customWidth="1"/>
    <col min="259" max="259" width="1.140625" style="148" customWidth="1"/>
    <col min="260" max="260" width="12.85546875" style="148" customWidth="1"/>
    <col min="261" max="261" width="13.5703125" style="148" customWidth="1"/>
    <col min="262" max="262" width="0.85546875" style="148" customWidth="1"/>
    <col min="263" max="263" width="13.5703125" style="148" customWidth="1"/>
    <col min="264" max="264" width="10" style="148" bestFit="1" customWidth="1"/>
    <col min="265" max="265" width="8.140625" style="148" bestFit="1" customWidth="1"/>
    <col min="266" max="266" width="8" style="148"/>
    <col min="267" max="267" width="8.85546875" style="148" bestFit="1" customWidth="1"/>
    <col min="268" max="502" width="8" style="148"/>
    <col min="503" max="504" width="3.42578125" style="148" customWidth="1"/>
    <col min="505" max="505" width="35.5703125" style="148" customWidth="1"/>
    <col min="506" max="506" width="14.5703125" style="148" customWidth="1"/>
    <col min="507" max="507" width="1.140625" style="148" customWidth="1"/>
    <col min="508" max="508" width="15.140625" style="148" bestFit="1" customWidth="1"/>
    <col min="509" max="509" width="1.140625" style="148" customWidth="1"/>
    <col min="510" max="510" width="14.5703125" style="148" customWidth="1"/>
    <col min="511" max="511" width="1.140625" style="148" customWidth="1"/>
    <col min="512" max="512" width="14.5703125" style="148" customWidth="1"/>
    <col min="513" max="513" width="1.140625" style="148" customWidth="1"/>
    <col min="514" max="514" width="12.42578125" style="148" customWidth="1"/>
    <col min="515" max="515" width="1.140625" style="148" customWidth="1"/>
    <col min="516" max="516" width="12.85546875" style="148" customWidth="1"/>
    <col min="517" max="517" width="13.5703125" style="148" customWidth="1"/>
    <col min="518" max="518" width="0.85546875" style="148" customWidth="1"/>
    <col min="519" max="519" width="13.5703125" style="148" customWidth="1"/>
    <col min="520" max="520" width="10" style="148" bestFit="1" customWidth="1"/>
    <col min="521" max="521" width="8.140625" style="148" bestFit="1" customWidth="1"/>
    <col min="522" max="522" width="8" style="148"/>
    <col min="523" max="523" width="8.85546875" style="148" bestFit="1" customWidth="1"/>
    <col min="524" max="758" width="8" style="148"/>
    <col min="759" max="760" width="3.42578125" style="148" customWidth="1"/>
    <col min="761" max="761" width="35.5703125" style="148" customWidth="1"/>
    <col min="762" max="762" width="14.5703125" style="148" customWidth="1"/>
    <col min="763" max="763" width="1.140625" style="148" customWidth="1"/>
    <col min="764" max="764" width="15.140625" style="148" bestFit="1" customWidth="1"/>
    <col min="765" max="765" width="1.140625" style="148" customWidth="1"/>
    <col min="766" max="766" width="14.5703125" style="148" customWidth="1"/>
    <col min="767" max="767" width="1.140625" style="148" customWidth="1"/>
    <col min="768" max="768" width="14.5703125" style="148" customWidth="1"/>
    <col min="769" max="769" width="1.140625" style="148" customWidth="1"/>
    <col min="770" max="770" width="12.42578125" style="148" customWidth="1"/>
    <col min="771" max="771" width="1.140625" style="148" customWidth="1"/>
    <col min="772" max="772" width="12.85546875" style="148" customWidth="1"/>
    <col min="773" max="773" width="13.5703125" style="148" customWidth="1"/>
    <col min="774" max="774" width="0.85546875" style="148" customWidth="1"/>
    <col min="775" max="775" width="13.5703125" style="148" customWidth="1"/>
    <col min="776" max="776" width="10" style="148" bestFit="1" customWidth="1"/>
    <col min="777" max="777" width="8.140625" style="148" bestFit="1" customWidth="1"/>
    <col min="778" max="778" width="8" style="148"/>
    <col min="779" max="779" width="8.85546875" style="148" bestFit="1" customWidth="1"/>
    <col min="780" max="1014" width="8" style="148"/>
    <col min="1015" max="1016" width="3.42578125" style="148" customWidth="1"/>
    <col min="1017" max="1017" width="35.5703125" style="148" customWidth="1"/>
    <col min="1018" max="1018" width="14.5703125" style="148" customWidth="1"/>
    <col min="1019" max="1019" width="1.140625" style="148" customWidth="1"/>
    <col min="1020" max="1020" width="15.140625" style="148" bestFit="1" customWidth="1"/>
    <col min="1021" max="1021" width="1.140625" style="148" customWidth="1"/>
    <col min="1022" max="1022" width="14.5703125" style="148" customWidth="1"/>
    <col min="1023" max="1023" width="1.140625" style="148" customWidth="1"/>
    <col min="1024" max="1024" width="14.5703125" style="148" customWidth="1"/>
    <col min="1025" max="1025" width="1.140625" style="148" customWidth="1"/>
    <col min="1026" max="1026" width="12.42578125" style="148" customWidth="1"/>
    <col min="1027" max="1027" width="1.140625" style="148" customWidth="1"/>
    <col min="1028" max="1028" width="12.85546875" style="148" customWidth="1"/>
    <col min="1029" max="1029" width="13.5703125" style="148" customWidth="1"/>
    <col min="1030" max="1030" width="0.85546875" style="148" customWidth="1"/>
    <col min="1031" max="1031" width="13.5703125" style="148" customWidth="1"/>
    <col min="1032" max="1032" width="10" style="148" bestFit="1" customWidth="1"/>
    <col min="1033" max="1033" width="8.140625" style="148" bestFit="1" customWidth="1"/>
    <col min="1034" max="1034" width="8" style="148"/>
    <col min="1035" max="1035" width="8.85546875" style="148" bestFit="1" customWidth="1"/>
    <col min="1036" max="1270" width="8" style="148"/>
    <col min="1271" max="1272" width="3.42578125" style="148" customWidth="1"/>
    <col min="1273" max="1273" width="35.5703125" style="148" customWidth="1"/>
    <col min="1274" max="1274" width="14.5703125" style="148" customWidth="1"/>
    <col min="1275" max="1275" width="1.140625" style="148" customWidth="1"/>
    <col min="1276" max="1276" width="15.140625" style="148" bestFit="1" customWidth="1"/>
    <col min="1277" max="1277" width="1.140625" style="148" customWidth="1"/>
    <col min="1278" max="1278" width="14.5703125" style="148" customWidth="1"/>
    <col min="1279" max="1279" width="1.140625" style="148" customWidth="1"/>
    <col min="1280" max="1280" width="14.5703125" style="148" customWidth="1"/>
    <col min="1281" max="1281" width="1.140625" style="148" customWidth="1"/>
    <col min="1282" max="1282" width="12.42578125" style="148" customWidth="1"/>
    <col min="1283" max="1283" width="1.140625" style="148" customWidth="1"/>
    <col min="1284" max="1284" width="12.85546875" style="148" customWidth="1"/>
    <col min="1285" max="1285" width="13.5703125" style="148" customWidth="1"/>
    <col min="1286" max="1286" width="0.85546875" style="148" customWidth="1"/>
    <col min="1287" max="1287" width="13.5703125" style="148" customWidth="1"/>
    <col min="1288" max="1288" width="10" style="148" bestFit="1" customWidth="1"/>
    <col min="1289" max="1289" width="8.140625" style="148" bestFit="1" customWidth="1"/>
    <col min="1290" max="1290" width="8" style="148"/>
    <col min="1291" max="1291" width="8.85546875" style="148" bestFit="1" customWidth="1"/>
    <col min="1292" max="1526" width="8" style="148"/>
    <col min="1527" max="1528" width="3.42578125" style="148" customWidth="1"/>
    <col min="1529" max="1529" width="35.5703125" style="148" customWidth="1"/>
    <col min="1530" max="1530" width="14.5703125" style="148" customWidth="1"/>
    <col min="1531" max="1531" width="1.140625" style="148" customWidth="1"/>
    <col min="1532" max="1532" width="15.140625" style="148" bestFit="1" customWidth="1"/>
    <col min="1533" max="1533" width="1.140625" style="148" customWidth="1"/>
    <col min="1534" max="1534" width="14.5703125" style="148" customWidth="1"/>
    <col min="1535" max="1535" width="1.140625" style="148" customWidth="1"/>
    <col min="1536" max="1536" width="14.5703125" style="148" customWidth="1"/>
    <col min="1537" max="1537" width="1.140625" style="148" customWidth="1"/>
    <col min="1538" max="1538" width="12.42578125" style="148" customWidth="1"/>
    <col min="1539" max="1539" width="1.140625" style="148" customWidth="1"/>
    <col min="1540" max="1540" width="12.85546875" style="148" customWidth="1"/>
    <col min="1541" max="1541" width="13.5703125" style="148" customWidth="1"/>
    <col min="1542" max="1542" width="0.85546875" style="148" customWidth="1"/>
    <col min="1543" max="1543" width="13.5703125" style="148" customWidth="1"/>
    <col min="1544" max="1544" width="10" style="148" bestFit="1" customWidth="1"/>
    <col min="1545" max="1545" width="8.140625" style="148" bestFit="1" customWidth="1"/>
    <col min="1546" max="1546" width="8" style="148"/>
    <col min="1547" max="1547" width="8.85546875" style="148" bestFit="1" customWidth="1"/>
    <col min="1548" max="1782" width="8" style="148"/>
    <col min="1783" max="1784" width="3.42578125" style="148" customWidth="1"/>
    <col min="1785" max="1785" width="35.5703125" style="148" customWidth="1"/>
    <col min="1786" max="1786" width="14.5703125" style="148" customWidth="1"/>
    <col min="1787" max="1787" width="1.140625" style="148" customWidth="1"/>
    <col min="1788" max="1788" width="15.140625" style="148" bestFit="1" customWidth="1"/>
    <col min="1789" max="1789" width="1.140625" style="148" customWidth="1"/>
    <col min="1790" max="1790" width="14.5703125" style="148" customWidth="1"/>
    <col min="1791" max="1791" width="1.140625" style="148" customWidth="1"/>
    <col min="1792" max="1792" width="14.5703125" style="148" customWidth="1"/>
    <col min="1793" max="1793" width="1.140625" style="148" customWidth="1"/>
    <col min="1794" max="1794" width="12.42578125" style="148" customWidth="1"/>
    <col min="1795" max="1795" width="1.140625" style="148" customWidth="1"/>
    <col min="1796" max="1796" width="12.85546875" style="148" customWidth="1"/>
    <col min="1797" max="1797" width="13.5703125" style="148" customWidth="1"/>
    <col min="1798" max="1798" width="0.85546875" style="148" customWidth="1"/>
    <col min="1799" max="1799" width="13.5703125" style="148" customWidth="1"/>
    <col min="1800" max="1800" width="10" style="148" bestFit="1" customWidth="1"/>
    <col min="1801" max="1801" width="8.140625" style="148" bestFit="1" customWidth="1"/>
    <col min="1802" max="1802" width="8" style="148"/>
    <col min="1803" max="1803" width="8.85546875" style="148" bestFit="1" customWidth="1"/>
    <col min="1804" max="2038" width="8" style="148"/>
    <col min="2039" max="2040" width="3.42578125" style="148" customWidth="1"/>
    <col min="2041" max="2041" width="35.5703125" style="148" customWidth="1"/>
    <col min="2042" max="2042" width="14.5703125" style="148" customWidth="1"/>
    <col min="2043" max="2043" width="1.140625" style="148" customWidth="1"/>
    <col min="2044" max="2044" width="15.140625" style="148" bestFit="1" customWidth="1"/>
    <col min="2045" max="2045" width="1.140625" style="148" customWidth="1"/>
    <col min="2046" max="2046" width="14.5703125" style="148" customWidth="1"/>
    <col min="2047" max="2047" width="1.140625" style="148" customWidth="1"/>
    <col min="2048" max="2048" width="14.5703125" style="148" customWidth="1"/>
    <col min="2049" max="2049" width="1.140625" style="148" customWidth="1"/>
    <col min="2050" max="2050" width="12.42578125" style="148" customWidth="1"/>
    <col min="2051" max="2051" width="1.140625" style="148" customWidth="1"/>
    <col min="2052" max="2052" width="12.85546875" style="148" customWidth="1"/>
    <col min="2053" max="2053" width="13.5703125" style="148" customWidth="1"/>
    <col min="2054" max="2054" width="0.85546875" style="148" customWidth="1"/>
    <col min="2055" max="2055" width="13.5703125" style="148" customWidth="1"/>
    <col min="2056" max="2056" width="10" style="148" bestFit="1" customWidth="1"/>
    <col min="2057" max="2057" width="8.140625" style="148" bestFit="1" customWidth="1"/>
    <col min="2058" max="2058" width="8" style="148"/>
    <col min="2059" max="2059" width="8.85546875" style="148" bestFit="1" customWidth="1"/>
    <col min="2060" max="2294" width="8" style="148"/>
    <col min="2295" max="2296" width="3.42578125" style="148" customWidth="1"/>
    <col min="2297" max="2297" width="35.5703125" style="148" customWidth="1"/>
    <col min="2298" max="2298" width="14.5703125" style="148" customWidth="1"/>
    <col min="2299" max="2299" width="1.140625" style="148" customWidth="1"/>
    <col min="2300" max="2300" width="15.140625" style="148" bestFit="1" customWidth="1"/>
    <col min="2301" max="2301" width="1.140625" style="148" customWidth="1"/>
    <col min="2302" max="2302" width="14.5703125" style="148" customWidth="1"/>
    <col min="2303" max="2303" width="1.140625" style="148" customWidth="1"/>
    <col min="2304" max="2304" width="14.5703125" style="148" customWidth="1"/>
    <col min="2305" max="2305" width="1.140625" style="148" customWidth="1"/>
    <col min="2306" max="2306" width="12.42578125" style="148" customWidth="1"/>
    <col min="2307" max="2307" width="1.140625" style="148" customWidth="1"/>
    <col min="2308" max="2308" width="12.85546875" style="148" customWidth="1"/>
    <col min="2309" max="2309" width="13.5703125" style="148" customWidth="1"/>
    <col min="2310" max="2310" width="0.85546875" style="148" customWidth="1"/>
    <col min="2311" max="2311" width="13.5703125" style="148" customWidth="1"/>
    <col min="2312" max="2312" width="10" style="148" bestFit="1" customWidth="1"/>
    <col min="2313" max="2313" width="8.140625" style="148" bestFit="1" customWidth="1"/>
    <col min="2314" max="2314" width="8" style="148"/>
    <col min="2315" max="2315" width="8.85546875" style="148" bestFit="1" customWidth="1"/>
    <col min="2316" max="2550" width="8" style="148"/>
    <col min="2551" max="2552" width="3.42578125" style="148" customWidth="1"/>
    <col min="2553" max="2553" width="35.5703125" style="148" customWidth="1"/>
    <col min="2554" max="2554" width="14.5703125" style="148" customWidth="1"/>
    <col min="2555" max="2555" width="1.140625" style="148" customWidth="1"/>
    <col min="2556" max="2556" width="15.140625" style="148" bestFit="1" customWidth="1"/>
    <col min="2557" max="2557" width="1.140625" style="148" customWidth="1"/>
    <col min="2558" max="2558" width="14.5703125" style="148" customWidth="1"/>
    <col min="2559" max="2559" width="1.140625" style="148" customWidth="1"/>
    <col min="2560" max="2560" width="14.5703125" style="148" customWidth="1"/>
    <col min="2561" max="2561" width="1.140625" style="148" customWidth="1"/>
    <col min="2562" max="2562" width="12.42578125" style="148" customWidth="1"/>
    <col min="2563" max="2563" width="1.140625" style="148" customWidth="1"/>
    <col min="2564" max="2564" width="12.85546875" style="148" customWidth="1"/>
    <col min="2565" max="2565" width="13.5703125" style="148" customWidth="1"/>
    <col min="2566" max="2566" width="0.85546875" style="148" customWidth="1"/>
    <col min="2567" max="2567" width="13.5703125" style="148" customWidth="1"/>
    <col min="2568" max="2568" width="10" style="148" bestFit="1" customWidth="1"/>
    <col min="2569" max="2569" width="8.140625" style="148" bestFit="1" customWidth="1"/>
    <col min="2570" max="2570" width="8" style="148"/>
    <col min="2571" max="2571" width="8.85546875" style="148" bestFit="1" customWidth="1"/>
    <col min="2572" max="2806" width="8" style="148"/>
    <col min="2807" max="2808" width="3.42578125" style="148" customWidth="1"/>
    <col min="2809" max="2809" width="35.5703125" style="148" customWidth="1"/>
    <col min="2810" max="2810" width="14.5703125" style="148" customWidth="1"/>
    <col min="2811" max="2811" width="1.140625" style="148" customWidth="1"/>
    <col min="2812" max="2812" width="15.140625" style="148" bestFit="1" customWidth="1"/>
    <col min="2813" max="2813" width="1.140625" style="148" customWidth="1"/>
    <col min="2814" max="2814" width="14.5703125" style="148" customWidth="1"/>
    <col min="2815" max="2815" width="1.140625" style="148" customWidth="1"/>
    <col min="2816" max="2816" width="14.5703125" style="148" customWidth="1"/>
    <col min="2817" max="2817" width="1.140625" style="148" customWidth="1"/>
    <col min="2818" max="2818" width="12.42578125" style="148" customWidth="1"/>
    <col min="2819" max="2819" width="1.140625" style="148" customWidth="1"/>
    <col min="2820" max="2820" width="12.85546875" style="148" customWidth="1"/>
    <col min="2821" max="2821" width="13.5703125" style="148" customWidth="1"/>
    <col min="2822" max="2822" width="0.85546875" style="148" customWidth="1"/>
    <col min="2823" max="2823" width="13.5703125" style="148" customWidth="1"/>
    <col min="2824" max="2824" width="10" style="148" bestFit="1" customWidth="1"/>
    <col min="2825" max="2825" width="8.140625" style="148" bestFit="1" customWidth="1"/>
    <col min="2826" max="2826" width="8" style="148"/>
    <col min="2827" max="2827" width="8.85546875" style="148" bestFit="1" customWidth="1"/>
    <col min="2828" max="3062" width="8" style="148"/>
    <col min="3063" max="3064" width="3.42578125" style="148" customWidth="1"/>
    <col min="3065" max="3065" width="35.5703125" style="148" customWidth="1"/>
    <col min="3066" max="3066" width="14.5703125" style="148" customWidth="1"/>
    <col min="3067" max="3067" width="1.140625" style="148" customWidth="1"/>
    <col min="3068" max="3068" width="15.140625" style="148" bestFit="1" customWidth="1"/>
    <col min="3069" max="3069" width="1.140625" style="148" customWidth="1"/>
    <col min="3070" max="3070" width="14.5703125" style="148" customWidth="1"/>
    <col min="3071" max="3071" width="1.140625" style="148" customWidth="1"/>
    <col min="3072" max="3072" width="14.5703125" style="148" customWidth="1"/>
    <col min="3073" max="3073" width="1.140625" style="148" customWidth="1"/>
    <col min="3074" max="3074" width="12.42578125" style="148" customWidth="1"/>
    <col min="3075" max="3075" width="1.140625" style="148" customWidth="1"/>
    <col min="3076" max="3076" width="12.85546875" style="148" customWidth="1"/>
    <col min="3077" max="3077" width="13.5703125" style="148" customWidth="1"/>
    <col min="3078" max="3078" width="0.85546875" style="148" customWidth="1"/>
    <col min="3079" max="3079" width="13.5703125" style="148" customWidth="1"/>
    <col min="3080" max="3080" width="10" style="148" bestFit="1" customWidth="1"/>
    <col min="3081" max="3081" width="8.140625" style="148" bestFit="1" customWidth="1"/>
    <col min="3082" max="3082" width="8" style="148"/>
    <col min="3083" max="3083" width="8.85546875" style="148" bestFit="1" customWidth="1"/>
    <col min="3084" max="3318" width="8" style="148"/>
    <col min="3319" max="3320" width="3.42578125" style="148" customWidth="1"/>
    <col min="3321" max="3321" width="35.5703125" style="148" customWidth="1"/>
    <col min="3322" max="3322" width="14.5703125" style="148" customWidth="1"/>
    <col min="3323" max="3323" width="1.140625" style="148" customWidth="1"/>
    <col min="3324" max="3324" width="15.140625" style="148" bestFit="1" customWidth="1"/>
    <col min="3325" max="3325" width="1.140625" style="148" customWidth="1"/>
    <col min="3326" max="3326" width="14.5703125" style="148" customWidth="1"/>
    <col min="3327" max="3327" width="1.140625" style="148" customWidth="1"/>
    <col min="3328" max="3328" width="14.5703125" style="148" customWidth="1"/>
    <col min="3329" max="3329" width="1.140625" style="148" customWidth="1"/>
    <col min="3330" max="3330" width="12.42578125" style="148" customWidth="1"/>
    <col min="3331" max="3331" width="1.140625" style="148" customWidth="1"/>
    <col min="3332" max="3332" width="12.85546875" style="148" customWidth="1"/>
    <col min="3333" max="3333" width="13.5703125" style="148" customWidth="1"/>
    <col min="3334" max="3334" width="0.85546875" style="148" customWidth="1"/>
    <col min="3335" max="3335" width="13.5703125" style="148" customWidth="1"/>
    <col min="3336" max="3336" width="10" style="148" bestFit="1" customWidth="1"/>
    <col min="3337" max="3337" width="8.140625" style="148" bestFit="1" customWidth="1"/>
    <col min="3338" max="3338" width="8" style="148"/>
    <col min="3339" max="3339" width="8.85546875" style="148" bestFit="1" customWidth="1"/>
    <col min="3340" max="3574" width="8" style="148"/>
    <col min="3575" max="3576" width="3.42578125" style="148" customWidth="1"/>
    <col min="3577" max="3577" width="35.5703125" style="148" customWidth="1"/>
    <col min="3578" max="3578" width="14.5703125" style="148" customWidth="1"/>
    <col min="3579" max="3579" width="1.140625" style="148" customWidth="1"/>
    <col min="3580" max="3580" width="15.140625" style="148" bestFit="1" customWidth="1"/>
    <col min="3581" max="3581" width="1.140625" style="148" customWidth="1"/>
    <col min="3582" max="3582" width="14.5703125" style="148" customWidth="1"/>
    <col min="3583" max="3583" width="1.140625" style="148" customWidth="1"/>
    <col min="3584" max="3584" width="14.5703125" style="148" customWidth="1"/>
    <col min="3585" max="3585" width="1.140625" style="148" customWidth="1"/>
    <col min="3586" max="3586" width="12.42578125" style="148" customWidth="1"/>
    <col min="3587" max="3587" width="1.140625" style="148" customWidth="1"/>
    <col min="3588" max="3588" width="12.85546875" style="148" customWidth="1"/>
    <col min="3589" max="3589" width="13.5703125" style="148" customWidth="1"/>
    <col min="3590" max="3590" width="0.85546875" style="148" customWidth="1"/>
    <col min="3591" max="3591" width="13.5703125" style="148" customWidth="1"/>
    <col min="3592" max="3592" width="10" style="148" bestFit="1" customWidth="1"/>
    <col min="3593" max="3593" width="8.140625" style="148" bestFit="1" customWidth="1"/>
    <col min="3594" max="3594" width="8" style="148"/>
    <col min="3595" max="3595" width="8.85546875" style="148" bestFit="1" customWidth="1"/>
    <col min="3596" max="3830" width="8" style="148"/>
    <col min="3831" max="3832" width="3.42578125" style="148" customWidth="1"/>
    <col min="3833" max="3833" width="35.5703125" style="148" customWidth="1"/>
    <col min="3834" max="3834" width="14.5703125" style="148" customWidth="1"/>
    <col min="3835" max="3835" width="1.140625" style="148" customWidth="1"/>
    <col min="3836" max="3836" width="15.140625" style="148" bestFit="1" customWidth="1"/>
    <col min="3837" max="3837" width="1.140625" style="148" customWidth="1"/>
    <col min="3838" max="3838" width="14.5703125" style="148" customWidth="1"/>
    <col min="3839" max="3839" width="1.140625" style="148" customWidth="1"/>
    <col min="3840" max="3840" width="14.5703125" style="148" customWidth="1"/>
    <col min="3841" max="3841" width="1.140625" style="148" customWidth="1"/>
    <col min="3842" max="3842" width="12.42578125" style="148" customWidth="1"/>
    <col min="3843" max="3843" width="1.140625" style="148" customWidth="1"/>
    <col min="3844" max="3844" width="12.85546875" style="148" customWidth="1"/>
    <col min="3845" max="3845" width="13.5703125" style="148" customWidth="1"/>
    <col min="3846" max="3846" width="0.85546875" style="148" customWidth="1"/>
    <col min="3847" max="3847" width="13.5703125" style="148" customWidth="1"/>
    <col min="3848" max="3848" width="10" style="148" bestFit="1" customWidth="1"/>
    <col min="3849" max="3849" width="8.140625" style="148" bestFit="1" customWidth="1"/>
    <col min="3850" max="3850" width="8" style="148"/>
    <col min="3851" max="3851" width="8.85546875" style="148" bestFit="1" customWidth="1"/>
    <col min="3852" max="4086" width="8" style="148"/>
    <col min="4087" max="4088" width="3.42578125" style="148" customWidth="1"/>
    <col min="4089" max="4089" width="35.5703125" style="148" customWidth="1"/>
    <col min="4090" max="4090" width="14.5703125" style="148" customWidth="1"/>
    <col min="4091" max="4091" width="1.140625" style="148" customWidth="1"/>
    <col min="4092" max="4092" width="15.140625" style="148" bestFit="1" customWidth="1"/>
    <col min="4093" max="4093" width="1.140625" style="148" customWidth="1"/>
    <col min="4094" max="4094" width="14.5703125" style="148" customWidth="1"/>
    <col min="4095" max="4095" width="1.140625" style="148" customWidth="1"/>
    <col min="4096" max="4096" width="14.5703125" style="148" customWidth="1"/>
    <col min="4097" max="4097" width="1.140625" style="148" customWidth="1"/>
    <col min="4098" max="4098" width="12.42578125" style="148" customWidth="1"/>
    <col min="4099" max="4099" width="1.140625" style="148" customWidth="1"/>
    <col min="4100" max="4100" width="12.85546875" style="148" customWidth="1"/>
    <col min="4101" max="4101" width="13.5703125" style="148" customWidth="1"/>
    <col min="4102" max="4102" width="0.85546875" style="148" customWidth="1"/>
    <col min="4103" max="4103" width="13.5703125" style="148" customWidth="1"/>
    <col min="4104" max="4104" width="10" style="148" bestFit="1" customWidth="1"/>
    <col min="4105" max="4105" width="8.140625" style="148" bestFit="1" customWidth="1"/>
    <col min="4106" max="4106" width="8" style="148"/>
    <col min="4107" max="4107" width="8.85546875" style="148" bestFit="1" customWidth="1"/>
    <col min="4108" max="4342" width="8" style="148"/>
    <col min="4343" max="4344" width="3.42578125" style="148" customWidth="1"/>
    <col min="4345" max="4345" width="35.5703125" style="148" customWidth="1"/>
    <col min="4346" max="4346" width="14.5703125" style="148" customWidth="1"/>
    <col min="4347" max="4347" width="1.140625" style="148" customWidth="1"/>
    <col min="4348" max="4348" width="15.140625" style="148" bestFit="1" customWidth="1"/>
    <col min="4349" max="4349" width="1.140625" style="148" customWidth="1"/>
    <col min="4350" max="4350" width="14.5703125" style="148" customWidth="1"/>
    <col min="4351" max="4351" width="1.140625" style="148" customWidth="1"/>
    <col min="4352" max="4352" width="14.5703125" style="148" customWidth="1"/>
    <col min="4353" max="4353" width="1.140625" style="148" customWidth="1"/>
    <col min="4354" max="4354" width="12.42578125" style="148" customWidth="1"/>
    <col min="4355" max="4355" width="1.140625" style="148" customWidth="1"/>
    <col min="4356" max="4356" width="12.85546875" style="148" customWidth="1"/>
    <col min="4357" max="4357" width="13.5703125" style="148" customWidth="1"/>
    <col min="4358" max="4358" width="0.85546875" style="148" customWidth="1"/>
    <col min="4359" max="4359" width="13.5703125" style="148" customWidth="1"/>
    <col min="4360" max="4360" width="10" style="148" bestFit="1" customWidth="1"/>
    <col min="4361" max="4361" width="8.140625" style="148" bestFit="1" customWidth="1"/>
    <col min="4362" max="4362" width="8" style="148"/>
    <col min="4363" max="4363" width="8.85546875" style="148" bestFit="1" customWidth="1"/>
    <col min="4364" max="4598" width="8" style="148"/>
    <col min="4599" max="4600" width="3.42578125" style="148" customWidth="1"/>
    <col min="4601" max="4601" width="35.5703125" style="148" customWidth="1"/>
    <col min="4602" max="4602" width="14.5703125" style="148" customWidth="1"/>
    <col min="4603" max="4603" width="1.140625" style="148" customWidth="1"/>
    <col min="4604" max="4604" width="15.140625" style="148" bestFit="1" customWidth="1"/>
    <col min="4605" max="4605" width="1.140625" style="148" customWidth="1"/>
    <col min="4606" max="4606" width="14.5703125" style="148" customWidth="1"/>
    <col min="4607" max="4607" width="1.140625" style="148" customWidth="1"/>
    <col min="4608" max="4608" width="14.5703125" style="148" customWidth="1"/>
    <col min="4609" max="4609" width="1.140625" style="148" customWidth="1"/>
    <col min="4610" max="4610" width="12.42578125" style="148" customWidth="1"/>
    <col min="4611" max="4611" width="1.140625" style="148" customWidth="1"/>
    <col min="4612" max="4612" width="12.85546875" style="148" customWidth="1"/>
    <col min="4613" max="4613" width="13.5703125" style="148" customWidth="1"/>
    <col min="4614" max="4614" width="0.85546875" style="148" customWidth="1"/>
    <col min="4615" max="4615" width="13.5703125" style="148" customWidth="1"/>
    <col min="4616" max="4616" width="10" style="148" bestFit="1" customWidth="1"/>
    <col min="4617" max="4617" width="8.140625" style="148" bestFit="1" customWidth="1"/>
    <col min="4618" max="4618" width="8" style="148"/>
    <col min="4619" max="4619" width="8.85546875" style="148" bestFit="1" customWidth="1"/>
    <col min="4620" max="4854" width="8" style="148"/>
    <col min="4855" max="4856" width="3.42578125" style="148" customWidth="1"/>
    <col min="4857" max="4857" width="35.5703125" style="148" customWidth="1"/>
    <col min="4858" max="4858" width="14.5703125" style="148" customWidth="1"/>
    <col min="4859" max="4859" width="1.140625" style="148" customWidth="1"/>
    <col min="4860" max="4860" width="15.140625" style="148" bestFit="1" customWidth="1"/>
    <col min="4861" max="4861" width="1.140625" style="148" customWidth="1"/>
    <col min="4862" max="4862" width="14.5703125" style="148" customWidth="1"/>
    <col min="4863" max="4863" width="1.140625" style="148" customWidth="1"/>
    <col min="4864" max="4864" width="14.5703125" style="148" customWidth="1"/>
    <col min="4865" max="4865" width="1.140625" style="148" customWidth="1"/>
    <col min="4866" max="4866" width="12.42578125" style="148" customWidth="1"/>
    <col min="4867" max="4867" width="1.140625" style="148" customWidth="1"/>
    <col min="4868" max="4868" width="12.85546875" style="148" customWidth="1"/>
    <col min="4869" max="4869" width="13.5703125" style="148" customWidth="1"/>
    <col min="4870" max="4870" width="0.85546875" style="148" customWidth="1"/>
    <col min="4871" max="4871" width="13.5703125" style="148" customWidth="1"/>
    <col min="4872" max="4872" width="10" style="148" bestFit="1" customWidth="1"/>
    <col min="4873" max="4873" width="8.140625" style="148" bestFit="1" customWidth="1"/>
    <col min="4874" max="4874" width="8" style="148"/>
    <col min="4875" max="4875" width="8.85546875" style="148" bestFit="1" customWidth="1"/>
    <col min="4876" max="5110" width="8" style="148"/>
    <col min="5111" max="5112" width="3.42578125" style="148" customWidth="1"/>
    <col min="5113" max="5113" width="35.5703125" style="148" customWidth="1"/>
    <col min="5114" max="5114" width="14.5703125" style="148" customWidth="1"/>
    <col min="5115" max="5115" width="1.140625" style="148" customWidth="1"/>
    <col min="5116" max="5116" width="15.140625" style="148" bestFit="1" customWidth="1"/>
    <col min="5117" max="5117" width="1.140625" style="148" customWidth="1"/>
    <col min="5118" max="5118" width="14.5703125" style="148" customWidth="1"/>
    <col min="5119" max="5119" width="1.140625" style="148" customWidth="1"/>
    <col min="5120" max="5120" width="14.5703125" style="148" customWidth="1"/>
    <col min="5121" max="5121" width="1.140625" style="148" customWidth="1"/>
    <col min="5122" max="5122" width="12.42578125" style="148" customWidth="1"/>
    <col min="5123" max="5123" width="1.140625" style="148" customWidth="1"/>
    <col min="5124" max="5124" width="12.85546875" style="148" customWidth="1"/>
    <col min="5125" max="5125" width="13.5703125" style="148" customWidth="1"/>
    <col min="5126" max="5126" width="0.85546875" style="148" customWidth="1"/>
    <col min="5127" max="5127" width="13.5703125" style="148" customWidth="1"/>
    <col min="5128" max="5128" width="10" style="148" bestFit="1" customWidth="1"/>
    <col min="5129" max="5129" width="8.140625" style="148" bestFit="1" customWidth="1"/>
    <col min="5130" max="5130" width="8" style="148"/>
    <col min="5131" max="5131" width="8.85546875" style="148" bestFit="1" customWidth="1"/>
    <col min="5132" max="5366" width="8" style="148"/>
    <col min="5367" max="5368" width="3.42578125" style="148" customWidth="1"/>
    <col min="5369" max="5369" width="35.5703125" style="148" customWidth="1"/>
    <col min="5370" max="5370" width="14.5703125" style="148" customWidth="1"/>
    <col min="5371" max="5371" width="1.140625" style="148" customWidth="1"/>
    <col min="5372" max="5372" width="15.140625" style="148" bestFit="1" customWidth="1"/>
    <col min="5373" max="5373" width="1.140625" style="148" customWidth="1"/>
    <col min="5374" max="5374" width="14.5703125" style="148" customWidth="1"/>
    <col min="5375" max="5375" width="1.140625" style="148" customWidth="1"/>
    <col min="5376" max="5376" width="14.5703125" style="148" customWidth="1"/>
    <col min="5377" max="5377" width="1.140625" style="148" customWidth="1"/>
    <col min="5378" max="5378" width="12.42578125" style="148" customWidth="1"/>
    <col min="5379" max="5379" width="1.140625" style="148" customWidth="1"/>
    <col min="5380" max="5380" width="12.85546875" style="148" customWidth="1"/>
    <col min="5381" max="5381" width="13.5703125" style="148" customWidth="1"/>
    <col min="5382" max="5382" width="0.85546875" style="148" customWidth="1"/>
    <col min="5383" max="5383" width="13.5703125" style="148" customWidth="1"/>
    <col min="5384" max="5384" width="10" style="148" bestFit="1" customWidth="1"/>
    <col min="5385" max="5385" width="8.140625" style="148" bestFit="1" customWidth="1"/>
    <col min="5386" max="5386" width="8" style="148"/>
    <col min="5387" max="5387" width="8.85546875" style="148" bestFit="1" customWidth="1"/>
    <col min="5388" max="5622" width="8" style="148"/>
    <col min="5623" max="5624" width="3.42578125" style="148" customWidth="1"/>
    <col min="5625" max="5625" width="35.5703125" style="148" customWidth="1"/>
    <col min="5626" max="5626" width="14.5703125" style="148" customWidth="1"/>
    <col min="5627" max="5627" width="1.140625" style="148" customWidth="1"/>
    <col min="5628" max="5628" width="15.140625" style="148" bestFit="1" customWidth="1"/>
    <col min="5629" max="5629" width="1.140625" style="148" customWidth="1"/>
    <col min="5630" max="5630" width="14.5703125" style="148" customWidth="1"/>
    <col min="5631" max="5631" width="1.140625" style="148" customWidth="1"/>
    <col min="5632" max="5632" width="14.5703125" style="148" customWidth="1"/>
    <col min="5633" max="5633" width="1.140625" style="148" customWidth="1"/>
    <col min="5634" max="5634" width="12.42578125" style="148" customWidth="1"/>
    <col min="5635" max="5635" width="1.140625" style="148" customWidth="1"/>
    <col min="5636" max="5636" width="12.85546875" style="148" customWidth="1"/>
    <col min="5637" max="5637" width="13.5703125" style="148" customWidth="1"/>
    <col min="5638" max="5638" width="0.85546875" style="148" customWidth="1"/>
    <col min="5639" max="5639" width="13.5703125" style="148" customWidth="1"/>
    <col min="5640" max="5640" width="10" style="148" bestFit="1" customWidth="1"/>
    <col min="5641" max="5641" width="8.140625" style="148" bestFit="1" customWidth="1"/>
    <col min="5642" max="5642" width="8" style="148"/>
    <col min="5643" max="5643" width="8.85546875" style="148" bestFit="1" customWidth="1"/>
    <col min="5644" max="5878" width="8" style="148"/>
    <col min="5879" max="5880" width="3.42578125" style="148" customWidth="1"/>
    <col min="5881" max="5881" width="35.5703125" style="148" customWidth="1"/>
    <col min="5882" max="5882" width="14.5703125" style="148" customWidth="1"/>
    <col min="5883" max="5883" width="1.140625" style="148" customWidth="1"/>
    <col min="5884" max="5884" width="15.140625" style="148" bestFit="1" customWidth="1"/>
    <col min="5885" max="5885" width="1.140625" style="148" customWidth="1"/>
    <col min="5886" max="5886" width="14.5703125" style="148" customWidth="1"/>
    <col min="5887" max="5887" width="1.140625" style="148" customWidth="1"/>
    <col min="5888" max="5888" width="14.5703125" style="148" customWidth="1"/>
    <col min="5889" max="5889" width="1.140625" style="148" customWidth="1"/>
    <col min="5890" max="5890" width="12.42578125" style="148" customWidth="1"/>
    <col min="5891" max="5891" width="1.140625" style="148" customWidth="1"/>
    <col min="5892" max="5892" width="12.85546875" style="148" customWidth="1"/>
    <col min="5893" max="5893" width="13.5703125" style="148" customWidth="1"/>
    <col min="5894" max="5894" width="0.85546875" style="148" customWidth="1"/>
    <col min="5895" max="5895" width="13.5703125" style="148" customWidth="1"/>
    <col min="5896" max="5896" width="10" style="148" bestFit="1" customWidth="1"/>
    <col min="5897" max="5897" width="8.140625" style="148" bestFit="1" customWidth="1"/>
    <col min="5898" max="5898" width="8" style="148"/>
    <col min="5899" max="5899" width="8.85546875" style="148" bestFit="1" customWidth="1"/>
    <col min="5900" max="6134" width="8" style="148"/>
    <col min="6135" max="6136" width="3.42578125" style="148" customWidth="1"/>
    <col min="6137" max="6137" width="35.5703125" style="148" customWidth="1"/>
    <col min="6138" max="6138" width="14.5703125" style="148" customWidth="1"/>
    <col min="6139" max="6139" width="1.140625" style="148" customWidth="1"/>
    <col min="6140" max="6140" width="15.140625" style="148" bestFit="1" customWidth="1"/>
    <col min="6141" max="6141" width="1.140625" style="148" customWidth="1"/>
    <col min="6142" max="6142" width="14.5703125" style="148" customWidth="1"/>
    <col min="6143" max="6143" width="1.140625" style="148" customWidth="1"/>
    <col min="6144" max="6144" width="14.5703125" style="148" customWidth="1"/>
    <col min="6145" max="6145" width="1.140625" style="148" customWidth="1"/>
    <col min="6146" max="6146" width="12.42578125" style="148" customWidth="1"/>
    <col min="6147" max="6147" width="1.140625" style="148" customWidth="1"/>
    <col min="6148" max="6148" width="12.85546875" style="148" customWidth="1"/>
    <col min="6149" max="6149" width="13.5703125" style="148" customWidth="1"/>
    <col min="6150" max="6150" width="0.85546875" style="148" customWidth="1"/>
    <col min="6151" max="6151" width="13.5703125" style="148" customWidth="1"/>
    <col min="6152" max="6152" width="10" style="148" bestFit="1" customWidth="1"/>
    <col min="6153" max="6153" width="8.140625" style="148" bestFit="1" customWidth="1"/>
    <col min="6154" max="6154" width="8" style="148"/>
    <col min="6155" max="6155" width="8.85546875" style="148" bestFit="1" customWidth="1"/>
    <col min="6156" max="6390" width="8" style="148"/>
    <col min="6391" max="6392" width="3.42578125" style="148" customWidth="1"/>
    <col min="6393" max="6393" width="35.5703125" style="148" customWidth="1"/>
    <col min="6394" max="6394" width="14.5703125" style="148" customWidth="1"/>
    <col min="6395" max="6395" width="1.140625" style="148" customWidth="1"/>
    <col min="6396" max="6396" width="15.140625" style="148" bestFit="1" customWidth="1"/>
    <col min="6397" max="6397" width="1.140625" style="148" customWidth="1"/>
    <col min="6398" max="6398" width="14.5703125" style="148" customWidth="1"/>
    <col min="6399" max="6399" width="1.140625" style="148" customWidth="1"/>
    <col min="6400" max="6400" width="14.5703125" style="148" customWidth="1"/>
    <col min="6401" max="6401" width="1.140625" style="148" customWidth="1"/>
    <col min="6402" max="6402" width="12.42578125" style="148" customWidth="1"/>
    <col min="6403" max="6403" width="1.140625" style="148" customWidth="1"/>
    <col min="6404" max="6404" width="12.85546875" style="148" customWidth="1"/>
    <col min="6405" max="6405" width="13.5703125" style="148" customWidth="1"/>
    <col min="6406" max="6406" width="0.85546875" style="148" customWidth="1"/>
    <col min="6407" max="6407" width="13.5703125" style="148" customWidth="1"/>
    <col min="6408" max="6408" width="10" style="148" bestFit="1" customWidth="1"/>
    <col min="6409" max="6409" width="8.140625" style="148" bestFit="1" customWidth="1"/>
    <col min="6410" max="6410" width="8" style="148"/>
    <col min="6411" max="6411" width="8.85546875" style="148" bestFit="1" customWidth="1"/>
    <col min="6412" max="6646" width="8" style="148"/>
    <col min="6647" max="6648" width="3.42578125" style="148" customWidth="1"/>
    <col min="6649" max="6649" width="35.5703125" style="148" customWidth="1"/>
    <col min="6650" max="6650" width="14.5703125" style="148" customWidth="1"/>
    <col min="6651" max="6651" width="1.140625" style="148" customWidth="1"/>
    <col min="6652" max="6652" width="15.140625" style="148" bestFit="1" customWidth="1"/>
    <col min="6653" max="6653" width="1.140625" style="148" customWidth="1"/>
    <col min="6654" max="6654" width="14.5703125" style="148" customWidth="1"/>
    <col min="6655" max="6655" width="1.140625" style="148" customWidth="1"/>
    <col min="6656" max="6656" width="14.5703125" style="148" customWidth="1"/>
    <col min="6657" max="6657" width="1.140625" style="148" customWidth="1"/>
    <col min="6658" max="6658" width="12.42578125" style="148" customWidth="1"/>
    <col min="6659" max="6659" width="1.140625" style="148" customWidth="1"/>
    <col min="6660" max="6660" width="12.85546875" style="148" customWidth="1"/>
    <col min="6661" max="6661" width="13.5703125" style="148" customWidth="1"/>
    <col min="6662" max="6662" width="0.85546875" style="148" customWidth="1"/>
    <col min="6663" max="6663" width="13.5703125" style="148" customWidth="1"/>
    <col min="6664" max="6664" width="10" style="148" bestFit="1" customWidth="1"/>
    <col min="6665" max="6665" width="8.140625" style="148" bestFit="1" customWidth="1"/>
    <col min="6666" max="6666" width="8" style="148"/>
    <col min="6667" max="6667" width="8.85546875" style="148" bestFit="1" customWidth="1"/>
    <col min="6668" max="6902" width="8" style="148"/>
    <col min="6903" max="6904" width="3.42578125" style="148" customWidth="1"/>
    <col min="6905" max="6905" width="35.5703125" style="148" customWidth="1"/>
    <col min="6906" max="6906" width="14.5703125" style="148" customWidth="1"/>
    <col min="6907" max="6907" width="1.140625" style="148" customWidth="1"/>
    <col min="6908" max="6908" width="15.140625" style="148" bestFit="1" customWidth="1"/>
    <col min="6909" max="6909" width="1.140625" style="148" customWidth="1"/>
    <col min="6910" max="6910" width="14.5703125" style="148" customWidth="1"/>
    <col min="6911" max="6911" width="1.140625" style="148" customWidth="1"/>
    <col min="6912" max="6912" width="14.5703125" style="148" customWidth="1"/>
    <col min="6913" max="6913" width="1.140625" style="148" customWidth="1"/>
    <col min="6914" max="6914" width="12.42578125" style="148" customWidth="1"/>
    <col min="6915" max="6915" width="1.140625" style="148" customWidth="1"/>
    <col min="6916" max="6916" width="12.85546875" style="148" customWidth="1"/>
    <col min="6917" max="6917" width="13.5703125" style="148" customWidth="1"/>
    <col min="6918" max="6918" width="0.85546875" style="148" customWidth="1"/>
    <col min="6919" max="6919" width="13.5703125" style="148" customWidth="1"/>
    <col min="6920" max="6920" width="10" style="148" bestFit="1" customWidth="1"/>
    <col min="6921" max="6921" width="8.140625" style="148" bestFit="1" customWidth="1"/>
    <col min="6922" max="6922" width="8" style="148"/>
    <col min="6923" max="6923" width="8.85546875" style="148" bestFit="1" customWidth="1"/>
    <col min="6924" max="7158" width="8" style="148"/>
    <col min="7159" max="7160" width="3.42578125" style="148" customWidth="1"/>
    <col min="7161" max="7161" width="35.5703125" style="148" customWidth="1"/>
    <col min="7162" max="7162" width="14.5703125" style="148" customWidth="1"/>
    <col min="7163" max="7163" width="1.140625" style="148" customWidth="1"/>
    <col min="7164" max="7164" width="15.140625" style="148" bestFit="1" customWidth="1"/>
    <col min="7165" max="7165" width="1.140625" style="148" customWidth="1"/>
    <col min="7166" max="7166" width="14.5703125" style="148" customWidth="1"/>
    <col min="7167" max="7167" width="1.140625" style="148" customWidth="1"/>
    <col min="7168" max="7168" width="14.5703125" style="148" customWidth="1"/>
    <col min="7169" max="7169" width="1.140625" style="148" customWidth="1"/>
    <col min="7170" max="7170" width="12.42578125" style="148" customWidth="1"/>
    <col min="7171" max="7171" width="1.140625" style="148" customWidth="1"/>
    <col min="7172" max="7172" width="12.85546875" style="148" customWidth="1"/>
    <col min="7173" max="7173" width="13.5703125" style="148" customWidth="1"/>
    <col min="7174" max="7174" width="0.85546875" style="148" customWidth="1"/>
    <col min="7175" max="7175" width="13.5703125" style="148" customWidth="1"/>
    <col min="7176" max="7176" width="10" style="148" bestFit="1" customWidth="1"/>
    <col min="7177" max="7177" width="8.140625" style="148" bestFit="1" customWidth="1"/>
    <col min="7178" max="7178" width="8" style="148"/>
    <col min="7179" max="7179" width="8.85546875" style="148" bestFit="1" customWidth="1"/>
    <col min="7180" max="7414" width="8" style="148"/>
    <col min="7415" max="7416" width="3.42578125" style="148" customWidth="1"/>
    <col min="7417" max="7417" width="35.5703125" style="148" customWidth="1"/>
    <col min="7418" max="7418" width="14.5703125" style="148" customWidth="1"/>
    <col min="7419" max="7419" width="1.140625" style="148" customWidth="1"/>
    <col min="7420" max="7420" width="15.140625" style="148" bestFit="1" customWidth="1"/>
    <col min="7421" max="7421" width="1.140625" style="148" customWidth="1"/>
    <col min="7422" max="7422" width="14.5703125" style="148" customWidth="1"/>
    <col min="7423" max="7423" width="1.140625" style="148" customWidth="1"/>
    <col min="7424" max="7424" width="14.5703125" style="148" customWidth="1"/>
    <col min="7425" max="7425" width="1.140625" style="148" customWidth="1"/>
    <col min="7426" max="7426" width="12.42578125" style="148" customWidth="1"/>
    <col min="7427" max="7427" width="1.140625" style="148" customWidth="1"/>
    <col min="7428" max="7428" width="12.85546875" style="148" customWidth="1"/>
    <col min="7429" max="7429" width="13.5703125" style="148" customWidth="1"/>
    <col min="7430" max="7430" width="0.85546875" style="148" customWidth="1"/>
    <col min="7431" max="7431" width="13.5703125" style="148" customWidth="1"/>
    <col min="7432" max="7432" width="10" style="148" bestFit="1" customWidth="1"/>
    <col min="7433" max="7433" width="8.140625" style="148" bestFit="1" customWidth="1"/>
    <col min="7434" max="7434" width="8" style="148"/>
    <col min="7435" max="7435" width="8.85546875" style="148" bestFit="1" customWidth="1"/>
    <col min="7436" max="7670" width="8" style="148"/>
    <col min="7671" max="7672" width="3.42578125" style="148" customWidth="1"/>
    <col min="7673" max="7673" width="35.5703125" style="148" customWidth="1"/>
    <col min="7674" max="7674" width="14.5703125" style="148" customWidth="1"/>
    <col min="7675" max="7675" width="1.140625" style="148" customWidth="1"/>
    <col min="7676" max="7676" width="15.140625" style="148" bestFit="1" customWidth="1"/>
    <col min="7677" max="7677" width="1.140625" style="148" customWidth="1"/>
    <col min="7678" max="7678" width="14.5703125" style="148" customWidth="1"/>
    <col min="7679" max="7679" width="1.140625" style="148" customWidth="1"/>
    <col min="7680" max="7680" width="14.5703125" style="148" customWidth="1"/>
    <col min="7681" max="7681" width="1.140625" style="148" customWidth="1"/>
    <col min="7682" max="7682" width="12.42578125" style="148" customWidth="1"/>
    <col min="7683" max="7683" width="1.140625" style="148" customWidth="1"/>
    <col min="7684" max="7684" width="12.85546875" style="148" customWidth="1"/>
    <col min="7685" max="7685" width="13.5703125" style="148" customWidth="1"/>
    <col min="7686" max="7686" width="0.85546875" style="148" customWidth="1"/>
    <col min="7687" max="7687" width="13.5703125" style="148" customWidth="1"/>
    <col min="7688" max="7688" width="10" style="148" bestFit="1" customWidth="1"/>
    <col min="7689" max="7689" width="8.140625" style="148" bestFit="1" customWidth="1"/>
    <col min="7690" max="7690" width="8" style="148"/>
    <col min="7691" max="7691" width="8.85546875" style="148" bestFit="1" customWidth="1"/>
    <col min="7692" max="7926" width="8" style="148"/>
    <col min="7927" max="7928" width="3.42578125" style="148" customWidth="1"/>
    <col min="7929" max="7929" width="35.5703125" style="148" customWidth="1"/>
    <col min="7930" max="7930" width="14.5703125" style="148" customWidth="1"/>
    <col min="7931" max="7931" width="1.140625" style="148" customWidth="1"/>
    <col min="7932" max="7932" width="15.140625" style="148" bestFit="1" customWidth="1"/>
    <col min="7933" max="7933" width="1.140625" style="148" customWidth="1"/>
    <col min="7934" max="7934" width="14.5703125" style="148" customWidth="1"/>
    <col min="7935" max="7935" width="1.140625" style="148" customWidth="1"/>
    <col min="7936" max="7936" width="14.5703125" style="148" customWidth="1"/>
    <col min="7937" max="7937" width="1.140625" style="148" customWidth="1"/>
    <col min="7938" max="7938" width="12.42578125" style="148" customWidth="1"/>
    <col min="7939" max="7939" width="1.140625" style="148" customWidth="1"/>
    <col min="7940" max="7940" width="12.85546875" style="148" customWidth="1"/>
    <col min="7941" max="7941" width="13.5703125" style="148" customWidth="1"/>
    <col min="7942" max="7942" width="0.85546875" style="148" customWidth="1"/>
    <col min="7943" max="7943" width="13.5703125" style="148" customWidth="1"/>
    <col min="7944" max="7944" width="10" style="148" bestFit="1" customWidth="1"/>
    <col min="7945" max="7945" width="8.140625" style="148" bestFit="1" customWidth="1"/>
    <col min="7946" max="7946" width="8" style="148"/>
    <col min="7947" max="7947" width="8.85546875" style="148" bestFit="1" customWidth="1"/>
    <col min="7948" max="8182" width="8" style="148"/>
    <col min="8183" max="8184" width="3.42578125" style="148" customWidth="1"/>
    <col min="8185" max="8185" width="35.5703125" style="148" customWidth="1"/>
    <col min="8186" max="8186" width="14.5703125" style="148" customWidth="1"/>
    <col min="8187" max="8187" width="1.140625" style="148" customWidth="1"/>
    <col min="8188" max="8188" width="15.140625" style="148" bestFit="1" customWidth="1"/>
    <col min="8189" max="8189" width="1.140625" style="148" customWidth="1"/>
    <col min="8190" max="8190" width="14.5703125" style="148" customWidth="1"/>
    <col min="8191" max="8191" width="1.140625" style="148" customWidth="1"/>
    <col min="8192" max="8192" width="14.5703125" style="148" customWidth="1"/>
    <col min="8193" max="8193" width="1.140625" style="148" customWidth="1"/>
    <col min="8194" max="8194" width="12.42578125" style="148" customWidth="1"/>
    <col min="8195" max="8195" width="1.140625" style="148" customWidth="1"/>
    <col min="8196" max="8196" width="12.85546875" style="148" customWidth="1"/>
    <col min="8197" max="8197" width="13.5703125" style="148" customWidth="1"/>
    <col min="8198" max="8198" width="0.85546875" style="148" customWidth="1"/>
    <col min="8199" max="8199" width="13.5703125" style="148" customWidth="1"/>
    <col min="8200" max="8200" width="10" style="148" bestFit="1" customWidth="1"/>
    <col min="8201" max="8201" width="8.140625" style="148" bestFit="1" customWidth="1"/>
    <col min="8202" max="8202" width="8" style="148"/>
    <col min="8203" max="8203" width="8.85546875" style="148" bestFit="1" customWidth="1"/>
    <col min="8204" max="8438" width="8" style="148"/>
    <col min="8439" max="8440" width="3.42578125" style="148" customWidth="1"/>
    <col min="8441" max="8441" width="35.5703125" style="148" customWidth="1"/>
    <col min="8442" max="8442" width="14.5703125" style="148" customWidth="1"/>
    <col min="8443" max="8443" width="1.140625" style="148" customWidth="1"/>
    <col min="8444" max="8444" width="15.140625" style="148" bestFit="1" customWidth="1"/>
    <col min="8445" max="8445" width="1.140625" style="148" customWidth="1"/>
    <col min="8446" max="8446" width="14.5703125" style="148" customWidth="1"/>
    <col min="8447" max="8447" width="1.140625" style="148" customWidth="1"/>
    <col min="8448" max="8448" width="14.5703125" style="148" customWidth="1"/>
    <col min="8449" max="8449" width="1.140625" style="148" customWidth="1"/>
    <col min="8450" max="8450" width="12.42578125" style="148" customWidth="1"/>
    <col min="8451" max="8451" width="1.140625" style="148" customWidth="1"/>
    <col min="8452" max="8452" width="12.85546875" style="148" customWidth="1"/>
    <col min="8453" max="8453" width="13.5703125" style="148" customWidth="1"/>
    <col min="8454" max="8454" width="0.85546875" style="148" customWidth="1"/>
    <col min="8455" max="8455" width="13.5703125" style="148" customWidth="1"/>
    <col min="8456" max="8456" width="10" style="148" bestFit="1" customWidth="1"/>
    <col min="8457" max="8457" width="8.140625" style="148" bestFit="1" customWidth="1"/>
    <col min="8458" max="8458" width="8" style="148"/>
    <col min="8459" max="8459" width="8.85546875" style="148" bestFit="1" customWidth="1"/>
    <col min="8460" max="8694" width="8" style="148"/>
    <col min="8695" max="8696" width="3.42578125" style="148" customWidth="1"/>
    <col min="8697" max="8697" width="35.5703125" style="148" customWidth="1"/>
    <col min="8698" max="8698" width="14.5703125" style="148" customWidth="1"/>
    <col min="8699" max="8699" width="1.140625" style="148" customWidth="1"/>
    <col min="8700" max="8700" width="15.140625" style="148" bestFit="1" customWidth="1"/>
    <col min="8701" max="8701" width="1.140625" style="148" customWidth="1"/>
    <col min="8702" max="8702" width="14.5703125" style="148" customWidth="1"/>
    <col min="8703" max="8703" width="1.140625" style="148" customWidth="1"/>
    <col min="8704" max="8704" width="14.5703125" style="148" customWidth="1"/>
    <col min="8705" max="8705" width="1.140625" style="148" customWidth="1"/>
    <col min="8706" max="8706" width="12.42578125" style="148" customWidth="1"/>
    <col min="8707" max="8707" width="1.140625" style="148" customWidth="1"/>
    <col min="8708" max="8708" width="12.85546875" style="148" customWidth="1"/>
    <col min="8709" max="8709" width="13.5703125" style="148" customWidth="1"/>
    <col min="8710" max="8710" width="0.85546875" style="148" customWidth="1"/>
    <col min="8711" max="8711" width="13.5703125" style="148" customWidth="1"/>
    <col min="8712" max="8712" width="10" style="148" bestFit="1" customWidth="1"/>
    <col min="8713" max="8713" width="8.140625" style="148" bestFit="1" customWidth="1"/>
    <col min="8714" max="8714" width="8" style="148"/>
    <col min="8715" max="8715" width="8.85546875" style="148" bestFit="1" customWidth="1"/>
    <col min="8716" max="8950" width="8" style="148"/>
    <col min="8951" max="8952" width="3.42578125" style="148" customWidth="1"/>
    <col min="8953" max="8953" width="35.5703125" style="148" customWidth="1"/>
    <col min="8954" max="8954" width="14.5703125" style="148" customWidth="1"/>
    <col min="8955" max="8955" width="1.140625" style="148" customWidth="1"/>
    <col min="8956" max="8956" width="15.140625" style="148" bestFit="1" customWidth="1"/>
    <col min="8957" max="8957" width="1.140625" style="148" customWidth="1"/>
    <col min="8958" max="8958" width="14.5703125" style="148" customWidth="1"/>
    <col min="8959" max="8959" width="1.140625" style="148" customWidth="1"/>
    <col min="8960" max="8960" width="14.5703125" style="148" customWidth="1"/>
    <col min="8961" max="8961" width="1.140625" style="148" customWidth="1"/>
    <col min="8962" max="8962" width="12.42578125" style="148" customWidth="1"/>
    <col min="8963" max="8963" width="1.140625" style="148" customWidth="1"/>
    <col min="8964" max="8964" width="12.85546875" style="148" customWidth="1"/>
    <col min="8965" max="8965" width="13.5703125" style="148" customWidth="1"/>
    <col min="8966" max="8966" width="0.85546875" style="148" customWidth="1"/>
    <col min="8967" max="8967" width="13.5703125" style="148" customWidth="1"/>
    <col min="8968" max="8968" width="10" style="148" bestFit="1" customWidth="1"/>
    <col min="8969" max="8969" width="8.140625" style="148" bestFit="1" customWidth="1"/>
    <col min="8970" max="8970" width="8" style="148"/>
    <col min="8971" max="8971" width="8.85546875" style="148" bestFit="1" customWidth="1"/>
    <col min="8972" max="9206" width="8" style="148"/>
    <col min="9207" max="9208" width="3.42578125" style="148" customWidth="1"/>
    <col min="9209" max="9209" width="35.5703125" style="148" customWidth="1"/>
    <col min="9210" max="9210" width="14.5703125" style="148" customWidth="1"/>
    <col min="9211" max="9211" width="1.140625" style="148" customWidth="1"/>
    <col min="9212" max="9212" width="15.140625" style="148" bestFit="1" customWidth="1"/>
    <col min="9213" max="9213" width="1.140625" style="148" customWidth="1"/>
    <col min="9214" max="9214" width="14.5703125" style="148" customWidth="1"/>
    <col min="9215" max="9215" width="1.140625" style="148" customWidth="1"/>
    <col min="9216" max="9216" width="14.5703125" style="148" customWidth="1"/>
    <col min="9217" max="9217" width="1.140625" style="148" customWidth="1"/>
    <col min="9218" max="9218" width="12.42578125" style="148" customWidth="1"/>
    <col min="9219" max="9219" width="1.140625" style="148" customWidth="1"/>
    <col min="9220" max="9220" width="12.85546875" style="148" customWidth="1"/>
    <col min="9221" max="9221" width="13.5703125" style="148" customWidth="1"/>
    <col min="9222" max="9222" width="0.85546875" style="148" customWidth="1"/>
    <col min="9223" max="9223" width="13.5703125" style="148" customWidth="1"/>
    <col min="9224" max="9224" width="10" style="148" bestFit="1" customWidth="1"/>
    <col min="9225" max="9225" width="8.140625" style="148" bestFit="1" customWidth="1"/>
    <col min="9226" max="9226" width="8" style="148"/>
    <col min="9227" max="9227" width="8.85546875" style="148" bestFit="1" customWidth="1"/>
    <col min="9228" max="9462" width="8" style="148"/>
    <col min="9463" max="9464" width="3.42578125" style="148" customWidth="1"/>
    <col min="9465" max="9465" width="35.5703125" style="148" customWidth="1"/>
    <col min="9466" max="9466" width="14.5703125" style="148" customWidth="1"/>
    <col min="9467" max="9467" width="1.140625" style="148" customWidth="1"/>
    <col min="9468" max="9468" width="15.140625" style="148" bestFit="1" customWidth="1"/>
    <col min="9469" max="9469" width="1.140625" style="148" customWidth="1"/>
    <col min="9470" max="9470" width="14.5703125" style="148" customWidth="1"/>
    <col min="9471" max="9471" width="1.140625" style="148" customWidth="1"/>
    <col min="9472" max="9472" width="14.5703125" style="148" customWidth="1"/>
    <col min="9473" max="9473" width="1.140625" style="148" customWidth="1"/>
    <col min="9474" max="9474" width="12.42578125" style="148" customWidth="1"/>
    <col min="9475" max="9475" width="1.140625" style="148" customWidth="1"/>
    <col min="9476" max="9476" width="12.85546875" style="148" customWidth="1"/>
    <col min="9477" max="9477" width="13.5703125" style="148" customWidth="1"/>
    <col min="9478" max="9478" width="0.85546875" style="148" customWidth="1"/>
    <col min="9479" max="9479" width="13.5703125" style="148" customWidth="1"/>
    <col min="9480" max="9480" width="10" style="148" bestFit="1" customWidth="1"/>
    <col min="9481" max="9481" width="8.140625" style="148" bestFit="1" customWidth="1"/>
    <col min="9482" max="9482" width="8" style="148"/>
    <col min="9483" max="9483" width="8.85546875" style="148" bestFit="1" customWidth="1"/>
    <col min="9484" max="9718" width="8" style="148"/>
    <col min="9719" max="9720" width="3.42578125" style="148" customWidth="1"/>
    <col min="9721" max="9721" width="35.5703125" style="148" customWidth="1"/>
    <col min="9722" max="9722" width="14.5703125" style="148" customWidth="1"/>
    <col min="9723" max="9723" width="1.140625" style="148" customWidth="1"/>
    <col min="9724" max="9724" width="15.140625" style="148" bestFit="1" customWidth="1"/>
    <col min="9725" max="9725" width="1.140625" style="148" customWidth="1"/>
    <col min="9726" max="9726" width="14.5703125" style="148" customWidth="1"/>
    <col min="9727" max="9727" width="1.140625" style="148" customWidth="1"/>
    <col min="9728" max="9728" width="14.5703125" style="148" customWidth="1"/>
    <col min="9729" max="9729" width="1.140625" style="148" customWidth="1"/>
    <col min="9730" max="9730" width="12.42578125" style="148" customWidth="1"/>
    <col min="9731" max="9731" width="1.140625" style="148" customWidth="1"/>
    <col min="9732" max="9732" width="12.85546875" style="148" customWidth="1"/>
    <col min="9733" max="9733" width="13.5703125" style="148" customWidth="1"/>
    <col min="9734" max="9734" width="0.85546875" style="148" customWidth="1"/>
    <col min="9735" max="9735" width="13.5703125" style="148" customWidth="1"/>
    <col min="9736" max="9736" width="10" style="148" bestFit="1" customWidth="1"/>
    <col min="9737" max="9737" width="8.140625" style="148" bestFit="1" customWidth="1"/>
    <col min="9738" max="9738" width="8" style="148"/>
    <col min="9739" max="9739" width="8.85546875" style="148" bestFit="1" customWidth="1"/>
    <col min="9740" max="9974" width="8" style="148"/>
    <col min="9975" max="9976" width="3.42578125" style="148" customWidth="1"/>
    <col min="9977" max="9977" width="35.5703125" style="148" customWidth="1"/>
    <col min="9978" max="9978" width="14.5703125" style="148" customWidth="1"/>
    <col min="9979" max="9979" width="1.140625" style="148" customWidth="1"/>
    <col min="9980" max="9980" width="15.140625" style="148" bestFit="1" customWidth="1"/>
    <col min="9981" max="9981" width="1.140625" style="148" customWidth="1"/>
    <col min="9982" max="9982" width="14.5703125" style="148" customWidth="1"/>
    <col min="9983" max="9983" width="1.140625" style="148" customWidth="1"/>
    <col min="9984" max="9984" width="14.5703125" style="148" customWidth="1"/>
    <col min="9985" max="9985" width="1.140625" style="148" customWidth="1"/>
    <col min="9986" max="9986" width="12.42578125" style="148" customWidth="1"/>
    <col min="9987" max="9987" width="1.140625" style="148" customWidth="1"/>
    <col min="9988" max="9988" width="12.85546875" style="148" customWidth="1"/>
    <col min="9989" max="9989" width="13.5703125" style="148" customWidth="1"/>
    <col min="9990" max="9990" width="0.85546875" style="148" customWidth="1"/>
    <col min="9991" max="9991" width="13.5703125" style="148" customWidth="1"/>
    <col min="9992" max="9992" width="10" style="148" bestFit="1" customWidth="1"/>
    <col min="9993" max="9993" width="8.140625" style="148" bestFit="1" customWidth="1"/>
    <col min="9994" max="9994" width="8" style="148"/>
    <col min="9995" max="9995" width="8.85546875" style="148" bestFit="1" customWidth="1"/>
    <col min="9996" max="10230" width="8" style="148"/>
    <col min="10231" max="10232" width="3.42578125" style="148" customWidth="1"/>
    <col min="10233" max="10233" width="35.5703125" style="148" customWidth="1"/>
    <col min="10234" max="10234" width="14.5703125" style="148" customWidth="1"/>
    <col min="10235" max="10235" width="1.140625" style="148" customWidth="1"/>
    <col min="10236" max="10236" width="15.140625" style="148" bestFit="1" customWidth="1"/>
    <col min="10237" max="10237" width="1.140625" style="148" customWidth="1"/>
    <col min="10238" max="10238" width="14.5703125" style="148" customWidth="1"/>
    <col min="10239" max="10239" width="1.140625" style="148" customWidth="1"/>
    <col min="10240" max="10240" width="14.5703125" style="148" customWidth="1"/>
    <col min="10241" max="10241" width="1.140625" style="148" customWidth="1"/>
    <col min="10242" max="10242" width="12.42578125" style="148" customWidth="1"/>
    <col min="10243" max="10243" width="1.140625" style="148" customWidth="1"/>
    <col min="10244" max="10244" width="12.85546875" style="148" customWidth="1"/>
    <col min="10245" max="10245" width="13.5703125" style="148" customWidth="1"/>
    <col min="10246" max="10246" width="0.85546875" style="148" customWidth="1"/>
    <col min="10247" max="10247" width="13.5703125" style="148" customWidth="1"/>
    <col min="10248" max="10248" width="10" style="148" bestFit="1" customWidth="1"/>
    <col min="10249" max="10249" width="8.140625" style="148" bestFit="1" customWidth="1"/>
    <col min="10250" max="10250" width="8" style="148"/>
    <col min="10251" max="10251" width="8.85546875" style="148" bestFit="1" customWidth="1"/>
    <col min="10252" max="10486" width="8" style="148"/>
    <col min="10487" max="10488" width="3.42578125" style="148" customWidth="1"/>
    <col min="10489" max="10489" width="35.5703125" style="148" customWidth="1"/>
    <col min="10490" max="10490" width="14.5703125" style="148" customWidth="1"/>
    <col min="10491" max="10491" width="1.140625" style="148" customWidth="1"/>
    <col min="10492" max="10492" width="15.140625" style="148" bestFit="1" customWidth="1"/>
    <col min="10493" max="10493" width="1.140625" style="148" customWidth="1"/>
    <col min="10494" max="10494" width="14.5703125" style="148" customWidth="1"/>
    <col min="10495" max="10495" width="1.140625" style="148" customWidth="1"/>
    <col min="10496" max="10496" width="14.5703125" style="148" customWidth="1"/>
    <col min="10497" max="10497" width="1.140625" style="148" customWidth="1"/>
    <col min="10498" max="10498" width="12.42578125" style="148" customWidth="1"/>
    <col min="10499" max="10499" width="1.140625" style="148" customWidth="1"/>
    <col min="10500" max="10500" width="12.85546875" style="148" customWidth="1"/>
    <col min="10501" max="10501" width="13.5703125" style="148" customWidth="1"/>
    <col min="10502" max="10502" width="0.85546875" style="148" customWidth="1"/>
    <col min="10503" max="10503" width="13.5703125" style="148" customWidth="1"/>
    <col min="10504" max="10504" width="10" style="148" bestFit="1" customWidth="1"/>
    <col min="10505" max="10505" width="8.140625" style="148" bestFit="1" customWidth="1"/>
    <col min="10506" max="10506" width="8" style="148"/>
    <col min="10507" max="10507" width="8.85546875" style="148" bestFit="1" customWidth="1"/>
    <col min="10508" max="10742" width="8" style="148"/>
    <col min="10743" max="10744" width="3.42578125" style="148" customWidth="1"/>
    <col min="10745" max="10745" width="35.5703125" style="148" customWidth="1"/>
    <col min="10746" max="10746" width="14.5703125" style="148" customWidth="1"/>
    <col min="10747" max="10747" width="1.140625" style="148" customWidth="1"/>
    <col min="10748" max="10748" width="15.140625" style="148" bestFit="1" customWidth="1"/>
    <col min="10749" max="10749" width="1.140625" style="148" customWidth="1"/>
    <col min="10750" max="10750" width="14.5703125" style="148" customWidth="1"/>
    <col min="10751" max="10751" width="1.140625" style="148" customWidth="1"/>
    <col min="10752" max="10752" width="14.5703125" style="148" customWidth="1"/>
    <col min="10753" max="10753" width="1.140625" style="148" customWidth="1"/>
    <col min="10754" max="10754" width="12.42578125" style="148" customWidth="1"/>
    <col min="10755" max="10755" width="1.140625" style="148" customWidth="1"/>
    <col min="10756" max="10756" width="12.85546875" style="148" customWidth="1"/>
    <col min="10757" max="10757" width="13.5703125" style="148" customWidth="1"/>
    <col min="10758" max="10758" width="0.85546875" style="148" customWidth="1"/>
    <col min="10759" max="10759" width="13.5703125" style="148" customWidth="1"/>
    <col min="10760" max="10760" width="10" style="148" bestFit="1" customWidth="1"/>
    <col min="10761" max="10761" width="8.140625" style="148" bestFit="1" customWidth="1"/>
    <col min="10762" max="10762" width="8" style="148"/>
    <col min="10763" max="10763" width="8.85546875" style="148" bestFit="1" customWidth="1"/>
    <col min="10764" max="10998" width="8" style="148"/>
    <col min="10999" max="11000" width="3.42578125" style="148" customWidth="1"/>
    <col min="11001" max="11001" width="35.5703125" style="148" customWidth="1"/>
    <col min="11002" max="11002" width="14.5703125" style="148" customWidth="1"/>
    <col min="11003" max="11003" width="1.140625" style="148" customWidth="1"/>
    <col min="11004" max="11004" width="15.140625" style="148" bestFit="1" customWidth="1"/>
    <col min="11005" max="11005" width="1.140625" style="148" customWidth="1"/>
    <col min="11006" max="11006" width="14.5703125" style="148" customWidth="1"/>
    <col min="11007" max="11007" width="1.140625" style="148" customWidth="1"/>
    <col min="11008" max="11008" width="14.5703125" style="148" customWidth="1"/>
    <col min="11009" max="11009" width="1.140625" style="148" customWidth="1"/>
    <col min="11010" max="11010" width="12.42578125" style="148" customWidth="1"/>
    <col min="11011" max="11011" width="1.140625" style="148" customWidth="1"/>
    <col min="11012" max="11012" width="12.85546875" style="148" customWidth="1"/>
    <col min="11013" max="11013" width="13.5703125" style="148" customWidth="1"/>
    <col min="11014" max="11014" width="0.85546875" style="148" customWidth="1"/>
    <col min="11015" max="11015" width="13.5703125" style="148" customWidth="1"/>
    <col min="11016" max="11016" width="10" style="148" bestFit="1" customWidth="1"/>
    <col min="11017" max="11017" width="8.140625" style="148" bestFit="1" customWidth="1"/>
    <col min="11018" max="11018" width="8" style="148"/>
    <col min="11019" max="11019" width="8.85546875" style="148" bestFit="1" customWidth="1"/>
    <col min="11020" max="11254" width="8" style="148"/>
    <col min="11255" max="11256" width="3.42578125" style="148" customWidth="1"/>
    <col min="11257" max="11257" width="35.5703125" style="148" customWidth="1"/>
    <col min="11258" max="11258" width="14.5703125" style="148" customWidth="1"/>
    <col min="11259" max="11259" width="1.140625" style="148" customWidth="1"/>
    <col min="11260" max="11260" width="15.140625" style="148" bestFit="1" customWidth="1"/>
    <col min="11261" max="11261" width="1.140625" style="148" customWidth="1"/>
    <col min="11262" max="11262" width="14.5703125" style="148" customWidth="1"/>
    <col min="11263" max="11263" width="1.140625" style="148" customWidth="1"/>
    <col min="11264" max="11264" width="14.5703125" style="148" customWidth="1"/>
    <col min="11265" max="11265" width="1.140625" style="148" customWidth="1"/>
    <col min="11266" max="11266" width="12.42578125" style="148" customWidth="1"/>
    <col min="11267" max="11267" width="1.140625" style="148" customWidth="1"/>
    <col min="11268" max="11268" width="12.85546875" style="148" customWidth="1"/>
    <col min="11269" max="11269" width="13.5703125" style="148" customWidth="1"/>
    <col min="11270" max="11270" width="0.85546875" style="148" customWidth="1"/>
    <col min="11271" max="11271" width="13.5703125" style="148" customWidth="1"/>
    <col min="11272" max="11272" width="10" style="148" bestFit="1" customWidth="1"/>
    <col min="11273" max="11273" width="8.140625" style="148" bestFit="1" customWidth="1"/>
    <col min="11274" max="11274" width="8" style="148"/>
    <col min="11275" max="11275" width="8.85546875" style="148" bestFit="1" customWidth="1"/>
    <col min="11276" max="11510" width="8" style="148"/>
    <col min="11511" max="11512" width="3.42578125" style="148" customWidth="1"/>
    <col min="11513" max="11513" width="35.5703125" style="148" customWidth="1"/>
    <col min="11514" max="11514" width="14.5703125" style="148" customWidth="1"/>
    <col min="11515" max="11515" width="1.140625" style="148" customWidth="1"/>
    <col min="11516" max="11516" width="15.140625" style="148" bestFit="1" customWidth="1"/>
    <col min="11517" max="11517" width="1.140625" style="148" customWidth="1"/>
    <col min="11518" max="11518" width="14.5703125" style="148" customWidth="1"/>
    <col min="11519" max="11519" width="1.140625" style="148" customWidth="1"/>
    <col min="11520" max="11520" width="14.5703125" style="148" customWidth="1"/>
    <col min="11521" max="11521" width="1.140625" style="148" customWidth="1"/>
    <col min="11522" max="11522" width="12.42578125" style="148" customWidth="1"/>
    <col min="11523" max="11523" width="1.140625" style="148" customWidth="1"/>
    <col min="11524" max="11524" width="12.85546875" style="148" customWidth="1"/>
    <col min="11525" max="11525" width="13.5703125" style="148" customWidth="1"/>
    <col min="11526" max="11526" width="0.85546875" style="148" customWidth="1"/>
    <col min="11527" max="11527" width="13.5703125" style="148" customWidth="1"/>
    <col min="11528" max="11528" width="10" style="148" bestFit="1" customWidth="1"/>
    <col min="11529" max="11529" width="8.140625" style="148" bestFit="1" customWidth="1"/>
    <col min="11530" max="11530" width="8" style="148"/>
    <col min="11531" max="11531" width="8.85546875" style="148" bestFit="1" customWidth="1"/>
    <col min="11532" max="11766" width="8" style="148"/>
    <col min="11767" max="11768" width="3.42578125" style="148" customWidth="1"/>
    <col min="11769" max="11769" width="35.5703125" style="148" customWidth="1"/>
    <col min="11770" max="11770" width="14.5703125" style="148" customWidth="1"/>
    <col min="11771" max="11771" width="1.140625" style="148" customWidth="1"/>
    <col min="11772" max="11772" width="15.140625" style="148" bestFit="1" customWidth="1"/>
    <col min="11773" max="11773" width="1.140625" style="148" customWidth="1"/>
    <col min="11774" max="11774" width="14.5703125" style="148" customWidth="1"/>
    <col min="11775" max="11775" width="1.140625" style="148" customWidth="1"/>
    <col min="11776" max="11776" width="14.5703125" style="148" customWidth="1"/>
    <col min="11777" max="11777" width="1.140625" style="148" customWidth="1"/>
    <col min="11778" max="11778" width="12.42578125" style="148" customWidth="1"/>
    <col min="11779" max="11779" width="1.140625" style="148" customWidth="1"/>
    <col min="11780" max="11780" width="12.85546875" style="148" customWidth="1"/>
    <col min="11781" max="11781" width="13.5703125" style="148" customWidth="1"/>
    <col min="11782" max="11782" width="0.85546875" style="148" customWidth="1"/>
    <col min="11783" max="11783" width="13.5703125" style="148" customWidth="1"/>
    <col min="11784" max="11784" width="10" style="148" bestFit="1" customWidth="1"/>
    <col min="11785" max="11785" width="8.140625" style="148" bestFit="1" customWidth="1"/>
    <col min="11786" max="11786" width="8" style="148"/>
    <col min="11787" max="11787" width="8.85546875" style="148" bestFit="1" customWidth="1"/>
    <col min="11788" max="12022" width="8" style="148"/>
    <col min="12023" max="12024" width="3.42578125" style="148" customWidth="1"/>
    <col min="12025" max="12025" width="35.5703125" style="148" customWidth="1"/>
    <col min="12026" max="12026" width="14.5703125" style="148" customWidth="1"/>
    <col min="12027" max="12027" width="1.140625" style="148" customWidth="1"/>
    <col min="12028" max="12028" width="15.140625" style="148" bestFit="1" customWidth="1"/>
    <col min="12029" max="12029" width="1.140625" style="148" customWidth="1"/>
    <col min="12030" max="12030" width="14.5703125" style="148" customWidth="1"/>
    <col min="12031" max="12031" width="1.140625" style="148" customWidth="1"/>
    <col min="12032" max="12032" width="14.5703125" style="148" customWidth="1"/>
    <col min="12033" max="12033" width="1.140625" style="148" customWidth="1"/>
    <col min="12034" max="12034" width="12.42578125" style="148" customWidth="1"/>
    <col min="12035" max="12035" width="1.140625" style="148" customWidth="1"/>
    <col min="12036" max="12036" width="12.85546875" style="148" customWidth="1"/>
    <col min="12037" max="12037" width="13.5703125" style="148" customWidth="1"/>
    <col min="12038" max="12038" width="0.85546875" style="148" customWidth="1"/>
    <col min="12039" max="12039" width="13.5703125" style="148" customWidth="1"/>
    <col min="12040" max="12040" width="10" style="148" bestFit="1" customWidth="1"/>
    <col min="12041" max="12041" width="8.140625" style="148" bestFit="1" customWidth="1"/>
    <col min="12042" max="12042" width="8" style="148"/>
    <col min="12043" max="12043" width="8.85546875" style="148" bestFit="1" customWidth="1"/>
    <col min="12044" max="12278" width="8" style="148"/>
    <col min="12279" max="12280" width="3.42578125" style="148" customWidth="1"/>
    <col min="12281" max="12281" width="35.5703125" style="148" customWidth="1"/>
    <col min="12282" max="12282" width="14.5703125" style="148" customWidth="1"/>
    <col min="12283" max="12283" width="1.140625" style="148" customWidth="1"/>
    <col min="12284" max="12284" width="15.140625" style="148" bestFit="1" customWidth="1"/>
    <col min="12285" max="12285" width="1.140625" style="148" customWidth="1"/>
    <col min="12286" max="12286" width="14.5703125" style="148" customWidth="1"/>
    <col min="12287" max="12287" width="1.140625" style="148" customWidth="1"/>
    <col min="12288" max="12288" width="14.5703125" style="148" customWidth="1"/>
    <col min="12289" max="12289" width="1.140625" style="148" customWidth="1"/>
    <col min="12290" max="12290" width="12.42578125" style="148" customWidth="1"/>
    <col min="12291" max="12291" width="1.140625" style="148" customWidth="1"/>
    <col min="12292" max="12292" width="12.85546875" style="148" customWidth="1"/>
    <col min="12293" max="12293" width="13.5703125" style="148" customWidth="1"/>
    <col min="12294" max="12294" width="0.85546875" style="148" customWidth="1"/>
    <col min="12295" max="12295" width="13.5703125" style="148" customWidth="1"/>
    <col min="12296" max="12296" width="10" style="148" bestFit="1" customWidth="1"/>
    <col min="12297" max="12297" width="8.140625" style="148" bestFit="1" customWidth="1"/>
    <col min="12298" max="12298" width="8" style="148"/>
    <col min="12299" max="12299" width="8.85546875" style="148" bestFit="1" customWidth="1"/>
    <col min="12300" max="12534" width="8" style="148"/>
    <col min="12535" max="12536" width="3.42578125" style="148" customWidth="1"/>
    <col min="12537" max="12537" width="35.5703125" style="148" customWidth="1"/>
    <col min="12538" max="12538" width="14.5703125" style="148" customWidth="1"/>
    <col min="12539" max="12539" width="1.140625" style="148" customWidth="1"/>
    <col min="12540" max="12540" width="15.140625" style="148" bestFit="1" customWidth="1"/>
    <col min="12541" max="12541" width="1.140625" style="148" customWidth="1"/>
    <col min="12542" max="12542" width="14.5703125" style="148" customWidth="1"/>
    <col min="12543" max="12543" width="1.140625" style="148" customWidth="1"/>
    <col min="12544" max="12544" width="14.5703125" style="148" customWidth="1"/>
    <col min="12545" max="12545" width="1.140625" style="148" customWidth="1"/>
    <col min="12546" max="12546" width="12.42578125" style="148" customWidth="1"/>
    <col min="12547" max="12547" width="1.140625" style="148" customWidth="1"/>
    <col min="12548" max="12548" width="12.85546875" style="148" customWidth="1"/>
    <col min="12549" max="12549" width="13.5703125" style="148" customWidth="1"/>
    <col min="12550" max="12550" width="0.85546875" style="148" customWidth="1"/>
    <col min="12551" max="12551" width="13.5703125" style="148" customWidth="1"/>
    <col min="12552" max="12552" width="10" style="148" bestFit="1" customWidth="1"/>
    <col min="12553" max="12553" width="8.140625" style="148" bestFit="1" customWidth="1"/>
    <col min="12554" max="12554" width="8" style="148"/>
    <col min="12555" max="12555" width="8.85546875" style="148" bestFit="1" customWidth="1"/>
    <col min="12556" max="12790" width="8" style="148"/>
    <col min="12791" max="12792" width="3.42578125" style="148" customWidth="1"/>
    <col min="12793" max="12793" width="35.5703125" style="148" customWidth="1"/>
    <col min="12794" max="12794" width="14.5703125" style="148" customWidth="1"/>
    <col min="12795" max="12795" width="1.140625" style="148" customWidth="1"/>
    <col min="12796" max="12796" width="15.140625" style="148" bestFit="1" customWidth="1"/>
    <col min="12797" max="12797" width="1.140625" style="148" customWidth="1"/>
    <col min="12798" max="12798" width="14.5703125" style="148" customWidth="1"/>
    <col min="12799" max="12799" width="1.140625" style="148" customWidth="1"/>
    <col min="12800" max="12800" width="14.5703125" style="148" customWidth="1"/>
    <col min="12801" max="12801" width="1.140625" style="148" customWidth="1"/>
    <col min="12802" max="12802" width="12.42578125" style="148" customWidth="1"/>
    <col min="12803" max="12803" width="1.140625" style="148" customWidth="1"/>
    <col min="12804" max="12804" width="12.85546875" style="148" customWidth="1"/>
    <col min="12805" max="12805" width="13.5703125" style="148" customWidth="1"/>
    <col min="12806" max="12806" width="0.85546875" style="148" customWidth="1"/>
    <col min="12807" max="12807" width="13.5703125" style="148" customWidth="1"/>
    <col min="12808" max="12808" width="10" style="148" bestFit="1" customWidth="1"/>
    <col min="12809" max="12809" width="8.140625" style="148" bestFit="1" customWidth="1"/>
    <col min="12810" max="12810" width="8" style="148"/>
    <col min="12811" max="12811" width="8.85546875" style="148" bestFit="1" customWidth="1"/>
    <col min="12812" max="13046" width="8" style="148"/>
    <col min="13047" max="13048" width="3.42578125" style="148" customWidth="1"/>
    <col min="13049" max="13049" width="35.5703125" style="148" customWidth="1"/>
    <col min="13050" max="13050" width="14.5703125" style="148" customWidth="1"/>
    <col min="13051" max="13051" width="1.140625" style="148" customWidth="1"/>
    <col min="13052" max="13052" width="15.140625" style="148" bestFit="1" customWidth="1"/>
    <col min="13053" max="13053" width="1.140625" style="148" customWidth="1"/>
    <col min="13054" max="13054" width="14.5703125" style="148" customWidth="1"/>
    <col min="13055" max="13055" width="1.140625" style="148" customWidth="1"/>
    <col min="13056" max="13056" width="14.5703125" style="148" customWidth="1"/>
    <col min="13057" max="13057" width="1.140625" style="148" customWidth="1"/>
    <col min="13058" max="13058" width="12.42578125" style="148" customWidth="1"/>
    <col min="13059" max="13059" width="1.140625" style="148" customWidth="1"/>
    <col min="13060" max="13060" width="12.85546875" style="148" customWidth="1"/>
    <col min="13061" max="13061" width="13.5703125" style="148" customWidth="1"/>
    <col min="13062" max="13062" width="0.85546875" style="148" customWidth="1"/>
    <col min="13063" max="13063" width="13.5703125" style="148" customWidth="1"/>
    <col min="13064" max="13064" width="10" style="148" bestFit="1" customWidth="1"/>
    <col min="13065" max="13065" width="8.140625" style="148" bestFit="1" customWidth="1"/>
    <col min="13066" max="13066" width="8" style="148"/>
    <col min="13067" max="13067" width="8.85546875" style="148" bestFit="1" customWidth="1"/>
    <col min="13068" max="13302" width="8" style="148"/>
    <col min="13303" max="13304" width="3.42578125" style="148" customWidth="1"/>
    <col min="13305" max="13305" width="35.5703125" style="148" customWidth="1"/>
    <col min="13306" max="13306" width="14.5703125" style="148" customWidth="1"/>
    <col min="13307" max="13307" width="1.140625" style="148" customWidth="1"/>
    <col min="13308" max="13308" width="15.140625" style="148" bestFit="1" customWidth="1"/>
    <col min="13309" max="13309" width="1.140625" style="148" customWidth="1"/>
    <col min="13310" max="13310" width="14.5703125" style="148" customWidth="1"/>
    <col min="13311" max="13311" width="1.140625" style="148" customWidth="1"/>
    <col min="13312" max="13312" width="14.5703125" style="148" customWidth="1"/>
    <col min="13313" max="13313" width="1.140625" style="148" customWidth="1"/>
    <col min="13314" max="13314" width="12.42578125" style="148" customWidth="1"/>
    <col min="13315" max="13315" width="1.140625" style="148" customWidth="1"/>
    <col min="13316" max="13316" width="12.85546875" style="148" customWidth="1"/>
    <col min="13317" max="13317" width="13.5703125" style="148" customWidth="1"/>
    <col min="13318" max="13318" width="0.85546875" style="148" customWidth="1"/>
    <col min="13319" max="13319" width="13.5703125" style="148" customWidth="1"/>
    <col min="13320" max="13320" width="10" style="148" bestFit="1" customWidth="1"/>
    <col min="13321" max="13321" width="8.140625" style="148" bestFit="1" customWidth="1"/>
    <col min="13322" max="13322" width="8" style="148"/>
    <col min="13323" max="13323" width="8.85546875" style="148" bestFit="1" customWidth="1"/>
    <col min="13324" max="13558" width="8" style="148"/>
    <col min="13559" max="13560" width="3.42578125" style="148" customWidth="1"/>
    <col min="13561" max="13561" width="35.5703125" style="148" customWidth="1"/>
    <col min="13562" max="13562" width="14.5703125" style="148" customWidth="1"/>
    <col min="13563" max="13563" width="1.140625" style="148" customWidth="1"/>
    <col min="13564" max="13564" width="15.140625" style="148" bestFit="1" customWidth="1"/>
    <col min="13565" max="13565" width="1.140625" style="148" customWidth="1"/>
    <col min="13566" max="13566" width="14.5703125" style="148" customWidth="1"/>
    <col min="13567" max="13567" width="1.140625" style="148" customWidth="1"/>
    <col min="13568" max="13568" width="14.5703125" style="148" customWidth="1"/>
    <col min="13569" max="13569" width="1.140625" style="148" customWidth="1"/>
    <col min="13570" max="13570" width="12.42578125" style="148" customWidth="1"/>
    <col min="13571" max="13571" width="1.140625" style="148" customWidth="1"/>
    <col min="13572" max="13572" width="12.85546875" style="148" customWidth="1"/>
    <col min="13573" max="13573" width="13.5703125" style="148" customWidth="1"/>
    <col min="13574" max="13574" width="0.85546875" style="148" customWidth="1"/>
    <col min="13575" max="13575" width="13.5703125" style="148" customWidth="1"/>
    <col min="13576" max="13576" width="10" style="148" bestFit="1" customWidth="1"/>
    <col min="13577" max="13577" width="8.140625" style="148" bestFit="1" customWidth="1"/>
    <col min="13578" max="13578" width="8" style="148"/>
    <col min="13579" max="13579" width="8.85546875" style="148" bestFit="1" customWidth="1"/>
    <col min="13580" max="13814" width="8" style="148"/>
    <col min="13815" max="13816" width="3.42578125" style="148" customWidth="1"/>
    <col min="13817" max="13817" width="35.5703125" style="148" customWidth="1"/>
    <col min="13818" max="13818" width="14.5703125" style="148" customWidth="1"/>
    <col min="13819" max="13819" width="1.140625" style="148" customWidth="1"/>
    <col min="13820" max="13820" width="15.140625" style="148" bestFit="1" customWidth="1"/>
    <col min="13821" max="13821" width="1.140625" style="148" customWidth="1"/>
    <col min="13822" max="13822" width="14.5703125" style="148" customWidth="1"/>
    <col min="13823" max="13823" width="1.140625" style="148" customWidth="1"/>
    <col min="13824" max="13824" width="14.5703125" style="148" customWidth="1"/>
    <col min="13825" max="13825" width="1.140625" style="148" customWidth="1"/>
    <col min="13826" max="13826" width="12.42578125" style="148" customWidth="1"/>
    <col min="13827" max="13827" width="1.140625" style="148" customWidth="1"/>
    <col min="13828" max="13828" width="12.85546875" style="148" customWidth="1"/>
    <col min="13829" max="13829" width="13.5703125" style="148" customWidth="1"/>
    <col min="13830" max="13830" width="0.85546875" style="148" customWidth="1"/>
    <col min="13831" max="13831" width="13.5703125" style="148" customWidth="1"/>
    <col min="13832" max="13832" width="10" style="148" bestFit="1" customWidth="1"/>
    <col min="13833" max="13833" width="8.140625" style="148" bestFit="1" customWidth="1"/>
    <col min="13834" max="13834" width="8" style="148"/>
    <col min="13835" max="13835" width="8.85546875" style="148" bestFit="1" customWidth="1"/>
    <col min="13836" max="14070" width="8" style="148"/>
    <col min="14071" max="14072" width="3.42578125" style="148" customWidth="1"/>
    <col min="14073" max="14073" width="35.5703125" style="148" customWidth="1"/>
    <col min="14074" max="14074" width="14.5703125" style="148" customWidth="1"/>
    <col min="14075" max="14075" width="1.140625" style="148" customWidth="1"/>
    <col min="14076" max="14076" width="15.140625" style="148" bestFit="1" customWidth="1"/>
    <col min="14077" max="14077" width="1.140625" style="148" customWidth="1"/>
    <col min="14078" max="14078" width="14.5703125" style="148" customWidth="1"/>
    <col min="14079" max="14079" width="1.140625" style="148" customWidth="1"/>
    <col min="14080" max="14080" width="14.5703125" style="148" customWidth="1"/>
    <col min="14081" max="14081" width="1.140625" style="148" customWidth="1"/>
    <col min="14082" max="14082" width="12.42578125" style="148" customWidth="1"/>
    <col min="14083" max="14083" width="1.140625" style="148" customWidth="1"/>
    <col min="14084" max="14084" width="12.85546875" style="148" customWidth="1"/>
    <col min="14085" max="14085" width="13.5703125" style="148" customWidth="1"/>
    <col min="14086" max="14086" width="0.85546875" style="148" customWidth="1"/>
    <col min="14087" max="14087" width="13.5703125" style="148" customWidth="1"/>
    <col min="14088" max="14088" width="10" style="148" bestFit="1" customWidth="1"/>
    <col min="14089" max="14089" width="8.140625" style="148" bestFit="1" customWidth="1"/>
    <col min="14090" max="14090" width="8" style="148"/>
    <col min="14091" max="14091" width="8.85546875" style="148" bestFit="1" customWidth="1"/>
    <col min="14092" max="14326" width="8" style="148"/>
    <col min="14327" max="14328" width="3.42578125" style="148" customWidth="1"/>
    <col min="14329" max="14329" width="35.5703125" style="148" customWidth="1"/>
    <col min="14330" max="14330" width="14.5703125" style="148" customWidth="1"/>
    <col min="14331" max="14331" width="1.140625" style="148" customWidth="1"/>
    <col min="14332" max="14332" width="15.140625" style="148" bestFit="1" customWidth="1"/>
    <col min="14333" max="14333" width="1.140625" style="148" customWidth="1"/>
    <col min="14334" max="14334" width="14.5703125" style="148" customWidth="1"/>
    <col min="14335" max="14335" width="1.140625" style="148" customWidth="1"/>
    <col min="14336" max="14336" width="14.5703125" style="148" customWidth="1"/>
    <col min="14337" max="14337" width="1.140625" style="148" customWidth="1"/>
    <col min="14338" max="14338" width="12.42578125" style="148" customWidth="1"/>
    <col min="14339" max="14339" width="1.140625" style="148" customWidth="1"/>
    <col min="14340" max="14340" width="12.85546875" style="148" customWidth="1"/>
    <col min="14341" max="14341" width="13.5703125" style="148" customWidth="1"/>
    <col min="14342" max="14342" width="0.85546875" style="148" customWidth="1"/>
    <col min="14343" max="14343" width="13.5703125" style="148" customWidth="1"/>
    <col min="14344" max="14344" width="10" style="148" bestFit="1" customWidth="1"/>
    <col min="14345" max="14345" width="8.140625" style="148" bestFit="1" customWidth="1"/>
    <col min="14346" max="14346" width="8" style="148"/>
    <col min="14347" max="14347" width="8.85546875" style="148" bestFit="1" customWidth="1"/>
    <col min="14348" max="14582" width="8" style="148"/>
    <col min="14583" max="14584" width="3.42578125" style="148" customWidth="1"/>
    <col min="14585" max="14585" width="35.5703125" style="148" customWidth="1"/>
    <col min="14586" max="14586" width="14.5703125" style="148" customWidth="1"/>
    <col min="14587" max="14587" width="1.140625" style="148" customWidth="1"/>
    <col min="14588" max="14588" width="15.140625" style="148" bestFit="1" customWidth="1"/>
    <col min="14589" max="14589" width="1.140625" style="148" customWidth="1"/>
    <col min="14590" max="14590" width="14.5703125" style="148" customWidth="1"/>
    <col min="14591" max="14591" width="1.140625" style="148" customWidth="1"/>
    <col min="14592" max="14592" width="14.5703125" style="148" customWidth="1"/>
    <col min="14593" max="14593" width="1.140625" style="148" customWidth="1"/>
    <col min="14594" max="14594" width="12.42578125" style="148" customWidth="1"/>
    <col min="14595" max="14595" width="1.140625" style="148" customWidth="1"/>
    <col min="14596" max="14596" width="12.85546875" style="148" customWidth="1"/>
    <col min="14597" max="14597" width="13.5703125" style="148" customWidth="1"/>
    <col min="14598" max="14598" width="0.85546875" style="148" customWidth="1"/>
    <col min="14599" max="14599" width="13.5703125" style="148" customWidth="1"/>
    <col min="14600" max="14600" width="10" style="148" bestFit="1" customWidth="1"/>
    <col min="14601" max="14601" width="8.140625" style="148" bestFit="1" customWidth="1"/>
    <col min="14602" max="14602" width="8" style="148"/>
    <col min="14603" max="14603" width="8.85546875" style="148" bestFit="1" customWidth="1"/>
    <col min="14604" max="14838" width="8" style="148"/>
    <col min="14839" max="14840" width="3.42578125" style="148" customWidth="1"/>
    <col min="14841" max="14841" width="35.5703125" style="148" customWidth="1"/>
    <col min="14842" max="14842" width="14.5703125" style="148" customWidth="1"/>
    <col min="14843" max="14843" width="1.140625" style="148" customWidth="1"/>
    <col min="14844" max="14844" width="15.140625" style="148" bestFit="1" customWidth="1"/>
    <col min="14845" max="14845" width="1.140625" style="148" customWidth="1"/>
    <col min="14846" max="14846" width="14.5703125" style="148" customWidth="1"/>
    <col min="14847" max="14847" width="1.140625" style="148" customWidth="1"/>
    <col min="14848" max="14848" width="14.5703125" style="148" customWidth="1"/>
    <col min="14849" max="14849" width="1.140625" style="148" customWidth="1"/>
    <col min="14850" max="14850" width="12.42578125" style="148" customWidth="1"/>
    <col min="14851" max="14851" width="1.140625" style="148" customWidth="1"/>
    <col min="14852" max="14852" width="12.85546875" style="148" customWidth="1"/>
    <col min="14853" max="14853" width="13.5703125" style="148" customWidth="1"/>
    <col min="14854" max="14854" width="0.85546875" style="148" customWidth="1"/>
    <col min="14855" max="14855" width="13.5703125" style="148" customWidth="1"/>
    <col min="14856" max="14856" width="10" style="148" bestFit="1" customWidth="1"/>
    <col min="14857" max="14857" width="8.140625" style="148" bestFit="1" customWidth="1"/>
    <col min="14858" max="14858" width="8" style="148"/>
    <col min="14859" max="14859" width="8.85546875" style="148" bestFit="1" customWidth="1"/>
    <col min="14860" max="15094" width="8" style="148"/>
    <col min="15095" max="15096" width="3.42578125" style="148" customWidth="1"/>
    <col min="15097" max="15097" width="35.5703125" style="148" customWidth="1"/>
    <col min="15098" max="15098" width="14.5703125" style="148" customWidth="1"/>
    <col min="15099" max="15099" width="1.140625" style="148" customWidth="1"/>
    <col min="15100" max="15100" width="15.140625" style="148" bestFit="1" customWidth="1"/>
    <col min="15101" max="15101" width="1.140625" style="148" customWidth="1"/>
    <col min="15102" max="15102" width="14.5703125" style="148" customWidth="1"/>
    <col min="15103" max="15103" width="1.140625" style="148" customWidth="1"/>
    <col min="15104" max="15104" width="14.5703125" style="148" customWidth="1"/>
    <col min="15105" max="15105" width="1.140625" style="148" customWidth="1"/>
    <col min="15106" max="15106" width="12.42578125" style="148" customWidth="1"/>
    <col min="15107" max="15107" width="1.140625" style="148" customWidth="1"/>
    <col min="15108" max="15108" width="12.85546875" style="148" customWidth="1"/>
    <col min="15109" max="15109" width="13.5703125" style="148" customWidth="1"/>
    <col min="15110" max="15110" width="0.85546875" style="148" customWidth="1"/>
    <col min="15111" max="15111" width="13.5703125" style="148" customWidth="1"/>
    <col min="15112" max="15112" width="10" style="148" bestFit="1" customWidth="1"/>
    <col min="15113" max="15113" width="8.140625" style="148" bestFit="1" customWidth="1"/>
    <col min="15114" max="15114" width="8" style="148"/>
    <col min="15115" max="15115" width="8.85546875" style="148" bestFit="1" customWidth="1"/>
    <col min="15116" max="15350" width="8" style="148"/>
    <col min="15351" max="15352" width="3.42578125" style="148" customWidth="1"/>
    <col min="15353" max="15353" width="35.5703125" style="148" customWidth="1"/>
    <col min="15354" max="15354" width="14.5703125" style="148" customWidth="1"/>
    <col min="15355" max="15355" width="1.140625" style="148" customWidth="1"/>
    <col min="15356" max="15356" width="15.140625" style="148" bestFit="1" customWidth="1"/>
    <col min="15357" max="15357" width="1.140625" style="148" customWidth="1"/>
    <col min="15358" max="15358" width="14.5703125" style="148" customWidth="1"/>
    <col min="15359" max="15359" width="1.140625" style="148" customWidth="1"/>
    <col min="15360" max="15360" width="14.5703125" style="148" customWidth="1"/>
    <col min="15361" max="15361" width="1.140625" style="148" customWidth="1"/>
    <col min="15362" max="15362" width="12.42578125" style="148" customWidth="1"/>
    <col min="15363" max="15363" width="1.140625" style="148" customWidth="1"/>
    <col min="15364" max="15364" width="12.85546875" style="148" customWidth="1"/>
    <col min="15365" max="15365" width="13.5703125" style="148" customWidth="1"/>
    <col min="15366" max="15366" width="0.85546875" style="148" customWidth="1"/>
    <col min="15367" max="15367" width="13.5703125" style="148" customWidth="1"/>
    <col min="15368" max="15368" width="10" style="148" bestFit="1" customWidth="1"/>
    <col min="15369" max="15369" width="8.140625" style="148" bestFit="1" customWidth="1"/>
    <col min="15370" max="15370" width="8" style="148"/>
    <col min="15371" max="15371" width="8.85546875" style="148" bestFit="1" customWidth="1"/>
    <col min="15372" max="15606" width="8" style="148"/>
    <col min="15607" max="15608" width="3.42578125" style="148" customWidth="1"/>
    <col min="15609" max="15609" width="35.5703125" style="148" customWidth="1"/>
    <col min="15610" max="15610" width="14.5703125" style="148" customWidth="1"/>
    <col min="15611" max="15611" width="1.140625" style="148" customWidth="1"/>
    <col min="15612" max="15612" width="15.140625" style="148" bestFit="1" customWidth="1"/>
    <col min="15613" max="15613" width="1.140625" style="148" customWidth="1"/>
    <col min="15614" max="15614" width="14.5703125" style="148" customWidth="1"/>
    <col min="15615" max="15615" width="1.140625" style="148" customWidth="1"/>
    <col min="15616" max="15616" width="14.5703125" style="148" customWidth="1"/>
    <col min="15617" max="15617" width="1.140625" style="148" customWidth="1"/>
    <col min="15618" max="15618" width="12.42578125" style="148" customWidth="1"/>
    <col min="15619" max="15619" width="1.140625" style="148" customWidth="1"/>
    <col min="15620" max="15620" width="12.85546875" style="148" customWidth="1"/>
    <col min="15621" max="15621" width="13.5703125" style="148" customWidth="1"/>
    <col min="15622" max="15622" width="0.85546875" style="148" customWidth="1"/>
    <col min="15623" max="15623" width="13.5703125" style="148" customWidth="1"/>
    <col min="15624" max="15624" width="10" style="148" bestFit="1" customWidth="1"/>
    <col min="15625" max="15625" width="8.140625" style="148" bestFit="1" customWidth="1"/>
    <col min="15626" max="15626" width="8" style="148"/>
    <col min="15627" max="15627" width="8.85546875" style="148" bestFit="1" customWidth="1"/>
    <col min="15628" max="15862" width="8" style="148"/>
    <col min="15863" max="15864" width="3.42578125" style="148" customWidth="1"/>
    <col min="15865" max="15865" width="35.5703125" style="148" customWidth="1"/>
    <col min="15866" max="15866" width="14.5703125" style="148" customWidth="1"/>
    <col min="15867" max="15867" width="1.140625" style="148" customWidth="1"/>
    <col min="15868" max="15868" width="15.140625" style="148" bestFit="1" customWidth="1"/>
    <col min="15869" max="15869" width="1.140625" style="148" customWidth="1"/>
    <col min="15870" max="15870" width="14.5703125" style="148" customWidth="1"/>
    <col min="15871" max="15871" width="1.140625" style="148" customWidth="1"/>
    <col min="15872" max="15872" width="14.5703125" style="148" customWidth="1"/>
    <col min="15873" max="15873" width="1.140625" style="148" customWidth="1"/>
    <col min="15874" max="15874" width="12.42578125" style="148" customWidth="1"/>
    <col min="15875" max="15875" width="1.140625" style="148" customWidth="1"/>
    <col min="15876" max="15876" width="12.85546875" style="148" customWidth="1"/>
    <col min="15877" max="15877" width="13.5703125" style="148" customWidth="1"/>
    <col min="15878" max="15878" width="0.85546875" style="148" customWidth="1"/>
    <col min="15879" max="15879" width="13.5703125" style="148" customWidth="1"/>
    <col min="15880" max="15880" width="10" style="148" bestFit="1" customWidth="1"/>
    <col min="15881" max="15881" width="8.140625" style="148" bestFit="1" customWidth="1"/>
    <col min="15882" max="15882" width="8" style="148"/>
    <col min="15883" max="15883" width="8.85546875" style="148" bestFit="1" customWidth="1"/>
    <col min="15884" max="16118" width="8" style="148"/>
    <col min="16119" max="16120" width="3.42578125" style="148" customWidth="1"/>
    <col min="16121" max="16121" width="35.5703125" style="148" customWidth="1"/>
    <col min="16122" max="16122" width="14.5703125" style="148" customWidth="1"/>
    <col min="16123" max="16123" width="1.140625" style="148" customWidth="1"/>
    <col min="16124" max="16124" width="15.140625" style="148" bestFit="1" customWidth="1"/>
    <col min="16125" max="16125" width="1.140625" style="148" customWidth="1"/>
    <col min="16126" max="16126" width="14.5703125" style="148" customWidth="1"/>
    <col min="16127" max="16127" width="1.140625" style="148" customWidth="1"/>
    <col min="16128" max="16128" width="14.5703125" style="148" customWidth="1"/>
    <col min="16129" max="16129" width="1.140625" style="148" customWidth="1"/>
    <col min="16130" max="16130" width="12.42578125" style="148" customWidth="1"/>
    <col min="16131" max="16131" width="1.140625" style="148" customWidth="1"/>
    <col min="16132" max="16132" width="12.85546875" style="148" customWidth="1"/>
    <col min="16133" max="16133" width="13.5703125" style="148" customWidth="1"/>
    <col min="16134" max="16134" width="0.85546875" style="148" customWidth="1"/>
    <col min="16135" max="16135" width="13.5703125" style="148" customWidth="1"/>
    <col min="16136" max="16136" width="10" style="148" bestFit="1" customWidth="1"/>
    <col min="16137" max="16137" width="8.140625" style="148" bestFit="1" customWidth="1"/>
    <col min="16138" max="16138" width="8" style="148"/>
    <col min="16139" max="16139" width="8.85546875" style="148" bestFit="1" customWidth="1"/>
    <col min="16140" max="16384" width="8" style="148"/>
  </cols>
  <sheetData>
    <row r="1" spans="1:17" s="78" customFormat="1" x14ac:dyDescent="0.25">
      <c r="B1" s="303" t="str">
        <f>'S 5'!B1</f>
        <v>"COMPANY NAME AS PER AOA"</v>
      </c>
      <c r="C1" s="303"/>
      <c r="D1" s="303"/>
      <c r="E1" s="303"/>
      <c r="F1" s="303"/>
      <c r="G1" s="303"/>
      <c r="H1" s="303"/>
      <c r="I1" s="303"/>
      <c r="J1" s="303"/>
      <c r="K1" s="303"/>
      <c r="L1" s="303"/>
      <c r="M1" s="303"/>
      <c r="N1" s="303"/>
      <c r="O1" s="303"/>
      <c r="P1" s="303"/>
      <c r="Q1" s="303"/>
    </row>
    <row r="2" spans="1:17" s="78" customFormat="1" x14ac:dyDescent="0.25">
      <c r="B2" s="119" t="str">
        <f>'S 5'!B2</f>
        <v>"TYPE OF COMPANY AS PER AOA"</v>
      </c>
      <c r="C2" s="119"/>
      <c r="D2" s="119"/>
      <c r="E2" s="119"/>
      <c r="F2" s="119"/>
      <c r="G2" s="119"/>
      <c r="H2" s="119"/>
      <c r="I2" s="119"/>
      <c r="J2" s="119"/>
      <c r="K2" s="119"/>
      <c r="L2" s="119"/>
      <c r="M2" s="119"/>
      <c r="N2" s="119"/>
      <c r="O2" s="119"/>
      <c r="P2" s="119"/>
      <c r="Q2" s="119"/>
    </row>
    <row r="3" spans="1:17" s="78" customFormat="1" x14ac:dyDescent="0.25">
      <c r="B3" s="75" t="str">
        <f>'S 5'!B3</f>
        <v>NOTES TO THE FINANACIAL STATEMENT FOR THE YEAR ENDED " END DATE OF CURRENT YEAR"</v>
      </c>
      <c r="C3" s="75"/>
      <c r="D3" s="75"/>
      <c r="E3" s="75"/>
      <c r="F3" s="75"/>
      <c r="G3" s="75"/>
      <c r="H3" s="75"/>
      <c r="I3" s="75"/>
      <c r="J3" s="75"/>
      <c r="K3" s="75"/>
      <c r="L3" s="75"/>
      <c r="M3" s="75"/>
      <c r="N3" s="75"/>
      <c r="O3" s="75"/>
      <c r="P3" s="75"/>
      <c r="Q3" s="75"/>
    </row>
    <row r="4" spans="1:17" s="78" customFormat="1" x14ac:dyDescent="0.25">
      <c r="B4" s="120" t="str">
        <f>'S 5'!B4</f>
        <v>(All amounts in Saudi Riyals unless otherwies stated)</v>
      </c>
      <c r="C4" s="120"/>
      <c r="D4" s="120"/>
      <c r="E4" s="120"/>
      <c r="F4" s="120"/>
      <c r="G4" s="120"/>
    </row>
    <row r="5" spans="1:17" x14ac:dyDescent="0.5">
      <c r="A5" s="144"/>
      <c r="B5" s="145"/>
      <c r="C5" s="145"/>
      <c r="D5" s="145"/>
      <c r="E5" s="145"/>
      <c r="F5" s="145"/>
      <c r="G5" s="145"/>
      <c r="H5" s="145"/>
      <c r="I5" s="145"/>
      <c r="J5" s="145"/>
      <c r="K5" s="145"/>
      <c r="L5" s="145"/>
      <c r="M5" s="146"/>
      <c r="N5" s="146"/>
      <c r="O5" s="147"/>
    </row>
    <row r="6" spans="1:17" x14ac:dyDescent="0.5">
      <c r="A6" s="147"/>
      <c r="B6" s="149" t="s">
        <v>137</v>
      </c>
      <c r="C6" s="145"/>
      <c r="D6" s="145"/>
      <c r="E6" s="150" t="str">
        <f>SOFP!E6</f>
        <v>CURRENT YEAR</v>
      </c>
      <c r="F6" s="145"/>
      <c r="G6" s="150" t="str">
        <f>SOFP!G6</f>
        <v>PREVIOUS YEAR</v>
      </c>
      <c r="H6" s="151"/>
      <c r="I6" s="151"/>
      <c r="J6" s="151"/>
      <c r="K6" s="151"/>
      <c r="L6" s="145"/>
      <c r="M6" s="152"/>
      <c r="N6" s="152"/>
      <c r="O6" s="152"/>
      <c r="P6" s="152"/>
    </row>
    <row r="7" spans="1:17" x14ac:dyDescent="0.5">
      <c r="B7" s="153"/>
      <c r="C7" s="145"/>
      <c r="D7" s="145"/>
      <c r="E7" s="154" t="s">
        <v>5</v>
      </c>
      <c r="F7" s="145"/>
      <c r="G7" s="154" t="s">
        <v>5</v>
      </c>
      <c r="H7" s="154"/>
      <c r="I7" s="154"/>
      <c r="J7" s="154"/>
      <c r="K7" s="154"/>
      <c r="L7" s="145"/>
      <c r="M7" s="152"/>
      <c r="N7" s="152"/>
      <c r="O7" s="152"/>
      <c r="P7" s="152"/>
    </row>
    <row r="8" spans="1:17" x14ac:dyDescent="0.5">
      <c r="A8" s="155"/>
      <c r="B8" s="156" t="s">
        <v>138</v>
      </c>
      <c r="C8" s="145"/>
      <c r="D8" s="145"/>
      <c r="E8" s="157">
        <f>SUM('Client TB (2)'!I68:I69)</f>
        <v>0</v>
      </c>
      <c r="F8" s="145"/>
      <c r="G8" s="157">
        <f>SUM('Client TB (2)'!D68:D69)</f>
        <v>0</v>
      </c>
      <c r="H8" s="157"/>
      <c r="I8" s="157"/>
      <c r="J8" s="157"/>
      <c r="K8" s="157"/>
      <c r="L8" s="145"/>
      <c r="M8" s="152"/>
      <c r="N8" s="152"/>
      <c r="O8" s="152"/>
      <c r="P8" s="152"/>
    </row>
    <row r="9" spans="1:17" x14ac:dyDescent="0.5">
      <c r="A9" s="155"/>
      <c r="B9" s="156" t="s">
        <v>139</v>
      </c>
      <c r="C9" s="145"/>
      <c r="D9" s="145"/>
      <c r="E9" s="157">
        <f>'Client TB (2)'!I66</f>
        <v>0</v>
      </c>
      <c r="F9" s="145"/>
      <c r="G9" s="157">
        <f>'Client TB (2)'!D66</f>
        <v>0</v>
      </c>
      <c r="H9" s="157"/>
      <c r="I9" s="157"/>
      <c r="J9" s="157"/>
      <c r="K9" s="157"/>
      <c r="L9" s="145"/>
      <c r="M9" s="152"/>
      <c r="N9" s="152"/>
      <c r="O9" s="152"/>
      <c r="P9" s="152"/>
    </row>
    <row r="10" spans="1:17" ht="21" thickBot="1" x14ac:dyDescent="0.55000000000000004">
      <c r="A10" s="155"/>
      <c r="B10" s="158" t="s">
        <v>140</v>
      </c>
      <c r="C10" s="145"/>
      <c r="D10" s="145"/>
      <c r="E10" s="159">
        <f>SUM(E8:E9)</f>
        <v>0</v>
      </c>
      <c r="F10" s="145"/>
      <c r="G10" s="160">
        <f>SUM(G8:G9)</f>
        <v>0</v>
      </c>
      <c r="H10" s="161"/>
      <c r="I10" s="161"/>
      <c r="J10" s="161"/>
      <c r="K10" s="161"/>
      <c r="L10" s="145"/>
      <c r="M10" s="152"/>
      <c r="N10" s="152"/>
      <c r="O10" s="152"/>
      <c r="P10" s="152"/>
    </row>
    <row r="11" spans="1:17" ht="21" thickTop="1" x14ac:dyDescent="0.5">
      <c r="A11" s="155"/>
      <c r="B11" s="162"/>
      <c r="C11" s="145"/>
      <c r="D11" s="145"/>
      <c r="E11" s="145"/>
      <c r="F11" s="145"/>
      <c r="G11" s="163"/>
      <c r="H11" s="163"/>
      <c r="I11" s="163"/>
      <c r="J11" s="163"/>
      <c r="K11" s="163"/>
      <c r="L11" s="145"/>
      <c r="M11" s="152"/>
      <c r="N11" s="152"/>
      <c r="O11" s="152"/>
      <c r="P11" s="152"/>
    </row>
    <row r="12" spans="1:17" x14ac:dyDescent="0.5">
      <c r="A12" s="155"/>
      <c r="B12" s="145"/>
      <c r="C12" s="145"/>
      <c r="D12" s="145"/>
      <c r="E12" s="145"/>
      <c r="F12" s="145"/>
      <c r="G12" s="145"/>
      <c r="H12" s="145"/>
      <c r="I12" s="145"/>
      <c r="J12" s="145"/>
      <c r="K12" s="145"/>
      <c r="L12" s="145"/>
      <c r="M12" s="152"/>
      <c r="N12" s="152"/>
      <c r="O12" s="152"/>
      <c r="P12" s="152"/>
    </row>
    <row r="13" spans="1:17" x14ac:dyDescent="0.5">
      <c r="A13" s="155"/>
      <c r="B13" s="149" t="s">
        <v>141</v>
      </c>
      <c r="C13" s="145"/>
      <c r="D13" s="145"/>
      <c r="E13" s="150" t="str">
        <f>E6</f>
        <v>CURRENT YEAR</v>
      </c>
      <c r="F13" s="145"/>
      <c r="G13" s="150" t="str">
        <f>G6</f>
        <v>PREVIOUS YEAR</v>
      </c>
      <c r="H13" s="151"/>
      <c r="I13" s="151"/>
      <c r="J13" s="151"/>
      <c r="K13" s="151"/>
      <c r="L13" s="145"/>
      <c r="M13" s="152"/>
      <c r="N13" s="152"/>
      <c r="O13" s="152"/>
      <c r="P13" s="152"/>
    </row>
    <row r="14" spans="1:17" x14ac:dyDescent="0.5">
      <c r="A14" s="155"/>
      <c r="B14" s="149"/>
      <c r="C14" s="145"/>
      <c r="D14" s="145"/>
      <c r="E14" s="164" t="s">
        <v>5</v>
      </c>
      <c r="F14" s="145"/>
      <c r="G14" s="164" t="s">
        <v>5</v>
      </c>
      <c r="H14" s="165"/>
      <c r="I14" s="165"/>
      <c r="J14" s="165"/>
      <c r="K14" s="165"/>
      <c r="L14" s="145"/>
      <c r="M14" s="152"/>
      <c r="N14" s="152"/>
      <c r="O14" s="152"/>
      <c r="P14" s="152"/>
    </row>
    <row r="15" spans="1:17" x14ac:dyDescent="0.5">
      <c r="A15" s="155"/>
      <c r="B15" s="86" t="s">
        <v>142</v>
      </c>
      <c r="C15" s="145"/>
      <c r="D15" s="145"/>
      <c r="E15" s="157">
        <f>'Client TB (2)'!I63</f>
        <v>0</v>
      </c>
      <c r="F15" s="145"/>
      <c r="G15" s="157">
        <f>'Client TB (2)'!D63</f>
        <v>0</v>
      </c>
      <c r="H15" s="157"/>
      <c r="I15" s="157"/>
      <c r="J15" s="157"/>
      <c r="K15" s="157"/>
      <c r="L15" s="145"/>
      <c r="M15" s="152"/>
      <c r="N15" s="152"/>
      <c r="O15" s="152"/>
      <c r="P15" s="152"/>
    </row>
    <row r="16" spans="1:17" x14ac:dyDescent="0.5">
      <c r="A16" s="155"/>
      <c r="B16" s="86" t="s">
        <v>271</v>
      </c>
      <c r="C16" s="145"/>
      <c r="D16" s="145"/>
      <c r="E16" s="157"/>
      <c r="F16" s="145"/>
      <c r="G16" s="157"/>
      <c r="H16" s="157"/>
      <c r="I16" s="157"/>
      <c r="J16" s="157"/>
      <c r="K16" s="157"/>
      <c r="L16" s="145"/>
      <c r="M16" s="152"/>
      <c r="N16" s="152"/>
      <c r="O16" s="152"/>
      <c r="P16" s="152"/>
    </row>
    <row r="17" spans="1:17" x14ac:dyDescent="0.5">
      <c r="A17" s="155"/>
      <c r="B17" s="86" t="s">
        <v>143</v>
      </c>
      <c r="C17" s="145"/>
      <c r="D17" s="145"/>
      <c r="E17" s="157">
        <f>SUM('Client TB (2)'!I70:I71)</f>
        <v>0</v>
      </c>
      <c r="F17" s="145"/>
      <c r="G17" s="157">
        <f>SUM('Client TB (2)'!D70:D71)</f>
        <v>0</v>
      </c>
      <c r="H17" s="157"/>
      <c r="I17" s="157"/>
      <c r="J17" s="157"/>
      <c r="K17" s="157"/>
      <c r="L17" s="145"/>
      <c r="M17" s="152"/>
      <c r="N17" s="152"/>
      <c r="O17" s="152"/>
      <c r="P17" s="152"/>
    </row>
    <row r="18" spans="1:17" x14ac:dyDescent="0.5">
      <c r="A18" s="155"/>
      <c r="B18" s="86" t="s">
        <v>272</v>
      </c>
      <c r="C18" s="145"/>
      <c r="D18" s="145"/>
      <c r="E18" s="157"/>
      <c r="F18" s="145"/>
      <c r="G18" s="157"/>
      <c r="H18" s="157"/>
      <c r="I18" s="157"/>
      <c r="J18" s="157"/>
      <c r="K18" s="157"/>
      <c r="L18" s="145"/>
      <c r="M18" s="152"/>
      <c r="N18" s="152"/>
      <c r="O18" s="152"/>
      <c r="P18" s="152"/>
    </row>
    <row r="19" spans="1:17" x14ac:dyDescent="0.5">
      <c r="A19" s="155"/>
      <c r="B19" s="86" t="s">
        <v>273</v>
      </c>
      <c r="C19" s="145"/>
      <c r="D19" s="145"/>
      <c r="E19" s="157"/>
      <c r="F19" s="145"/>
      <c r="G19" s="157"/>
      <c r="H19" s="157"/>
      <c r="I19" s="157"/>
      <c r="J19" s="157"/>
      <c r="K19" s="157"/>
      <c r="L19" s="145"/>
      <c r="M19" s="152"/>
      <c r="N19" s="152"/>
      <c r="O19" s="152"/>
      <c r="P19" s="152"/>
    </row>
    <row r="20" spans="1:17" x14ac:dyDescent="0.5">
      <c r="A20" s="155"/>
      <c r="B20" s="86" t="s">
        <v>144</v>
      </c>
      <c r="C20" s="145"/>
      <c r="D20" s="145"/>
      <c r="E20" s="157">
        <f>'Client TB (2)'!I72</f>
        <v>0</v>
      </c>
      <c r="F20" s="145"/>
      <c r="G20" s="157">
        <f>'Client TB (2)'!D72</f>
        <v>0</v>
      </c>
      <c r="H20" s="157"/>
      <c r="I20" s="157"/>
      <c r="J20" s="157"/>
      <c r="K20" s="157"/>
      <c r="L20" s="145"/>
      <c r="M20" s="152"/>
      <c r="N20" s="152"/>
      <c r="O20" s="152"/>
      <c r="P20" s="152"/>
    </row>
    <row r="21" spans="1:17" x14ac:dyDescent="0.5">
      <c r="A21" s="155"/>
      <c r="B21" s="86" t="s">
        <v>145</v>
      </c>
      <c r="C21" s="145"/>
      <c r="D21" s="145"/>
      <c r="E21" s="157">
        <f>'Client TB (2)'!I73</f>
        <v>0</v>
      </c>
      <c r="F21" s="145"/>
      <c r="G21" s="157">
        <f>'Client TB (2)'!D73</f>
        <v>0</v>
      </c>
      <c r="H21" s="157"/>
      <c r="I21" s="157"/>
      <c r="J21" s="157"/>
      <c r="K21" s="157"/>
      <c r="L21" s="145"/>
      <c r="M21" s="152"/>
      <c r="N21" s="152"/>
      <c r="O21" s="152"/>
      <c r="P21" s="152"/>
    </row>
    <row r="22" spans="1:17" x14ac:dyDescent="0.5">
      <c r="A22" s="155"/>
      <c r="B22" s="86" t="s">
        <v>146</v>
      </c>
      <c r="C22" s="145"/>
      <c r="D22" s="145"/>
      <c r="E22" s="157">
        <f>'Client TB (2)'!I74</f>
        <v>0</v>
      </c>
      <c r="F22" s="145"/>
      <c r="G22" s="157">
        <f>'Client TB (2)'!D74</f>
        <v>0</v>
      </c>
      <c r="H22" s="157"/>
      <c r="I22" s="157"/>
      <c r="J22" s="157"/>
      <c r="K22" s="157"/>
      <c r="L22" s="145"/>
      <c r="M22" s="152"/>
      <c r="N22" s="152"/>
      <c r="O22" s="152"/>
      <c r="P22" s="152"/>
    </row>
    <row r="23" spans="1:17" x14ac:dyDescent="0.5">
      <c r="A23" s="155"/>
      <c r="B23" s="86" t="s">
        <v>147</v>
      </c>
      <c r="C23" s="145"/>
      <c r="D23" s="145"/>
      <c r="E23" s="157">
        <f>'Client TB (2)'!I75</f>
        <v>0</v>
      </c>
      <c r="F23" s="145"/>
      <c r="G23" s="157">
        <f>'Client TB (2)'!D75</f>
        <v>0</v>
      </c>
      <c r="H23" s="157"/>
      <c r="I23" s="157"/>
      <c r="J23" s="157"/>
      <c r="K23" s="157"/>
      <c r="L23" s="145"/>
      <c r="M23" s="152"/>
      <c r="N23" s="152"/>
      <c r="O23" s="152"/>
      <c r="P23" s="152"/>
    </row>
    <row r="24" spans="1:17" ht="21" thickBot="1" x14ac:dyDescent="0.55000000000000004">
      <c r="A24" s="155"/>
      <c r="B24" s="158" t="s">
        <v>140</v>
      </c>
      <c r="C24" s="145"/>
      <c r="D24" s="145"/>
      <c r="E24" s="166">
        <f>SUM(E15:E23)</f>
        <v>0</v>
      </c>
      <c r="F24" s="145"/>
      <c r="G24" s="166">
        <f>SUM(G15:G23)</f>
        <v>0</v>
      </c>
      <c r="H24" s="167"/>
      <c r="I24" s="167"/>
      <c r="J24" s="167"/>
      <c r="K24" s="167"/>
      <c r="L24" s="145"/>
      <c r="M24" s="152"/>
      <c r="N24" s="152"/>
      <c r="O24" s="152"/>
      <c r="P24" s="152"/>
    </row>
    <row r="25" spans="1:17" ht="21" thickTop="1" x14ac:dyDescent="0.5">
      <c r="A25" s="168"/>
      <c r="B25" s="145"/>
      <c r="C25" s="145"/>
      <c r="D25" s="145"/>
      <c r="E25" s="145"/>
      <c r="F25" s="145"/>
      <c r="G25" s="145"/>
      <c r="H25" s="145"/>
      <c r="I25" s="145"/>
      <c r="J25" s="145"/>
      <c r="K25" s="145"/>
      <c r="L25" s="169"/>
      <c r="M25" s="170"/>
      <c r="N25" s="171"/>
      <c r="O25" s="170"/>
      <c r="P25" s="172"/>
      <c r="Q25" s="170"/>
    </row>
    <row r="26" spans="1:17" ht="37.5" x14ac:dyDescent="0.5">
      <c r="A26" s="168"/>
      <c r="B26" s="173" t="s">
        <v>148</v>
      </c>
      <c r="C26" s="174"/>
      <c r="D26" s="175"/>
      <c r="E26" s="150" t="s">
        <v>149</v>
      </c>
      <c r="F26" s="175"/>
      <c r="G26" s="150" t="s">
        <v>150</v>
      </c>
      <c r="H26" s="150" t="s">
        <v>151</v>
      </c>
      <c r="I26" s="150" t="s">
        <v>152</v>
      </c>
      <c r="J26" s="150" t="s">
        <v>153</v>
      </c>
      <c r="K26" s="150" t="s">
        <v>154</v>
      </c>
      <c r="L26" s="176"/>
      <c r="M26" s="176"/>
      <c r="N26" s="176"/>
      <c r="O26" s="176"/>
      <c r="P26" s="176"/>
    </row>
    <row r="27" spans="1:17" x14ac:dyDescent="0.5">
      <c r="A27" s="168"/>
      <c r="B27" s="149"/>
      <c r="C27" s="177"/>
      <c r="D27" s="169"/>
      <c r="E27" s="164" t="s">
        <v>5</v>
      </c>
      <c r="F27" s="169"/>
      <c r="G27" s="164" t="s">
        <v>5</v>
      </c>
      <c r="H27" s="164"/>
      <c r="I27" s="164"/>
      <c r="J27" s="164"/>
      <c r="K27" s="164" t="s">
        <v>5</v>
      </c>
      <c r="L27" s="176"/>
      <c r="M27" s="176"/>
      <c r="N27" s="176"/>
      <c r="O27" s="176"/>
      <c r="P27" s="176"/>
    </row>
    <row r="28" spans="1:17" x14ac:dyDescent="0.5">
      <c r="A28" s="168"/>
      <c r="B28" s="178" t="s">
        <v>274</v>
      </c>
      <c r="C28" s="157"/>
      <c r="D28" s="179"/>
      <c r="E28" s="157">
        <f>SUM('Client TB (2)'!D36:D38)</f>
        <v>0</v>
      </c>
      <c r="F28" s="179"/>
      <c r="G28" s="157">
        <f>SUM('Client TB (2)'!D53:D56)</f>
        <v>0</v>
      </c>
      <c r="H28" s="157">
        <f>SUM('Client TB (2)'!D41)</f>
        <v>0</v>
      </c>
      <c r="I28" s="157">
        <f>SUM('Client TB (2)'!D47:D50)</f>
        <v>0</v>
      </c>
      <c r="J28" s="157">
        <f>'Client TB (2)'!D44</f>
        <v>0</v>
      </c>
      <c r="K28" s="157">
        <f>SUM(E28:J28)</f>
        <v>0</v>
      </c>
      <c r="L28" s="176"/>
      <c r="M28" s="176"/>
      <c r="N28" s="176"/>
      <c r="O28" s="176"/>
      <c r="P28" s="176"/>
    </row>
    <row r="29" spans="1:17" x14ac:dyDescent="0.5">
      <c r="A29" s="168"/>
      <c r="B29" s="178" t="s">
        <v>155</v>
      </c>
      <c r="C29" s="157"/>
      <c r="D29" s="180"/>
      <c r="E29" s="157">
        <v>0</v>
      </c>
      <c r="F29" s="180"/>
      <c r="G29" s="181">
        <f>'Client TB (2)'!E56</f>
        <v>0</v>
      </c>
      <c r="H29" s="157">
        <v>0</v>
      </c>
      <c r="I29" s="157">
        <f>'Client TB (2)'!E64</f>
        <v>0</v>
      </c>
      <c r="J29" s="157">
        <v>0</v>
      </c>
      <c r="K29" s="157">
        <f>SUM(E29:J29)</f>
        <v>0</v>
      </c>
      <c r="L29" s="176"/>
      <c r="M29" s="176"/>
      <c r="N29" s="176"/>
      <c r="O29" s="176"/>
      <c r="P29" s="176"/>
    </row>
    <row r="30" spans="1:17" ht="21" thickBot="1" x14ac:dyDescent="0.55000000000000004">
      <c r="A30" s="168"/>
      <c r="B30" s="158" t="s">
        <v>275</v>
      </c>
      <c r="C30" s="157"/>
      <c r="D30" s="179"/>
      <c r="E30" s="182">
        <f>SUM(E28:E29)</f>
        <v>0</v>
      </c>
      <c r="F30" s="179">
        <v>0</v>
      </c>
      <c r="G30" s="182">
        <f>SUM(G28:G29)</f>
        <v>0</v>
      </c>
      <c r="H30" s="182">
        <f>SUM(H28:H29)</f>
        <v>0</v>
      </c>
      <c r="I30" s="182">
        <f>SUM(I28:I29)</f>
        <v>0</v>
      </c>
      <c r="J30" s="182">
        <f>SUM(J28:J29)</f>
        <v>0</v>
      </c>
      <c r="K30" s="166">
        <f>SUM(K28:K29)</f>
        <v>0</v>
      </c>
      <c r="L30" s="183"/>
      <c r="M30" s="184"/>
      <c r="N30" s="183"/>
      <c r="O30" s="185"/>
      <c r="P30" s="183"/>
    </row>
    <row r="31" spans="1:17" ht="21" thickTop="1" x14ac:dyDescent="0.5">
      <c r="A31" s="168"/>
      <c r="B31" s="186"/>
      <c r="C31" s="186"/>
      <c r="D31" s="186"/>
      <c r="E31" s="187"/>
      <c r="F31" s="186"/>
      <c r="G31" s="187"/>
      <c r="H31" s="186"/>
      <c r="I31" s="186"/>
      <c r="J31" s="186"/>
      <c r="K31" s="186"/>
      <c r="L31" s="183"/>
      <c r="M31" s="184"/>
      <c r="N31" s="183"/>
      <c r="O31" s="185"/>
      <c r="P31" s="183"/>
    </row>
    <row r="32" spans="1:17" x14ac:dyDescent="0.5">
      <c r="A32" s="168"/>
      <c r="B32" s="173" t="s">
        <v>156</v>
      </c>
      <c r="C32" s="186"/>
      <c r="D32" s="186"/>
      <c r="E32" s="186"/>
      <c r="F32" s="186"/>
      <c r="G32" s="186"/>
      <c r="H32" s="186"/>
      <c r="I32" s="186"/>
      <c r="J32" s="186"/>
      <c r="K32" s="186"/>
      <c r="L32" s="183"/>
      <c r="M32" s="184"/>
      <c r="N32" s="183"/>
      <c r="O32" s="185"/>
      <c r="P32" s="183"/>
    </row>
    <row r="33" spans="1:17" x14ac:dyDescent="0.5">
      <c r="A33" s="168"/>
      <c r="B33" s="149"/>
      <c r="C33" s="72"/>
      <c r="D33" s="188"/>
      <c r="E33" s="72"/>
      <c r="F33" s="188"/>
      <c r="G33" s="151"/>
      <c r="H33" s="151"/>
      <c r="I33" s="151"/>
      <c r="J33" s="151"/>
      <c r="K33" s="151"/>
      <c r="L33" s="183"/>
      <c r="M33" s="184"/>
      <c r="N33" s="183"/>
      <c r="O33" s="185"/>
      <c r="P33" s="183"/>
    </row>
    <row r="34" spans="1:17" x14ac:dyDescent="0.5">
      <c r="A34" s="168"/>
      <c r="B34" s="178" t="s">
        <v>274</v>
      </c>
      <c r="C34" s="72"/>
      <c r="D34" s="188"/>
      <c r="E34" s="157">
        <f>-'Client TB (2)'!D35</f>
        <v>0</v>
      </c>
      <c r="F34" s="179"/>
      <c r="G34" s="157">
        <f>-'Client TB (2)'!D52</f>
        <v>0</v>
      </c>
      <c r="H34" s="157">
        <f>-'Client TB (2)'!D40</f>
        <v>0</v>
      </c>
      <c r="I34" s="157">
        <f>-'Client TB (2)'!D46</f>
        <v>0</v>
      </c>
      <c r="J34" s="157">
        <f>-'Client TB (2)'!D43</f>
        <v>0</v>
      </c>
      <c r="K34" s="157">
        <f>SUM(E34:J34)</f>
        <v>0</v>
      </c>
      <c r="L34" s="183"/>
      <c r="M34" s="184"/>
      <c r="N34" s="183"/>
      <c r="O34" s="185"/>
      <c r="P34" s="183"/>
    </row>
    <row r="35" spans="1:17" x14ac:dyDescent="0.5">
      <c r="A35" s="168"/>
      <c r="B35" s="178" t="s">
        <v>155</v>
      </c>
      <c r="C35" s="72"/>
      <c r="D35" s="188"/>
      <c r="E35" s="157">
        <f>'Client TB (2)'!F35</f>
        <v>0</v>
      </c>
      <c r="F35" s="180"/>
      <c r="G35" s="157">
        <f>'Client TB (2)'!F52</f>
        <v>0</v>
      </c>
      <c r="H35" s="157">
        <f>'Client TB (2)'!F40+'Client TB (2)'!H40</f>
        <v>0</v>
      </c>
      <c r="I35" s="157">
        <f>'Client TB (2)'!F46</f>
        <v>0</v>
      </c>
      <c r="J35" s="157">
        <f>'Client TB (2)'!F43</f>
        <v>0</v>
      </c>
      <c r="K35" s="157">
        <f>SUM(E35:J35)</f>
        <v>0</v>
      </c>
      <c r="L35" s="183"/>
      <c r="M35" s="184"/>
      <c r="N35" s="183"/>
      <c r="O35" s="185"/>
      <c r="P35" s="183"/>
    </row>
    <row r="36" spans="1:17" ht="21" thickBot="1" x14ac:dyDescent="0.55000000000000004">
      <c r="A36" s="168"/>
      <c r="B36" s="158" t="s">
        <v>275</v>
      </c>
      <c r="C36" s="72"/>
      <c r="D36" s="188"/>
      <c r="E36" s="182">
        <f>SUM(E34:E35)</f>
        <v>0</v>
      </c>
      <c r="F36" s="179">
        <v>0</v>
      </c>
      <c r="G36" s="182">
        <f>SUM(G34:G35)</f>
        <v>0</v>
      </c>
      <c r="H36" s="182">
        <f>SUM(H34:H35)</f>
        <v>0</v>
      </c>
      <c r="I36" s="182">
        <f>SUM(I34:I35)</f>
        <v>0</v>
      </c>
      <c r="J36" s="182">
        <f>SUM(J34:J35)</f>
        <v>0</v>
      </c>
      <c r="K36" s="166">
        <f>SUM(K34:K35)</f>
        <v>0</v>
      </c>
      <c r="L36" s="183"/>
      <c r="M36" s="184"/>
      <c r="N36" s="183"/>
      <c r="O36" s="185"/>
      <c r="P36" s="183"/>
    </row>
    <row r="37" spans="1:17" ht="21" thickTop="1" x14ac:dyDescent="0.5">
      <c r="A37" s="168"/>
      <c r="B37" s="158"/>
      <c r="C37" s="72"/>
      <c r="D37" s="188"/>
      <c r="E37" s="72"/>
      <c r="F37" s="188"/>
      <c r="G37" s="167"/>
      <c r="H37" s="167"/>
      <c r="I37" s="167"/>
      <c r="J37" s="167"/>
      <c r="K37" s="167"/>
      <c r="L37" s="183"/>
      <c r="M37" s="184"/>
      <c r="N37" s="183"/>
      <c r="O37" s="185"/>
      <c r="P37" s="183"/>
    </row>
    <row r="38" spans="1:17" x14ac:dyDescent="0.5">
      <c r="A38" s="168"/>
      <c r="B38" s="173" t="s">
        <v>157</v>
      </c>
      <c r="C38" s="72"/>
      <c r="D38" s="188"/>
      <c r="E38" s="72"/>
      <c r="F38" s="188"/>
      <c r="G38" s="157"/>
      <c r="H38" s="157"/>
      <c r="I38" s="157"/>
      <c r="J38" s="157"/>
      <c r="K38" s="157"/>
      <c r="L38" s="183"/>
      <c r="M38" s="184"/>
      <c r="N38" s="183"/>
      <c r="O38" s="185"/>
      <c r="P38" s="183"/>
    </row>
    <row r="39" spans="1:17" x14ac:dyDescent="0.5">
      <c r="A39" s="168"/>
      <c r="B39" s="158" t="s">
        <v>275</v>
      </c>
      <c r="C39" s="72"/>
      <c r="D39" s="188"/>
      <c r="E39" s="181">
        <f>E30-E36</f>
        <v>0</v>
      </c>
      <c r="F39" s="180"/>
      <c r="G39" s="181">
        <f>G30-G36</f>
        <v>0</v>
      </c>
      <c r="H39" s="181">
        <f>H30-H36</f>
        <v>0</v>
      </c>
      <c r="I39" s="181">
        <f>I30-I36</f>
        <v>0</v>
      </c>
      <c r="J39" s="181">
        <f>J30-J36</f>
        <v>0</v>
      </c>
      <c r="K39" s="157">
        <f>K30-K36</f>
        <v>0</v>
      </c>
      <c r="L39" s="183"/>
      <c r="M39" s="184"/>
      <c r="N39" s="183"/>
      <c r="O39" s="185"/>
      <c r="P39" s="183"/>
    </row>
    <row r="40" spans="1:17" ht="21" thickBot="1" x14ac:dyDescent="0.55000000000000004">
      <c r="A40" s="168"/>
      <c r="B40" s="158" t="s">
        <v>276</v>
      </c>
      <c r="C40" s="186"/>
      <c r="D40" s="186"/>
      <c r="E40" s="182">
        <f>E28-E34</f>
        <v>0</v>
      </c>
      <c r="F40" s="179"/>
      <c r="G40" s="182">
        <f>G28-G34</f>
        <v>0</v>
      </c>
      <c r="H40" s="182">
        <f>H28-H34</f>
        <v>0</v>
      </c>
      <c r="I40" s="182">
        <f>I28-I34</f>
        <v>0</v>
      </c>
      <c r="J40" s="182">
        <f>J28-J34</f>
        <v>0</v>
      </c>
      <c r="K40" s="166">
        <f>K28-K34</f>
        <v>0</v>
      </c>
      <c r="L40" s="183"/>
      <c r="M40" s="184"/>
      <c r="N40" s="183"/>
      <c r="O40" s="185"/>
      <c r="P40" s="183"/>
    </row>
    <row r="41" spans="1:17" ht="21" thickTop="1" x14ac:dyDescent="0.5">
      <c r="A41" s="168"/>
      <c r="B41" s="186"/>
      <c r="C41" s="186"/>
      <c r="D41" s="186"/>
      <c r="E41" s="186"/>
      <c r="F41" s="186"/>
      <c r="G41" s="186"/>
      <c r="H41" s="186"/>
      <c r="I41" s="186"/>
      <c r="J41" s="186"/>
      <c r="K41" s="188"/>
      <c r="L41" s="183"/>
      <c r="M41" s="184"/>
      <c r="N41" s="183"/>
      <c r="O41" s="185"/>
      <c r="P41" s="183"/>
    </row>
    <row r="42" spans="1:17" x14ac:dyDescent="0.5">
      <c r="A42" s="168"/>
      <c r="B42" s="162"/>
      <c r="C42" s="189"/>
      <c r="D42" s="190"/>
      <c r="E42" s="190"/>
      <c r="F42" s="190"/>
      <c r="G42" s="189"/>
      <c r="H42" s="189"/>
      <c r="I42" s="189"/>
      <c r="J42" s="189"/>
      <c r="K42" s="189"/>
      <c r="L42" s="190"/>
      <c r="M42" s="191"/>
      <c r="N42" s="192"/>
      <c r="O42" s="191"/>
      <c r="P42" s="193"/>
      <c r="Q42" s="191"/>
    </row>
    <row r="43" spans="1:17" x14ac:dyDescent="0.5">
      <c r="A43" s="168"/>
      <c r="B43" s="194"/>
      <c r="C43" s="189"/>
      <c r="D43" s="190"/>
      <c r="E43" s="190"/>
      <c r="F43" s="190"/>
      <c r="G43" s="189"/>
      <c r="H43" s="189"/>
      <c r="I43" s="189"/>
      <c r="J43" s="189"/>
      <c r="K43" s="189"/>
      <c r="L43" s="190"/>
      <c r="M43" s="191"/>
      <c r="N43" s="192"/>
      <c r="O43" s="191"/>
      <c r="P43" s="193"/>
      <c r="Q43" s="191"/>
    </row>
    <row r="44" spans="1:17" x14ac:dyDescent="0.5">
      <c r="A44" s="168"/>
      <c r="B44" s="186"/>
      <c r="C44" s="186"/>
      <c r="D44" s="186"/>
      <c r="E44" s="186"/>
      <c r="F44" s="186"/>
      <c r="G44" s="186"/>
      <c r="H44" s="186"/>
      <c r="I44" s="186"/>
      <c r="J44" s="186"/>
      <c r="K44" s="186"/>
      <c r="L44" s="186"/>
    </row>
    <row r="45" spans="1:17" x14ac:dyDescent="0.5">
      <c r="A45" s="195"/>
      <c r="B45" s="323">
        <v>13</v>
      </c>
      <c r="C45" s="323"/>
      <c r="D45" s="323"/>
      <c r="E45" s="323"/>
      <c r="F45" s="323"/>
      <c r="G45" s="323"/>
      <c r="H45" s="323"/>
      <c r="I45" s="323"/>
      <c r="J45" s="323"/>
      <c r="K45" s="323"/>
      <c r="L45" s="323"/>
      <c r="M45" s="195"/>
      <c r="N45" s="195"/>
      <c r="O45" s="195"/>
      <c r="P45" s="195"/>
      <c r="Q45" s="195"/>
    </row>
    <row r="46" spans="1:17" x14ac:dyDescent="0.5">
      <c r="B46" s="145"/>
      <c r="C46" s="145"/>
      <c r="D46" s="145"/>
      <c r="E46" s="145"/>
      <c r="F46" s="145"/>
      <c r="G46" s="145"/>
      <c r="H46" s="145"/>
      <c r="I46" s="145"/>
      <c r="J46" s="145"/>
      <c r="K46" s="145"/>
      <c r="L46" s="145"/>
    </row>
    <row r="47" spans="1:17" x14ac:dyDescent="0.5">
      <c r="B47" s="145"/>
      <c r="C47" s="145"/>
      <c r="D47" s="145"/>
      <c r="E47" s="145"/>
      <c r="F47" s="145"/>
      <c r="G47" s="145"/>
      <c r="H47" s="145"/>
      <c r="I47" s="145"/>
      <c r="J47" s="145"/>
      <c r="K47" s="145"/>
      <c r="L47" s="145"/>
    </row>
    <row r="48" spans="1:17" x14ac:dyDescent="0.5">
      <c r="B48" s="145"/>
      <c r="C48" s="145"/>
      <c r="D48" s="145"/>
      <c r="E48" s="145"/>
      <c r="F48" s="145"/>
      <c r="G48" s="145"/>
      <c r="H48" s="145"/>
      <c r="I48" s="145"/>
      <c r="J48" s="145"/>
      <c r="K48" s="145"/>
      <c r="L48" s="145"/>
    </row>
    <row r="49" spans="2:12" x14ac:dyDescent="0.5">
      <c r="B49" s="145"/>
      <c r="C49" s="145"/>
      <c r="D49" s="145"/>
      <c r="E49" s="145"/>
      <c r="F49" s="145"/>
      <c r="G49" s="145"/>
      <c r="H49" s="145"/>
      <c r="I49" s="145"/>
      <c r="J49" s="145"/>
      <c r="K49" s="145"/>
      <c r="L49" s="145"/>
    </row>
    <row r="50" spans="2:12" x14ac:dyDescent="0.5">
      <c r="B50" s="145"/>
      <c r="C50" s="145"/>
      <c r="D50" s="145"/>
      <c r="E50" s="145"/>
      <c r="F50" s="145"/>
      <c r="G50" s="145"/>
      <c r="H50" s="145"/>
      <c r="I50" s="145"/>
      <c r="J50" s="145"/>
      <c r="K50" s="145"/>
      <c r="L50" s="145"/>
    </row>
    <row r="51" spans="2:12" x14ac:dyDescent="0.5">
      <c r="B51" s="145"/>
      <c r="C51" s="145"/>
      <c r="D51" s="145"/>
      <c r="E51" s="145"/>
      <c r="F51" s="145"/>
      <c r="G51" s="145"/>
      <c r="H51" s="145"/>
      <c r="I51" s="145"/>
      <c r="J51" s="145"/>
      <c r="K51" s="145"/>
      <c r="L51" s="145"/>
    </row>
    <row r="52" spans="2:12" x14ac:dyDescent="0.5">
      <c r="B52" s="145"/>
      <c r="C52" s="145"/>
      <c r="D52" s="145"/>
      <c r="E52" s="145"/>
      <c r="F52" s="145"/>
      <c r="G52" s="145"/>
      <c r="H52" s="145"/>
      <c r="I52" s="145"/>
      <c r="J52" s="145"/>
      <c r="K52" s="145"/>
      <c r="L52" s="145"/>
    </row>
    <row r="53" spans="2:12" x14ac:dyDescent="0.5">
      <c r="B53" s="145"/>
      <c r="C53" s="145"/>
      <c r="D53" s="145"/>
      <c r="E53" s="145"/>
      <c r="F53" s="145"/>
      <c r="G53" s="145"/>
      <c r="H53" s="145"/>
      <c r="I53" s="145"/>
      <c r="J53" s="145"/>
      <c r="K53" s="145"/>
      <c r="L53" s="145"/>
    </row>
    <row r="54" spans="2:12" x14ac:dyDescent="0.5">
      <c r="B54" s="145"/>
      <c r="C54" s="145"/>
      <c r="D54" s="145"/>
      <c r="E54" s="145"/>
      <c r="F54" s="145"/>
      <c r="G54" s="145"/>
      <c r="H54" s="145"/>
      <c r="I54" s="145"/>
      <c r="J54" s="145"/>
      <c r="K54" s="145"/>
      <c r="L54" s="145"/>
    </row>
  </sheetData>
  <mergeCells count="2">
    <mergeCell ref="B1:Q1"/>
    <mergeCell ref="B45:L45"/>
  </mergeCells>
  <printOptions horizontalCentered="1"/>
  <pageMargins left="0" right="0" top="0.59055118110236227" bottom="0" header="0" footer="0"/>
  <pageSetup paperSize="9" scale="82"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9A682-773C-4091-9DF8-00217B0CF978}">
  <sheetPr>
    <tabColor theme="4" tint="0.59999389629810485"/>
  </sheetPr>
  <dimension ref="A1:T46"/>
  <sheetViews>
    <sheetView showGridLines="0" view="pageBreakPreview" zoomScale="115" zoomScaleNormal="100" zoomScaleSheetLayoutView="115" workbookViewId="0">
      <selection activeCell="B22" sqref="B22"/>
    </sheetView>
  </sheetViews>
  <sheetFormatPr defaultColWidth="8" defaultRowHeight="18.75" x14ac:dyDescent="0.45"/>
  <cols>
    <col min="1" max="1" width="5.5703125" style="186" customWidth="1"/>
    <col min="2" max="2" width="44.5703125" style="145" customWidth="1"/>
    <col min="3" max="3" width="1.5703125" style="145" customWidth="1"/>
    <col min="4" max="4" width="13.85546875" style="145" bestFit="1" customWidth="1"/>
    <col min="5" max="5" width="1.5703125" style="145" customWidth="1"/>
    <col min="6" max="6" width="15.5703125" style="145" customWidth="1"/>
    <col min="7" max="7" width="1.5703125" style="145" customWidth="1"/>
    <col min="8" max="8" width="15.5703125" style="145" customWidth="1"/>
    <col min="9" max="9" width="1.5703125" style="145" customWidth="1"/>
    <col min="10" max="10" width="16.5703125" style="145" customWidth="1"/>
    <col min="11" max="11" width="1.5703125" style="145" customWidth="1"/>
    <col min="12" max="12" width="16.5703125" style="145" customWidth="1"/>
    <col min="13" max="13" width="1.5703125" style="145" customWidth="1"/>
    <col min="14" max="14" width="16.5703125" style="145" customWidth="1"/>
    <col min="15" max="15" width="5.5703125" style="145" customWidth="1"/>
    <col min="16" max="16" width="16.5703125" style="186" customWidth="1"/>
    <col min="17" max="17" width="1.5703125" style="186" customWidth="1"/>
    <col min="18" max="18" width="16.5703125" style="186" customWidth="1"/>
    <col min="19" max="19" width="1.5703125" style="186" customWidth="1"/>
    <col min="20" max="20" width="16.5703125" style="186" customWidth="1"/>
    <col min="21" max="21" width="5.5703125" style="186" customWidth="1"/>
    <col min="22" max="249" width="8" style="186"/>
    <col min="250" max="251" width="3.42578125" style="186" customWidth="1"/>
    <col min="252" max="252" width="35.5703125" style="186" customWidth="1"/>
    <col min="253" max="253" width="14.5703125" style="186" customWidth="1"/>
    <col min="254" max="254" width="1.140625" style="186" customWidth="1"/>
    <col min="255" max="255" width="15.140625" style="186" bestFit="1" customWidth="1"/>
    <col min="256" max="256" width="1.140625" style="186" customWidth="1"/>
    <col min="257" max="257" width="14.5703125" style="186" customWidth="1"/>
    <col min="258" max="258" width="1.140625" style="186" customWidth="1"/>
    <col min="259" max="259" width="14.5703125" style="186" customWidth="1"/>
    <col min="260" max="260" width="1.140625" style="186" customWidth="1"/>
    <col min="261" max="261" width="12.42578125" style="186" customWidth="1"/>
    <col min="262" max="262" width="1.140625" style="186" customWidth="1"/>
    <col min="263" max="263" width="12.85546875" style="186" customWidth="1"/>
    <col min="264" max="264" width="13.5703125" style="186" customWidth="1"/>
    <col min="265" max="265" width="0.85546875" style="186" customWidth="1"/>
    <col min="266" max="266" width="13.5703125" style="186" customWidth="1"/>
    <col min="267" max="267" width="10" style="186" bestFit="1" customWidth="1"/>
    <col min="268" max="268" width="8.140625" style="186" bestFit="1" customWidth="1"/>
    <col min="269" max="269" width="8" style="186"/>
    <col min="270" max="270" width="8.85546875" style="186" bestFit="1" customWidth="1"/>
    <col min="271" max="505" width="8" style="186"/>
    <col min="506" max="507" width="3.42578125" style="186" customWidth="1"/>
    <col min="508" max="508" width="35.5703125" style="186" customWidth="1"/>
    <col min="509" max="509" width="14.5703125" style="186" customWidth="1"/>
    <col min="510" max="510" width="1.140625" style="186" customWidth="1"/>
    <col min="511" max="511" width="15.140625" style="186" bestFit="1" customWidth="1"/>
    <col min="512" max="512" width="1.140625" style="186" customWidth="1"/>
    <col min="513" max="513" width="14.5703125" style="186" customWidth="1"/>
    <col min="514" max="514" width="1.140625" style="186" customWidth="1"/>
    <col min="515" max="515" width="14.5703125" style="186" customWidth="1"/>
    <col min="516" max="516" width="1.140625" style="186" customWidth="1"/>
    <col min="517" max="517" width="12.42578125" style="186" customWidth="1"/>
    <col min="518" max="518" width="1.140625" style="186" customWidth="1"/>
    <col min="519" max="519" width="12.85546875" style="186" customWidth="1"/>
    <col min="520" max="520" width="13.5703125" style="186" customWidth="1"/>
    <col min="521" max="521" width="0.85546875" style="186" customWidth="1"/>
    <col min="522" max="522" width="13.5703125" style="186" customWidth="1"/>
    <col min="523" max="523" width="10" style="186" bestFit="1" customWidth="1"/>
    <col min="524" max="524" width="8.140625" style="186" bestFit="1" customWidth="1"/>
    <col min="525" max="525" width="8" style="186"/>
    <col min="526" max="526" width="8.85546875" style="186" bestFit="1" customWidth="1"/>
    <col min="527" max="761" width="8" style="186"/>
    <col min="762" max="763" width="3.42578125" style="186" customWidth="1"/>
    <col min="764" max="764" width="35.5703125" style="186" customWidth="1"/>
    <col min="765" max="765" width="14.5703125" style="186" customWidth="1"/>
    <col min="766" max="766" width="1.140625" style="186" customWidth="1"/>
    <col min="767" max="767" width="15.140625" style="186" bestFit="1" customWidth="1"/>
    <col min="768" max="768" width="1.140625" style="186" customWidth="1"/>
    <col min="769" max="769" width="14.5703125" style="186" customWidth="1"/>
    <col min="770" max="770" width="1.140625" style="186" customWidth="1"/>
    <col min="771" max="771" width="14.5703125" style="186" customWidth="1"/>
    <col min="772" max="772" width="1.140625" style="186" customWidth="1"/>
    <col min="773" max="773" width="12.42578125" style="186" customWidth="1"/>
    <col min="774" max="774" width="1.140625" style="186" customWidth="1"/>
    <col min="775" max="775" width="12.85546875" style="186" customWidth="1"/>
    <col min="776" max="776" width="13.5703125" style="186" customWidth="1"/>
    <col min="777" max="777" width="0.85546875" style="186" customWidth="1"/>
    <col min="778" max="778" width="13.5703125" style="186" customWidth="1"/>
    <col min="779" max="779" width="10" style="186" bestFit="1" customWidth="1"/>
    <col min="780" max="780" width="8.140625" style="186" bestFit="1" customWidth="1"/>
    <col min="781" max="781" width="8" style="186"/>
    <col min="782" max="782" width="8.85546875" style="186" bestFit="1" customWidth="1"/>
    <col min="783" max="1017" width="8" style="186"/>
    <col min="1018" max="1019" width="3.42578125" style="186" customWidth="1"/>
    <col min="1020" max="1020" width="35.5703125" style="186" customWidth="1"/>
    <col min="1021" max="1021" width="14.5703125" style="186" customWidth="1"/>
    <col min="1022" max="1022" width="1.140625" style="186" customWidth="1"/>
    <col min="1023" max="1023" width="15.140625" style="186" bestFit="1" customWidth="1"/>
    <col min="1024" max="1024" width="1.140625" style="186" customWidth="1"/>
    <col min="1025" max="1025" width="14.5703125" style="186" customWidth="1"/>
    <col min="1026" max="1026" width="1.140625" style="186" customWidth="1"/>
    <col min="1027" max="1027" width="14.5703125" style="186" customWidth="1"/>
    <col min="1028" max="1028" width="1.140625" style="186" customWidth="1"/>
    <col min="1029" max="1029" width="12.42578125" style="186" customWidth="1"/>
    <col min="1030" max="1030" width="1.140625" style="186" customWidth="1"/>
    <col min="1031" max="1031" width="12.85546875" style="186" customWidth="1"/>
    <col min="1032" max="1032" width="13.5703125" style="186" customWidth="1"/>
    <col min="1033" max="1033" width="0.85546875" style="186" customWidth="1"/>
    <col min="1034" max="1034" width="13.5703125" style="186" customWidth="1"/>
    <col min="1035" max="1035" width="10" style="186" bestFit="1" customWidth="1"/>
    <col min="1036" max="1036" width="8.140625" style="186" bestFit="1" customWidth="1"/>
    <col min="1037" max="1037" width="8" style="186"/>
    <col min="1038" max="1038" width="8.85546875" style="186" bestFit="1" customWidth="1"/>
    <col min="1039" max="1273" width="8" style="186"/>
    <col min="1274" max="1275" width="3.42578125" style="186" customWidth="1"/>
    <col min="1276" max="1276" width="35.5703125" style="186" customWidth="1"/>
    <col min="1277" max="1277" width="14.5703125" style="186" customWidth="1"/>
    <col min="1278" max="1278" width="1.140625" style="186" customWidth="1"/>
    <col min="1279" max="1279" width="15.140625" style="186" bestFit="1" customWidth="1"/>
    <col min="1280" max="1280" width="1.140625" style="186" customWidth="1"/>
    <col min="1281" max="1281" width="14.5703125" style="186" customWidth="1"/>
    <col min="1282" max="1282" width="1.140625" style="186" customWidth="1"/>
    <col min="1283" max="1283" width="14.5703125" style="186" customWidth="1"/>
    <col min="1284" max="1284" width="1.140625" style="186" customWidth="1"/>
    <col min="1285" max="1285" width="12.42578125" style="186" customWidth="1"/>
    <col min="1286" max="1286" width="1.140625" style="186" customWidth="1"/>
    <col min="1287" max="1287" width="12.85546875" style="186" customWidth="1"/>
    <col min="1288" max="1288" width="13.5703125" style="186" customWidth="1"/>
    <col min="1289" max="1289" width="0.85546875" style="186" customWidth="1"/>
    <col min="1290" max="1290" width="13.5703125" style="186" customWidth="1"/>
    <col min="1291" max="1291" width="10" style="186" bestFit="1" customWidth="1"/>
    <col min="1292" max="1292" width="8.140625" style="186" bestFit="1" customWidth="1"/>
    <col min="1293" max="1293" width="8" style="186"/>
    <col min="1294" max="1294" width="8.85546875" style="186" bestFit="1" customWidth="1"/>
    <col min="1295" max="1529" width="8" style="186"/>
    <col min="1530" max="1531" width="3.42578125" style="186" customWidth="1"/>
    <col min="1532" max="1532" width="35.5703125" style="186" customWidth="1"/>
    <col min="1533" max="1533" width="14.5703125" style="186" customWidth="1"/>
    <col min="1534" max="1534" width="1.140625" style="186" customWidth="1"/>
    <col min="1535" max="1535" width="15.140625" style="186" bestFit="1" customWidth="1"/>
    <col min="1536" max="1536" width="1.140625" style="186" customWidth="1"/>
    <col min="1537" max="1537" width="14.5703125" style="186" customWidth="1"/>
    <col min="1538" max="1538" width="1.140625" style="186" customWidth="1"/>
    <col min="1539" max="1539" width="14.5703125" style="186" customWidth="1"/>
    <col min="1540" max="1540" width="1.140625" style="186" customWidth="1"/>
    <col min="1541" max="1541" width="12.42578125" style="186" customWidth="1"/>
    <col min="1542" max="1542" width="1.140625" style="186" customWidth="1"/>
    <col min="1543" max="1543" width="12.85546875" style="186" customWidth="1"/>
    <col min="1544" max="1544" width="13.5703125" style="186" customWidth="1"/>
    <col min="1545" max="1545" width="0.85546875" style="186" customWidth="1"/>
    <col min="1546" max="1546" width="13.5703125" style="186" customWidth="1"/>
    <col min="1547" max="1547" width="10" style="186" bestFit="1" customWidth="1"/>
    <col min="1548" max="1548" width="8.140625" style="186" bestFit="1" customWidth="1"/>
    <col min="1549" max="1549" width="8" style="186"/>
    <col min="1550" max="1550" width="8.85546875" style="186" bestFit="1" customWidth="1"/>
    <col min="1551" max="1785" width="8" style="186"/>
    <col min="1786" max="1787" width="3.42578125" style="186" customWidth="1"/>
    <col min="1788" max="1788" width="35.5703125" style="186" customWidth="1"/>
    <col min="1789" max="1789" width="14.5703125" style="186" customWidth="1"/>
    <col min="1790" max="1790" width="1.140625" style="186" customWidth="1"/>
    <col min="1791" max="1791" width="15.140625" style="186" bestFit="1" customWidth="1"/>
    <col min="1792" max="1792" width="1.140625" style="186" customWidth="1"/>
    <col min="1793" max="1793" width="14.5703125" style="186" customWidth="1"/>
    <col min="1794" max="1794" width="1.140625" style="186" customWidth="1"/>
    <col min="1795" max="1795" width="14.5703125" style="186" customWidth="1"/>
    <col min="1796" max="1796" width="1.140625" style="186" customWidth="1"/>
    <col min="1797" max="1797" width="12.42578125" style="186" customWidth="1"/>
    <col min="1798" max="1798" width="1.140625" style="186" customWidth="1"/>
    <col min="1799" max="1799" width="12.85546875" style="186" customWidth="1"/>
    <col min="1800" max="1800" width="13.5703125" style="186" customWidth="1"/>
    <col min="1801" max="1801" width="0.85546875" style="186" customWidth="1"/>
    <col min="1802" max="1802" width="13.5703125" style="186" customWidth="1"/>
    <col min="1803" max="1803" width="10" style="186" bestFit="1" customWidth="1"/>
    <col min="1804" max="1804" width="8.140625" style="186" bestFit="1" customWidth="1"/>
    <col min="1805" max="1805" width="8" style="186"/>
    <col min="1806" max="1806" width="8.85546875" style="186" bestFit="1" customWidth="1"/>
    <col min="1807" max="2041" width="8" style="186"/>
    <col min="2042" max="2043" width="3.42578125" style="186" customWidth="1"/>
    <col min="2044" max="2044" width="35.5703125" style="186" customWidth="1"/>
    <col min="2045" max="2045" width="14.5703125" style="186" customWidth="1"/>
    <col min="2046" max="2046" width="1.140625" style="186" customWidth="1"/>
    <col min="2047" max="2047" width="15.140625" style="186" bestFit="1" customWidth="1"/>
    <col min="2048" max="2048" width="1.140625" style="186" customWidth="1"/>
    <col min="2049" max="2049" width="14.5703125" style="186" customWidth="1"/>
    <col min="2050" max="2050" width="1.140625" style="186" customWidth="1"/>
    <col min="2051" max="2051" width="14.5703125" style="186" customWidth="1"/>
    <col min="2052" max="2052" width="1.140625" style="186" customWidth="1"/>
    <col min="2053" max="2053" width="12.42578125" style="186" customWidth="1"/>
    <col min="2054" max="2054" width="1.140625" style="186" customWidth="1"/>
    <col min="2055" max="2055" width="12.85546875" style="186" customWidth="1"/>
    <col min="2056" max="2056" width="13.5703125" style="186" customWidth="1"/>
    <col min="2057" max="2057" width="0.85546875" style="186" customWidth="1"/>
    <col min="2058" max="2058" width="13.5703125" style="186" customWidth="1"/>
    <col min="2059" max="2059" width="10" style="186" bestFit="1" customWidth="1"/>
    <col min="2060" max="2060" width="8.140625" style="186" bestFit="1" customWidth="1"/>
    <col min="2061" max="2061" width="8" style="186"/>
    <col min="2062" max="2062" width="8.85546875" style="186" bestFit="1" customWidth="1"/>
    <col min="2063" max="2297" width="8" style="186"/>
    <col min="2298" max="2299" width="3.42578125" style="186" customWidth="1"/>
    <col min="2300" max="2300" width="35.5703125" style="186" customWidth="1"/>
    <col min="2301" max="2301" width="14.5703125" style="186" customWidth="1"/>
    <col min="2302" max="2302" width="1.140625" style="186" customWidth="1"/>
    <col min="2303" max="2303" width="15.140625" style="186" bestFit="1" customWidth="1"/>
    <col min="2304" max="2304" width="1.140625" style="186" customWidth="1"/>
    <col min="2305" max="2305" width="14.5703125" style="186" customWidth="1"/>
    <col min="2306" max="2306" width="1.140625" style="186" customWidth="1"/>
    <col min="2307" max="2307" width="14.5703125" style="186" customWidth="1"/>
    <col min="2308" max="2308" width="1.140625" style="186" customWidth="1"/>
    <col min="2309" max="2309" width="12.42578125" style="186" customWidth="1"/>
    <col min="2310" max="2310" width="1.140625" style="186" customWidth="1"/>
    <col min="2311" max="2311" width="12.85546875" style="186" customWidth="1"/>
    <col min="2312" max="2312" width="13.5703125" style="186" customWidth="1"/>
    <col min="2313" max="2313" width="0.85546875" style="186" customWidth="1"/>
    <col min="2314" max="2314" width="13.5703125" style="186" customWidth="1"/>
    <col min="2315" max="2315" width="10" style="186" bestFit="1" customWidth="1"/>
    <col min="2316" max="2316" width="8.140625" style="186" bestFit="1" customWidth="1"/>
    <col min="2317" max="2317" width="8" style="186"/>
    <col min="2318" max="2318" width="8.85546875" style="186" bestFit="1" customWidth="1"/>
    <col min="2319" max="2553" width="8" style="186"/>
    <col min="2554" max="2555" width="3.42578125" style="186" customWidth="1"/>
    <col min="2556" max="2556" width="35.5703125" style="186" customWidth="1"/>
    <col min="2557" max="2557" width="14.5703125" style="186" customWidth="1"/>
    <col min="2558" max="2558" width="1.140625" style="186" customWidth="1"/>
    <col min="2559" max="2559" width="15.140625" style="186" bestFit="1" customWidth="1"/>
    <col min="2560" max="2560" width="1.140625" style="186" customWidth="1"/>
    <col min="2561" max="2561" width="14.5703125" style="186" customWidth="1"/>
    <col min="2562" max="2562" width="1.140625" style="186" customWidth="1"/>
    <col min="2563" max="2563" width="14.5703125" style="186" customWidth="1"/>
    <col min="2564" max="2564" width="1.140625" style="186" customWidth="1"/>
    <col min="2565" max="2565" width="12.42578125" style="186" customWidth="1"/>
    <col min="2566" max="2566" width="1.140625" style="186" customWidth="1"/>
    <col min="2567" max="2567" width="12.85546875" style="186" customWidth="1"/>
    <col min="2568" max="2568" width="13.5703125" style="186" customWidth="1"/>
    <col min="2569" max="2569" width="0.85546875" style="186" customWidth="1"/>
    <col min="2570" max="2570" width="13.5703125" style="186" customWidth="1"/>
    <col min="2571" max="2571" width="10" style="186" bestFit="1" customWidth="1"/>
    <col min="2572" max="2572" width="8.140625" style="186" bestFit="1" customWidth="1"/>
    <col min="2573" max="2573" width="8" style="186"/>
    <col min="2574" max="2574" width="8.85546875" style="186" bestFit="1" customWidth="1"/>
    <col min="2575" max="2809" width="8" style="186"/>
    <col min="2810" max="2811" width="3.42578125" style="186" customWidth="1"/>
    <col min="2812" max="2812" width="35.5703125" style="186" customWidth="1"/>
    <col min="2813" max="2813" width="14.5703125" style="186" customWidth="1"/>
    <col min="2814" max="2814" width="1.140625" style="186" customWidth="1"/>
    <col min="2815" max="2815" width="15.140625" style="186" bestFit="1" customWidth="1"/>
    <col min="2816" max="2816" width="1.140625" style="186" customWidth="1"/>
    <col min="2817" max="2817" width="14.5703125" style="186" customWidth="1"/>
    <col min="2818" max="2818" width="1.140625" style="186" customWidth="1"/>
    <col min="2819" max="2819" width="14.5703125" style="186" customWidth="1"/>
    <col min="2820" max="2820" width="1.140625" style="186" customWidth="1"/>
    <col min="2821" max="2821" width="12.42578125" style="186" customWidth="1"/>
    <col min="2822" max="2822" width="1.140625" style="186" customWidth="1"/>
    <col min="2823" max="2823" width="12.85546875" style="186" customWidth="1"/>
    <col min="2824" max="2824" width="13.5703125" style="186" customWidth="1"/>
    <col min="2825" max="2825" width="0.85546875" style="186" customWidth="1"/>
    <col min="2826" max="2826" width="13.5703125" style="186" customWidth="1"/>
    <col min="2827" max="2827" width="10" style="186" bestFit="1" customWidth="1"/>
    <col min="2828" max="2828" width="8.140625" style="186" bestFit="1" customWidth="1"/>
    <col min="2829" max="2829" width="8" style="186"/>
    <col min="2830" max="2830" width="8.85546875" style="186" bestFit="1" customWidth="1"/>
    <col min="2831" max="3065" width="8" style="186"/>
    <col min="3066" max="3067" width="3.42578125" style="186" customWidth="1"/>
    <col min="3068" max="3068" width="35.5703125" style="186" customWidth="1"/>
    <col min="3069" max="3069" width="14.5703125" style="186" customWidth="1"/>
    <col min="3070" max="3070" width="1.140625" style="186" customWidth="1"/>
    <col min="3071" max="3071" width="15.140625" style="186" bestFit="1" customWidth="1"/>
    <col min="3072" max="3072" width="1.140625" style="186" customWidth="1"/>
    <col min="3073" max="3073" width="14.5703125" style="186" customWidth="1"/>
    <col min="3074" max="3074" width="1.140625" style="186" customWidth="1"/>
    <col min="3075" max="3075" width="14.5703125" style="186" customWidth="1"/>
    <col min="3076" max="3076" width="1.140625" style="186" customWidth="1"/>
    <col min="3077" max="3077" width="12.42578125" style="186" customWidth="1"/>
    <col min="3078" max="3078" width="1.140625" style="186" customWidth="1"/>
    <col min="3079" max="3079" width="12.85546875" style="186" customWidth="1"/>
    <col min="3080" max="3080" width="13.5703125" style="186" customWidth="1"/>
    <col min="3081" max="3081" width="0.85546875" style="186" customWidth="1"/>
    <col min="3082" max="3082" width="13.5703125" style="186" customWidth="1"/>
    <col min="3083" max="3083" width="10" style="186" bestFit="1" customWidth="1"/>
    <col min="3084" max="3084" width="8.140625" style="186" bestFit="1" customWidth="1"/>
    <col min="3085" max="3085" width="8" style="186"/>
    <col min="3086" max="3086" width="8.85546875" style="186" bestFit="1" customWidth="1"/>
    <col min="3087" max="3321" width="8" style="186"/>
    <col min="3322" max="3323" width="3.42578125" style="186" customWidth="1"/>
    <col min="3324" max="3324" width="35.5703125" style="186" customWidth="1"/>
    <col min="3325" max="3325" width="14.5703125" style="186" customWidth="1"/>
    <col min="3326" max="3326" width="1.140625" style="186" customWidth="1"/>
    <col min="3327" max="3327" width="15.140625" style="186" bestFit="1" customWidth="1"/>
    <col min="3328" max="3328" width="1.140625" style="186" customWidth="1"/>
    <col min="3329" max="3329" width="14.5703125" style="186" customWidth="1"/>
    <col min="3330" max="3330" width="1.140625" style="186" customWidth="1"/>
    <col min="3331" max="3331" width="14.5703125" style="186" customWidth="1"/>
    <col min="3332" max="3332" width="1.140625" style="186" customWidth="1"/>
    <col min="3333" max="3333" width="12.42578125" style="186" customWidth="1"/>
    <col min="3334" max="3334" width="1.140625" style="186" customWidth="1"/>
    <col min="3335" max="3335" width="12.85546875" style="186" customWidth="1"/>
    <col min="3336" max="3336" width="13.5703125" style="186" customWidth="1"/>
    <col min="3337" max="3337" width="0.85546875" style="186" customWidth="1"/>
    <col min="3338" max="3338" width="13.5703125" style="186" customWidth="1"/>
    <col min="3339" max="3339" width="10" style="186" bestFit="1" customWidth="1"/>
    <col min="3340" max="3340" width="8.140625" style="186" bestFit="1" customWidth="1"/>
    <col min="3341" max="3341" width="8" style="186"/>
    <col min="3342" max="3342" width="8.85546875" style="186" bestFit="1" customWidth="1"/>
    <col min="3343" max="3577" width="8" style="186"/>
    <col min="3578" max="3579" width="3.42578125" style="186" customWidth="1"/>
    <col min="3580" max="3580" width="35.5703125" style="186" customWidth="1"/>
    <col min="3581" max="3581" width="14.5703125" style="186" customWidth="1"/>
    <col min="3582" max="3582" width="1.140625" style="186" customWidth="1"/>
    <col min="3583" max="3583" width="15.140625" style="186" bestFit="1" customWidth="1"/>
    <col min="3584" max="3584" width="1.140625" style="186" customWidth="1"/>
    <col min="3585" max="3585" width="14.5703125" style="186" customWidth="1"/>
    <col min="3586" max="3586" width="1.140625" style="186" customWidth="1"/>
    <col min="3587" max="3587" width="14.5703125" style="186" customWidth="1"/>
    <col min="3588" max="3588" width="1.140625" style="186" customWidth="1"/>
    <col min="3589" max="3589" width="12.42578125" style="186" customWidth="1"/>
    <col min="3590" max="3590" width="1.140625" style="186" customWidth="1"/>
    <col min="3591" max="3591" width="12.85546875" style="186" customWidth="1"/>
    <col min="3592" max="3592" width="13.5703125" style="186" customWidth="1"/>
    <col min="3593" max="3593" width="0.85546875" style="186" customWidth="1"/>
    <col min="3594" max="3594" width="13.5703125" style="186" customWidth="1"/>
    <col min="3595" max="3595" width="10" style="186" bestFit="1" customWidth="1"/>
    <col min="3596" max="3596" width="8.140625" style="186" bestFit="1" customWidth="1"/>
    <col min="3597" max="3597" width="8" style="186"/>
    <col min="3598" max="3598" width="8.85546875" style="186" bestFit="1" customWidth="1"/>
    <col min="3599" max="3833" width="8" style="186"/>
    <col min="3834" max="3835" width="3.42578125" style="186" customWidth="1"/>
    <col min="3836" max="3836" width="35.5703125" style="186" customWidth="1"/>
    <col min="3837" max="3837" width="14.5703125" style="186" customWidth="1"/>
    <col min="3838" max="3838" width="1.140625" style="186" customWidth="1"/>
    <col min="3839" max="3839" width="15.140625" style="186" bestFit="1" customWidth="1"/>
    <col min="3840" max="3840" width="1.140625" style="186" customWidth="1"/>
    <col min="3841" max="3841" width="14.5703125" style="186" customWidth="1"/>
    <col min="3842" max="3842" width="1.140625" style="186" customWidth="1"/>
    <col min="3843" max="3843" width="14.5703125" style="186" customWidth="1"/>
    <col min="3844" max="3844" width="1.140625" style="186" customWidth="1"/>
    <col min="3845" max="3845" width="12.42578125" style="186" customWidth="1"/>
    <col min="3846" max="3846" width="1.140625" style="186" customWidth="1"/>
    <col min="3847" max="3847" width="12.85546875" style="186" customWidth="1"/>
    <col min="3848" max="3848" width="13.5703125" style="186" customWidth="1"/>
    <col min="3849" max="3849" width="0.85546875" style="186" customWidth="1"/>
    <col min="3850" max="3850" width="13.5703125" style="186" customWidth="1"/>
    <col min="3851" max="3851" width="10" style="186" bestFit="1" customWidth="1"/>
    <col min="3852" max="3852" width="8.140625" style="186" bestFit="1" customWidth="1"/>
    <col min="3853" max="3853" width="8" style="186"/>
    <col min="3854" max="3854" width="8.85546875" style="186" bestFit="1" customWidth="1"/>
    <col min="3855" max="4089" width="8" style="186"/>
    <col min="4090" max="4091" width="3.42578125" style="186" customWidth="1"/>
    <col min="4092" max="4092" width="35.5703125" style="186" customWidth="1"/>
    <col min="4093" max="4093" width="14.5703125" style="186" customWidth="1"/>
    <col min="4094" max="4094" width="1.140625" style="186" customWidth="1"/>
    <col min="4095" max="4095" width="15.140625" style="186" bestFit="1" customWidth="1"/>
    <col min="4096" max="4096" width="1.140625" style="186" customWidth="1"/>
    <col min="4097" max="4097" width="14.5703125" style="186" customWidth="1"/>
    <col min="4098" max="4098" width="1.140625" style="186" customWidth="1"/>
    <col min="4099" max="4099" width="14.5703125" style="186" customWidth="1"/>
    <col min="4100" max="4100" width="1.140625" style="186" customWidth="1"/>
    <col min="4101" max="4101" width="12.42578125" style="186" customWidth="1"/>
    <col min="4102" max="4102" width="1.140625" style="186" customWidth="1"/>
    <col min="4103" max="4103" width="12.85546875" style="186" customWidth="1"/>
    <col min="4104" max="4104" width="13.5703125" style="186" customWidth="1"/>
    <col min="4105" max="4105" width="0.85546875" style="186" customWidth="1"/>
    <col min="4106" max="4106" width="13.5703125" style="186" customWidth="1"/>
    <col min="4107" max="4107" width="10" style="186" bestFit="1" customWidth="1"/>
    <col min="4108" max="4108" width="8.140625" style="186" bestFit="1" customWidth="1"/>
    <col min="4109" max="4109" width="8" style="186"/>
    <col min="4110" max="4110" width="8.85546875" style="186" bestFit="1" customWidth="1"/>
    <col min="4111" max="4345" width="8" style="186"/>
    <col min="4346" max="4347" width="3.42578125" style="186" customWidth="1"/>
    <col min="4348" max="4348" width="35.5703125" style="186" customWidth="1"/>
    <col min="4349" max="4349" width="14.5703125" style="186" customWidth="1"/>
    <col min="4350" max="4350" width="1.140625" style="186" customWidth="1"/>
    <col min="4351" max="4351" width="15.140625" style="186" bestFit="1" customWidth="1"/>
    <col min="4352" max="4352" width="1.140625" style="186" customWidth="1"/>
    <col min="4353" max="4353" width="14.5703125" style="186" customWidth="1"/>
    <col min="4354" max="4354" width="1.140625" style="186" customWidth="1"/>
    <col min="4355" max="4355" width="14.5703125" style="186" customWidth="1"/>
    <col min="4356" max="4356" width="1.140625" style="186" customWidth="1"/>
    <col min="4357" max="4357" width="12.42578125" style="186" customWidth="1"/>
    <col min="4358" max="4358" width="1.140625" style="186" customWidth="1"/>
    <col min="4359" max="4359" width="12.85546875" style="186" customWidth="1"/>
    <col min="4360" max="4360" width="13.5703125" style="186" customWidth="1"/>
    <col min="4361" max="4361" width="0.85546875" style="186" customWidth="1"/>
    <col min="4362" max="4362" width="13.5703125" style="186" customWidth="1"/>
    <col min="4363" max="4363" width="10" style="186" bestFit="1" customWidth="1"/>
    <col min="4364" max="4364" width="8.140625" style="186" bestFit="1" customWidth="1"/>
    <col min="4365" max="4365" width="8" style="186"/>
    <col min="4366" max="4366" width="8.85546875" style="186" bestFit="1" customWidth="1"/>
    <col min="4367" max="4601" width="8" style="186"/>
    <col min="4602" max="4603" width="3.42578125" style="186" customWidth="1"/>
    <col min="4604" max="4604" width="35.5703125" style="186" customWidth="1"/>
    <col min="4605" max="4605" width="14.5703125" style="186" customWidth="1"/>
    <col min="4606" max="4606" width="1.140625" style="186" customWidth="1"/>
    <col min="4607" max="4607" width="15.140625" style="186" bestFit="1" customWidth="1"/>
    <col min="4608" max="4608" width="1.140625" style="186" customWidth="1"/>
    <col min="4609" max="4609" width="14.5703125" style="186" customWidth="1"/>
    <col min="4610" max="4610" width="1.140625" style="186" customWidth="1"/>
    <col min="4611" max="4611" width="14.5703125" style="186" customWidth="1"/>
    <col min="4612" max="4612" width="1.140625" style="186" customWidth="1"/>
    <col min="4613" max="4613" width="12.42578125" style="186" customWidth="1"/>
    <col min="4614" max="4614" width="1.140625" style="186" customWidth="1"/>
    <col min="4615" max="4615" width="12.85546875" style="186" customWidth="1"/>
    <col min="4616" max="4616" width="13.5703125" style="186" customWidth="1"/>
    <col min="4617" max="4617" width="0.85546875" style="186" customWidth="1"/>
    <col min="4618" max="4618" width="13.5703125" style="186" customWidth="1"/>
    <col min="4619" max="4619" width="10" style="186" bestFit="1" customWidth="1"/>
    <col min="4620" max="4620" width="8.140625" style="186" bestFit="1" customWidth="1"/>
    <col min="4621" max="4621" width="8" style="186"/>
    <col min="4622" max="4622" width="8.85546875" style="186" bestFit="1" customWidth="1"/>
    <col min="4623" max="4857" width="8" style="186"/>
    <col min="4858" max="4859" width="3.42578125" style="186" customWidth="1"/>
    <col min="4860" max="4860" width="35.5703125" style="186" customWidth="1"/>
    <col min="4861" max="4861" width="14.5703125" style="186" customWidth="1"/>
    <col min="4862" max="4862" width="1.140625" style="186" customWidth="1"/>
    <col min="4863" max="4863" width="15.140625" style="186" bestFit="1" customWidth="1"/>
    <col min="4864" max="4864" width="1.140625" style="186" customWidth="1"/>
    <col min="4865" max="4865" width="14.5703125" style="186" customWidth="1"/>
    <col min="4866" max="4866" width="1.140625" style="186" customWidth="1"/>
    <col min="4867" max="4867" width="14.5703125" style="186" customWidth="1"/>
    <col min="4868" max="4868" width="1.140625" style="186" customWidth="1"/>
    <col min="4869" max="4869" width="12.42578125" style="186" customWidth="1"/>
    <col min="4870" max="4870" width="1.140625" style="186" customWidth="1"/>
    <col min="4871" max="4871" width="12.85546875" style="186" customWidth="1"/>
    <col min="4872" max="4872" width="13.5703125" style="186" customWidth="1"/>
    <col min="4873" max="4873" width="0.85546875" style="186" customWidth="1"/>
    <col min="4874" max="4874" width="13.5703125" style="186" customWidth="1"/>
    <col min="4875" max="4875" width="10" style="186" bestFit="1" customWidth="1"/>
    <col min="4876" max="4876" width="8.140625" style="186" bestFit="1" customWidth="1"/>
    <col min="4877" max="4877" width="8" style="186"/>
    <col min="4878" max="4878" width="8.85546875" style="186" bestFit="1" customWidth="1"/>
    <col min="4879" max="5113" width="8" style="186"/>
    <col min="5114" max="5115" width="3.42578125" style="186" customWidth="1"/>
    <col min="5116" max="5116" width="35.5703125" style="186" customWidth="1"/>
    <col min="5117" max="5117" width="14.5703125" style="186" customWidth="1"/>
    <col min="5118" max="5118" width="1.140625" style="186" customWidth="1"/>
    <col min="5119" max="5119" width="15.140625" style="186" bestFit="1" customWidth="1"/>
    <col min="5120" max="5120" width="1.140625" style="186" customWidth="1"/>
    <col min="5121" max="5121" width="14.5703125" style="186" customWidth="1"/>
    <col min="5122" max="5122" width="1.140625" style="186" customWidth="1"/>
    <col min="5123" max="5123" width="14.5703125" style="186" customWidth="1"/>
    <col min="5124" max="5124" width="1.140625" style="186" customWidth="1"/>
    <col min="5125" max="5125" width="12.42578125" style="186" customWidth="1"/>
    <col min="5126" max="5126" width="1.140625" style="186" customWidth="1"/>
    <col min="5127" max="5127" width="12.85546875" style="186" customWidth="1"/>
    <col min="5128" max="5128" width="13.5703125" style="186" customWidth="1"/>
    <col min="5129" max="5129" width="0.85546875" style="186" customWidth="1"/>
    <col min="5130" max="5130" width="13.5703125" style="186" customWidth="1"/>
    <col min="5131" max="5131" width="10" style="186" bestFit="1" customWidth="1"/>
    <col min="5132" max="5132" width="8.140625" style="186" bestFit="1" customWidth="1"/>
    <col min="5133" max="5133" width="8" style="186"/>
    <col min="5134" max="5134" width="8.85546875" style="186" bestFit="1" customWidth="1"/>
    <col min="5135" max="5369" width="8" style="186"/>
    <col min="5370" max="5371" width="3.42578125" style="186" customWidth="1"/>
    <col min="5372" max="5372" width="35.5703125" style="186" customWidth="1"/>
    <col min="5373" max="5373" width="14.5703125" style="186" customWidth="1"/>
    <col min="5374" max="5374" width="1.140625" style="186" customWidth="1"/>
    <col min="5375" max="5375" width="15.140625" style="186" bestFit="1" customWidth="1"/>
    <col min="5376" max="5376" width="1.140625" style="186" customWidth="1"/>
    <col min="5377" max="5377" width="14.5703125" style="186" customWidth="1"/>
    <col min="5378" max="5378" width="1.140625" style="186" customWidth="1"/>
    <col min="5379" max="5379" width="14.5703125" style="186" customWidth="1"/>
    <col min="5380" max="5380" width="1.140625" style="186" customWidth="1"/>
    <col min="5381" max="5381" width="12.42578125" style="186" customWidth="1"/>
    <col min="5382" max="5382" width="1.140625" style="186" customWidth="1"/>
    <col min="5383" max="5383" width="12.85546875" style="186" customWidth="1"/>
    <col min="5384" max="5384" width="13.5703125" style="186" customWidth="1"/>
    <col min="5385" max="5385" width="0.85546875" style="186" customWidth="1"/>
    <col min="5386" max="5386" width="13.5703125" style="186" customWidth="1"/>
    <col min="5387" max="5387" width="10" style="186" bestFit="1" customWidth="1"/>
    <col min="5388" max="5388" width="8.140625" style="186" bestFit="1" customWidth="1"/>
    <col min="5389" max="5389" width="8" style="186"/>
    <col min="5390" max="5390" width="8.85546875" style="186" bestFit="1" customWidth="1"/>
    <col min="5391" max="5625" width="8" style="186"/>
    <col min="5626" max="5627" width="3.42578125" style="186" customWidth="1"/>
    <col min="5628" max="5628" width="35.5703125" style="186" customWidth="1"/>
    <col min="5629" max="5629" width="14.5703125" style="186" customWidth="1"/>
    <col min="5630" max="5630" width="1.140625" style="186" customWidth="1"/>
    <col min="5631" max="5631" width="15.140625" style="186" bestFit="1" customWidth="1"/>
    <col min="5632" max="5632" width="1.140625" style="186" customWidth="1"/>
    <col min="5633" max="5633" width="14.5703125" style="186" customWidth="1"/>
    <col min="5634" max="5634" width="1.140625" style="186" customWidth="1"/>
    <col min="5635" max="5635" width="14.5703125" style="186" customWidth="1"/>
    <col min="5636" max="5636" width="1.140625" style="186" customWidth="1"/>
    <col min="5637" max="5637" width="12.42578125" style="186" customWidth="1"/>
    <col min="5638" max="5638" width="1.140625" style="186" customWidth="1"/>
    <col min="5639" max="5639" width="12.85546875" style="186" customWidth="1"/>
    <col min="5640" max="5640" width="13.5703125" style="186" customWidth="1"/>
    <col min="5641" max="5641" width="0.85546875" style="186" customWidth="1"/>
    <col min="5642" max="5642" width="13.5703125" style="186" customWidth="1"/>
    <col min="5643" max="5643" width="10" style="186" bestFit="1" customWidth="1"/>
    <col min="5644" max="5644" width="8.140625" style="186" bestFit="1" customWidth="1"/>
    <col min="5645" max="5645" width="8" style="186"/>
    <col min="5646" max="5646" width="8.85546875" style="186" bestFit="1" customWidth="1"/>
    <col min="5647" max="5881" width="8" style="186"/>
    <col min="5882" max="5883" width="3.42578125" style="186" customWidth="1"/>
    <col min="5884" max="5884" width="35.5703125" style="186" customWidth="1"/>
    <col min="5885" max="5885" width="14.5703125" style="186" customWidth="1"/>
    <col min="5886" max="5886" width="1.140625" style="186" customWidth="1"/>
    <col min="5887" max="5887" width="15.140625" style="186" bestFit="1" customWidth="1"/>
    <col min="5888" max="5888" width="1.140625" style="186" customWidth="1"/>
    <col min="5889" max="5889" width="14.5703125" style="186" customWidth="1"/>
    <col min="5890" max="5890" width="1.140625" style="186" customWidth="1"/>
    <col min="5891" max="5891" width="14.5703125" style="186" customWidth="1"/>
    <col min="5892" max="5892" width="1.140625" style="186" customWidth="1"/>
    <col min="5893" max="5893" width="12.42578125" style="186" customWidth="1"/>
    <col min="5894" max="5894" width="1.140625" style="186" customWidth="1"/>
    <col min="5895" max="5895" width="12.85546875" style="186" customWidth="1"/>
    <col min="5896" max="5896" width="13.5703125" style="186" customWidth="1"/>
    <col min="5897" max="5897" width="0.85546875" style="186" customWidth="1"/>
    <col min="5898" max="5898" width="13.5703125" style="186" customWidth="1"/>
    <col min="5899" max="5899" width="10" style="186" bestFit="1" customWidth="1"/>
    <col min="5900" max="5900" width="8.140625" style="186" bestFit="1" customWidth="1"/>
    <col min="5901" max="5901" width="8" style="186"/>
    <col min="5902" max="5902" width="8.85546875" style="186" bestFit="1" customWidth="1"/>
    <col min="5903" max="6137" width="8" style="186"/>
    <col min="6138" max="6139" width="3.42578125" style="186" customWidth="1"/>
    <col min="6140" max="6140" width="35.5703125" style="186" customWidth="1"/>
    <col min="6141" max="6141" width="14.5703125" style="186" customWidth="1"/>
    <col min="6142" max="6142" width="1.140625" style="186" customWidth="1"/>
    <col min="6143" max="6143" width="15.140625" style="186" bestFit="1" customWidth="1"/>
    <col min="6144" max="6144" width="1.140625" style="186" customWidth="1"/>
    <col min="6145" max="6145" width="14.5703125" style="186" customWidth="1"/>
    <col min="6146" max="6146" width="1.140625" style="186" customWidth="1"/>
    <col min="6147" max="6147" width="14.5703125" style="186" customWidth="1"/>
    <col min="6148" max="6148" width="1.140625" style="186" customWidth="1"/>
    <col min="6149" max="6149" width="12.42578125" style="186" customWidth="1"/>
    <col min="6150" max="6150" width="1.140625" style="186" customWidth="1"/>
    <col min="6151" max="6151" width="12.85546875" style="186" customWidth="1"/>
    <col min="6152" max="6152" width="13.5703125" style="186" customWidth="1"/>
    <col min="6153" max="6153" width="0.85546875" style="186" customWidth="1"/>
    <col min="6154" max="6154" width="13.5703125" style="186" customWidth="1"/>
    <col min="6155" max="6155" width="10" style="186" bestFit="1" customWidth="1"/>
    <col min="6156" max="6156" width="8.140625" style="186" bestFit="1" customWidth="1"/>
    <col min="6157" max="6157" width="8" style="186"/>
    <col min="6158" max="6158" width="8.85546875" style="186" bestFit="1" customWidth="1"/>
    <col min="6159" max="6393" width="8" style="186"/>
    <col min="6394" max="6395" width="3.42578125" style="186" customWidth="1"/>
    <col min="6396" max="6396" width="35.5703125" style="186" customWidth="1"/>
    <col min="6397" max="6397" width="14.5703125" style="186" customWidth="1"/>
    <col min="6398" max="6398" width="1.140625" style="186" customWidth="1"/>
    <col min="6399" max="6399" width="15.140625" style="186" bestFit="1" customWidth="1"/>
    <col min="6400" max="6400" width="1.140625" style="186" customWidth="1"/>
    <col min="6401" max="6401" width="14.5703125" style="186" customWidth="1"/>
    <col min="6402" max="6402" width="1.140625" style="186" customWidth="1"/>
    <col min="6403" max="6403" width="14.5703125" style="186" customWidth="1"/>
    <col min="6404" max="6404" width="1.140625" style="186" customWidth="1"/>
    <col min="6405" max="6405" width="12.42578125" style="186" customWidth="1"/>
    <col min="6406" max="6406" width="1.140625" style="186" customWidth="1"/>
    <col min="6407" max="6407" width="12.85546875" style="186" customWidth="1"/>
    <col min="6408" max="6408" width="13.5703125" style="186" customWidth="1"/>
    <col min="6409" max="6409" width="0.85546875" style="186" customWidth="1"/>
    <col min="6410" max="6410" width="13.5703125" style="186" customWidth="1"/>
    <col min="6411" max="6411" width="10" style="186" bestFit="1" customWidth="1"/>
    <col min="6412" max="6412" width="8.140625" style="186" bestFit="1" customWidth="1"/>
    <col min="6413" max="6413" width="8" style="186"/>
    <col min="6414" max="6414" width="8.85546875" style="186" bestFit="1" customWidth="1"/>
    <col min="6415" max="6649" width="8" style="186"/>
    <col min="6650" max="6651" width="3.42578125" style="186" customWidth="1"/>
    <col min="6652" max="6652" width="35.5703125" style="186" customWidth="1"/>
    <col min="6653" max="6653" width="14.5703125" style="186" customWidth="1"/>
    <col min="6654" max="6654" width="1.140625" style="186" customWidth="1"/>
    <col min="6655" max="6655" width="15.140625" style="186" bestFit="1" customWidth="1"/>
    <col min="6656" max="6656" width="1.140625" style="186" customWidth="1"/>
    <col min="6657" max="6657" width="14.5703125" style="186" customWidth="1"/>
    <col min="6658" max="6658" width="1.140625" style="186" customWidth="1"/>
    <col min="6659" max="6659" width="14.5703125" style="186" customWidth="1"/>
    <col min="6660" max="6660" width="1.140625" style="186" customWidth="1"/>
    <col min="6661" max="6661" width="12.42578125" style="186" customWidth="1"/>
    <col min="6662" max="6662" width="1.140625" style="186" customWidth="1"/>
    <col min="6663" max="6663" width="12.85546875" style="186" customWidth="1"/>
    <col min="6664" max="6664" width="13.5703125" style="186" customWidth="1"/>
    <col min="6665" max="6665" width="0.85546875" style="186" customWidth="1"/>
    <col min="6666" max="6666" width="13.5703125" style="186" customWidth="1"/>
    <col min="6667" max="6667" width="10" style="186" bestFit="1" customWidth="1"/>
    <col min="6668" max="6668" width="8.140625" style="186" bestFit="1" customWidth="1"/>
    <col min="6669" max="6669" width="8" style="186"/>
    <col min="6670" max="6670" width="8.85546875" style="186" bestFit="1" customWidth="1"/>
    <col min="6671" max="6905" width="8" style="186"/>
    <col min="6906" max="6907" width="3.42578125" style="186" customWidth="1"/>
    <col min="6908" max="6908" width="35.5703125" style="186" customWidth="1"/>
    <col min="6909" max="6909" width="14.5703125" style="186" customWidth="1"/>
    <col min="6910" max="6910" width="1.140625" style="186" customWidth="1"/>
    <col min="6911" max="6911" width="15.140625" style="186" bestFit="1" customWidth="1"/>
    <col min="6912" max="6912" width="1.140625" style="186" customWidth="1"/>
    <col min="6913" max="6913" width="14.5703125" style="186" customWidth="1"/>
    <col min="6914" max="6914" width="1.140625" style="186" customWidth="1"/>
    <col min="6915" max="6915" width="14.5703125" style="186" customWidth="1"/>
    <col min="6916" max="6916" width="1.140625" style="186" customWidth="1"/>
    <col min="6917" max="6917" width="12.42578125" style="186" customWidth="1"/>
    <col min="6918" max="6918" width="1.140625" style="186" customWidth="1"/>
    <col min="6919" max="6919" width="12.85546875" style="186" customWidth="1"/>
    <col min="6920" max="6920" width="13.5703125" style="186" customWidth="1"/>
    <col min="6921" max="6921" width="0.85546875" style="186" customWidth="1"/>
    <col min="6922" max="6922" width="13.5703125" style="186" customWidth="1"/>
    <col min="6923" max="6923" width="10" style="186" bestFit="1" customWidth="1"/>
    <col min="6924" max="6924" width="8.140625" style="186" bestFit="1" customWidth="1"/>
    <col min="6925" max="6925" width="8" style="186"/>
    <col min="6926" max="6926" width="8.85546875" style="186" bestFit="1" customWidth="1"/>
    <col min="6927" max="7161" width="8" style="186"/>
    <col min="7162" max="7163" width="3.42578125" style="186" customWidth="1"/>
    <col min="7164" max="7164" width="35.5703125" style="186" customWidth="1"/>
    <col min="7165" max="7165" width="14.5703125" style="186" customWidth="1"/>
    <col min="7166" max="7166" width="1.140625" style="186" customWidth="1"/>
    <col min="7167" max="7167" width="15.140625" style="186" bestFit="1" customWidth="1"/>
    <col min="7168" max="7168" width="1.140625" style="186" customWidth="1"/>
    <col min="7169" max="7169" width="14.5703125" style="186" customWidth="1"/>
    <col min="7170" max="7170" width="1.140625" style="186" customWidth="1"/>
    <col min="7171" max="7171" width="14.5703125" style="186" customWidth="1"/>
    <col min="7172" max="7172" width="1.140625" style="186" customWidth="1"/>
    <col min="7173" max="7173" width="12.42578125" style="186" customWidth="1"/>
    <col min="7174" max="7174" width="1.140625" style="186" customWidth="1"/>
    <col min="7175" max="7175" width="12.85546875" style="186" customWidth="1"/>
    <col min="7176" max="7176" width="13.5703125" style="186" customWidth="1"/>
    <col min="7177" max="7177" width="0.85546875" style="186" customWidth="1"/>
    <col min="7178" max="7178" width="13.5703125" style="186" customWidth="1"/>
    <col min="7179" max="7179" width="10" style="186" bestFit="1" customWidth="1"/>
    <col min="7180" max="7180" width="8.140625" style="186" bestFit="1" customWidth="1"/>
    <col min="7181" max="7181" width="8" style="186"/>
    <col min="7182" max="7182" width="8.85546875" style="186" bestFit="1" customWidth="1"/>
    <col min="7183" max="7417" width="8" style="186"/>
    <col min="7418" max="7419" width="3.42578125" style="186" customWidth="1"/>
    <col min="7420" max="7420" width="35.5703125" style="186" customWidth="1"/>
    <col min="7421" max="7421" width="14.5703125" style="186" customWidth="1"/>
    <col min="7422" max="7422" width="1.140625" style="186" customWidth="1"/>
    <col min="7423" max="7423" width="15.140625" style="186" bestFit="1" customWidth="1"/>
    <col min="7424" max="7424" width="1.140625" style="186" customWidth="1"/>
    <col min="7425" max="7425" width="14.5703125" style="186" customWidth="1"/>
    <col min="7426" max="7426" width="1.140625" style="186" customWidth="1"/>
    <col min="7427" max="7427" width="14.5703125" style="186" customWidth="1"/>
    <col min="7428" max="7428" width="1.140625" style="186" customWidth="1"/>
    <col min="7429" max="7429" width="12.42578125" style="186" customWidth="1"/>
    <col min="7430" max="7430" width="1.140625" style="186" customWidth="1"/>
    <col min="7431" max="7431" width="12.85546875" style="186" customWidth="1"/>
    <col min="7432" max="7432" width="13.5703125" style="186" customWidth="1"/>
    <col min="7433" max="7433" width="0.85546875" style="186" customWidth="1"/>
    <col min="7434" max="7434" width="13.5703125" style="186" customWidth="1"/>
    <col min="7435" max="7435" width="10" style="186" bestFit="1" customWidth="1"/>
    <col min="7436" max="7436" width="8.140625" style="186" bestFit="1" customWidth="1"/>
    <col min="7437" max="7437" width="8" style="186"/>
    <col min="7438" max="7438" width="8.85546875" style="186" bestFit="1" customWidth="1"/>
    <col min="7439" max="7673" width="8" style="186"/>
    <col min="7674" max="7675" width="3.42578125" style="186" customWidth="1"/>
    <col min="7676" max="7676" width="35.5703125" style="186" customWidth="1"/>
    <col min="7677" max="7677" width="14.5703125" style="186" customWidth="1"/>
    <col min="7678" max="7678" width="1.140625" style="186" customWidth="1"/>
    <col min="7679" max="7679" width="15.140625" style="186" bestFit="1" customWidth="1"/>
    <col min="7680" max="7680" width="1.140625" style="186" customWidth="1"/>
    <col min="7681" max="7681" width="14.5703125" style="186" customWidth="1"/>
    <col min="7682" max="7682" width="1.140625" style="186" customWidth="1"/>
    <col min="7683" max="7683" width="14.5703125" style="186" customWidth="1"/>
    <col min="7684" max="7684" width="1.140625" style="186" customWidth="1"/>
    <col min="7685" max="7685" width="12.42578125" style="186" customWidth="1"/>
    <col min="7686" max="7686" width="1.140625" style="186" customWidth="1"/>
    <col min="7687" max="7687" width="12.85546875" style="186" customWidth="1"/>
    <col min="7688" max="7688" width="13.5703125" style="186" customWidth="1"/>
    <col min="7689" max="7689" width="0.85546875" style="186" customWidth="1"/>
    <col min="7690" max="7690" width="13.5703125" style="186" customWidth="1"/>
    <col min="7691" max="7691" width="10" style="186" bestFit="1" customWidth="1"/>
    <col min="7692" max="7692" width="8.140625" style="186" bestFit="1" customWidth="1"/>
    <col min="7693" max="7693" width="8" style="186"/>
    <col min="7694" max="7694" width="8.85546875" style="186" bestFit="1" customWidth="1"/>
    <col min="7695" max="7929" width="8" style="186"/>
    <col min="7930" max="7931" width="3.42578125" style="186" customWidth="1"/>
    <col min="7932" max="7932" width="35.5703125" style="186" customWidth="1"/>
    <col min="7933" max="7933" width="14.5703125" style="186" customWidth="1"/>
    <col min="7934" max="7934" width="1.140625" style="186" customWidth="1"/>
    <col min="7935" max="7935" width="15.140625" style="186" bestFit="1" customWidth="1"/>
    <col min="7936" max="7936" width="1.140625" style="186" customWidth="1"/>
    <col min="7937" max="7937" width="14.5703125" style="186" customWidth="1"/>
    <col min="7938" max="7938" width="1.140625" style="186" customWidth="1"/>
    <col min="7939" max="7939" width="14.5703125" style="186" customWidth="1"/>
    <col min="7940" max="7940" width="1.140625" style="186" customWidth="1"/>
    <col min="7941" max="7941" width="12.42578125" style="186" customWidth="1"/>
    <col min="7942" max="7942" width="1.140625" style="186" customWidth="1"/>
    <col min="7943" max="7943" width="12.85546875" style="186" customWidth="1"/>
    <col min="7944" max="7944" width="13.5703125" style="186" customWidth="1"/>
    <col min="7945" max="7945" width="0.85546875" style="186" customWidth="1"/>
    <col min="7946" max="7946" width="13.5703125" style="186" customWidth="1"/>
    <col min="7947" max="7947" width="10" style="186" bestFit="1" customWidth="1"/>
    <col min="7948" max="7948" width="8.140625" style="186" bestFit="1" customWidth="1"/>
    <col min="7949" max="7949" width="8" style="186"/>
    <col min="7950" max="7950" width="8.85546875" style="186" bestFit="1" customWidth="1"/>
    <col min="7951" max="8185" width="8" style="186"/>
    <col min="8186" max="8187" width="3.42578125" style="186" customWidth="1"/>
    <col min="8188" max="8188" width="35.5703125" style="186" customWidth="1"/>
    <col min="8189" max="8189" width="14.5703125" style="186" customWidth="1"/>
    <col min="8190" max="8190" width="1.140625" style="186" customWidth="1"/>
    <col min="8191" max="8191" width="15.140625" style="186" bestFit="1" customWidth="1"/>
    <col min="8192" max="8192" width="1.140625" style="186" customWidth="1"/>
    <col min="8193" max="8193" width="14.5703125" style="186" customWidth="1"/>
    <col min="8194" max="8194" width="1.140625" style="186" customWidth="1"/>
    <col min="8195" max="8195" width="14.5703125" style="186" customWidth="1"/>
    <col min="8196" max="8196" width="1.140625" style="186" customWidth="1"/>
    <col min="8197" max="8197" width="12.42578125" style="186" customWidth="1"/>
    <col min="8198" max="8198" width="1.140625" style="186" customWidth="1"/>
    <col min="8199" max="8199" width="12.85546875" style="186" customWidth="1"/>
    <col min="8200" max="8200" width="13.5703125" style="186" customWidth="1"/>
    <col min="8201" max="8201" width="0.85546875" style="186" customWidth="1"/>
    <col min="8202" max="8202" width="13.5703125" style="186" customWidth="1"/>
    <col min="8203" max="8203" width="10" style="186" bestFit="1" customWidth="1"/>
    <col min="8204" max="8204" width="8.140625" style="186" bestFit="1" customWidth="1"/>
    <col min="8205" max="8205" width="8" style="186"/>
    <col min="8206" max="8206" width="8.85546875" style="186" bestFit="1" customWidth="1"/>
    <col min="8207" max="8441" width="8" style="186"/>
    <col min="8442" max="8443" width="3.42578125" style="186" customWidth="1"/>
    <col min="8444" max="8444" width="35.5703125" style="186" customWidth="1"/>
    <col min="8445" max="8445" width="14.5703125" style="186" customWidth="1"/>
    <col min="8446" max="8446" width="1.140625" style="186" customWidth="1"/>
    <col min="8447" max="8447" width="15.140625" style="186" bestFit="1" customWidth="1"/>
    <col min="8448" max="8448" width="1.140625" style="186" customWidth="1"/>
    <col min="8449" max="8449" width="14.5703125" style="186" customWidth="1"/>
    <col min="8450" max="8450" width="1.140625" style="186" customWidth="1"/>
    <col min="8451" max="8451" width="14.5703125" style="186" customWidth="1"/>
    <col min="8452" max="8452" width="1.140625" style="186" customWidth="1"/>
    <col min="8453" max="8453" width="12.42578125" style="186" customWidth="1"/>
    <col min="8454" max="8454" width="1.140625" style="186" customWidth="1"/>
    <col min="8455" max="8455" width="12.85546875" style="186" customWidth="1"/>
    <col min="8456" max="8456" width="13.5703125" style="186" customWidth="1"/>
    <col min="8457" max="8457" width="0.85546875" style="186" customWidth="1"/>
    <col min="8458" max="8458" width="13.5703125" style="186" customWidth="1"/>
    <col min="8459" max="8459" width="10" style="186" bestFit="1" customWidth="1"/>
    <col min="8460" max="8460" width="8.140625" style="186" bestFit="1" customWidth="1"/>
    <col min="8461" max="8461" width="8" style="186"/>
    <col min="8462" max="8462" width="8.85546875" style="186" bestFit="1" customWidth="1"/>
    <col min="8463" max="8697" width="8" style="186"/>
    <col min="8698" max="8699" width="3.42578125" style="186" customWidth="1"/>
    <col min="8700" max="8700" width="35.5703125" style="186" customWidth="1"/>
    <col min="8701" max="8701" width="14.5703125" style="186" customWidth="1"/>
    <col min="8702" max="8702" width="1.140625" style="186" customWidth="1"/>
    <col min="8703" max="8703" width="15.140625" style="186" bestFit="1" customWidth="1"/>
    <col min="8704" max="8704" width="1.140625" style="186" customWidth="1"/>
    <col min="8705" max="8705" width="14.5703125" style="186" customWidth="1"/>
    <col min="8706" max="8706" width="1.140625" style="186" customWidth="1"/>
    <col min="8707" max="8707" width="14.5703125" style="186" customWidth="1"/>
    <col min="8708" max="8708" width="1.140625" style="186" customWidth="1"/>
    <col min="8709" max="8709" width="12.42578125" style="186" customWidth="1"/>
    <col min="8710" max="8710" width="1.140625" style="186" customWidth="1"/>
    <col min="8711" max="8711" width="12.85546875" style="186" customWidth="1"/>
    <col min="8712" max="8712" width="13.5703125" style="186" customWidth="1"/>
    <col min="8713" max="8713" width="0.85546875" style="186" customWidth="1"/>
    <col min="8714" max="8714" width="13.5703125" style="186" customWidth="1"/>
    <col min="8715" max="8715" width="10" style="186" bestFit="1" customWidth="1"/>
    <col min="8716" max="8716" width="8.140625" style="186" bestFit="1" customWidth="1"/>
    <col min="8717" max="8717" width="8" style="186"/>
    <col min="8718" max="8718" width="8.85546875" style="186" bestFit="1" customWidth="1"/>
    <col min="8719" max="8953" width="8" style="186"/>
    <col min="8954" max="8955" width="3.42578125" style="186" customWidth="1"/>
    <col min="8956" max="8956" width="35.5703125" style="186" customWidth="1"/>
    <col min="8957" max="8957" width="14.5703125" style="186" customWidth="1"/>
    <col min="8958" max="8958" width="1.140625" style="186" customWidth="1"/>
    <col min="8959" max="8959" width="15.140625" style="186" bestFit="1" customWidth="1"/>
    <col min="8960" max="8960" width="1.140625" style="186" customWidth="1"/>
    <col min="8961" max="8961" width="14.5703125" style="186" customWidth="1"/>
    <col min="8962" max="8962" width="1.140625" style="186" customWidth="1"/>
    <col min="8963" max="8963" width="14.5703125" style="186" customWidth="1"/>
    <col min="8964" max="8964" width="1.140625" style="186" customWidth="1"/>
    <col min="8965" max="8965" width="12.42578125" style="186" customWidth="1"/>
    <col min="8966" max="8966" width="1.140625" style="186" customWidth="1"/>
    <col min="8967" max="8967" width="12.85546875" style="186" customWidth="1"/>
    <col min="8968" max="8968" width="13.5703125" style="186" customWidth="1"/>
    <col min="8969" max="8969" width="0.85546875" style="186" customWidth="1"/>
    <col min="8970" max="8970" width="13.5703125" style="186" customWidth="1"/>
    <col min="8971" max="8971" width="10" style="186" bestFit="1" customWidth="1"/>
    <col min="8972" max="8972" width="8.140625" style="186" bestFit="1" customWidth="1"/>
    <col min="8973" max="8973" width="8" style="186"/>
    <col min="8974" max="8974" width="8.85546875" style="186" bestFit="1" customWidth="1"/>
    <col min="8975" max="9209" width="8" style="186"/>
    <col min="9210" max="9211" width="3.42578125" style="186" customWidth="1"/>
    <col min="9212" max="9212" width="35.5703125" style="186" customWidth="1"/>
    <col min="9213" max="9213" width="14.5703125" style="186" customWidth="1"/>
    <col min="9214" max="9214" width="1.140625" style="186" customWidth="1"/>
    <col min="9215" max="9215" width="15.140625" style="186" bestFit="1" customWidth="1"/>
    <col min="9216" max="9216" width="1.140625" style="186" customWidth="1"/>
    <col min="9217" max="9217" width="14.5703125" style="186" customWidth="1"/>
    <col min="9218" max="9218" width="1.140625" style="186" customWidth="1"/>
    <col min="9219" max="9219" width="14.5703125" style="186" customWidth="1"/>
    <col min="9220" max="9220" width="1.140625" style="186" customWidth="1"/>
    <col min="9221" max="9221" width="12.42578125" style="186" customWidth="1"/>
    <col min="9222" max="9222" width="1.140625" style="186" customWidth="1"/>
    <col min="9223" max="9223" width="12.85546875" style="186" customWidth="1"/>
    <col min="9224" max="9224" width="13.5703125" style="186" customWidth="1"/>
    <col min="9225" max="9225" width="0.85546875" style="186" customWidth="1"/>
    <col min="9226" max="9226" width="13.5703125" style="186" customWidth="1"/>
    <col min="9227" max="9227" width="10" style="186" bestFit="1" customWidth="1"/>
    <col min="9228" max="9228" width="8.140625" style="186" bestFit="1" customWidth="1"/>
    <col min="9229" max="9229" width="8" style="186"/>
    <col min="9230" max="9230" width="8.85546875" style="186" bestFit="1" customWidth="1"/>
    <col min="9231" max="9465" width="8" style="186"/>
    <col min="9466" max="9467" width="3.42578125" style="186" customWidth="1"/>
    <col min="9468" max="9468" width="35.5703125" style="186" customWidth="1"/>
    <col min="9469" max="9469" width="14.5703125" style="186" customWidth="1"/>
    <col min="9470" max="9470" width="1.140625" style="186" customWidth="1"/>
    <col min="9471" max="9471" width="15.140625" style="186" bestFit="1" customWidth="1"/>
    <col min="9472" max="9472" width="1.140625" style="186" customWidth="1"/>
    <col min="9473" max="9473" width="14.5703125" style="186" customWidth="1"/>
    <col min="9474" max="9474" width="1.140625" style="186" customWidth="1"/>
    <col min="9475" max="9475" width="14.5703125" style="186" customWidth="1"/>
    <col min="9476" max="9476" width="1.140625" style="186" customWidth="1"/>
    <col min="9477" max="9477" width="12.42578125" style="186" customWidth="1"/>
    <col min="9478" max="9478" width="1.140625" style="186" customWidth="1"/>
    <col min="9479" max="9479" width="12.85546875" style="186" customWidth="1"/>
    <col min="9480" max="9480" width="13.5703125" style="186" customWidth="1"/>
    <col min="9481" max="9481" width="0.85546875" style="186" customWidth="1"/>
    <col min="9482" max="9482" width="13.5703125" style="186" customWidth="1"/>
    <col min="9483" max="9483" width="10" style="186" bestFit="1" customWidth="1"/>
    <col min="9484" max="9484" width="8.140625" style="186" bestFit="1" customWidth="1"/>
    <col min="9485" max="9485" width="8" style="186"/>
    <col min="9486" max="9486" width="8.85546875" style="186" bestFit="1" customWidth="1"/>
    <col min="9487" max="9721" width="8" style="186"/>
    <col min="9722" max="9723" width="3.42578125" style="186" customWidth="1"/>
    <col min="9724" max="9724" width="35.5703125" style="186" customWidth="1"/>
    <col min="9725" max="9725" width="14.5703125" style="186" customWidth="1"/>
    <col min="9726" max="9726" width="1.140625" style="186" customWidth="1"/>
    <col min="9727" max="9727" width="15.140625" style="186" bestFit="1" customWidth="1"/>
    <col min="9728" max="9728" width="1.140625" style="186" customWidth="1"/>
    <col min="9729" max="9729" width="14.5703125" style="186" customWidth="1"/>
    <col min="9730" max="9730" width="1.140625" style="186" customWidth="1"/>
    <col min="9731" max="9731" width="14.5703125" style="186" customWidth="1"/>
    <col min="9732" max="9732" width="1.140625" style="186" customWidth="1"/>
    <col min="9733" max="9733" width="12.42578125" style="186" customWidth="1"/>
    <col min="9734" max="9734" width="1.140625" style="186" customWidth="1"/>
    <col min="9735" max="9735" width="12.85546875" style="186" customWidth="1"/>
    <col min="9736" max="9736" width="13.5703125" style="186" customWidth="1"/>
    <col min="9737" max="9737" width="0.85546875" style="186" customWidth="1"/>
    <col min="9738" max="9738" width="13.5703125" style="186" customWidth="1"/>
    <col min="9739" max="9739" width="10" style="186" bestFit="1" customWidth="1"/>
    <col min="9740" max="9740" width="8.140625" style="186" bestFit="1" customWidth="1"/>
    <col min="9741" max="9741" width="8" style="186"/>
    <col min="9742" max="9742" width="8.85546875" style="186" bestFit="1" customWidth="1"/>
    <col min="9743" max="9977" width="8" style="186"/>
    <col min="9978" max="9979" width="3.42578125" style="186" customWidth="1"/>
    <col min="9980" max="9980" width="35.5703125" style="186" customWidth="1"/>
    <col min="9981" max="9981" width="14.5703125" style="186" customWidth="1"/>
    <col min="9982" max="9982" width="1.140625" style="186" customWidth="1"/>
    <col min="9983" max="9983" width="15.140625" style="186" bestFit="1" customWidth="1"/>
    <col min="9984" max="9984" width="1.140625" style="186" customWidth="1"/>
    <col min="9985" max="9985" width="14.5703125" style="186" customWidth="1"/>
    <col min="9986" max="9986" width="1.140625" style="186" customWidth="1"/>
    <col min="9987" max="9987" width="14.5703125" style="186" customWidth="1"/>
    <col min="9988" max="9988" width="1.140625" style="186" customWidth="1"/>
    <col min="9989" max="9989" width="12.42578125" style="186" customWidth="1"/>
    <col min="9990" max="9990" width="1.140625" style="186" customWidth="1"/>
    <col min="9991" max="9991" width="12.85546875" style="186" customWidth="1"/>
    <col min="9992" max="9992" width="13.5703125" style="186" customWidth="1"/>
    <col min="9993" max="9993" width="0.85546875" style="186" customWidth="1"/>
    <col min="9994" max="9994" width="13.5703125" style="186" customWidth="1"/>
    <col min="9995" max="9995" width="10" style="186" bestFit="1" customWidth="1"/>
    <col min="9996" max="9996" width="8.140625" style="186" bestFit="1" customWidth="1"/>
    <col min="9997" max="9997" width="8" style="186"/>
    <col min="9998" max="9998" width="8.85546875" style="186" bestFit="1" customWidth="1"/>
    <col min="9999" max="10233" width="8" style="186"/>
    <col min="10234" max="10235" width="3.42578125" style="186" customWidth="1"/>
    <col min="10236" max="10236" width="35.5703125" style="186" customWidth="1"/>
    <col min="10237" max="10237" width="14.5703125" style="186" customWidth="1"/>
    <col min="10238" max="10238" width="1.140625" style="186" customWidth="1"/>
    <col min="10239" max="10239" width="15.140625" style="186" bestFit="1" customWidth="1"/>
    <col min="10240" max="10240" width="1.140625" style="186" customWidth="1"/>
    <col min="10241" max="10241" width="14.5703125" style="186" customWidth="1"/>
    <col min="10242" max="10242" width="1.140625" style="186" customWidth="1"/>
    <col min="10243" max="10243" width="14.5703125" style="186" customWidth="1"/>
    <col min="10244" max="10244" width="1.140625" style="186" customWidth="1"/>
    <col min="10245" max="10245" width="12.42578125" style="186" customWidth="1"/>
    <col min="10246" max="10246" width="1.140625" style="186" customWidth="1"/>
    <col min="10247" max="10247" width="12.85546875" style="186" customWidth="1"/>
    <col min="10248" max="10248" width="13.5703125" style="186" customWidth="1"/>
    <col min="10249" max="10249" width="0.85546875" style="186" customWidth="1"/>
    <col min="10250" max="10250" width="13.5703125" style="186" customWidth="1"/>
    <col min="10251" max="10251" width="10" style="186" bestFit="1" customWidth="1"/>
    <col min="10252" max="10252" width="8.140625" style="186" bestFit="1" customWidth="1"/>
    <col min="10253" max="10253" width="8" style="186"/>
    <col min="10254" max="10254" width="8.85546875" style="186" bestFit="1" customWidth="1"/>
    <col min="10255" max="10489" width="8" style="186"/>
    <col min="10490" max="10491" width="3.42578125" style="186" customWidth="1"/>
    <col min="10492" max="10492" width="35.5703125" style="186" customWidth="1"/>
    <col min="10493" max="10493" width="14.5703125" style="186" customWidth="1"/>
    <col min="10494" max="10494" width="1.140625" style="186" customWidth="1"/>
    <col min="10495" max="10495" width="15.140625" style="186" bestFit="1" customWidth="1"/>
    <col min="10496" max="10496" width="1.140625" style="186" customWidth="1"/>
    <col min="10497" max="10497" width="14.5703125" style="186" customWidth="1"/>
    <col min="10498" max="10498" width="1.140625" style="186" customWidth="1"/>
    <col min="10499" max="10499" width="14.5703125" style="186" customWidth="1"/>
    <col min="10500" max="10500" width="1.140625" style="186" customWidth="1"/>
    <col min="10501" max="10501" width="12.42578125" style="186" customWidth="1"/>
    <col min="10502" max="10502" width="1.140625" style="186" customWidth="1"/>
    <col min="10503" max="10503" width="12.85546875" style="186" customWidth="1"/>
    <col min="10504" max="10504" width="13.5703125" style="186" customWidth="1"/>
    <col min="10505" max="10505" width="0.85546875" style="186" customWidth="1"/>
    <col min="10506" max="10506" width="13.5703125" style="186" customWidth="1"/>
    <col min="10507" max="10507" width="10" style="186" bestFit="1" customWidth="1"/>
    <col min="10508" max="10508" width="8.140625" style="186" bestFit="1" customWidth="1"/>
    <col min="10509" max="10509" width="8" style="186"/>
    <col min="10510" max="10510" width="8.85546875" style="186" bestFit="1" customWidth="1"/>
    <col min="10511" max="10745" width="8" style="186"/>
    <col min="10746" max="10747" width="3.42578125" style="186" customWidth="1"/>
    <col min="10748" max="10748" width="35.5703125" style="186" customWidth="1"/>
    <col min="10749" max="10749" width="14.5703125" style="186" customWidth="1"/>
    <col min="10750" max="10750" width="1.140625" style="186" customWidth="1"/>
    <col min="10751" max="10751" width="15.140625" style="186" bestFit="1" customWidth="1"/>
    <col min="10752" max="10752" width="1.140625" style="186" customWidth="1"/>
    <col min="10753" max="10753" width="14.5703125" style="186" customWidth="1"/>
    <col min="10754" max="10754" width="1.140625" style="186" customWidth="1"/>
    <col min="10755" max="10755" width="14.5703125" style="186" customWidth="1"/>
    <col min="10756" max="10756" width="1.140625" style="186" customWidth="1"/>
    <col min="10757" max="10757" width="12.42578125" style="186" customWidth="1"/>
    <col min="10758" max="10758" width="1.140625" style="186" customWidth="1"/>
    <col min="10759" max="10759" width="12.85546875" style="186" customWidth="1"/>
    <col min="10760" max="10760" width="13.5703125" style="186" customWidth="1"/>
    <col min="10761" max="10761" width="0.85546875" style="186" customWidth="1"/>
    <col min="10762" max="10762" width="13.5703125" style="186" customWidth="1"/>
    <col min="10763" max="10763" width="10" style="186" bestFit="1" customWidth="1"/>
    <col min="10764" max="10764" width="8.140625" style="186" bestFit="1" customWidth="1"/>
    <col min="10765" max="10765" width="8" style="186"/>
    <col min="10766" max="10766" width="8.85546875" style="186" bestFit="1" customWidth="1"/>
    <col min="10767" max="11001" width="8" style="186"/>
    <col min="11002" max="11003" width="3.42578125" style="186" customWidth="1"/>
    <col min="11004" max="11004" width="35.5703125" style="186" customWidth="1"/>
    <col min="11005" max="11005" width="14.5703125" style="186" customWidth="1"/>
    <col min="11006" max="11006" width="1.140625" style="186" customWidth="1"/>
    <col min="11007" max="11007" width="15.140625" style="186" bestFit="1" customWidth="1"/>
    <col min="11008" max="11008" width="1.140625" style="186" customWidth="1"/>
    <col min="11009" max="11009" width="14.5703125" style="186" customWidth="1"/>
    <col min="11010" max="11010" width="1.140625" style="186" customWidth="1"/>
    <col min="11011" max="11011" width="14.5703125" style="186" customWidth="1"/>
    <col min="11012" max="11012" width="1.140625" style="186" customWidth="1"/>
    <col min="11013" max="11013" width="12.42578125" style="186" customWidth="1"/>
    <col min="11014" max="11014" width="1.140625" style="186" customWidth="1"/>
    <col min="11015" max="11015" width="12.85546875" style="186" customWidth="1"/>
    <col min="11016" max="11016" width="13.5703125" style="186" customWidth="1"/>
    <col min="11017" max="11017" width="0.85546875" style="186" customWidth="1"/>
    <col min="11018" max="11018" width="13.5703125" style="186" customWidth="1"/>
    <col min="11019" max="11019" width="10" style="186" bestFit="1" customWidth="1"/>
    <col min="11020" max="11020" width="8.140625" style="186" bestFit="1" customWidth="1"/>
    <col min="11021" max="11021" width="8" style="186"/>
    <col min="11022" max="11022" width="8.85546875" style="186" bestFit="1" customWidth="1"/>
    <col min="11023" max="11257" width="8" style="186"/>
    <col min="11258" max="11259" width="3.42578125" style="186" customWidth="1"/>
    <col min="11260" max="11260" width="35.5703125" style="186" customWidth="1"/>
    <col min="11261" max="11261" width="14.5703125" style="186" customWidth="1"/>
    <col min="11262" max="11262" width="1.140625" style="186" customWidth="1"/>
    <col min="11263" max="11263" width="15.140625" style="186" bestFit="1" customWidth="1"/>
    <col min="11264" max="11264" width="1.140625" style="186" customWidth="1"/>
    <col min="11265" max="11265" width="14.5703125" style="186" customWidth="1"/>
    <col min="11266" max="11266" width="1.140625" style="186" customWidth="1"/>
    <col min="11267" max="11267" width="14.5703125" style="186" customWidth="1"/>
    <col min="11268" max="11268" width="1.140625" style="186" customWidth="1"/>
    <col min="11269" max="11269" width="12.42578125" style="186" customWidth="1"/>
    <col min="11270" max="11270" width="1.140625" style="186" customWidth="1"/>
    <col min="11271" max="11271" width="12.85546875" style="186" customWidth="1"/>
    <col min="11272" max="11272" width="13.5703125" style="186" customWidth="1"/>
    <col min="11273" max="11273" width="0.85546875" style="186" customWidth="1"/>
    <col min="11274" max="11274" width="13.5703125" style="186" customWidth="1"/>
    <col min="11275" max="11275" width="10" style="186" bestFit="1" customWidth="1"/>
    <col min="11276" max="11276" width="8.140625" style="186" bestFit="1" customWidth="1"/>
    <col min="11277" max="11277" width="8" style="186"/>
    <col min="11278" max="11278" width="8.85546875" style="186" bestFit="1" customWidth="1"/>
    <col min="11279" max="11513" width="8" style="186"/>
    <col min="11514" max="11515" width="3.42578125" style="186" customWidth="1"/>
    <col min="11516" max="11516" width="35.5703125" style="186" customWidth="1"/>
    <col min="11517" max="11517" width="14.5703125" style="186" customWidth="1"/>
    <col min="11518" max="11518" width="1.140625" style="186" customWidth="1"/>
    <col min="11519" max="11519" width="15.140625" style="186" bestFit="1" customWidth="1"/>
    <col min="11520" max="11520" width="1.140625" style="186" customWidth="1"/>
    <col min="11521" max="11521" width="14.5703125" style="186" customWidth="1"/>
    <col min="11522" max="11522" width="1.140625" style="186" customWidth="1"/>
    <col min="11523" max="11523" width="14.5703125" style="186" customWidth="1"/>
    <col min="11524" max="11524" width="1.140625" style="186" customWidth="1"/>
    <col min="11525" max="11525" width="12.42578125" style="186" customWidth="1"/>
    <col min="11526" max="11526" width="1.140625" style="186" customWidth="1"/>
    <col min="11527" max="11527" width="12.85546875" style="186" customWidth="1"/>
    <col min="11528" max="11528" width="13.5703125" style="186" customWidth="1"/>
    <col min="11529" max="11529" width="0.85546875" style="186" customWidth="1"/>
    <col min="11530" max="11530" width="13.5703125" style="186" customWidth="1"/>
    <col min="11531" max="11531" width="10" style="186" bestFit="1" customWidth="1"/>
    <col min="11532" max="11532" width="8.140625" style="186" bestFit="1" customWidth="1"/>
    <col min="11533" max="11533" width="8" style="186"/>
    <col min="11534" max="11534" width="8.85546875" style="186" bestFit="1" customWidth="1"/>
    <col min="11535" max="11769" width="8" style="186"/>
    <col min="11770" max="11771" width="3.42578125" style="186" customWidth="1"/>
    <col min="11772" max="11772" width="35.5703125" style="186" customWidth="1"/>
    <col min="11773" max="11773" width="14.5703125" style="186" customWidth="1"/>
    <col min="11774" max="11774" width="1.140625" style="186" customWidth="1"/>
    <col min="11775" max="11775" width="15.140625" style="186" bestFit="1" customWidth="1"/>
    <col min="11776" max="11776" width="1.140625" style="186" customWidth="1"/>
    <col min="11777" max="11777" width="14.5703125" style="186" customWidth="1"/>
    <col min="11778" max="11778" width="1.140625" style="186" customWidth="1"/>
    <col min="11779" max="11779" width="14.5703125" style="186" customWidth="1"/>
    <col min="11780" max="11780" width="1.140625" style="186" customWidth="1"/>
    <col min="11781" max="11781" width="12.42578125" style="186" customWidth="1"/>
    <col min="11782" max="11782" width="1.140625" style="186" customWidth="1"/>
    <col min="11783" max="11783" width="12.85546875" style="186" customWidth="1"/>
    <col min="11784" max="11784" width="13.5703125" style="186" customWidth="1"/>
    <col min="11785" max="11785" width="0.85546875" style="186" customWidth="1"/>
    <col min="11786" max="11786" width="13.5703125" style="186" customWidth="1"/>
    <col min="11787" max="11787" width="10" style="186" bestFit="1" customWidth="1"/>
    <col min="11788" max="11788" width="8.140625" style="186" bestFit="1" customWidth="1"/>
    <col min="11789" max="11789" width="8" style="186"/>
    <col min="11790" max="11790" width="8.85546875" style="186" bestFit="1" customWidth="1"/>
    <col min="11791" max="12025" width="8" style="186"/>
    <col min="12026" max="12027" width="3.42578125" style="186" customWidth="1"/>
    <col min="12028" max="12028" width="35.5703125" style="186" customWidth="1"/>
    <col min="12029" max="12029" width="14.5703125" style="186" customWidth="1"/>
    <col min="12030" max="12030" width="1.140625" style="186" customWidth="1"/>
    <col min="12031" max="12031" width="15.140625" style="186" bestFit="1" customWidth="1"/>
    <col min="12032" max="12032" width="1.140625" style="186" customWidth="1"/>
    <col min="12033" max="12033" width="14.5703125" style="186" customWidth="1"/>
    <col min="12034" max="12034" width="1.140625" style="186" customWidth="1"/>
    <col min="12035" max="12035" width="14.5703125" style="186" customWidth="1"/>
    <col min="12036" max="12036" width="1.140625" style="186" customWidth="1"/>
    <col min="12037" max="12037" width="12.42578125" style="186" customWidth="1"/>
    <col min="12038" max="12038" width="1.140625" style="186" customWidth="1"/>
    <col min="12039" max="12039" width="12.85546875" style="186" customWidth="1"/>
    <col min="12040" max="12040" width="13.5703125" style="186" customWidth="1"/>
    <col min="12041" max="12041" width="0.85546875" style="186" customWidth="1"/>
    <col min="12042" max="12042" width="13.5703125" style="186" customWidth="1"/>
    <col min="12043" max="12043" width="10" style="186" bestFit="1" customWidth="1"/>
    <col min="12044" max="12044" width="8.140625" style="186" bestFit="1" customWidth="1"/>
    <col min="12045" max="12045" width="8" style="186"/>
    <col min="12046" max="12046" width="8.85546875" style="186" bestFit="1" customWidth="1"/>
    <col min="12047" max="12281" width="8" style="186"/>
    <col min="12282" max="12283" width="3.42578125" style="186" customWidth="1"/>
    <col min="12284" max="12284" width="35.5703125" style="186" customWidth="1"/>
    <col min="12285" max="12285" width="14.5703125" style="186" customWidth="1"/>
    <col min="12286" max="12286" width="1.140625" style="186" customWidth="1"/>
    <col min="12287" max="12287" width="15.140625" style="186" bestFit="1" customWidth="1"/>
    <col min="12288" max="12288" width="1.140625" style="186" customWidth="1"/>
    <col min="12289" max="12289" width="14.5703125" style="186" customWidth="1"/>
    <col min="12290" max="12290" width="1.140625" style="186" customWidth="1"/>
    <col min="12291" max="12291" width="14.5703125" style="186" customWidth="1"/>
    <col min="12292" max="12292" width="1.140625" style="186" customWidth="1"/>
    <col min="12293" max="12293" width="12.42578125" style="186" customWidth="1"/>
    <col min="12294" max="12294" width="1.140625" style="186" customWidth="1"/>
    <col min="12295" max="12295" width="12.85546875" style="186" customWidth="1"/>
    <col min="12296" max="12296" width="13.5703125" style="186" customWidth="1"/>
    <col min="12297" max="12297" width="0.85546875" style="186" customWidth="1"/>
    <col min="12298" max="12298" width="13.5703125" style="186" customWidth="1"/>
    <col min="12299" max="12299" width="10" style="186" bestFit="1" customWidth="1"/>
    <col min="12300" max="12300" width="8.140625" style="186" bestFit="1" customWidth="1"/>
    <col min="12301" max="12301" width="8" style="186"/>
    <col min="12302" max="12302" width="8.85546875" style="186" bestFit="1" customWidth="1"/>
    <col min="12303" max="12537" width="8" style="186"/>
    <col min="12538" max="12539" width="3.42578125" style="186" customWidth="1"/>
    <col min="12540" max="12540" width="35.5703125" style="186" customWidth="1"/>
    <col min="12541" max="12541" width="14.5703125" style="186" customWidth="1"/>
    <col min="12542" max="12542" width="1.140625" style="186" customWidth="1"/>
    <col min="12543" max="12543" width="15.140625" style="186" bestFit="1" customWidth="1"/>
    <col min="12544" max="12544" width="1.140625" style="186" customWidth="1"/>
    <col min="12545" max="12545" width="14.5703125" style="186" customWidth="1"/>
    <col min="12546" max="12546" width="1.140625" style="186" customWidth="1"/>
    <col min="12547" max="12547" width="14.5703125" style="186" customWidth="1"/>
    <col min="12548" max="12548" width="1.140625" style="186" customWidth="1"/>
    <col min="12549" max="12549" width="12.42578125" style="186" customWidth="1"/>
    <col min="12550" max="12550" width="1.140625" style="186" customWidth="1"/>
    <col min="12551" max="12551" width="12.85546875" style="186" customWidth="1"/>
    <col min="12552" max="12552" width="13.5703125" style="186" customWidth="1"/>
    <col min="12553" max="12553" width="0.85546875" style="186" customWidth="1"/>
    <col min="12554" max="12554" width="13.5703125" style="186" customWidth="1"/>
    <col min="12555" max="12555" width="10" style="186" bestFit="1" customWidth="1"/>
    <col min="12556" max="12556" width="8.140625" style="186" bestFit="1" customWidth="1"/>
    <col min="12557" max="12557" width="8" style="186"/>
    <col min="12558" max="12558" width="8.85546875" style="186" bestFit="1" customWidth="1"/>
    <col min="12559" max="12793" width="8" style="186"/>
    <col min="12794" max="12795" width="3.42578125" style="186" customWidth="1"/>
    <col min="12796" max="12796" width="35.5703125" style="186" customWidth="1"/>
    <col min="12797" max="12797" width="14.5703125" style="186" customWidth="1"/>
    <col min="12798" max="12798" width="1.140625" style="186" customWidth="1"/>
    <col min="12799" max="12799" width="15.140625" style="186" bestFit="1" customWidth="1"/>
    <col min="12800" max="12800" width="1.140625" style="186" customWidth="1"/>
    <col min="12801" max="12801" width="14.5703125" style="186" customWidth="1"/>
    <col min="12802" max="12802" width="1.140625" style="186" customWidth="1"/>
    <col min="12803" max="12803" width="14.5703125" style="186" customWidth="1"/>
    <col min="12804" max="12804" width="1.140625" style="186" customWidth="1"/>
    <col min="12805" max="12805" width="12.42578125" style="186" customWidth="1"/>
    <col min="12806" max="12806" width="1.140625" style="186" customWidth="1"/>
    <col min="12807" max="12807" width="12.85546875" style="186" customWidth="1"/>
    <col min="12808" max="12808" width="13.5703125" style="186" customWidth="1"/>
    <col min="12809" max="12809" width="0.85546875" style="186" customWidth="1"/>
    <col min="12810" max="12810" width="13.5703125" style="186" customWidth="1"/>
    <col min="12811" max="12811" width="10" style="186" bestFit="1" customWidth="1"/>
    <col min="12812" max="12812" width="8.140625" style="186" bestFit="1" customWidth="1"/>
    <col min="12813" max="12813" width="8" style="186"/>
    <col min="12814" max="12814" width="8.85546875" style="186" bestFit="1" customWidth="1"/>
    <col min="12815" max="13049" width="8" style="186"/>
    <col min="13050" max="13051" width="3.42578125" style="186" customWidth="1"/>
    <col min="13052" max="13052" width="35.5703125" style="186" customWidth="1"/>
    <col min="13053" max="13053" width="14.5703125" style="186" customWidth="1"/>
    <col min="13054" max="13054" width="1.140625" style="186" customWidth="1"/>
    <col min="13055" max="13055" width="15.140625" style="186" bestFit="1" customWidth="1"/>
    <col min="13056" max="13056" width="1.140625" style="186" customWidth="1"/>
    <col min="13057" max="13057" width="14.5703125" style="186" customWidth="1"/>
    <col min="13058" max="13058" width="1.140625" style="186" customWidth="1"/>
    <col min="13059" max="13059" width="14.5703125" style="186" customWidth="1"/>
    <col min="13060" max="13060" width="1.140625" style="186" customWidth="1"/>
    <col min="13061" max="13061" width="12.42578125" style="186" customWidth="1"/>
    <col min="13062" max="13062" width="1.140625" style="186" customWidth="1"/>
    <col min="13063" max="13063" width="12.85546875" style="186" customWidth="1"/>
    <col min="13064" max="13064" width="13.5703125" style="186" customWidth="1"/>
    <col min="13065" max="13065" width="0.85546875" style="186" customWidth="1"/>
    <col min="13066" max="13066" width="13.5703125" style="186" customWidth="1"/>
    <col min="13067" max="13067" width="10" style="186" bestFit="1" customWidth="1"/>
    <col min="13068" max="13068" width="8.140625" style="186" bestFit="1" customWidth="1"/>
    <col min="13069" max="13069" width="8" style="186"/>
    <col min="13070" max="13070" width="8.85546875" style="186" bestFit="1" customWidth="1"/>
    <col min="13071" max="13305" width="8" style="186"/>
    <col min="13306" max="13307" width="3.42578125" style="186" customWidth="1"/>
    <col min="13308" max="13308" width="35.5703125" style="186" customWidth="1"/>
    <col min="13309" max="13309" width="14.5703125" style="186" customWidth="1"/>
    <col min="13310" max="13310" width="1.140625" style="186" customWidth="1"/>
    <col min="13311" max="13311" width="15.140625" style="186" bestFit="1" customWidth="1"/>
    <col min="13312" max="13312" width="1.140625" style="186" customWidth="1"/>
    <col min="13313" max="13313" width="14.5703125" style="186" customWidth="1"/>
    <col min="13314" max="13314" width="1.140625" style="186" customWidth="1"/>
    <col min="13315" max="13315" width="14.5703125" style="186" customWidth="1"/>
    <col min="13316" max="13316" width="1.140625" style="186" customWidth="1"/>
    <col min="13317" max="13317" width="12.42578125" style="186" customWidth="1"/>
    <col min="13318" max="13318" width="1.140625" style="186" customWidth="1"/>
    <col min="13319" max="13319" width="12.85546875" style="186" customWidth="1"/>
    <col min="13320" max="13320" width="13.5703125" style="186" customWidth="1"/>
    <col min="13321" max="13321" width="0.85546875" style="186" customWidth="1"/>
    <col min="13322" max="13322" width="13.5703125" style="186" customWidth="1"/>
    <col min="13323" max="13323" width="10" style="186" bestFit="1" customWidth="1"/>
    <col min="13324" max="13324" width="8.140625" style="186" bestFit="1" customWidth="1"/>
    <col min="13325" max="13325" width="8" style="186"/>
    <col min="13326" max="13326" width="8.85546875" style="186" bestFit="1" customWidth="1"/>
    <col min="13327" max="13561" width="8" style="186"/>
    <col min="13562" max="13563" width="3.42578125" style="186" customWidth="1"/>
    <col min="13564" max="13564" width="35.5703125" style="186" customWidth="1"/>
    <col min="13565" max="13565" width="14.5703125" style="186" customWidth="1"/>
    <col min="13566" max="13566" width="1.140625" style="186" customWidth="1"/>
    <col min="13567" max="13567" width="15.140625" style="186" bestFit="1" customWidth="1"/>
    <col min="13568" max="13568" width="1.140625" style="186" customWidth="1"/>
    <col min="13569" max="13569" width="14.5703125" style="186" customWidth="1"/>
    <col min="13570" max="13570" width="1.140625" style="186" customWidth="1"/>
    <col min="13571" max="13571" width="14.5703125" style="186" customWidth="1"/>
    <col min="13572" max="13572" width="1.140625" style="186" customWidth="1"/>
    <col min="13573" max="13573" width="12.42578125" style="186" customWidth="1"/>
    <col min="13574" max="13574" width="1.140625" style="186" customWidth="1"/>
    <col min="13575" max="13575" width="12.85546875" style="186" customWidth="1"/>
    <col min="13576" max="13576" width="13.5703125" style="186" customWidth="1"/>
    <col min="13577" max="13577" width="0.85546875" style="186" customWidth="1"/>
    <col min="13578" max="13578" width="13.5703125" style="186" customWidth="1"/>
    <col min="13579" max="13579" width="10" style="186" bestFit="1" customWidth="1"/>
    <col min="13580" max="13580" width="8.140625" style="186" bestFit="1" customWidth="1"/>
    <col min="13581" max="13581" width="8" style="186"/>
    <col min="13582" max="13582" width="8.85546875" style="186" bestFit="1" customWidth="1"/>
    <col min="13583" max="13817" width="8" style="186"/>
    <col min="13818" max="13819" width="3.42578125" style="186" customWidth="1"/>
    <col min="13820" max="13820" width="35.5703125" style="186" customWidth="1"/>
    <col min="13821" max="13821" width="14.5703125" style="186" customWidth="1"/>
    <col min="13822" max="13822" width="1.140625" style="186" customWidth="1"/>
    <col min="13823" max="13823" width="15.140625" style="186" bestFit="1" customWidth="1"/>
    <col min="13824" max="13824" width="1.140625" style="186" customWidth="1"/>
    <col min="13825" max="13825" width="14.5703125" style="186" customWidth="1"/>
    <col min="13826" max="13826" width="1.140625" style="186" customWidth="1"/>
    <col min="13827" max="13827" width="14.5703125" style="186" customWidth="1"/>
    <col min="13828" max="13828" width="1.140625" style="186" customWidth="1"/>
    <col min="13829" max="13829" width="12.42578125" style="186" customWidth="1"/>
    <col min="13830" max="13830" width="1.140625" style="186" customWidth="1"/>
    <col min="13831" max="13831" width="12.85546875" style="186" customWidth="1"/>
    <col min="13832" max="13832" width="13.5703125" style="186" customWidth="1"/>
    <col min="13833" max="13833" width="0.85546875" style="186" customWidth="1"/>
    <col min="13834" max="13834" width="13.5703125" style="186" customWidth="1"/>
    <col min="13835" max="13835" width="10" style="186" bestFit="1" customWidth="1"/>
    <col min="13836" max="13836" width="8.140625" style="186" bestFit="1" customWidth="1"/>
    <col min="13837" max="13837" width="8" style="186"/>
    <col min="13838" max="13838" width="8.85546875" style="186" bestFit="1" customWidth="1"/>
    <col min="13839" max="14073" width="8" style="186"/>
    <col min="14074" max="14075" width="3.42578125" style="186" customWidth="1"/>
    <col min="14076" max="14076" width="35.5703125" style="186" customWidth="1"/>
    <col min="14077" max="14077" width="14.5703125" style="186" customWidth="1"/>
    <col min="14078" max="14078" width="1.140625" style="186" customWidth="1"/>
    <col min="14079" max="14079" width="15.140625" style="186" bestFit="1" customWidth="1"/>
    <col min="14080" max="14080" width="1.140625" style="186" customWidth="1"/>
    <col min="14081" max="14081" width="14.5703125" style="186" customWidth="1"/>
    <col min="14082" max="14082" width="1.140625" style="186" customWidth="1"/>
    <col min="14083" max="14083" width="14.5703125" style="186" customWidth="1"/>
    <col min="14084" max="14084" width="1.140625" style="186" customWidth="1"/>
    <col min="14085" max="14085" width="12.42578125" style="186" customWidth="1"/>
    <col min="14086" max="14086" width="1.140625" style="186" customWidth="1"/>
    <col min="14087" max="14087" width="12.85546875" style="186" customWidth="1"/>
    <col min="14088" max="14088" width="13.5703125" style="186" customWidth="1"/>
    <col min="14089" max="14089" width="0.85546875" style="186" customWidth="1"/>
    <col min="14090" max="14090" width="13.5703125" style="186" customWidth="1"/>
    <col min="14091" max="14091" width="10" style="186" bestFit="1" customWidth="1"/>
    <col min="14092" max="14092" width="8.140625" style="186" bestFit="1" customWidth="1"/>
    <col min="14093" max="14093" width="8" style="186"/>
    <col min="14094" max="14094" width="8.85546875" style="186" bestFit="1" customWidth="1"/>
    <col min="14095" max="14329" width="8" style="186"/>
    <col min="14330" max="14331" width="3.42578125" style="186" customWidth="1"/>
    <col min="14332" max="14332" width="35.5703125" style="186" customWidth="1"/>
    <col min="14333" max="14333" width="14.5703125" style="186" customWidth="1"/>
    <col min="14334" max="14334" width="1.140625" style="186" customWidth="1"/>
    <col min="14335" max="14335" width="15.140625" style="186" bestFit="1" customWidth="1"/>
    <col min="14336" max="14336" width="1.140625" style="186" customWidth="1"/>
    <col min="14337" max="14337" width="14.5703125" style="186" customWidth="1"/>
    <col min="14338" max="14338" width="1.140625" style="186" customWidth="1"/>
    <col min="14339" max="14339" width="14.5703125" style="186" customWidth="1"/>
    <col min="14340" max="14340" width="1.140625" style="186" customWidth="1"/>
    <col min="14341" max="14341" width="12.42578125" style="186" customWidth="1"/>
    <col min="14342" max="14342" width="1.140625" style="186" customWidth="1"/>
    <col min="14343" max="14343" width="12.85546875" style="186" customWidth="1"/>
    <col min="14344" max="14344" width="13.5703125" style="186" customWidth="1"/>
    <col min="14345" max="14345" width="0.85546875" style="186" customWidth="1"/>
    <col min="14346" max="14346" width="13.5703125" style="186" customWidth="1"/>
    <col min="14347" max="14347" width="10" style="186" bestFit="1" customWidth="1"/>
    <col min="14348" max="14348" width="8.140625" style="186" bestFit="1" customWidth="1"/>
    <col min="14349" max="14349" width="8" style="186"/>
    <col min="14350" max="14350" width="8.85546875" style="186" bestFit="1" customWidth="1"/>
    <col min="14351" max="14585" width="8" style="186"/>
    <col min="14586" max="14587" width="3.42578125" style="186" customWidth="1"/>
    <col min="14588" max="14588" width="35.5703125" style="186" customWidth="1"/>
    <col min="14589" max="14589" width="14.5703125" style="186" customWidth="1"/>
    <col min="14590" max="14590" width="1.140625" style="186" customWidth="1"/>
    <col min="14591" max="14591" width="15.140625" style="186" bestFit="1" customWidth="1"/>
    <col min="14592" max="14592" width="1.140625" style="186" customWidth="1"/>
    <col min="14593" max="14593" width="14.5703125" style="186" customWidth="1"/>
    <col min="14594" max="14594" width="1.140625" style="186" customWidth="1"/>
    <col min="14595" max="14595" width="14.5703125" style="186" customWidth="1"/>
    <col min="14596" max="14596" width="1.140625" style="186" customWidth="1"/>
    <col min="14597" max="14597" width="12.42578125" style="186" customWidth="1"/>
    <col min="14598" max="14598" width="1.140625" style="186" customWidth="1"/>
    <col min="14599" max="14599" width="12.85546875" style="186" customWidth="1"/>
    <col min="14600" max="14600" width="13.5703125" style="186" customWidth="1"/>
    <col min="14601" max="14601" width="0.85546875" style="186" customWidth="1"/>
    <col min="14602" max="14602" width="13.5703125" style="186" customWidth="1"/>
    <col min="14603" max="14603" width="10" style="186" bestFit="1" customWidth="1"/>
    <col min="14604" max="14604" width="8.140625" style="186" bestFit="1" customWidth="1"/>
    <col min="14605" max="14605" width="8" style="186"/>
    <col min="14606" max="14606" width="8.85546875" style="186" bestFit="1" customWidth="1"/>
    <col min="14607" max="14841" width="8" style="186"/>
    <col min="14842" max="14843" width="3.42578125" style="186" customWidth="1"/>
    <col min="14844" max="14844" width="35.5703125" style="186" customWidth="1"/>
    <col min="14845" max="14845" width="14.5703125" style="186" customWidth="1"/>
    <col min="14846" max="14846" width="1.140625" style="186" customWidth="1"/>
    <col min="14847" max="14847" width="15.140625" style="186" bestFit="1" customWidth="1"/>
    <col min="14848" max="14848" width="1.140625" style="186" customWidth="1"/>
    <col min="14849" max="14849" width="14.5703125" style="186" customWidth="1"/>
    <col min="14850" max="14850" width="1.140625" style="186" customWidth="1"/>
    <col min="14851" max="14851" width="14.5703125" style="186" customWidth="1"/>
    <col min="14852" max="14852" width="1.140625" style="186" customWidth="1"/>
    <col min="14853" max="14853" width="12.42578125" style="186" customWidth="1"/>
    <col min="14854" max="14854" width="1.140625" style="186" customWidth="1"/>
    <col min="14855" max="14855" width="12.85546875" style="186" customWidth="1"/>
    <col min="14856" max="14856" width="13.5703125" style="186" customWidth="1"/>
    <col min="14857" max="14857" width="0.85546875" style="186" customWidth="1"/>
    <col min="14858" max="14858" width="13.5703125" style="186" customWidth="1"/>
    <col min="14859" max="14859" width="10" style="186" bestFit="1" customWidth="1"/>
    <col min="14860" max="14860" width="8.140625" style="186" bestFit="1" customWidth="1"/>
    <col min="14861" max="14861" width="8" style="186"/>
    <col min="14862" max="14862" width="8.85546875" style="186" bestFit="1" customWidth="1"/>
    <col min="14863" max="15097" width="8" style="186"/>
    <col min="15098" max="15099" width="3.42578125" style="186" customWidth="1"/>
    <col min="15100" max="15100" width="35.5703125" style="186" customWidth="1"/>
    <col min="15101" max="15101" width="14.5703125" style="186" customWidth="1"/>
    <col min="15102" max="15102" width="1.140625" style="186" customWidth="1"/>
    <col min="15103" max="15103" width="15.140625" style="186" bestFit="1" customWidth="1"/>
    <col min="15104" max="15104" width="1.140625" style="186" customWidth="1"/>
    <col min="15105" max="15105" width="14.5703125" style="186" customWidth="1"/>
    <col min="15106" max="15106" width="1.140625" style="186" customWidth="1"/>
    <col min="15107" max="15107" width="14.5703125" style="186" customWidth="1"/>
    <col min="15108" max="15108" width="1.140625" style="186" customWidth="1"/>
    <col min="15109" max="15109" width="12.42578125" style="186" customWidth="1"/>
    <col min="15110" max="15110" width="1.140625" style="186" customWidth="1"/>
    <col min="15111" max="15111" width="12.85546875" style="186" customWidth="1"/>
    <col min="15112" max="15112" width="13.5703125" style="186" customWidth="1"/>
    <col min="15113" max="15113" width="0.85546875" style="186" customWidth="1"/>
    <col min="15114" max="15114" width="13.5703125" style="186" customWidth="1"/>
    <col min="15115" max="15115" width="10" style="186" bestFit="1" customWidth="1"/>
    <col min="15116" max="15116" width="8.140625" style="186" bestFit="1" customWidth="1"/>
    <col min="15117" max="15117" width="8" style="186"/>
    <col min="15118" max="15118" width="8.85546875" style="186" bestFit="1" customWidth="1"/>
    <col min="15119" max="15353" width="8" style="186"/>
    <col min="15354" max="15355" width="3.42578125" style="186" customWidth="1"/>
    <col min="15356" max="15356" width="35.5703125" style="186" customWidth="1"/>
    <col min="15357" max="15357" width="14.5703125" style="186" customWidth="1"/>
    <col min="15358" max="15358" width="1.140625" style="186" customWidth="1"/>
    <col min="15359" max="15359" width="15.140625" style="186" bestFit="1" customWidth="1"/>
    <col min="15360" max="15360" width="1.140625" style="186" customWidth="1"/>
    <col min="15361" max="15361" width="14.5703125" style="186" customWidth="1"/>
    <col min="15362" max="15362" width="1.140625" style="186" customWidth="1"/>
    <col min="15363" max="15363" width="14.5703125" style="186" customWidth="1"/>
    <col min="15364" max="15364" width="1.140625" style="186" customWidth="1"/>
    <col min="15365" max="15365" width="12.42578125" style="186" customWidth="1"/>
    <col min="15366" max="15366" width="1.140625" style="186" customWidth="1"/>
    <col min="15367" max="15367" width="12.85546875" style="186" customWidth="1"/>
    <col min="15368" max="15368" width="13.5703125" style="186" customWidth="1"/>
    <col min="15369" max="15369" width="0.85546875" style="186" customWidth="1"/>
    <col min="15370" max="15370" width="13.5703125" style="186" customWidth="1"/>
    <col min="15371" max="15371" width="10" style="186" bestFit="1" customWidth="1"/>
    <col min="15372" max="15372" width="8.140625" style="186" bestFit="1" customWidth="1"/>
    <col min="15373" max="15373" width="8" style="186"/>
    <col min="15374" max="15374" width="8.85546875" style="186" bestFit="1" customWidth="1"/>
    <col min="15375" max="15609" width="8" style="186"/>
    <col min="15610" max="15611" width="3.42578125" style="186" customWidth="1"/>
    <col min="15612" max="15612" width="35.5703125" style="186" customWidth="1"/>
    <col min="15613" max="15613" width="14.5703125" style="186" customWidth="1"/>
    <col min="15614" max="15614" width="1.140625" style="186" customWidth="1"/>
    <col min="15615" max="15615" width="15.140625" style="186" bestFit="1" customWidth="1"/>
    <col min="15616" max="15616" width="1.140625" style="186" customWidth="1"/>
    <col min="15617" max="15617" width="14.5703125" style="186" customWidth="1"/>
    <col min="15618" max="15618" width="1.140625" style="186" customWidth="1"/>
    <col min="15619" max="15619" width="14.5703125" style="186" customWidth="1"/>
    <col min="15620" max="15620" width="1.140625" style="186" customWidth="1"/>
    <col min="15621" max="15621" width="12.42578125" style="186" customWidth="1"/>
    <col min="15622" max="15622" width="1.140625" style="186" customWidth="1"/>
    <col min="15623" max="15623" width="12.85546875" style="186" customWidth="1"/>
    <col min="15624" max="15624" width="13.5703125" style="186" customWidth="1"/>
    <col min="15625" max="15625" width="0.85546875" style="186" customWidth="1"/>
    <col min="15626" max="15626" width="13.5703125" style="186" customWidth="1"/>
    <col min="15627" max="15627" width="10" style="186" bestFit="1" customWidth="1"/>
    <col min="15628" max="15628" width="8.140625" style="186" bestFit="1" customWidth="1"/>
    <col min="15629" max="15629" width="8" style="186"/>
    <col min="15630" max="15630" width="8.85546875" style="186" bestFit="1" customWidth="1"/>
    <col min="15631" max="15865" width="8" style="186"/>
    <col min="15866" max="15867" width="3.42578125" style="186" customWidth="1"/>
    <col min="15868" max="15868" width="35.5703125" style="186" customWidth="1"/>
    <col min="15869" max="15869" width="14.5703125" style="186" customWidth="1"/>
    <col min="15870" max="15870" width="1.140625" style="186" customWidth="1"/>
    <col min="15871" max="15871" width="15.140625" style="186" bestFit="1" customWidth="1"/>
    <col min="15872" max="15872" width="1.140625" style="186" customWidth="1"/>
    <col min="15873" max="15873" width="14.5703125" style="186" customWidth="1"/>
    <col min="15874" max="15874" width="1.140625" style="186" customWidth="1"/>
    <col min="15875" max="15875" width="14.5703125" style="186" customWidth="1"/>
    <col min="15876" max="15876" width="1.140625" style="186" customWidth="1"/>
    <col min="15877" max="15877" width="12.42578125" style="186" customWidth="1"/>
    <col min="15878" max="15878" width="1.140625" style="186" customWidth="1"/>
    <col min="15879" max="15879" width="12.85546875" style="186" customWidth="1"/>
    <col min="15880" max="15880" width="13.5703125" style="186" customWidth="1"/>
    <col min="15881" max="15881" width="0.85546875" style="186" customWidth="1"/>
    <col min="15882" max="15882" width="13.5703125" style="186" customWidth="1"/>
    <col min="15883" max="15883" width="10" style="186" bestFit="1" customWidth="1"/>
    <col min="15884" max="15884" width="8.140625" style="186" bestFit="1" customWidth="1"/>
    <col min="15885" max="15885" width="8" style="186"/>
    <col min="15886" max="15886" width="8.85546875" style="186" bestFit="1" customWidth="1"/>
    <col min="15887" max="16121" width="8" style="186"/>
    <col min="16122" max="16123" width="3.42578125" style="186" customWidth="1"/>
    <col min="16124" max="16124" width="35.5703125" style="186" customWidth="1"/>
    <col min="16125" max="16125" width="14.5703125" style="186" customWidth="1"/>
    <col min="16126" max="16126" width="1.140625" style="186" customWidth="1"/>
    <col min="16127" max="16127" width="15.140625" style="186" bestFit="1" customWidth="1"/>
    <col min="16128" max="16128" width="1.140625" style="186" customWidth="1"/>
    <col min="16129" max="16129" width="14.5703125" style="186" customWidth="1"/>
    <col min="16130" max="16130" width="1.140625" style="186" customWidth="1"/>
    <col min="16131" max="16131" width="14.5703125" style="186" customWidth="1"/>
    <col min="16132" max="16132" width="1.140625" style="186" customWidth="1"/>
    <col min="16133" max="16133" width="12.42578125" style="186" customWidth="1"/>
    <col min="16134" max="16134" width="1.140625" style="186" customWidth="1"/>
    <col min="16135" max="16135" width="12.85546875" style="186" customWidth="1"/>
    <col min="16136" max="16136" width="13.5703125" style="186" customWidth="1"/>
    <col min="16137" max="16137" width="0.85546875" style="186" customWidth="1"/>
    <col min="16138" max="16138" width="13.5703125" style="186" customWidth="1"/>
    <col min="16139" max="16139" width="10" style="186" bestFit="1" customWidth="1"/>
    <col min="16140" max="16140" width="8.140625" style="186" bestFit="1" customWidth="1"/>
    <col min="16141" max="16141" width="8" style="186"/>
    <col min="16142" max="16142" width="8.85546875" style="186" bestFit="1" customWidth="1"/>
    <col min="16143" max="16384" width="8" style="186"/>
  </cols>
  <sheetData>
    <row r="1" spans="1:20" s="58" customFormat="1" ht="18" customHeight="1" x14ac:dyDescent="0.25">
      <c r="B1" s="303" t="str">
        <f>'S 5'!B1</f>
        <v>"COMPANY NAME AS PER AOA"</v>
      </c>
      <c r="C1" s="303"/>
      <c r="D1" s="303"/>
      <c r="E1" s="303"/>
      <c r="F1" s="303"/>
      <c r="G1" s="303"/>
      <c r="H1" s="303"/>
      <c r="I1" s="303"/>
      <c r="J1" s="303"/>
      <c r="K1" s="303"/>
      <c r="L1" s="303"/>
      <c r="M1" s="303"/>
      <c r="N1" s="303"/>
      <c r="O1" s="303"/>
      <c r="P1" s="303"/>
      <c r="Q1" s="303"/>
      <c r="R1" s="303"/>
      <c r="S1" s="303"/>
      <c r="T1" s="303"/>
    </row>
    <row r="2" spans="1:20" s="58" customFormat="1" ht="18" customHeight="1" x14ac:dyDescent="0.25">
      <c r="B2" s="119" t="str">
        <f>'S 5'!B2</f>
        <v>"TYPE OF COMPANY AS PER AOA"</v>
      </c>
      <c r="C2" s="119"/>
      <c r="D2" s="119"/>
      <c r="E2" s="119"/>
      <c r="F2" s="119"/>
      <c r="G2" s="119"/>
      <c r="H2" s="119"/>
      <c r="I2" s="119"/>
      <c r="J2" s="119"/>
      <c r="K2" s="119"/>
      <c r="L2" s="119"/>
      <c r="M2" s="119"/>
      <c r="N2" s="119"/>
      <c r="O2" s="119"/>
      <c r="P2" s="119"/>
      <c r="Q2" s="119"/>
      <c r="R2" s="119"/>
      <c r="S2" s="119"/>
      <c r="T2" s="119"/>
    </row>
    <row r="3" spans="1:20" s="58" customFormat="1" ht="18" customHeight="1" x14ac:dyDescent="0.25">
      <c r="B3" s="75" t="str">
        <f>'S 5'!B3</f>
        <v>NOTES TO THE FINANACIAL STATEMENT FOR THE YEAR ENDED " END DATE OF CURRENT YEAR"</v>
      </c>
      <c r="C3" s="75"/>
      <c r="D3" s="75"/>
      <c r="E3" s="75"/>
      <c r="F3" s="75"/>
      <c r="G3" s="75"/>
      <c r="H3" s="75"/>
      <c r="I3" s="75"/>
      <c r="J3" s="75"/>
      <c r="K3" s="75"/>
      <c r="L3" s="75"/>
      <c r="M3" s="75"/>
      <c r="N3" s="75"/>
      <c r="O3" s="75"/>
      <c r="P3" s="75"/>
      <c r="Q3" s="75"/>
      <c r="R3" s="75"/>
      <c r="S3" s="75"/>
      <c r="T3" s="75"/>
    </row>
    <row r="4" spans="1:20" s="58" customFormat="1" ht="18" customHeight="1" x14ac:dyDescent="0.25">
      <c r="B4" s="120" t="str">
        <f>'S 5'!B4</f>
        <v>(All amounts in Saudi Riyals unless otherwies stated)</v>
      </c>
      <c r="C4" s="120"/>
      <c r="D4" s="120"/>
      <c r="E4" s="120"/>
      <c r="F4" s="120"/>
      <c r="G4" s="120"/>
      <c r="H4" s="120"/>
      <c r="I4" s="120"/>
      <c r="J4" s="120"/>
      <c r="K4" s="120"/>
      <c r="L4" s="120"/>
      <c r="M4" s="120"/>
      <c r="N4" s="120"/>
      <c r="O4" s="78"/>
      <c r="P4" s="78"/>
      <c r="Q4" s="78"/>
      <c r="R4" s="78"/>
      <c r="S4" s="78"/>
      <c r="T4" s="78"/>
    </row>
    <row r="5" spans="1:20" ht="18" customHeight="1" x14ac:dyDescent="0.45">
      <c r="A5" s="197"/>
      <c r="P5" s="198"/>
      <c r="Q5" s="198"/>
      <c r="R5" s="199"/>
    </row>
    <row r="6" spans="1:20" s="58" customFormat="1" ht="18" customHeight="1" x14ac:dyDescent="0.25">
      <c r="B6" s="149" t="s">
        <v>158</v>
      </c>
      <c r="F6" s="150" t="str">
        <f>SOFP!E6</f>
        <v>CURRENT YEAR</v>
      </c>
      <c r="G6" s="62"/>
      <c r="H6" s="150" t="str">
        <f>SOFP!G6</f>
        <v>PREVIOUS YEAR</v>
      </c>
      <c r="I6" s="162"/>
      <c r="J6" s="79"/>
      <c r="K6" s="79"/>
    </row>
    <row r="7" spans="1:20" s="58" customFormat="1" ht="18" customHeight="1" x14ac:dyDescent="0.25">
      <c r="B7" s="149"/>
      <c r="F7" s="164" t="s">
        <v>5</v>
      </c>
      <c r="G7" s="62"/>
      <c r="H7" s="164" t="s">
        <v>5</v>
      </c>
      <c r="I7" s="162"/>
    </row>
    <row r="8" spans="1:20" s="58" customFormat="1" ht="18" customHeight="1" x14ac:dyDescent="0.45">
      <c r="B8" s="178" t="s">
        <v>159</v>
      </c>
      <c r="F8" s="157">
        <f>-'Client TB (2)'!I17</f>
        <v>0</v>
      </c>
      <c r="G8" s="62"/>
      <c r="H8" s="157">
        <f>-'Client TB (2)'!D17</f>
        <v>0</v>
      </c>
      <c r="I8" s="162"/>
    </row>
    <row r="9" spans="1:20" s="58" customFormat="1" ht="18" customHeight="1" x14ac:dyDescent="0.45">
      <c r="B9" s="178" t="s">
        <v>279</v>
      </c>
      <c r="F9" s="157">
        <f>-'Client TB (2)'!I30</f>
        <v>0</v>
      </c>
      <c r="G9" s="62"/>
      <c r="H9" s="157">
        <f>-'Client TB (2)'!D30</f>
        <v>0</v>
      </c>
      <c r="I9" s="162"/>
    </row>
    <row r="10" spans="1:20" s="58" customFormat="1" ht="18" customHeight="1" x14ac:dyDescent="0.45">
      <c r="B10" s="178" t="s">
        <v>160</v>
      </c>
      <c r="F10" s="157">
        <f>-SUM('Client TB (2)'!I12,'Client TB (2)'!I16)</f>
        <v>0</v>
      </c>
      <c r="G10" s="62"/>
      <c r="H10" s="157">
        <f>-SUM('Client TB (2)'!D12,'Client TB (2)'!D16)</f>
        <v>0</v>
      </c>
      <c r="I10" s="162"/>
    </row>
    <row r="11" spans="1:20" s="58" customFormat="1" ht="18" customHeight="1" x14ac:dyDescent="0.45">
      <c r="B11" s="178" t="s">
        <v>161</v>
      </c>
      <c r="F11" s="157">
        <f>-SUM('Client TB (2)'!I22:I23,'Client TB (2)'!I27:I29,'Client TB (2)'!I31,'Client TB (2)'!I13)</f>
        <v>0</v>
      </c>
      <c r="G11" s="62"/>
      <c r="H11" s="157">
        <f>-SUM('Client TB (2)'!D22:D23,'Client TB (2)'!D29,'Client TB (2)'!D31:D32,'Client TB (2)'!D13)</f>
        <v>0</v>
      </c>
      <c r="I11" s="162"/>
      <c r="J11" s="94"/>
    </row>
    <row r="12" spans="1:20" s="58" customFormat="1" ht="18" customHeight="1" x14ac:dyDescent="0.45">
      <c r="B12" s="178" t="s">
        <v>162</v>
      </c>
      <c r="F12" s="157">
        <f>-'Client TB (2)'!I33</f>
        <v>0</v>
      </c>
      <c r="G12" s="62"/>
      <c r="H12" s="157"/>
      <c r="I12" s="162"/>
      <c r="J12" s="94"/>
    </row>
    <row r="13" spans="1:20" s="58" customFormat="1" ht="18" customHeight="1" thickBot="1" x14ac:dyDescent="0.3">
      <c r="B13" s="158" t="s">
        <v>140</v>
      </c>
      <c r="F13" s="166">
        <f>SUM(F8:F12)</f>
        <v>0</v>
      </c>
      <c r="G13" s="62"/>
      <c r="H13" s="166">
        <f>SUM(H8:H11)</f>
        <v>0</v>
      </c>
      <c r="I13" s="162"/>
      <c r="J13" s="94"/>
    </row>
    <row r="14" spans="1:20" s="58" customFormat="1" ht="18" customHeight="1" thickTop="1" x14ac:dyDescent="0.25">
      <c r="B14" s="158"/>
      <c r="F14" s="167"/>
      <c r="G14" s="62"/>
      <c r="H14" s="167"/>
      <c r="I14" s="162"/>
    </row>
    <row r="15" spans="1:20" ht="18" customHeight="1" x14ac:dyDescent="0.45">
      <c r="A15" s="199"/>
      <c r="B15" s="149" t="s">
        <v>163</v>
      </c>
      <c r="C15" s="149"/>
      <c r="D15" s="149"/>
      <c r="E15" s="149"/>
      <c r="F15" s="149"/>
      <c r="G15" s="149"/>
      <c r="H15" s="149"/>
      <c r="I15" s="149"/>
      <c r="J15" s="151"/>
      <c r="K15" s="175"/>
      <c r="L15" s="151"/>
      <c r="M15" s="151"/>
      <c r="N15" s="151"/>
      <c r="P15" s="163"/>
      <c r="Q15" s="163"/>
      <c r="R15" s="163"/>
      <c r="S15" s="163"/>
    </row>
    <row r="16" spans="1:20" ht="18" customHeight="1" x14ac:dyDescent="0.45">
      <c r="B16" s="324" t="s">
        <v>164</v>
      </c>
      <c r="C16" s="324"/>
      <c r="D16" s="324"/>
      <c r="E16" s="324"/>
      <c r="F16" s="324"/>
      <c r="G16" s="324"/>
      <c r="H16" s="324"/>
      <c r="I16" s="324"/>
      <c r="J16" s="324"/>
      <c r="K16" s="324"/>
      <c r="L16" s="324"/>
      <c r="M16" s="324"/>
      <c r="N16" s="324"/>
      <c r="P16" s="163"/>
      <c r="Q16" s="163"/>
      <c r="R16" s="163"/>
      <c r="S16" s="163"/>
    </row>
    <row r="17" spans="1:20" ht="18" customHeight="1" x14ac:dyDescent="0.45">
      <c r="A17" s="200"/>
      <c r="B17" s="324"/>
      <c r="C17" s="324"/>
      <c r="D17" s="324"/>
      <c r="E17" s="324"/>
      <c r="F17" s="324"/>
      <c r="G17" s="324"/>
      <c r="H17" s="324"/>
      <c r="I17" s="324"/>
      <c r="J17" s="324"/>
      <c r="K17" s="324"/>
      <c r="L17" s="324"/>
      <c r="M17" s="324"/>
      <c r="N17" s="324"/>
      <c r="P17" s="163"/>
      <c r="Q17" s="163"/>
      <c r="R17" s="163"/>
      <c r="S17" s="163"/>
    </row>
    <row r="18" spans="1:20" ht="18" customHeight="1" x14ac:dyDescent="0.45">
      <c r="A18" s="200"/>
      <c r="B18" s="324"/>
      <c r="C18" s="324"/>
      <c r="D18" s="324"/>
      <c r="E18" s="324"/>
      <c r="F18" s="324"/>
      <c r="G18" s="324"/>
      <c r="H18" s="324"/>
      <c r="I18" s="324"/>
      <c r="J18" s="324"/>
      <c r="K18" s="324"/>
      <c r="L18" s="324"/>
      <c r="M18" s="324"/>
      <c r="N18" s="324"/>
      <c r="P18" s="163"/>
      <c r="Q18" s="163"/>
      <c r="R18" s="163"/>
      <c r="S18" s="163"/>
    </row>
    <row r="19" spans="1:20" ht="18" customHeight="1" x14ac:dyDescent="0.45">
      <c r="A19" s="200"/>
      <c r="B19" s="201"/>
      <c r="C19" s="201"/>
      <c r="D19" s="201"/>
      <c r="E19" s="201"/>
      <c r="F19" s="201"/>
      <c r="G19" s="201"/>
      <c r="H19" s="201"/>
      <c r="I19" s="201"/>
      <c r="J19" s="201"/>
      <c r="K19" s="201"/>
      <c r="L19" s="201"/>
      <c r="M19" s="201"/>
      <c r="N19" s="201"/>
      <c r="P19" s="163"/>
      <c r="Q19" s="163"/>
      <c r="R19" s="163"/>
      <c r="S19" s="163"/>
    </row>
    <row r="20" spans="1:20" ht="63.75" customHeight="1" x14ac:dyDescent="0.45">
      <c r="A20" s="200"/>
      <c r="B20" s="202" t="s">
        <v>165</v>
      </c>
      <c r="C20" s="201"/>
      <c r="D20" s="203" t="s">
        <v>166</v>
      </c>
      <c r="E20" s="201"/>
      <c r="F20" s="203" t="s">
        <v>167</v>
      </c>
      <c r="G20" s="201"/>
      <c r="H20" s="203" t="s">
        <v>168</v>
      </c>
      <c r="I20" s="201"/>
      <c r="J20" s="203" t="s">
        <v>169</v>
      </c>
      <c r="K20" s="201"/>
      <c r="L20" s="203" t="s">
        <v>170</v>
      </c>
      <c r="M20" s="204"/>
      <c r="N20" s="203" t="s">
        <v>171</v>
      </c>
      <c r="P20" s="163"/>
      <c r="Q20" s="163"/>
      <c r="R20" s="163"/>
      <c r="S20" s="163"/>
    </row>
    <row r="21" spans="1:20" ht="18" customHeight="1" x14ac:dyDescent="0.45">
      <c r="A21" s="200"/>
      <c r="G21" s="178"/>
      <c r="H21" s="164" t="s">
        <v>172</v>
      </c>
      <c r="I21" s="157"/>
      <c r="J21" s="164" t="s">
        <v>172</v>
      </c>
      <c r="K21" s="179"/>
      <c r="L21" s="164" t="s">
        <v>172</v>
      </c>
      <c r="M21" s="165"/>
      <c r="N21" s="164" t="s">
        <v>172</v>
      </c>
      <c r="P21" s="163"/>
      <c r="Q21" s="163"/>
      <c r="R21" s="163"/>
      <c r="S21" s="163"/>
    </row>
    <row r="22" spans="1:20" ht="18" customHeight="1" x14ac:dyDescent="0.45">
      <c r="A22" s="200"/>
      <c r="B22" s="86"/>
      <c r="D22" s="165" t="s">
        <v>277</v>
      </c>
      <c r="E22" s="178"/>
      <c r="F22" s="165"/>
      <c r="G22" s="178"/>
      <c r="H22" s="205">
        <f>-SUM(I22:N22)</f>
        <v>0</v>
      </c>
      <c r="I22" s="157"/>
      <c r="J22" s="205">
        <f>-'Client TB (2)'!E18</f>
        <v>0</v>
      </c>
      <c r="K22" s="179"/>
      <c r="L22" s="205">
        <f>'Client TB (2)'!F18</f>
        <v>0</v>
      </c>
      <c r="M22" s="205"/>
      <c r="N22" s="205">
        <f>-'Client TB (2)'!D18</f>
        <v>0</v>
      </c>
      <c r="P22" s="163"/>
      <c r="Q22" s="163"/>
      <c r="R22" s="163"/>
      <c r="S22" s="163"/>
    </row>
    <row r="23" spans="1:20" ht="18" customHeight="1" x14ac:dyDescent="0.45">
      <c r="A23" s="200"/>
      <c r="B23" s="86"/>
      <c r="D23" s="165" t="s">
        <v>278</v>
      </c>
      <c r="E23" s="178"/>
      <c r="F23" s="165"/>
      <c r="G23" s="178"/>
      <c r="H23" s="205"/>
      <c r="I23" s="157"/>
      <c r="J23" s="205"/>
      <c r="K23" s="179"/>
      <c r="L23" s="205"/>
      <c r="M23" s="205"/>
      <c r="N23" s="205"/>
      <c r="P23" s="163"/>
      <c r="Q23" s="163"/>
      <c r="R23" s="163"/>
      <c r="S23" s="163"/>
    </row>
    <row r="24" spans="1:20" ht="18" customHeight="1" thickBot="1" x14ac:dyDescent="0.5">
      <c r="A24" s="200"/>
      <c r="B24" s="186"/>
      <c r="C24" s="186"/>
      <c r="D24" s="186"/>
      <c r="E24" s="186"/>
      <c r="F24" s="186"/>
      <c r="G24" s="186"/>
      <c r="H24" s="166">
        <f>SUM(H22:H23)</f>
        <v>0</v>
      </c>
      <c r="I24" s="186"/>
      <c r="J24" s="166">
        <f>SUM(J22:J23)</f>
        <v>0</v>
      </c>
      <c r="K24" s="186"/>
      <c r="L24" s="166">
        <f>SUM(L22:L23)</f>
        <v>0</v>
      </c>
      <c r="M24" s="186"/>
      <c r="N24" s="166">
        <f>SUM(N22:N23)</f>
        <v>0</v>
      </c>
      <c r="P24" s="163"/>
      <c r="Q24" s="163"/>
      <c r="R24" s="163"/>
      <c r="S24" s="163"/>
    </row>
    <row r="25" spans="1:20" ht="18" customHeight="1" thickTop="1" x14ac:dyDescent="0.45">
      <c r="A25" s="200"/>
      <c r="B25" s="149"/>
      <c r="C25" s="149"/>
      <c r="D25" s="149"/>
      <c r="E25" s="149"/>
      <c r="F25" s="149"/>
      <c r="G25" s="149"/>
      <c r="H25" s="149"/>
      <c r="I25" s="72"/>
      <c r="J25" s="151"/>
      <c r="K25" s="188"/>
      <c r="L25" s="151"/>
      <c r="M25" s="151"/>
      <c r="N25" s="151"/>
      <c r="P25" s="163"/>
      <c r="Q25" s="163"/>
      <c r="R25" s="163"/>
      <c r="S25" s="163"/>
    </row>
    <row r="26" spans="1:20" ht="18" customHeight="1" x14ac:dyDescent="0.45">
      <c r="A26" s="200"/>
      <c r="B26" s="158"/>
      <c r="C26" s="158"/>
      <c r="D26" s="158"/>
      <c r="E26" s="158"/>
      <c r="F26" s="158"/>
      <c r="G26" s="158"/>
      <c r="H26" s="158"/>
      <c r="I26" s="72"/>
      <c r="J26" s="206"/>
      <c r="K26" s="188"/>
      <c r="L26" s="206"/>
      <c r="M26" s="206"/>
      <c r="N26" s="206"/>
      <c r="P26" s="163"/>
      <c r="Q26" s="163"/>
      <c r="R26" s="163"/>
      <c r="S26" s="163"/>
    </row>
    <row r="27" spans="1:20" ht="18" customHeight="1" x14ac:dyDescent="0.45">
      <c r="A27" s="200"/>
      <c r="B27" s="149" t="s">
        <v>17</v>
      </c>
      <c r="C27" s="158"/>
      <c r="D27" s="158"/>
      <c r="E27" s="158"/>
      <c r="F27" s="158"/>
      <c r="G27" s="158"/>
      <c r="H27" s="158"/>
      <c r="I27" s="72"/>
      <c r="J27" s="206"/>
      <c r="K27" s="188"/>
      <c r="L27" s="206"/>
      <c r="M27" s="206"/>
      <c r="N27" s="206"/>
      <c r="P27" s="163"/>
      <c r="Q27" s="163"/>
      <c r="R27" s="163"/>
      <c r="S27" s="163"/>
    </row>
    <row r="28" spans="1:20" ht="18" customHeight="1" x14ac:dyDescent="0.45">
      <c r="A28" s="200"/>
      <c r="B28" s="86"/>
      <c r="D28" s="165" t="s">
        <v>278</v>
      </c>
      <c r="E28" s="178"/>
      <c r="F28" s="165"/>
      <c r="G28" s="178"/>
      <c r="H28" s="205">
        <f>-(N28+J28-L28)</f>
        <v>0</v>
      </c>
      <c r="I28" s="157"/>
      <c r="J28" s="205">
        <f>'Client TB (2)'!E19</f>
        <v>0</v>
      </c>
      <c r="K28" s="179"/>
      <c r="L28" s="205">
        <f>'Client TB (2)'!F19</f>
        <v>0</v>
      </c>
      <c r="M28" s="205"/>
      <c r="N28" s="205">
        <f>'Client TB (2)'!D19</f>
        <v>0</v>
      </c>
      <c r="P28" s="163"/>
      <c r="Q28" s="163"/>
      <c r="R28" s="163"/>
      <c r="S28" s="163"/>
    </row>
    <row r="29" spans="1:20" ht="18" customHeight="1" x14ac:dyDescent="0.45">
      <c r="A29" s="200"/>
      <c r="B29" s="86"/>
      <c r="D29" s="165" t="s">
        <v>278</v>
      </c>
      <c r="E29" s="178"/>
      <c r="F29" s="165"/>
      <c r="G29" s="178"/>
      <c r="H29" s="205">
        <f>N29+L29-J29</f>
        <v>0</v>
      </c>
      <c r="I29" s="157"/>
      <c r="J29" s="205">
        <f>'Client TB (2)'!E24+'Client TB (2)'!E26</f>
        <v>0</v>
      </c>
      <c r="K29" s="179"/>
      <c r="L29" s="205">
        <f>'Client TB (2)'!F26</f>
        <v>0</v>
      </c>
      <c r="M29" s="205"/>
      <c r="N29" s="205">
        <f>-SUM('Client TB (2)'!D24:D26)</f>
        <v>0</v>
      </c>
      <c r="P29" s="163"/>
      <c r="Q29" s="163"/>
      <c r="R29" s="163"/>
      <c r="S29" s="163"/>
    </row>
    <row r="30" spans="1:20" ht="18" customHeight="1" thickBot="1" x14ac:dyDescent="0.5">
      <c r="A30" s="207"/>
      <c r="H30" s="166">
        <f>SUM(H27:H28)</f>
        <v>0</v>
      </c>
      <c r="I30" s="186"/>
      <c r="J30" s="166">
        <f>SUM(J27:J28)</f>
        <v>0</v>
      </c>
      <c r="K30" s="186"/>
      <c r="L30" s="166">
        <f>SUM(L27:L28)</f>
        <v>0</v>
      </c>
      <c r="M30" s="186"/>
      <c r="N30" s="166">
        <f>SUM(N27:N28)</f>
        <v>0</v>
      </c>
      <c r="O30" s="208"/>
      <c r="P30" s="167"/>
      <c r="Q30" s="209"/>
      <c r="R30" s="167"/>
      <c r="S30" s="210"/>
      <c r="T30" s="167"/>
    </row>
    <row r="31" spans="1:20" ht="18" customHeight="1" thickTop="1" x14ac:dyDescent="0.45">
      <c r="A31" s="207"/>
      <c r="B31" s="162"/>
      <c r="C31" s="162"/>
      <c r="D31" s="162"/>
      <c r="E31" s="162"/>
      <c r="F31" s="162"/>
      <c r="G31" s="162"/>
      <c r="H31" s="162"/>
      <c r="I31" s="167"/>
      <c r="J31" s="167"/>
      <c r="K31" s="208"/>
      <c r="L31" s="167"/>
      <c r="M31" s="167"/>
      <c r="N31" s="167"/>
      <c r="O31" s="208"/>
      <c r="P31" s="167"/>
      <c r="Q31" s="209"/>
      <c r="R31" s="167"/>
      <c r="S31" s="210"/>
      <c r="T31" s="167"/>
    </row>
    <row r="32" spans="1:20" ht="18" customHeight="1" x14ac:dyDescent="0.45">
      <c r="A32" s="207"/>
      <c r="B32" s="162"/>
      <c r="C32" s="162"/>
      <c r="D32" s="162"/>
      <c r="E32" s="162"/>
      <c r="F32" s="162"/>
      <c r="G32" s="162"/>
      <c r="H32" s="162"/>
      <c r="I32" s="189"/>
      <c r="J32" s="190"/>
      <c r="K32" s="190"/>
      <c r="L32" s="189"/>
      <c r="M32" s="189"/>
      <c r="N32" s="189"/>
      <c r="O32" s="190"/>
      <c r="P32" s="189"/>
      <c r="Q32" s="177"/>
      <c r="R32" s="189"/>
      <c r="S32" s="211"/>
      <c r="T32" s="189"/>
    </row>
    <row r="33" spans="1:20" ht="18" customHeight="1" x14ac:dyDescent="0.45">
      <c r="A33" s="207"/>
      <c r="B33" s="162"/>
      <c r="C33" s="162"/>
      <c r="D33" s="162"/>
      <c r="E33" s="162"/>
      <c r="F33" s="162"/>
      <c r="G33" s="162"/>
      <c r="H33" s="162"/>
      <c r="I33" s="189"/>
      <c r="J33" s="190"/>
      <c r="K33" s="190"/>
      <c r="L33" s="189"/>
      <c r="M33" s="189"/>
      <c r="N33" s="189"/>
      <c r="O33" s="190"/>
      <c r="P33" s="189"/>
      <c r="Q33" s="177"/>
      <c r="R33" s="189"/>
      <c r="S33" s="211"/>
      <c r="T33" s="189"/>
    </row>
    <row r="34" spans="1:20" ht="18" customHeight="1" x14ac:dyDescent="0.45">
      <c r="A34" s="207"/>
      <c r="B34" s="194"/>
      <c r="C34" s="194"/>
      <c r="D34" s="194"/>
      <c r="E34" s="194"/>
      <c r="F34" s="194"/>
      <c r="G34" s="194"/>
      <c r="H34" s="194"/>
      <c r="I34" s="189"/>
      <c r="J34" s="190"/>
      <c r="K34" s="190"/>
      <c r="L34" s="189"/>
      <c r="M34" s="189"/>
      <c r="N34" s="189"/>
      <c r="O34" s="190"/>
      <c r="P34" s="189"/>
      <c r="Q34" s="177"/>
      <c r="R34" s="189"/>
      <c r="S34" s="211"/>
      <c r="T34" s="189"/>
    </row>
    <row r="35" spans="1:20" ht="18" customHeight="1" x14ac:dyDescent="0.45">
      <c r="A35" s="207"/>
      <c r="B35" s="186"/>
      <c r="C35" s="186"/>
      <c r="D35" s="186"/>
      <c r="E35" s="186"/>
      <c r="F35" s="186"/>
      <c r="G35" s="186"/>
      <c r="H35" s="186"/>
      <c r="I35" s="186"/>
      <c r="J35" s="186"/>
      <c r="K35" s="186"/>
      <c r="L35" s="186"/>
      <c r="M35" s="186"/>
      <c r="N35" s="186"/>
      <c r="O35" s="186"/>
    </row>
    <row r="36" spans="1:20" ht="18" customHeight="1" x14ac:dyDescent="0.45">
      <c r="A36" s="212"/>
      <c r="B36" s="308">
        <v>14</v>
      </c>
      <c r="C36" s="308"/>
      <c r="D36" s="308"/>
      <c r="E36" s="308"/>
      <c r="F36" s="308"/>
      <c r="G36" s="308"/>
      <c r="H36" s="308"/>
      <c r="I36" s="308"/>
      <c r="J36" s="308"/>
      <c r="K36" s="308"/>
      <c r="L36" s="308"/>
      <c r="M36" s="308"/>
      <c r="N36" s="308"/>
      <c r="O36" s="212"/>
      <c r="P36" s="212"/>
      <c r="Q36" s="212"/>
      <c r="R36" s="212"/>
      <c r="S36" s="212"/>
      <c r="T36" s="212"/>
    </row>
    <row r="37" spans="1:20" ht="18" customHeight="1" x14ac:dyDescent="0.45"/>
    <row r="38" spans="1:20" ht="18" customHeight="1" x14ac:dyDescent="0.45"/>
    <row r="39" spans="1:20" ht="18" customHeight="1" x14ac:dyDescent="0.45"/>
    <row r="40" spans="1:20" ht="18" customHeight="1" x14ac:dyDescent="0.45"/>
    <row r="41" spans="1:20" ht="18" customHeight="1" x14ac:dyDescent="0.45"/>
    <row r="42" spans="1:20" ht="18" customHeight="1" x14ac:dyDescent="0.45"/>
    <row r="43" spans="1:20" ht="18" customHeight="1" x14ac:dyDescent="0.45"/>
    <row r="44" spans="1:20" ht="18" customHeight="1" x14ac:dyDescent="0.45"/>
    <row r="45" spans="1:20" ht="18" customHeight="1" x14ac:dyDescent="0.45"/>
    <row r="46" spans="1:20" ht="18" customHeight="1" x14ac:dyDescent="0.45"/>
  </sheetData>
  <mergeCells count="3">
    <mergeCell ref="B1:T1"/>
    <mergeCell ref="B16:N18"/>
    <mergeCell ref="B36:N36"/>
  </mergeCells>
  <printOptions horizontalCentered="1"/>
  <pageMargins left="0" right="0" top="0.59055118110236227" bottom="0" header="0" footer="0"/>
  <pageSetup paperSize="9" scale="82"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B3A63-6DC9-4EEA-999D-287B177697DE}">
  <sheetPr>
    <tabColor theme="4" tint="0.59999389629810485"/>
  </sheetPr>
  <dimension ref="A1:L58"/>
  <sheetViews>
    <sheetView showGridLines="0" view="pageBreakPreview" topLeftCell="A13" zoomScale="145" zoomScaleNormal="90" zoomScaleSheetLayoutView="145" workbookViewId="0">
      <selection activeCell="H8" sqref="H8"/>
    </sheetView>
  </sheetViews>
  <sheetFormatPr defaultColWidth="9.42578125" defaultRowHeight="30" customHeight="1" x14ac:dyDescent="0.25"/>
  <cols>
    <col min="1" max="1" width="5.5703125" style="78" customWidth="1"/>
    <col min="2" max="2" width="45.5703125" style="78" customWidth="1"/>
    <col min="3" max="3" width="1.5703125" style="78" customWidth="1"/>
    <col min="4" max="4" width="18.5703125" style="78" customWidth="1"/>
    <col min="5" max="5" width="1.5703125" style="78" customWidth="1"/>
    <col min="6" max="6" width="18.5703125" style="228" customWidth="1"/>
    <col min="7" max="7" width="1.5703125" style="228" customWidth="1"/>
    <col min="8" max="8" width="18.5703125" style="228" customWidth="1"/>
    <col min="9" max="9" width="5.5703125" style="228" customWidth="1"/>
    <col min="10" max="257" width="9.42578125" style="78"/>
    <col min="258" max="259" width="12.5703125" style="78" customWidth="1"/>
    <col min="260" max="260" width="18.85546875" style="78" customWidth="1"/>
    <col min="261" max="261" width="11.140625" style="78" customWidth="1"/>
    <col min="262" max="262" width="9.42578125" style="78" customWidth="1"/>
    <col min="263" max="264" width="17.5703125" style="78" customWidth="1"/>
    <col min="265" max="265" width="1.85546875" style="78" customWidth="1"/>
    <col min="266" max="513" width="9.42578125" style="78"/>
    <col min="514" max="515" width="12.5703125" style="78" customWidth="1"/>
    <col min="516" max="516" width="18.85546875" style="78" customWidth="1"/>
    <col min="517" max="517" width="11.140625" style="78" customWidth="1"/>
    <col min="518" max="518" width="9.42578125" style="78" customWidth="1"/>
    <col min="519" max="520" width="17.5703125" style="78" customWidth="1"/>
    <col min="521" max="521" width="1.85546875" style="78" customWidth="1"/>
    <col min="522" max="769" width="9.42578125" style="78"/>
    <col min="770" max="771" width="12.5703125" style="78" customWidth="1"/>
    <col min="772" max="772" width="18.85546875" style="78" customWidth="1"/>
    <col min="773" max="773" width="11.140625" style="78" customWidth="1"/>
    <col min="774" max="774" width="9.42578125" style="78" customWidth="1"/>
    <col min="775" max="776" width="17.5703125" style="78" customWidth="1"/>
    <col min="777" max="777" width="1.85546875" style="78" customWidth="1"/>
    <col min="778" max="1025" width="9.42578125" style="78"/>
    <col min="1026" max="1027" width="12.5703125" style="78" customWidth="1"/>
    <col min="1028" max="1028" width="18.85546875" style="78" customWidth="1"/>
    <col min="1029" max="1029" width="11.140625" style="78" customWidth="1"/>
    <col min="1030" max="1030" width="9.42578125" style="78" customWidth="1"/>
    <col min="1031" max="1032" width="17.5703125" style="78" customWidth="1"/>
    <col min="1033" max="1033" width="1.85546875" style="78" customWidth="1"/>
    <col min="1034" max="1281" width="9.42578125" style="78"/>
    <col min="1282" max="1283" width="12.5703125" style="78" customWidth="1"/>
    <col min="1284" max="1284" width="18.85546875" style="78" customWidth="1"/>
    <col min="1285" max="1285" width="11.140625" style="78" customWidth="1"/>
    <col min="1286" max="1286" width="9.42578125" style="78" customWidth="1"/>
    <col min="1287" max="1288" width="17.5703125" style="78" customWidth="1"/>
    <col min="1289" max="1289" width="1.85546875" style="78" customWidth="1"/>
    <col min="1290" max="1537" width="9.42578125" style="78"/>
    <col min="1538" max="1539" width="12.5703125" style="78" customWidth="1"/>
    <col min="1540" max="1540" width="18.85546875" style="78" customWidth="1"/>
    <col min="1541" max="1541" width="11.140625" style="78" customWidth="1"/>
    <col min="1542" max="1542" width="9.42578125" style="78" customWidth="1"/>
    <col min="1543" max="1544" width="17.5703125" style="78" customWidth="1"/>
    <col min="1545" max="1545" width="1.85546875" style="78" customWidth="1"/>
    <col min="1546" max="1793" width="9.42578125" style="78"/>
    <col min="1794" max="1795" width="12.5703125" style="78" customWidth="1"/>
    <col min="1796" max="1796" width="18.85546875" style="78" customWidth="1"/>
    <col min="1797" max="1797" width="11.140625" style="78" customWidth="1"/>
    <col min="1798" max="1798" width="9.42578125" style="78" customWidth="1"/>
    <col min="1799" max="1800" width="17.5703125" style="78" customWidth="1"/>
    <col min="1801" max="1801" width="1.85546875" style="78" customWidth="1"/>
    <col min="1802" max="2049" width="9.42578125" style="78"/>
    <col min="2050" max="2051" width="12.5703125" style="78" customWidth="1"/>
    <col min="2052" max="2052" width="18.85546875" style="78" customWidth="1"/>
    <col min="2053" max="2053" width="11.140625" style="78" customWidth="1"/>
    <col min="2054" max="2054" width="9.42578125" style="78" customWidth="1"/>
    <col min="2055" max="2056" width="17.5703125" style="78" customWidth="1"/>
    <col min="2057" max="2057" width="1.85546875" style="78" customWidth="1"/>
    <col min="2058" max="2305" width="9.42578125" style="78"/>
    <col min="2306" max="2307" width="12.5703125" style="78" customWidth="1"/>
    <col min="2308" max="2308" width="18.85546875" style="78" customWidth="1"/>
    <col min="2309" max="2309" width="11.140625" style="78" customWidth="1"/>
    <col min="2310" max="2310" width="9.42578125" style="78" customWidth="1"/>
    <col min="2311" max="2312" width="17.5703125" style="78" customWidth="1"/>
    <col min="2313" max="2313" width="1.85546875" style="78" customWidth="1"/>
    <col min="2314" max="2561" width="9.42578125" style="78"/>
    <col min="2562" max="2563" width="12.5703125" style="78" customWidth="1"/>
    <col min="2564" max="2564" width="18.85546875" style="78" customWidth="1"/>
    <col min="2565" max="2565" width="11.140625" style="78" customWidth="1"/>
    <col min="2566" max="2566" width="9.42578125" style="78" customWidth="1"/>
    <col min="2567" max="2568" width="17.5703125" style="78" customWidth="1"/>
    <col min="2569" max="2569" width="1.85546875" style="78" customWidth="1"/>
    <col min="2570" max="2817" width="9.42578125" style="78"/>
    <col min="2818" max="2819" width="12.5703125" style="78" customWidth="1"/>
    <col min="2820" max="2820" width="18.85546875" style="78" customWidth="1"/>
    <col min="2821" max="2821" width="11.140625" style="78" customWidth="1"/>
    <col min="2822" max="2822" width="9.42578125" style="78" customWidth="1"/>
    <col min="2823" max="2824" width="17.5703125" style="78" customWidth="1"/>
    <col min="2825" max="2825" width="1.85546875" style="78" customWidth="1"/>
    <col min="2826" max="3073" width="9.42578125" style="78"/>
    <col min="3074" max="3075" width="12.5703125" style="78" customWidth="1"/>
    <col min="3076" max="3076" width="18.85546875" style="78" customWidth="1"/>
    <col min="3077" max="3077" width="11.140625" style="78" customWidth="1"/>
    <col min="3078" max="3078" width="9.42578125" style="78" customWidth="1"/>
    <col min="3079" max="3080" width="17.5703125" style="78" customWidth="1"/>
    <col min="3081" max="3081" width="1.85546875" style="78" customWidth="1"/>
    <col min="3082" max="3329" width="9.42578125" style="78"/>
    <col min="3330" max="3331" width="12.5703125" style="78" customWidth="1"/>
    <col min="3332" max="3332" width="18.85546875" style="78" customWidth="1"/>
    <col min="3333" max="3333" width="11.140625" style="78" customWidth="1"/>
    <col min="3334" max="3334" width="9.42578125" style="78" customWidth="1"/>
    <col min="3335" max="3336" width="17.5703125" style="78" customWidth="1"/>
    <col min="3337" max="3337" width="1.85546875" style="78" customWidth="1"/>
    <col min="3338" max="3585" width="9.42578125" style="78"/>
    <col min="3586" max="3587" width="12.5703125" style="78" customWidth="1"/>
    <col min="3588" max="3588" width="18.85546875" style="78" customWidth="1"/>
    <col min="3589" max="3589" width="11.140625" style="78" customWidth="1"/>
    <col min="3590" max="3590" width="9.42578125" style="78" customWidth="1"/>
    <col min="3591" max="3592" width="17.5703125" style="78" customWidth="1"/>
    <col min="3593" max="3593" width="1.85546875" style="78" customWidth="1"/>
    <col min="3594" max="3841" width="9.42578125" style="78"/>
    <col min="3842" max="3843" width="12.5703125" style="78" customWidth="1"/>
    <col min="3844" max="3844" width="18.85546875" style="78" customWidth="1"/>
    <col min="3845" max="3845" width="11.140625" style="78" customWidth="1"/>
    <col min="3846" max="3846" width="9.42578125" style="78" customWidth="1"/>
    <col min="3847" max="3848" width="17.5703125" style="78" customWidth="1"/>
    <col min="3849" max="3849" width="1.85546875" style="78" customWidth="1"/>
    <col min="3850" max="4097" width="9.42578125" style="78"/>
    <col min="4098" max="4099" width="12.5703125" style="78" customWidth="1"/>
    <col min="4100" max="4100" width="18.85546875" style="78" customWidth="1"/>
    <col min="4101" max="4101" width="11.140625" style="78" customWidth="1"/>
    <col min="4102" max="4102" width="9.42578125" style="78" customWidth="1"/>
    <col min="4103" max="4104" width="17.5703125" style="78" customWidth="1"/>
    <col min="4105" max="4105" width="1.85546875" style="78" customWidth="1"/>
    <col min="4106" max="4353" width="9.42578125" style="78"/>
    <col min="4354" max="4355" width="12.5703125" style="78" customWidth="1"/>
    <col min="4356" max="4356" width="18.85546875" style="78" customWidth="1"/>
    <col min="4357" max="4357" width="11.140625" style="78" customWidth="1"/>
    <col min="4358" max="4358" width="9.42578125" style="78" customWidth="1"/>
    <col min="4359" max="4360" width="17.5703125" style="78" customWidth="1"/>
    <col min="4361" max="4361" width="1.85546875" style="78" customWidth="1"/>
    <col min="4362" max="4609" width="9.42578125" style="78"/>
    <col min="4610" max="4611" width="12.5703125" style="78" customWidth="1"/>
    <col min="4612" max="4612" width="18.85546875" style="78" customWidth="1"/>
    <col min="4613" max="4613" width="11.140625" style="78" customWidth="1"/>
    <col min="4614" max="4614" width="9.42578125" style="78" customWidth="1"/>
    <col min="4615" max="4616" width="17.5703125" style="78" customWidth="1"/>
    <col min="4617" max="4617" width="1.85546875" style="78" customWidth="1"/>
    <col min="4618" max="4865" width="9.42578125" style="78"/>
    <col min="4866" max="4867" width="12.5703125" style="78" customWidth="1"/>
    <col min="4868" max="4868" width="18.85546875" style="78" customWidth="1"/>
    <col min="4869" max="4869" width="11.140625" style="78" customWidth="1"/>
    <col min="4870" max="4870" width="9.42578125" style="78" customWidth="1"/>
    <col min="4871" max="4872" width="17.5703125" style="78" customWidth="1"/>
    <col min="4873" max="4873" width="1.85546875" style="78" customWidth="1"/>
    <col min="4874" max="5121" width="9.42578125" style="78"/>
    <col min="5122" max="5123" width="12.5703125" style="78" customWidth="1"/>
    <col min="5124" max="5124" width="18.85546875" style="78" customWidth="1"/>
    <col min="5125" max="5125" width="11.140625" style="78" customWidth="1"/>
    <col min="5126" max="5126" width="9.42578125" style="78" customWidth="1"/>
    <col min="5127" max="5128" width="17.5703125" style="78" customWidth="1"/>
    <col min="5129" max="5129" width="1.85546875" style="78" customWidth="1"/>
    <col min="5130" max="5377" width="9.42578125" style="78"/>
    <col min="5378" max="5379" width="12.5703125" style="78" customWidth="1"/>
    <col min="5380" max="5380" width="18.85546875" style="78" customWidth="1"/>
    <col min="5381" max="5381" width="11.140625" style="78" customWidth="1"/>
    <col min="5382" max="5382" width="9.42578125" style="78" customWidth="1"/>
    <col min="5383" max="5384" width="17.5703125" style="78" customWidth="1"/>
    <col min="5385" max="5385" width="1.85546875" style="78" customWidth="1"/>
    <col min="5386" max="5633" width="9.42578125" style="78"/>
    <col min="5634" max="5635" width="12.5703125" style="78" customWidth="1"/>
    <col min="5636" max="5636" width="18.85546875" style="78" customWidth="1"/>
    <col min="5637" max="5637" width="11.140625" style="78" customWidth="1"/>
    <col min="5638" max="5638" width="9.42578125" style="78" customWidth="1"/>
    <col min="5639" max="5640" width="17.5703125" style="78" customWidth="1"/>
    <col min="5641" max="5641" width="1.85546875" style="78" customWidth="1"/>
    <col min="5642" max="5889" width="9.42578125" style="78"/>
    <col min="5890" max="5891" width="12.5703125" style="78" customWidth="1"/>
    <col min="5892" max="5892" width="18.85546875" style="78" customWidth="1"/>
    <col min="5893" max="5893" width="11.140625" style="78" customWidth="1"/>
    <col min="5894" max="5894" width="9.42578125" style="78" customWidth="1"/>
    <col min="5895" max="5896" width="17.5703125" style="78" customWidth="1"/>
    <col min="5897" max="5897" width="1.85546875" style="78" customWidth="1"/>
    <col min="5898" max="6145" width="9.42578125" style="78"/>
    <col min="6146" max="6147" width="12.5703125" style="78" customWidth="1"/>
    <col min="6148" max="6148" width="18.85546875" style="78" customWidth="1"/>
    <col min="6149" max="6149" width="11.140625" style="78" customWidth="1"/>
    <col min="6150" max="6150" width="9.42578125" style="78" customWidth="1"/>
    <col min="6151" max="6152" width="17.5703125" style="78" customWidth="1"/>
    <col min="6153" max="6153" width="1.85546875" style="78" customWidth="1"/>
    <col min="6154" max="6401" width="9.42578125" style="78"/>
    <col min="6402" max="6403" width="12.5703125" style="78" customWidth="1"/>
    <col min="6404" max="6404" width="18.85546875" style="78" customWidth="1"/>
    <col min="6405" max="6405" width="11.140625" style="78" customWidth="1"/>
    <col min="6406" max="6406" width="9.42578125" style="78" customWidth="1"/>
    <col min="6407" max="6408" width="17.5703125" style="78" customWidth="1"/>
    <col min="6409" max="6409" width="1.85546875" style="78" customWidth="1"/>
    <col min="6410" max="6657" width="9.42578125" style="78"/>
    <col min="6658" max="6659" width="12.5703125" style="78" customWidth="1"/>
    <col min="6660" max="6660" width="18.85546875" style="78" customWidth="1"/>
    <col min="6661" max="6661" width="11.140625" style="78" customWidth="1"/>
    <col min="6662" max="6662" width="9.42578125" style="78" customWidth="1"/>
    <col min="6663" max="6664" width="17.5703125" style="78" customWidth="1"/>
    <col min="6665" max="6665" width="1.85546875" style="78" customWidth="1"/>
    <col min="6666" max="6913" width="9.42578125" style="78"/>
    <col min="6914" max="6915" width="12.5703125" style="78" customWidth="1"/>
    <col min="6916" max="6916" width="18.85546875" style="78" customWidth="1"/>
    <col min="6917" max="6917" width="11.140625" style="78" customWidth="1"/>
    <col min="6918" max="6918" width="9.42578125" style="78" customWidth="1"/>
    <col min="6919" max="6920" width="17.5703125" style="78" customWidth="1"/>
    <col min="6921" max="6921" width="1.85546875" style="78" customWidth="1"/>
    <col min="6922" max="7169" width="9.42578125" style="78"/>
    <col min="7170" max="7171" width="12.5703125" style="78" customWidth="1"/>
    <col min="7172" max="7172" width="18.85546875" style="78" customWidth="1"/>
    <col min="7173" max="7173" width="11.140625" style="78" customWidth="1"/>
    <col min="7174" max="7174" width="9.42578125" style="78" customWidth="1"/>
    <col min="7175" max="7176" width="17.5703125" style="78" customWidth="1"/>
    <col min="7177" max="7177" width="1.85546875" style="78" customWidth="1"/>
    <col min="7178" max="7425" width="9.42578125" style="78"/>
    <col min="7426" max="7427" width="12.5703125" style="78" customWidth="1"/>
    <col min="7428" max="7428" width="18.85546875" style="78" customWidth="1"/>
    <col min="7429" max="7429" width="11.140625" style="78" customWidth="1"/>
    <col min="7430" max="7430" width="9.42578125" style="78" customWidth="1"/>
    <col min="7431" max="7432" width="17.5703125" style="78" customWidth="1"/>
    <col min="7433" max="7433" width="1.85546875" style="78" customWidth="1"/>
    <col min="7434" max="7681" width="9.42578125" style="78"/>
    <col min="7682" max="7683" width="12.5703125" style="78" customWidth="1"/>
    <col min="7684" max="7684" width="18.85546875" style="78" customWidth="1"/>
    <col min="7685" max="7685" width="11.140625" style="78" customWidth="1"/>
    <col min="7686" max="7686" width="9.42578125" style="78" customWidth="1"/>
    <col min="7687" max="7688" width="17.5703125" style="78" customWidth="1"/>
    <col min="7689" max="7689" width="1.85546875" style="78" customWidth="1"/>
    <col min="7690" max="7937" width="9.42578125" style="78"/>
    <col min="7938" max="7939" width="12.5703125" style="78" customWidth="1"/>
    <col min="7940" max="7940" width="18.85546875" style="78" customWidth="1"/>
    <col min="7941" max="7941" width="11.140625" style="78" customWidth="1"/>
    <col min="7942" max="7942" width="9.42578125" style="78" customWidth="1"/>
    <col min="7943" max="7944" width="17.5703125" style="78" customWidth="1"/>
    <col min="7945" max="7945" width="1.85546875" style="78" customWidth="1"/>
    <col min="7946" max="8193" width="9.42578125" style="78"/>
    <col min="8194" max="8195" width="12.5703125" style="78" customWidth="1"/>
    <col min="8196" max="8196" width="18.85546875" style="78" customWidth="1"/>
    <col min="8197" max="8197" width="11.140625" style="78" customWidth="1"/>
    <col min="8198" max="8198" width="9.42578125" style="78" customWidth="1"/>
    <col min="8199" max="8200" width="17.5703125" style="78" customWidth="1"/>
    <col min="8201" max="8201" width="1.85546875" style="78" customWidth="1"/>
    <col min="8202" max="8449" width="9.42578125" style="78"/>
    <col min="8450" max="8451" width="12.5703125" style="78" customWidth="1"/>
    <col min="8452" max="8452" width="18.85546875" style="78" customWidth="1"/>
    <col min="8453" max="8453" width="11.140625" style="78" customWidth="1"/>
    <col min="8454" max="8454" width="9.42578125" style="78" customWidth="1"/>
    <col min="8455" max="8456" width="17.5703125" style="78" customWidth="1"/>
    <col min="8457" max="8457" width="1.85546875" style="78" customWidth="1"/>
    <col min="8458" max="8705" width="9.42578125" style="78"/>
    <col min="8706" max="8707" width="12.5703125" style="78" customWidth="1"/>
    <col min="8708" max="8708" width="18.85546875" style="78" customWidth="1"/>
    <col min="8709" max="8709" width="11.140625" style="78" customWidth="1"/>
    <col min="8710" max="8710" width="9.42578125" style="78" customWidth="1"/>
    <col min="8711" max="8712" width="17.5703125" style="78" customWidth="1"/>
    <col min="8713" max="8713" width="1.85546875" style="78" customWidth="1"/>
    <col min="8714" max="8961" width="9.42578125" style="78"/>
    <col min="8962" max="8963" width="12.5703125" style="78" customWidth="1"/>
    <col min="8964" max="8964" width="18.85546875" style="78" customWidth="1"/>
    <col min="8965" max="8965" width="11.140625" style="78" customWidth="1"/>
    <col min="8966" max="8966" width="9.42578125" style="78" customWidth="1"/>
    <col min="8967" max="8968" width="17.5703125" style="78" customWidth="1"/>
    <col min="8969" max="8969" width="1.85546875" style="78" customWidth="1"/>
    <col min="8970" max="9217" width="9.42578125" style="78"/>
    <col min="9218" max="9219" width="12.5703125" style="78" customWidth="1"/>
    <col min="9220" max="9220" width="18.85546875" style="78" customWidth="1"/>
    <col min="9221" max="9221" width="11.140625" style="78" customWidth="1"/>
    <col min="9222" max="9222" width="9.42578125" style="78" customWidth="1"/>
    <col min="9223" max="9224" width="17.5703125" style="78" customWidth="1"/>
    <col min="9225" max="9225" width="1.85546875" style="78" customWidth="1"/>
    <col min="9226" max="9473" width="9.42578125" style="78"/>
    <col min="9474" max="9475" width="12.5703125" style="78" customWidth="1"/>
    <col min="9476" max="9476" width="18.85546875" style="78" customWidth="1"/>
    <col min="9477" max="9477" width="11.140625" style="78" customWidth="1"/>
    <col min="9478" max="9478" width="9.42578125" style="78" customWidth="1"/>
    <col min="9479" max="9480" width="17.5703125" style="78" customWidth="1"/>
    <col min="9481" max="9481" width="1.85546875" style="78" customWidth="1"/>
    <col min="9482" max="9729" width="9.42578125" style="78"/>
    <col min="9730" max="9731" width="12.5703125" style="78" customWidth="1"/>
    <col min="9732" max="9732" width="18.85546875" style="78" customWidth="1"/>
    <col min="9733" max="9733" width="11.140625" style="78" customWidth="1"/>
    <col min="9734" max="9734" width="9.42578125" style="78" customWidth="1"/>
    <col min="9735" max="9736" width="17.5703125" style="78" customWidth="1"/>
    <col min="9737" max="9737" width="1.85546875" style="78" customWidth="1"/>
    <col min="9738" max="9985" width="9.42578125" style="78"/>
    <col min="9986" max="9987" width="12.5703125" style="78" customWidth="1"/>
    <col min="9988" max="9988" width="18.85546875" style="78" customWidth="1"/>
    <col min="9989" max="9989" width="11.140625" style="78" customWidth="1"/>
    <col min="9990" max="9990" width="9.42578125" style="78" customWidth="1"/>
    <col min="9991" max="9992" width="17.5703125" style="78" customWidth="1"/>
    <col min="9993" max="9993" width="1.85546875" style="78" customWidth="1"/>
    <col min="9994" max="10241" width="9.42578125" style="78"/>
    <col min="10242" max="10243" width="12.5703125" style="78" customWidth="1"/>
    <col min="10244" max="10244" width="18.85546875" style="78" customWidth="1"/>
    <col min="10245" max="10245" width="11.140625" style="78" customWidth="1"/>
    <col min="10246" max="10246" width="9.42578125" style="78" customWidth="1"/>
    <col min="10247" max="10248" width="17.5703125" style="78" customWidth="1"/>
    <col min="10249" max="10249" width="1.85546875" style="78" customWidth="1"/>
    <col min="10250" max="10497" width="9.42578125" style="78"/>
    <col min="10498" max="10499" width="12.5703125" style="78" customWidth="1"/>
    <col min="10500" max="10500" width="18.85546875" style="78" customWidth="1"/>
    <col min="10501" max="10501" width="11.140625" style="78" customWidth="1"/>
    <col min="10502" max="10502" width="9.42578125" style="78" customWidth="1"/>
    <col min="10503" max="10504" width="17.5703125" style="78" customWidth="1"/>
    <col min="10505" max="10505" width="1.85546875" style="78" customWidth="1"/>
    <col min="10506" max="10753" width="9.42578125" style="78"/>
    <col min="10754" max="10755" width="12.5703125" style="78" customWidth="1"/>
    <col min="10756" max="10756" width="18.85546875" style="78" customWidth="1"/>
    <col min="10757" max="10757" width="11.140625" style="78" customWidth="1"/>
    <col min="10758" max="10758" width="9.42578125" style="78" customWidth="1"/>
    <col min="10759" max="10760" width="17.5703125" style="78" customWidth="1"/>
    <col min="10761" max="10761" width="1.85546875" style="78" customWidth="1"/>
    <col min="10762" max="11009" width="9.42578125" style="78"/>
    <col min="11010" max="11011" width="12.5703125" style="78" customWidth="1"/>
    <col min="11012" max="11012" width="18.85546875" style="78" customWidth="1"/>
    <col min="11013" max="11013" width="11.140625" style="78" customWidth="1"/>
    <col min="11014" max="11014" width="9.42578125" style="78" customWidth="1"/>
    <col min="11015" max="11016" width="17.5703125" style="78" customWidth="1"/>
    <col min="11017" max="11017" width="1.85546875" style="78" customWidth="1"/>
    <col min="11018" max="11265" width="9.42578125" style="78"/>
    <col min="11266" max="11267" width="12.5703125" style="78" customWidth="1"/>
    <col min="11268" max="11268" width="18.85546875" style="78" customWidth="1"/>
    <col min="11269" max="11269" width="11.140625" style="78" customWidth="1"/>
    <col min="11270" max="11270" width="9.42578125" style="78" customWidth="1"/>
    <col min="11271" max="11272" width="17.5703125" style="78" customWidth="1"/>
    <col min="11273" max="11273" width="1.85546875" style="78" customWidth="1"/>
    <col min="11274" max="11521" width="9.42578125" style="78"/>
    <col min="11522" max="11523" width="12.5703125" style="78" customWidth="1"/>
    <col min="11524" max="11524" width="18.85546875" style="78" customWidth="1"/>
    <col min="11525" max="11525" width="11.140625" style="78" customWidth="1"/>
    <col min="11526" max="11526" width="9.42578125" style="78" customWidth="1"/>
    <col min="11527" max="11528" width="17.5703125" style="78" customWidth="1"/>
    <col min="11529" max="11529" width="1.85546875" style="78" customWidth="1"/>
    <col min="11530" max="11777" width="9.42578125" style="78"/>
    <col min="11778" max="11779" width="12.5703125" style="78" customWidth="1"/>
    <col min="11780" max="11780" width="18.85546875" style="78" customWidth="1"/>
    <col min="11781" max="11781" width="11.140625" style="78" customWidth="1"/>
    <col min="11782" max="11782" width="9.42578125" style="78" customWidth="1"/>
    <col min="11783" max="11784" width="17.5703125" style="78" customWidth="1"/>
    <col min="11785" max="11785" width="1.85546875" style="78" customWidth="1"/>
    <col min="11786" max="12033" width="9.42578125" style="78"/>
    <col min="12034" max="12035" width="12.5703125" style="78" customWidth="1"/>
    <col min="12036" max="12036" width="18.85546875" style="78" customWidth="1"/>
    <col min="12037" max="12037" width="11.140625" style="78" customWidth="1"/>
    <col min="12038" max="12038" width="9.42578125" style="78" customWidth="1"/>
    <col min="12039" max="12040" width="17.5703125" style="78" customWidth="1"/>
    <col min="12041" max="12041" width="1.85546875" style="78" customWidth="1"/>
    <col min="12042" max="12289" width="9.42578125" style="78"/>
    <col min="12290" max="12291" width="12.5703125" style="78" customWidth="1"/>
    <col min="12292" max="12292" width="18.85546875" style="78" customWidth="1"/>
    <col min="12293" max="12293" width="11.140625" style="78" customWidth="1"/>
    <col min="12294" max="12294" width="9.42578125" style="78" customWidth="1"/>
    <col min="12295" max="12296" width="17.5703125" style="78" customWidth="1"/>
    <col min="12297" max="12297" width="1.85546875" style="78" customWidth="1"/>
    <col min="12298" max="12545" width="9.42578125" style="78"/>
    <col min="12546" max="12547" width="12.5703125" style="78" customWidth="1"/>
    <col min="12548" max="12548" width="18.85546875" style="78" customWidth="1"/>
    <col min="12549" max="12549" width="11.140625" style="78" customWidth="1"/>
    <col min="12550" max="12550" width="9.42578125" style="78" customWidth="1"/>
    <col min="12551" max="12552" width="17.5703125" style="78" customWidth="1"/>
    <col min="12553" max="12553" width="1.85546875" style="78" customWidth="1"/>
    <col min="12554" max="12801" width="9.42578125" style="78"/>
    <col min="12802" max="12803" width="12.5703125" style="78" customWidth="1"/>
    <col min="12804" max="12804" width="18.85546875" style="78" customWidth="1"/>
    <col min="12805" max="12805" width="11.140625" style="78" customWidth="1"/>
    <col min="12806" max="12806" width="9.42578125" style="78" customWidth="1"/>
    <col min="12807" max="12808" width="17.5703125" style="78" customWidth="1"/>
    <col min="12809" max="12809" width="1.85546875" style="78" customWidth="1"/>
    <col min="12810" max="13057" width="9.42578125" style="78"/>
    <col min="13058" max="13059" width="12.5703125" style="78" customWidth="1"/>
    <col min="13060" max="13060" width="18.85546875" style="78" customWidth="1"/>
    <col min="13061" max="13061" width="11.140625" style="78" customWidth="1"/>
    <col min="13062" max="13062" width="9.42578125" style="78" customWidth="1"/>
    <col min="13063" max="13064" width="17.5703125" style="78" customWidth="1"/>
    <col min="13065" max="13065" width="1.85546875" style="78" customWidth="1"/>
    <col min="13066" max="13313" width="9.42578125" style="78"/>
    <col min="13314" max="13315" width="12.5703125" style="78" customWidth="1"/>
    <col min="13316" max="13316" width="18.85546875" style="78" customWidth="1"/>
    <col min="13317" max="13317" width="11.140625" style="78" customWidth="1"/>
    <col min="13318" max="13318" width="9.42578125" style="78" customWidth="1"/>
    <col min="13319" max="13320" width="17.5703125" style="78" customWidth="1"/>
    <col min="13321" max="13321" width="1.85546875" style="78" customWidth="1"/>
    <col min="13322" max="13569" width="9.42578125" style="78"/>
    <col min="13570" max="13571" width="12.5703125" style="78" customWidth="1"/>
    <col min="13572" max="13572" width="18.85546875" style="78" customWidth="1"/>
    <col min="13573" max="13573" width="11.140625" style="78" customWidth="1"/>
    <col min="13574" max="13574" width="9.42578125" style="78" customWidth="1"/>
    <col min="13575" max="13576" width="17.5703125" style="78" customWidth="1"/>
    <col min="13577" max="13577" width="1.85546875" style="78" customWidth="1"/>
    <col min="13578" max="13825" width="9.42578125" style="78"/>
    <col min="13826" max="13827" width="12.5703125" style="78" customWidth="1"/>
    <col min="13828" max="13828" width="18.85546875" style="78" customWidth="1"/>
    <col min="13829" max="13829" width="11.140625" style="78" customWidth="1"/>
    <col min="13830" max="13830" width="9.42578125" style="78" customWidth="1"/>
    <col min="13831" max="13832" width="17.5703125" style="78" customWidth="1"/>
    <col min="13833" max="13833" width="1.85546875" style="78" customWidth="1"/>
    <col min="13834" max="14081" width="9.42578125" style="78"/>
    <col min="14082" max="14083" width="12.5703125" style="78" customWidth="1"/>
    <col min="14084" max="14084" width="18.85546875" style="78" customWidth="1"/>
    <col min="14085" max="14085" width="11.140625" style="78" customWidth="1"/>
    <col min="14086" max="14086" width="9.42578125" style="78" customWidth="1"/>
    <col min="14087" max="14088" width="17.5703125" style="78" customWidth="1"/>
    <col min="14089" max="14089" width="1.85546875" style="78" customWidth="1"/>
    <col min="14090" max="14337" width="9.42578125" style="78"/>
    <col min="14338" max="14339" width="12.5703125" style="78" customWidth="1"/>
    <col min="14340" max="14340" width="18.85546875" style="78" customWidth="1"/>
    <col min="14341" max="14341" width="11.140625" style="78" customWidth="1"/>
    <col min="14342" max="14342" width="9.42578125" style="78" customWidth="1"/>
    <col min="14343" max="14344" width="17.5703125" style="78" customWidth="1"/>
    <col min="14345" max="14345" width="1.85546875" style="78" customWidth="1"/>
    <col min="14346" max="14593" width="9.42578125" style="78"/>
    <col min="14594" max="14595" width="12.5703125" style="78" customWidth="1"/>
    <col min="14596" max="14596" width="18.85546875" style="78" customWidth="1"/>
    <col min="14597" max="14597" width="11.140625" style="78" customWidth="1"/>
    <col min="14598" max="14598" width="9.42578125" style="78" customWidth="1"/>
    <col min="14599" max="14600" width="17.5703125" style="78" customWidth="1"/>
    <col min="14601" max="14601" width="1.85546875" style="78" customWidth="1"/>
    <col min="14602" max="14849" width="9.42578125" style="78"/>
    <col min="14850" max="14851" width="12.5703125" style="78" customWidth="1"/>
    <col min="14852" max="14852" width="18.85546875" style="78" customWidth="1"/>
    <col min="14853" max="14853" width="11.140625" style="78" customWidth="1"/>
    <col min="14854" max="14854" width="9.42578125" style="78" customWidth="1"/>
    <col min="14855" max="14856" width="17.5703125" style="78" customWidth="1"/>
    <col min="14857" max="14857" width="1.85546875" style="78" customWidth="1"/>
    <col min="14858" max="15105" width="9.42578125" style="78"/>
    <col min="15106" max="15107" width="12.5703125" style="78" customWidth="1"/>
    <col min="15108" max="15108" width="18.85546875" style="78" customWidth="1"/>
    <col min="15109" max="15109" width="11.140625" style="78" customWidth="1"/>
    <col min="15110" max="15110" width="9.42578125" style="78" customWidth="1"/>
    <col min="15111" max="15112" width="17.5703125" style="78" customWidth="1"/>
    <col min="15113" max="15113" width="1.85546875" style="78" customWidth="1"/>
    <col min="15114" max="15361" width="9.42578125" style="78"/>
    <col min="15362" max="15363" width="12.5703125" style="78" customWidth="1"/>
    <col min="15364" max="15364" width="18.85546875" style="78" customWidth="1"/>
    <col min="15365" max="15365" width="11.140625" style="78" customWidth="1"/>
    <col min="15366" max="15366" width="9.42578125" style="78" customWidth="1"/>
    <col min="15367" max="15368" width="17.5703125" style="78" customWidth="1"/>
    <col min="15369" max="15369" width="1.85546875" style="78" customWidth="1"/>
    <col min="15370" max="15617" width="9.42578125" style="78"/>
    <col min="15618" max="15619" width="12.5703125" style="78" customWidth="1"/>
    <col min="15620" max="15620" width="18.85546875" style="78" customWidth="1"/>
    <col min="15621" max="15621" width="11.140625" style="78" customWidth="1"/>
    <col min="15622" max="15622" width="9.42578125" style="78" customWidth="1"/>
    <col min="15623" max="15624" width="17.5703125" style="78" customWidth="1"/>
    <col min="15625" max="15625" width="1.85546875" style="78" customWidth="1"/>
    <col min="15626" max="15873" width="9.42578125" style="78"/>
    <col min="15874" max="15875" width="12.5703125" style="78" customWidth="1"/>
    <col min="15876" max="15876" width="18.85546875" style="78" customWidth="1"/>
    <col min="15877" max="15877" width="11.140625" style="78" customWidth="1"/>
    <col min="15878" max="15878" width="9.42578125" style="78" customWidth="1"/>
    <col min="15879" max="15880" width="17.5703125" style="78" customWidth="1"/>
    <col min="15881" max="15881" width="1.85546875" style="78" customWidth="1"/>
    <col min="15882" max="16129" width="9.42578125" style="78"/>
    <col min="16130" max="16131" width="12.5703125" style="78" customWidth="1"/>
    <col min="16132" max="16132" width="18.85546875" style="78" customWidth="1"/>
    <col min="16133" max="16133" width="11.140625" style="78" customWidth="1"/>
    <col min="16134" max="16134" width="9.42578125" style="78" customWidth="1"/>
    <col min="16135" max="16136" width="17.5703125" style="78" customWidth="1"/>
    <col min="16137" max="16137" width="1.85546875" style="78" customWidth="1"/>
    <col min="16138" max="16384" width="9.42578125" style="78"/>
  </cols>
  <sheetData>
    <row r="1" spans="1:12" ht="18" customHeight="1" x14ac:dyDescent="0.25">
      <c r="B1" s="303" t="str">
        <f>'(2)..'!B1:T1</f>
        <v>"COMPANY NAME AS PER AOA"</v>
      </c>
      <c r="C1" s="303"/>
      <c r="D1" s="303"/>
      <c r="E1" s="303"/>
      <c r="F1" s="303"/>
      <c r="G1" s="303"/>
      <c r="H1" s="303"/>
      <c r="I1" s="303"/>
      <c r="J1" s="213"/>
      <c r="K1" s="213"/>
    </row>
    <row r="2" spans="1:12" ht="18" customHeight="1" x14ac:dyDescent="0.25">
      <c r="B2" s="119" t="str">
        <f>'(2)..'!B2</f>
        <v>"TYPE OF COMPANY AS PER AOA"</v>
      </c>
      <c r="C2" s="119"/>
      <c r="D2" s="119"/>
      <c r="E2" s="119"/>
      <c r="F2" s="119"/>
      <c r="G2" s="119"/>
      <c r="H2" s="119"/>
      <c r="I2" s="119"/>
      <c r="J2" s="214"/>
    </row>
    <row r="3" spans="1:12" ht="18" customHeight="1" x14ac:dyDescent="0.25">
      <c r="B3" s="75" t="str">
        <f>'(2)..'!B3</f>
        <v>NOTES TO THE FINANACIAL STATEMENT FOR THE YEAR ENDED " END DATE OF CURRENT YEAR"</v>
      </c>
      <c r="C3" s="75"/>
      <c r="D3" s="75"/>
      <c r="E3" s="75"/>
      <c r="F3" s="75"/>
      <c r="G3" s="75"/>
      <c r="H3" s="75"/>
      <c r="I3" s="75"/>
      <c r="J3" s="214"/>
      <c r="K3" s="214"/>
    </row>
    <row r="4" spans="1:12" ht="18" customHeight="1" x14ac:dyDescent="0.25">
      <c r="B4" s="120" t="str">
        <f>'[7]4'!B4:E4</f>
        <v>(All amounts in Saudi Riyals unless otherwies stated)</v>
      </c>
      <c r="C4" s="120"/>
      <c r="D4" s="120"/>
      <c r="E4" s="120"/>
      <c r="F4" s="120"/>
      <c r="G4" s="120"/>
      <c r="H4" s="120"/>
      <c r="I4" s="78"/>
      <c r="J4" s="214"/>
      <c r="K4" s="214"/>
    </row>
    <row r="5" spans="1:12" s="58" customFormat="1" ht="18" customHeight="1" x14ac:dyDescent="0.25">
      <c r="F5" s="62"/>
      <c r="G5" s="62"/>
      <c r="H5" s="62"/>
      <c r="I5" s="162"/>
      <c r="J5" s="215"/>
      <c r="K5" s="215"/>
      <c r="L5" s="215"/>
    </row>
    <row r="6" spans="1:12" s="58" customFormat="1" ht="18" customHeight="1" x14ac:dyDescent="0.25">
      <c r="A6" s="212"/>
      <c r="B6" s="149" t="s">
        <v>173</v>
      </c>
      <c r="F6" s="150" t="str">
        <f>'(2)..'!F6</f>
        <v>CURRENT YEAR</v>
      </c>
      <c r="G6" s="79"/>
      <c r="H6" s="150" t="str">
        <f>'(2)..'!H6</f>
        <v>PREVIOUS YEAR</v>
      </c>
    </row>
    <row r="7" spans="1:12" s="58" customFormat="1" ht="18" customHeight="1" x14ac:dyDescent="0.25">
      <c r="A7" s="212"/>
      <c r="B7" s="158" t="s">
        <v>174</v>
      </c>
      <c r="F7" s="216" t="s">
        <v>5</v>
      </c>
      <c r="G7" s="79"/>
      <c r="H7" s="216" t="s">
        <v>5</v>
      </c>
    </row>
    <row r="8" spans="1:12" s="58" customFormat="1" ht="18" customHeight="1" x14ac:dyDescent="0.25">
      <c r="A8" s="212"/>
      <c r="B8" s="217" t="s">
        <v>175</v>
      </c>
      <c r="F8" s="157">
        <f>H13</f>
        <v>0</v>
      </c>
      <c r="G8" s="79"/>
      <c r="H8" s="157"/>
    </row>
    <row r="9" spans="1:12" s="58" customFormat="1" ht="18" customHeight="1" x14ac:dyDescent="0.25">
      <c r="A9" s="212"/>
      <c r="B9" s="217" t="s">
        <v>176</v>
      </c>
      <c r="F9" s="157"/>
      <c r="G9" s="79"/>
      <c r="H9" s="157"/>
    </row>
    <row r="10" spans="1:12" s="58" customFormat="1" ht="18" customHeight="1" x14ac:dyDescent="0.25">
      <c r="A10" s="212"/>
      <c r="B10" s="217" t="s">
        <v>177</v>
      </c>
      <c r="F10" s="157">
        <v>0</v>
      </c>
      <c r="G10" s="79"/>
      <c r="H10" s="157"/>
    </row>
    <row r="11" spans="1:12" s="58" customFormat="1" ht="18" customHeight="1" x14ac:dyDescent="0.25">
      <c r="A11" s="212"/>
      <c r="B11" s="158" t="s">
        <v>178</v>
      </c>
      <c r="F11" s="218">
        <f>SUM(F8:F10)</f>
        <v>0</v>
      </c>
      <c r="G11" s="79"/>
      <c r="H11" s="219">
        <f>SUM(H8:H10)</f>
        <v>0</v>
      </c>
    </row>
    <row r="12" spans="1:12" s="58" customFormat="1" ht="18" customHeight="1" x14ac:dyDescent="0.25">
      <c r="A12" s="212"/>
      <c r="B12" s="217" t="s">
        <v>179</v>
      </c>
      <c r="F12" s="157"/>
      <c r="G12" s="79"/>
      <c r="H12" s="157"/>
    </row>
    <row r="13" spans="1:12" s="58" customFormat="1" ht="18" customHeight="1" thickBot="1" x14ac:dyDescent="0.3">
      <c r="A13" s="212"/>
      <c r="B13" s="158" t="s">
        <v>180</v>
      </c>
      <c r="F13" s="166">
        <f>SUM(F11:F12)</f>
        <v>0</v>
      </c>
      <c r="G13" s="79"/>
      <c r="H13" s="166">
        <f>SUM(H11:H12)</f>
        <v>0</v>
      </c>
    </row>
    <row r="14" spans="1:12" s="58" customFormat="1" ht="18" customHeight="1" thickTop="1" x14ac:dyDescent="0.45">
      <c r="A14" s="212"/>
      <c r="B14" s="186"/>
      <c r="F14" s="186"/>
      <c r="G14" s="79"/>
      <c r="H14" s="186"/>
    </row>
    <row r="15" spans="1:12" s="58" customFormat="1" ht="18" customHeight="1" x14ac:dyDescent="0.45">
      <c r="A15" s="212"/>
      <c r="B15" s="186"/>
      <c r="F15" s="150" t="str">
        <f>+F6</f>
        <v>CURRENT YEAR</v>
      </c>
      <c r="G15" s="79"/>
      <c r="H15" s="150" t="str">
        <f>+H6</f>
        <v>PREVIOUS YEAR</v>
      </c>
    </row>
    <row r="16" spans="1:12" s="58" customFormat="1" ht="18" customHeight="1" x14ac:dyDescent="0.25">
      <c r="A16" s="212"/>
      <c r="B16" s="220" t="s">
        <v>181</v>
      </c>
      <c r="F16" s="216" t="s">
        <v>5</v>
      </c>
      <c r="G16" s="79"/>
      <c r="H16" s="216" t="s">
        <v>5</v>
      </c>
    </row>
    <row r="17" spans="1:9" s="58" customFormat="1" ht="18" customHeight="1" x14ac:dyDescent="0.25">
      <c r="A17" s="212"/>
      <c r="B17" s="217" t="s">
        <v>182</v>
      </c>
      <c r="F17" s="157">
        <f>SCI!E15</f>
        <v>0</v>
      </c>
      <c r="G17" s="79"/>
      <c r="H17" s="157">
        <f>SCI!G15</f>
        <v>0</v>
      </c>
    </row>
    <row r="18" spans="1:9" s="58" customFormat="1" ht="18" customHeight="1" x14ac:dyDescent="0.25">
      <c r="A18" s="212"/>
      <c r="B18" s="217" t="s">
        <v>183</v>
      </c>
      <c r="F18" s="221">
        <v>0.2</v>
      </c>
      <c r="G18" s="79"/>
      <c r="H18" s="221">
        <v>0.2</v>
      </c>
    </row>
    <row r="19" spans="1:9" s="58" customFormat="1" ht="18" customHeight="1" thickBot="1" x14ac:dyDescent="0.3">
      <c r="B19" s="222" t="s">
        <v>184</v>
      </c>
      <c r="F19" s="73">
        <f>F17*F18</f>
        <v>0</v>
      </c>
      <c r="G19" s="79"/>
      <c r="H19" s="73">
        <f>H17*H18</f>
        <v>0</v>
      </c>
    </row>
    <row r="20" spans="1:9" s="58" customFormat="1" ht="18" customHeight="1" thickTop="1" x14ac:dyDescent="0.25">
      <c r="B20" s="149" t="s">
        <v>185</v>
      </c>
      <c r="C20" s="162"/>
      <c r="D20" s="162"/>
      <c r="E20" s="162"/>
      <c r="F20" s="162"/>
      <c r="G20" s="162"/>
      <c r="H20" s="162"/>
      <c r="I20" s="162"/>
    </row>
    <row r="21" spans="1:9" s="58" customFormat="1" ht="18" customHeight="1" x14ac:dyDescent="0.25">
      <c r="B21" s="162"/>
      <c r="C21" s="162"/>
      <c r="D21" s="162"/>
      <c r="E21" s="162"/>
      <c r="F21" s="150" t="str">
        <f>+F15</f>
        <v>CURRENT YEAR</v>
      </c>
      <c r="G21" s="162"/>
      <c r="H21" s="150" t="str">
        <f>+H15</f>
        <v>PREVIOUS YEAR</v>
      </c>
      <c r="I21" s="162"/>
    </row>
    <row r="22" spans="1:9" s="58" customFormat="1" ht="18" customHeight="1" x14ac:dyDescent="0.25">
      <c r="C22" s="162"/>
      <c r="D22" s="162"/>
      <c r="E22" s="162"/>
      <c r="F22" s="164" t="s">
        <v>5</v>
      </c>
      <c r="G22" s="162"/>
      <c r="H22" s="164" t="s">
        <v>5</v>
      </c>
      <c r="I22" s="162"/>
    </row>
    <row r="23" spans="1:9" s="58" customFormat="1" ht="18" customHeight="1" x14ac:dyDescent="0.25">
      <c r="B23" s="162" t="s">
        <v>186</v>
      </c>
      <c r="C23" s="162"/>
      <c r="D23" s="162"/>
      <c r="E23" s="162"/>
      <c r="F23" s="157">
        <f>H26</f>
        <v>0</v>
      </c>
      <c r="G23" s="162"/>
      <c r="H23" s="157"/>
      <c r="I23" s="162"/>
    </row>
    <row r="24" spans="1:9" s="58" customFormat="1" ht="18" customHeight="1" x14ac:dyDescent="0.25">
      <c r="B24" s="162" t="s">
        <v>187</v>
      </c>
      <c r="C24" s="162"/>
      <c r="D24" s="162"/>
      <c r="E24" s="162"/>
      <c r="F24" s="157">
        <f>'Client TB (2)'!I109</f>
        <v>0</v>
      </c>
      <c r="G24" s="162"/>
      <c r="H24" s="157"/>
      <c r="I24" s="223"/>
    </row>
    <row r="25" spans="1:9" s="58" customFormat="1" ht="18" customHeight="1" x14ac:dyDescent="0.25">
      <c r="B25" s="162" t="s">
        <v>188</v>
      </c>
      <c r="C25" s="162"/>
      <c r="D25" s="162"/>
      <c r="E25" s="162"/>
      <c r="F25" s="157">
        <v>0</v>
      </c>
      <c r="G25" s="162"/>
      <c r="H25" s="157">
        <v>0</v>
      </c>
      <c r="I25" s="223"/>
    </row>
    <row r="26" spans="1:9" s="58" customFormat="1" ht="18" customHeight="1" thickBot="1" x14ac:dyDescent="0.3">
      <c r="B26" s="194" t="s">
        <v>189</v>
      </c>
      <c r="C26" s="162"/>
      <c r="D26" s="162"/>
      <c r="E26" s="162"/>
      <c r="F26" s="166">
        <f>SUM(F23:F25)</f>
        <v>0</v>
      </c>
      <c r="G26" s="162"/>
      <c r="H26" s="166">
        <f>SUM(H23:H25)</f>
        <v>0</v>
      </c>
      <c r="I26" s="223"/>
    </row>
    <row r="27" spans="1:9" s="58" customFormat="1" ht="18" customHeight="1" thickTop="1" x14ac:dyDescent="0.25">
      <c r="B27" s="223"/>
      <c r="C27" s="223"/>
      <c r="D27" s="223"/>
      <c r="E27" s="223"/>
      <c r="F27" s="223"/>
      <c r="G27" s="223"/>
      <c r="H27" s="223"/>
      <c r="I27" s="162"/>
    </row>
    <row r="28" spans="1:9" s="58" customFormat="1" ht="30" customHeight="1" x14ac:dyDescent="0.25">
      <c r="F28" s="62"/>
      <c r="G28" s="62"/>
      <c r="H28" s="62"/>
      <c r="I28" s="62"/>
    </row>
    <row r="29" spans="1:9" s="58" customFormat="1" ht="30" customHeight="1" x14ac:dyDescent="0.25">
      <c r="F29" s="62"/>
      <c r="G29" s="62"/>
      <c r="H29" s="62"/>
      <c r="I29" s="62"/>
    </row>
    <row r="30" spans="1:9" s="58" customFormat="1" ht="18" customHeight="1" x14ac:dyDescent="0.45">
      <c r="B30" s="224"/>
      <c r="C30" s="225"/>
      <c r="E30" s="104"/>
      <c r="F30" s="104"/>
    </row>
    <row r="31" spans="1:9" s="58" customFormat="1" ht="18" customHeight="1" x14ac:dyDescent="0.45">
      <c r="B31" s="224"/>
      <c r="C31" s="225"/>
      <c r="E31" s="104"/>
      <c r="F31" s="104"/>
    </row>
    <row r="32" spans="1:9" s="58" customFormat="1" ht="18" customHeight="1" x14ac:dyDescent="0.45">
      <c r="B32" s="224"/>
      <c r="C32" s="225"/>
      <c r="E32" s="104"/>
      <c r="F32" s="104"/>
    </row>
    <row r="33" spans="2:6" s="58" customFormat="1" ht="18" customHeight="1" x14ac:dyDescent="0.45">
      <c r="B33" s="224"/>
      <c r="C33" s="225"/>
      <c r="E33" s="104"/>
      <c r="F33" s="104"/>
    </row>
    <row r="34" spans="2:6" s="58" customFormat="1" ht="18" customHeight="1" x14ac:dyDescent="0.45">
      <c r="B34" s="224"/>
      <c r="C34" s="225"/>
      <c r="E34" s="104"/>
      <c r="F34" s="104"/>
    </row>
    <row r="35" spans="2:6" s="58" customFormat="1" ht="18" customHeight="1" x14ac:dyDescent="0.45">
      <c r="B35" s="224"/>
      <c r="C35" s="225"/>
      <c r="E35" s="104"/>
      <c r="F35" s="104"/>
    </row>
    <row r="36" spans="2:6" s="58" customFormat="1" ht="18" customHeight="1" x14ac:dyDescent="0.45">
      <c r="B36" s="224"/>
      <c r="C36" s="225"/>
      <c r="E36" s="104"/>
      <c r="F36" s="104"/>
    </row>
    <row r="37" spans="2:6" s="58" customFormat="1" ht="18" customHeight="1" x14ac:dyDescent="0.45">
      <c r="B37" s="224"/>
      <c r="C37" s="225"/>
      <c r="E37" s="104"/>
      <c r="F37" s="104"/>
    </row>
    <row r="38" spans="2:6" s="58" customFormat="1" ht="18" customHeight="1" x14ac:dyDescent="0.45">
      <c r="B38" s="224"/>
      <c r="C38" s="225"/>
      <c r="E38" s="104"/>
      <c r="F38" s="104"/>
    </row>
    <row r="39" spans="2:6" s="58" customFormat="1" ht="18" customHeight="1" x14ac:dyDescent="0.45">
      <c r="B39" s="224"/>
      <c r="C39" s="225"/>
      <c r="E39" s="104"/>
      <c r="F39" s="104"/>
    </row>
    <row r="40" spans="2:6" s="58" customFormat="1" ht="18" customHeight="1" x14ac:dyDescent="0.45">
      <c r="B40" s="224"/>
      <c r="C40" s="225"/>
      <c r="E40" s="104"/>
      <c r="F40" s="104"/>
    </row>
    <row r="41" spans="2:6" s="58" customFormat="1" ht="18" customHeight="1" x14ac:dyDescent="0.45">
      <c r="B41" s="224"/>
      <c r="C41" s="225"/>
      <c r="E41" s="104"/>
      <c r="F41" s="104"/>
    </row>
    <row r="42" spans="2:6" s="58" customFormat="1" ht="18" customHeight="1" x14ac:dyDescent="0.45">
      <c r="B42" s="224"/>
      <c r="C42" s="225"/>
      <c r="E42" s="104"/>
      <c r="F42" s="104"/>
    </row>
    <row r="43" spans="2:6" s="58" customFormat="1" ht="18" customHeight="1" x14ac:dyDescent="0.45">
      <c r="B43" s="224"/>
      <c r="C43" s="225"/>
      <c r="E43" s="104"/>
      <c r="F43" s="104"/>
    </row>
    <row r="44" spans="2:6" s="58" customFormat="1" ht="18" customHeight="1" x14ac:dyDescent="0.45">
      <c r="B44" s="224"/>
      <c r="C44" s="225"/>
      <c r="E44" s="104"/>
      <c r="F44" s="104"/>
    </row>
    <row r="45" spans="2:6" s="58" customFormat="1" ht="18" customHeight="1" x14ac:dyDescent="0.45">
      <c r="B45" s="224"/>
      <c r="C45" s="225"/>
      <c r="E45" s="104"/>
      <c r="F45" s="104"/>
    </row>
    <row r="46" spans="2:6" s="58" customFormat="1" ht="18" customHeight="1" x14ac:dyDescent="0.45">
      <c r="B46" s="224"/>
      <c r="C46" s="225"/>
      <c r="E46" s="104"/>
      <c r="F46" s="104"/>
    </row>
    <row r="47" spans="2:6" s="58" customFormat="1" ht="18" customHeight="1" x14ac:dyDescent="0.45">
      <c r="B47" s="224"/>
      <c r="C47" s="225"/>
      <c r="E47" s="104"/>
      <c r="F47" s="104"/>
    </row>
    <row r="48" spans="2:6" s="58" customFormat="1" ht="18" customHeight="1" x14ac:dyDescent="0.45">
      <c r="B48" s="224"/>
      <c r="C48" s="225"/>
      <c r="E48" s="104"/>
      <c r="F48" s="104"/>
    </row>
    <row r="49" spans="2:9" s="58" customFormat="1" ht="18" customHeight="1" x14ac:dyDescent="0.45">
      <c r="B49" s="224"/>
      <c r="C49" s="225"/>
      <c r="E49" s="104"/>
      <c r="F49" s="104"/>
    </row>
    <row r="50" spans="2:9" s="58" customFormat="1" ht="18" customHeight="1" x14ac:dyDescent="0.25">
      <c r="B50" s="226"/>
      <c r="C50" s="226"/>
      <c r="D50" s="226"/>
      <c r="E50" s="226"/>
      <c r="F50" s="226"/>
      <c r="G50" s="226"/>
      <c r="H50" s="226"/>
      <c r="I50" s="226"/>
    </row>
    <row r="51" spans="2:9" s="58" customFormat="1" ht="18" customHeight="1" x14ac:dyDescent="0.25">
      <c r="B51" s="325">
        <v>15</v>
      </c>
      <c r="C51" s="325"/>
      <c r="D51" s="325"/>
      <c r="E51" s="325"/>
      <c r="F51" s="325"/>
      <c r="G51" s="325"/>
      <c r="H51" s="325"/>
      <c r="I51" s="227"/>
    </row>
    <row r="52" spans="2:9" s="58" customFormat="1" ht="18" customHeight="1" x14ac:dyDescent="0.25">
      <c r="F52" s="62"/>
      <c r="G52" s="62"/>
      <c r="H52" s="62"/>
      <c r="I52" s="62"/>
    </row>
    <row r="53" spans="2:9" s="58" customFormat="1" ht="18" customHeight="1" x14ac:dyDescent="0.25">
      <c r="F53" s="62"/>
      <c r="G53" s="62"/>
      <c r="H53" s="62"/>
      <c r="I53" s="62"/>
    </row>
    <row r="54" spans="2:9" s="58" customFormat="1" ht="18" customHeight="1" x14ac:dyDescent="0.25">
      <c r="F54" s="62"/>
      <c r="G54" s="62"/>
      <c r="H54" s="62"/>
      <c r="I54" s="62"/>
    </row>
    <row r="55" spans="2:9" s="58" customFormat="1" ht="18" customHeight="1" x14ac:dyDescent="0.25">
      <c r="F55" s="62"/>
      <c r="G55" s="62"/>
      <c r="H55" s="62"/>
      <c r="I55" s="62"/>
    </row>
    <row r="56" spans="2:9" s="58" customFormat="1" ht="18" customHeight="1" x14ac:dyDescent="0.25">
      <c r="F56" s="62"/>
      <c r="G56" s="62"/>
      <c r="H56" s="62"/>
      <c r="I56" s="62"/>
    </row>
    <row r="57" spans="2:9" s="58" customFormat="1" ht="18" customHeight="1" x14ac:dyDescent="0.25">
      <c r="F57" s="62"/>
      <c r="G57" s="62"/>
      <c r="H57" s="62"/>
      <c r="I57" s="62"/>
    </row>
    <row r="58" spans="2:9" ht="18" customHeight="1" x14ac:dyDescent="0.25"/>
  </sheetData>
  <mergeCells count="3">
    <mergeCell ref="B1:E1"/>
    <mergeCell ref="F1:I1"/>
    <mergeCell ref="B51:H51"/>
  </mergeCells>
  <printOptions horizontalCentered="1"/>
  <pageMargins left="0" right="0" top="0.59055118110236227" bottom="0" header="0" footer="0"/>
  <pageSetup paperSize="9" scale="85" firstPageNumber="5" orientation="portrait" useFirstPageNumber="1"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A1CB9-DD7D-4E91-8E7D-628A3D71D54D}">
  <sheetPr>
    <tabColor theme="4" tint="0.59999389629810485"/>
  </sheetPr>
  <dimension ref="B1:I63"/>
  <sheetViews>
    <sheetView showGridLines="0" view="pageBreakPreview" zoomScale="130" zoomScaleNormal="90" zoomScaleSheetLayoutView="130" workbookViewId="0">
      <selection activeCell="B17" sqref="B17:F20"/>
    </sheetView>
  </sheetViews>
  <sheetFormatPr defaultColWidth="9.42578125" defaultRowHeight="30" customHeight="1" x14ac:dyDescent="0.25"/>
  <cols>
    <col min="1" max="1" width="5.5703125" style="231" customWidth="1"/>
    <col min="2" max="2" width="47.42578125" style="231" customWidth="1"/>
    <col min="3" max="3" width="19.85546875" style="231" customWidth="1"/>
    <col min="4" max="4" width="18.5703125" style="231" customWidth="1"/>
    <col min="5" max="5" width="1.5703125" style="253" customWidth="1"/>
    <col min="6" max="6" width="18.5703125" style="253" customWidth="1"/>
    <col min="7" max="7" width="5.5703125" style="231" customWidth="1"/>
    <col min="8" max="253" width="9.42578125" style="231"/>
    <col min="254" max="255" width="12.5703125" style="231" customWidth="1"/>
    <col min="256" max="256" width="18.85546875" style="231" customWidth="1"/>
    <col min="257" max="257" width="11.140625" style="231" customWidth="1"/>
    <col min="258" max="258" width="9.42578125" style="231" customWidth="1"/>
    <col min="259" max="260" width="17.5703125" style="231" customWidth="1"/>
    <col min="261" max="261" width="1.85546875" style="231" customWidth="1"/>
    <col min="262" max="509" width="9.42578125" style="231"/>
    <col min="510" max="511" width="12.5703125" style="231" customWidth="1"/>
    <col min="512" max="512" width="18.85546875" style="231" customWidth="1"/>
    <col min="513" max="513" width="11.140625" style="231" customWidth="1"/>
    <col min="514" max="514" width="9.42578125" style="231" customWidth="1"/>
    <col min="515" max="516" width="17.5703125" style="231" customWidth="1"/>
    <col min="517" max="517" width="1.85546875" style="231" customWidth="1"/>
    <col min="518" max="765" width="9.42578125" style="231"/>
    <col min="766" max="767" width="12.5703125" style="231" customWidth="1"/>
    <col min="768" max="768" width="18.85546875" style="231" customWidth="1"/>
    <col min="769" max="769" width="11.140625" style="231" customWidth="1"/>
    <col min="770" max="770" width="9.42578125" style="231" customWidth="1"/>
    <col min="771" max="772" width="17.5703125" style="231" customWidth="1"/>
    <col min="773" max="773" width="1.85546875" style="231" customWidth="1"/>
    <col min="774" max="1021" width="9.42578125" style="231"/>
    <col min="1022" max="1023" width="12.5703125" style="231" customWidth="1"/>
    <col min="1024" max="1024" width="18.85546875" style="231" customWidth="1"/>
    <col min="1025" max="1025" width="11.140625" style="231" customWidth="1"/>
    <col min="1026" max="1026" width="9.42578125" style="231" customWidth="1"/>
    <col min="1027" max="1028" width="17.5703125" style="231" customWidth="1"/>
    <col min="1029" max="1029" width="1.85546875" style="231" customWidth="1"/>
    <col min="1030" max="1277" width="9.42578125" style="231"/>
    <col min="1278" max="1279" width="12.5703125" style="231" customWidth="1"/>
    <col min="1280" max="1280" width="18.85546875" style="231" customWidth="1"/>
    <col min="1281" max="1281" width="11.140625" style="231" customWidth="1"/>
    <col min="1282" max="1282" width="9.42578125" style="231" customWidth="1"/>
    <col min="1283" max="1284" width="17.5703125" style="231" customWidth="1"/>
    <col min="1285" max="1285" width="1.85546875" style="231" customWidth="1"/>
    <col min="1286" max="1533" width="9.42578125" style="231"/>
    <col min="1534" max="1535" width="12.5703125" style="231" customWidth="1"/>
    <col min="1536" max="1536" width="18.85546875" style="231" customWidth="1"/>
    <col min="1537" max="1537" width="11.140625" style="231" customWidth="1"/>
    <col min="1538" max="1538" width="9.42578125" style="231" customWidth="1"/>
    <col min="1539" max="1540" width="17.5703125" style="231" customWidth="1"/>
    <col min="1541" max="1541" width="1.85546875" style="231" customWidth="1"/>
    <col min="1542" max="1789" width="9.42578125" style="231"/>
    <col min="1790" max="1791" width="12.5703125" style="231" customWidth="1"/>
    <col min="1792" max="1792" width="18.85546875" style="231" customWidth="1"/>
    <col min="1793" max="1793" width="11.140625" style="231" customWidth="1"/>
    <col min="1794" max="1794" width="9.42578125" style="231" customWidth="1"/>
    <col min="1795" max="1796" width="17.5703125" style="231" customWidth="1"/>
    <col min="1797" max="1797" width="1.85546875" style="231" customWidth="1"/>
    <col min="1798" max="2045" width="9.42578125" style="231"/>
    <col min="2046" max="2047" width="12.5703125" style="231" customWidth="1"/>
    <col min="2048" max="2048" width="18.85546875" style="231" customWidth="1"/>
    <col min="2049" max="2049" width="11.140625" style="231" customWidth="1"/>
    <col min="2050" max="2050" width="9.42578125" style="231" customWidth="1"/>
    <col min="2051" max="2052" width="17.5703125" style="231" customWidth="1"/>
    <col min="2053" max="2053" width="1.85546875" style="231" customWidth="1"/>
    <col min="2054" max="2301" width="9.42578125" style="231"/>
    <col min="2302" max="2303" width="12.5703125" style="231" customWidth="1"/>
    <col min="2304" max="2304" width="18.85546875" style="231" customWidth="1"/>
    <col min="2305" max="2305" width="11.140625" style="231" customWidth="1"/>
    <col min="2306" max="2306" width="9.42578125" style="231" customWidth="1"/>
    <col min="2307" max="2308" width="17.5703125" style="231" customWidth="1"/>
    <col min="2309" max="2309" width="1.85546875" style="231" customWidth="1"/>
    <col min="2310" max="2557" width="9.42578125" style="231"/>
    <col min="2558" max="2559" width="12.5703125" style="231" customWidth="1"/>
    <col min="2560" max="2560" width="18.85546875" style="231" customWidth="1"/>
    <col min="2561" max="2561" width="11.140625" style="231" customWidth="1"/>
    <col min="2562" max="2562" width="9.42578125" style="231" customWidth="1"/>
    <col min="2563" max="2564" width="17.5703125" style="231" customWidth="1"/>
    <col min="2565" max="2565" width="1.85546875" style="231" customWidth="1"/>
    <col min="2566" max="2813" width="9.42578125" style="231"/>
    <col min="2814" max="2815" width="12.5703125" style="231" customWidth="1"/>
    <col min="2816" max="2816" width="18.85546875" style="231" customWidth="1"/>
    <col min="2817" max="2817" width="11.140625" style="231" customWidth="1"/>
    <col min="2818" max="2818" width="9.42578125" style="231" customWidth="1"/>
    <col min="2819" max="2820" width="17.5703125" style="231" customWidth="1"/>
    <col min="2821" max="2821" width="1.85546875" style="231" customWidth="1"/>
    <col min="2822" max="3069" width="9.42578125" style="231"/>
    <col min="3070" max="3071" width="12.5703125" style="231" customWidth="1"/>
    <col min="3072" max="3072" width="18.85546875" style="231" customWidth="1"/>
    <col min="3073" max="3073" width="11.140625" style="231" customWidth="1"/>
    <col min="3074" max="3074" width="9.42578125" style="231" customWidth="1"/>
    <col min="3075" max="3076" width="17.5703125" style="231" customWidth="1"/>
    <col min="3077" max="3077" width="1.85546875" style="231" customWidth="1"/>
    <col min="3078" max="3325" width="9.42578125" style="231"/>
    <col min="3326" max="3327" width="12.5703125" style="231" customWidth="1"/>
    <col min="3328" max="3328" width="18.85546875" style="231" customWidth="1"/>
    <col min="3329" max="3329" width="11.140625" style="231" customWidth="1"/>
    <col min="3330" max="3330" width="9.42578125" style="231" customWidth="1"/>
    <col min="3331" max="3332" width="17.5703125" style="231" customWidth="1"/>
    <col min="3333" max="3333" width="1.85546875" style="231" customWidth="1"/>
    <col min="3334" max="3581" width="9.42578125" style="231"/>
    <col min="3582" max="3583" width="12.5703125" style="231" customWidth="1"/>
    <col min="3584" max="3584" width="18.85546875" style="231" customWidth="1"/>
    <col min="3585" max="3585" width="11.140625" style="231" customWidth="1"/>
    <col min="3586" max="3586" width="9.42578125" style="231" customWidth="1"/>
    <col min="3587" max="3588" width="17.5703125" style="231" customWidth="1"/>
    <col min="3589" max="3589" width="1.85546875" style="231" customWidth="1"/>
    <col min="3590" max="3837" width="9.42578125" style="231"/>
    <col min="3838" max="3839" width="12.5703125" style="231" customWidth="1"/>
    <col min="3840" max="3840" width="18.85546875" style="231" customWidth="1"/>
    <col min="3841" max="3841" width="11.140625" style="231" customWidth="1"/>
    <col min="3842" max="3842" width="9.42578125" style="231" customWidth="1"/>
    <col min="3843" max="3844" width="17.5703125" style="231" customWidth="1"/>
    <col min="3845" max="3845" width="1.85546875" style="231" customWidth="1"/>
    <col min="3846" max="4093" width="9.42578125" style="231"/>
    <col min="4094" max="4095" width="12.5703125" style="231" customWidth="1"/>
    <col min="4096" max="4096" width="18.85546875" style="231" customWidth="1"/>
    <col min="4097" max="4097" width="11.140625" style="231" customWidth="1"/>
    <col min="4098" max="4098" width="9.42578125" style="231" customWidth="1"/>
    <col min="4099" max="4100" width="17.5703125" style="231" customWidth="1"/>
    <col min="4101" max="4101" width="1.85546875" style="231" customWidth="1"/>
    <col min="4102" max="4349" width="9.42578125" style="231"/>
    <col min="4350" max="4351" width="12.5703125" style="231" customWidth="1"/>
    <col min="4352" max="4352" width="18.85546875" style="231" customWidth="1"/>
    <col min="4353" max="4353" width="11.140625" style="231" customWidth="1"/>
    <col min="4354" max="4354" width="9.42578125" style="231" customWidth="1"/>
    <col min="4355" max="4356" width="17.5703125" style="231" customWidth="1"/>
    <col min="4357" max="4357" width="1.85546875" style="231" customWidth="1"/>
    <col min="4358" max="4605" width="9.42578125" style="231"/>
    <col min="4606" max="4607" width="12.5703125" style="231" customWidth="1"/>
    <col min="4608" max="4608" width="18.85546875" style="231" customWidth="1"/>
    <col min="4609" max="4609" width="11.140625" style="231" customWidth="1"/>
    <col min="4610" max="4610" width="9.42578125" style="231" customWidth="1"/>
    <col min="4611" max="4612" width="17.5703125" style="231" customWidth="1"/>
    <col min="4613" max="4613" width="1.85546875" style="231" customWidth="1"/>
    <col min="4614" max="4861" width="9.42578125" style="231"/>
    <col min="4862" max="4863" width="12.5703125" style="231" customWidth="1"/>
    <col min="4864" max="4864" width="18.85546875" style="231" customWidth="1"/>
    <col min="4865" max="4865" width="11.140625" style="231" customWidth="1"/>
    <col min="4866" max="4866" width="9.42578125" style="231" customWidth="1"/>
    <col min="4867" max="4868" width="17.5703125" style="231" customWidth="1"/>
    <col min="4869" max="4869" width="1.85546875" style="231" customWidth="1"/>
    <col min="4870" max="5117" width="9.42578125" style="231"/>
    <col min="5118" max="5119" width="12.5703125" style="231" customWidth="1"/>
    <col min="5120" max="5120" width="18.85546875" style="231" customWidth="1"/>
    <col min="5121" max="5121" width="11.140625" style="231" customWidth="1"/>
    <col min="5122" max="5122" width="9.42578125" style="231" customWidth="1"/>
    <col min="5123" max="5124" width="17.5703125" style="231" customWidth="1"/>
    <col min="5125" max="5125" width="1.85546875" style="231" customWidth="1"/>
    <col min="5126" max="5373" width="9.42578125" style="231"/>
    <col min="5374" max="5375" width="12.5703125" style="231" customWidth="1"/>
    <col min="5376" max="5376" width="18.85546875" style="231" customWidth="1"/>
    <col min="5377" max="5377" width="11.140625" style="231" customWidth="1"/>
    <col min="5378" max="5378" width="9.42578125" style="231" customWidth="1"/>
    <col min="5379" max="5380" width="17.5703125" style="231" customWidth="1"/>
    <col min="5381" max="5381" width="1.85546875" style="231" customWidth="1"/>
    <col min="5382" max="5629" width="9.42578125" style="231"/>
    <col min="5630" max="5631" width="12.5703125" style="231" customWidth="1"/>
    <col min="5632" max="5632" width="18.85546875" style="231" customWidth="1"/>
    <col min="5633" max="5633" width="11.140625" style="231" customWidth="1"/>
    <col min="5634" max="5634" width="9.42578125" style="231" customWidth="1"/>
    <col min="5635" max="5636" width="17.5703125" style="231" customWidth="1"/>
    <col min="5637" max="5637" width="1.85546875" style="231" customWidth="1"/>
    <col min="5638" max="5885" width="9.42578125" style="231"/>
    <col min="5886" max="5887" width="12.5703125" style="231" customWidth="1"/>
    <col min="5888" max="5888" width="18.85546875" style="231" customWidth="1"/>
    <col min="5889" max="5889" width="11.140625" style="231" customWidth="1"/>
    <col min="5890" max="5890" width="9.42578125" style="231" customWidth="1"/>
    <col min="5891" max="5892" width="17.5703125" style="231" customWidth="1"/>
    <col min="5893" max="5893" width="1.85546875" style="231" customWidth="1"/>
    <col min="5894" max="6141" width="9.42578125" style="231"/>
    <col min="6142" max="6143" width="12.5703125" style="231" customWidth="1"/>
    <col min="6144" max="6144" width="18.85546875" style="231" customWidth="1"/>
    <col min="6145" max="6145" width="11.140625" style="231" customWidth="1"/>
    <col min="6146" max="6146" width="9.42578125" style="231" customWidth="1"/>
    <col min="6147" max="6148" width="17.5703125" style="231" customWidth="1"/>
    <col min="6149" max="6149" width="1.85546875" style="231" customWidth="1"/>
    <col min="6150" max="6397" width="9.42578125" style="231"/>
    <col min="6398" max="6399" width="12.5703125" style="231" customWidth="1"/>
    <col min="6400" max="6400" width="18.85546875" style="231" customWidth="1"/>
    <col min="6401" max="6401" width="11.140625" style="231" customWidth="1"/>
    <col min="6402" max="6402" width="9.42578125" style="231" customWidth="1"/>
    <col min="6403" max="6404" width="17.5703125" style="231" customWidth="1"/>
    <col min="6405" max="6405" width="1.85546875" style="231" customWidth="1"/>
    <col min="6406" max="6653" width="9.42578125" style="231"/>
    <col min="6654" max="6655" width="12.5703125" style="231" customWidth="1"/>
    <col min="6656" max="6656" width="18.85546875" style="231" customWidth="1"/>
    <col min="6657" max="6657" width="11.140625" style="231" customWidth="1"/>
    <col min="6658" max="6658" width="9.42578125" style="231" customWidth="1"/>
    <col min="6659" max="6660" width="17.5703125" style="231" customWidth="1"/>
    <col min="6661" max="6661" width="1.85546875" style="231" customWidth="1"/>
    <col min="6662" max="6909" width="9.42578125" style="231"/>
    <col min="6910" max="6911" width="12.5703125" style="231" customWidth="1"/>
    <col min="6912" max="6912" width="18.85546875" style="231" customWidth="1"/>
    <col min="6913" max="6913" width="11.140625" style="231" customWidth="1"/>
    <col min="6914" max="6914" width="9.42578125" style="231" customWidth="1"/>
    <col min="6915" max="6916" width="17.5703125" style="231" customWidth="1"/>
    <col min="6917" max="6917" width="1.85546875" style="231" customWidth="1"/>
    <col min="6918" max="7165" width="9.42578125" style="231"/>
    <col min="7166" max="7167" width="12.5703125" style="231" customWidth="1"/>
    <col min="7168" max="7168" width="18.85546875" style="231" customWidth="1"/>
    <col min="7169" max="7169" width="11.140625" style="231" customWidth="1"/>
    <col min="7170" max="7170" width="9.42578125" style="231" customWidth="1"/>
    <col min="7171" max="7172" width="17.5703125" style="231" customWidth="1"/>
    <col min="7173" max="7173" width="1.85546875" style="231" customWidth="1"/>
    <col min="7174" max="7421" width="9.42578125" style="231"/>
    <col min="7422" max="7423" width="12.5703125" style="231" customWidth="1"/>
    <col min="7424" max="7424" width="18.85546875" style="231" customWidth="1"/>
    <col min="7425" max="7425" width="11.140625" style="231" customWidth="1"/>
    <col min="7426" max="7426" width="9.42578125" style="231" customWidth="1"/>
    <col min="7427" max="7428" width="17.5703125" style="231" customWidth="1"/>
    <col min="7429" max="7429" width="1.85546875" style="231" customWidth="1"/>
    <col min="7430" max="7677" width="9.42578125" style="231"/>
    <col min="7678" max="7679" width="12.5703125" style="231" customWidth="1"/>
    <col min="7680" max="7680" width="18.85546875" style="231" customWidth="1"/>
    <col min="7681" max="7681" width="11.140625" style="231" customWidth="1"/>
    <col min="7682" max="7682" width="9.42578125" style="231" customWidth="1"/>
    <col min="7683" max="7684" width="17.5703125" style="231" customWidth="1"/>
    <col min="7685" max="7685" width="1.85546875" style="231" customWidth="1"/>
    <col min="7686" max="7933" width="9.42578125" style="231"/>
    <col min="7934" max="7935" width="12.5703125" style="231" customWidth="1"/>
    <col min="7936" max="7936" width="18.85546875" style="231" customWidth="1"/>
    <col min="7937" max="7937" width="11.140625" style="231" customWidth="1"/>
    <col min="7938" max="7938" width="9.42578125" style="231" customWidth="1"/>
    <col min="7939" max="7940" width="17.5703125" style="231" customWidth="1"/>
    <col min="7941" max="7941" width="1.85546875" style="231" customWidth="1"/>
    <col min="7942" max="8189" width="9.42578125" style="231"/>
    <col min="8190" max="8191" width="12.5703125" style="231" customWidth="1"/>
    <col min="8192" max="8192" width="18.85546875" style="231" customWidth="1"/>
    <col min="8193" max="8193" width="11.140625" style="231" customWidth="1"/>
    <col min="8194" max="8194" width="9.42578125" style="231" customWidth="1"/>
    <col min="8195" max="8196" width="17.5703125" style="231" customWidth="1"/>
    <col min="8197" max="8197" width="1.85546875" style="231" customWidth="1"/>
    <col min="8198" max="8445" width="9.42578125" style="231"/>
    <col min="8446" max="8447" width="12.5703125" style="231" customWidth="1"/>
    <col min="8448" max="8448" width="18.85546875" style="231" customWidth="1"/>
    <col min="8449" max="8449" width="11.140625" style="231" customWidth="1"/>
    <col min="8450" max="8450" width="9.42578125" style="231" customWidth="1"/>
    <col min="8451" max="8452" width="17.5703125" style="231" customWidth="1"/>
    <col min="8453" max="8453" width="1.85546875" style="231" customWidth="1"/>
    <col min="8454" max="8701" width="9.42578125" style="231"/>
    <col min="8702" max="8703" width="12.5703125" style="231" customWidth="1"/>
    <col min="8704" max="8704" width="18.85546875" style="231" customWidth="1"/>
    <col min="8705" max="8705" width="11.140625" style="231" customWidth="1"/>
    <col min="8706" max="8706" width="9.42578125" style="231" customWidth="1"/>
    <col min="8707" max="8708" width="17.5703125" style="231" customWidth="1"/>
    <col min="8709" max="8709" width="1.85546875" style="231" customWidth="1"/>
    <col min="8710" max="8957" width="9.42578125" style="231"/>
    <col min="8958" max="8959" width="12.5703125" style="231" customWidth="1"/>
    <col min="8960" max="8960" width="18.85546875" style="231" customWidth="1"/>
    <col min="8961" max="8961" width="11.140625" style="231" customWidth="1"/>
    <col min="8962" max="8962" width="9.42578125" style="231" customWidth="1"/>
    <col min="8963" max="8964" width="17.5703125" style="231" customWidth="1"/>
    <col min="8965" max="8965" width="1.85546875" style="231" customWidth="1"/>
    <col min="8966" max="9213" width="9.42578125" style="231"/>
    <col min="9214" max="9215" width="12.5703125" style="231" customWidth="1"/>
    <col min="9216" max="9216" width="18.85546875" style="231" customWidth="1"/>
    <col min="9217" max="9217" width="11.140625" style="231" customWidth="1"/>
    <col min="9218" max="9218" width="9.42578125" style="231" customWidth="1"/>
    <col min="9219" max="9220" width="17.5703125" style="231" customWidth="1"/>
    <col min="9221" max="9221" width="1.85546875" style="231" customWidth="1"/>
    <col min="9222" max="9469" width="9.42578125" style="231"/>
    <col min="9470" max="9471" width="12.5703125" style="231" customWidth="1"/>
    <col min="9472" max="9472" width="18.85546875" style="231" customWidth="1"/>
    <col min="9473" max="9473" width="11.140625" style="231" customWidth="1"/>
    <col min="9474" max="9474" width="9.42578125" style="231" customWidth="1"/>
    <col min="9475" max="9476" width="17.5703125" style="231" customWidth="1"/>
    <col min="9477" max="9477" width="1.85546875" style="231" customWidth="1"/>
    <col min="9478" max="9725" width="9.42578125" style="231"/>
    <col min="9726" max="9727" width="12.5703125" style="231" customWidth="1"/>
    <col min="9728" max="9728" width="18.85546875" style="231" customWidth="1"/>
    <col min="9729" max="9729" width="11.140625" style="231" customWidth="1"/>
    <col min="9730" max="9730" width="9.42578125" style="231" customWidth="1"/>
    <col min="9731" max="9732" width="17.5703125" style="231" customWidth="1"/>
    <col min="9733" max="9733" width="1.85546875" style="231" customWidth="1"/>
    <col min="9734" max="9981" width="9.42578125" style="231"/>
    <col min="9982" max="9983" width="12.5703125" style="231" customWidth="1"/>
    <col min="9984" max="9984" width="18.85546875" style="231" customWidth="1"/>
    <col min="9985" max="9985" width="11.140625" style="231" customWidth="1"/>
    <col min="9986" max="9986" width="9.42578125" style="231" customWidth="1"/>
    <col min="9987" max="9988" width="17.5703125" style="231" customWidth="1"/>
    <col min="9989" max="9989" width="1.85546875" style="231" customWidth="1"/>
    <col min="9990" max="10237" width="9.42578125" style="231"/>
    <col min="10238" max="10239" width="12.5703125" style="231" customWidth="1"/>
    <col min="10240" max="10240" width="18.85546875" style="231" customWidth="1"/>
    <col min="10241" max="10241" width="11.140625" style="231" customWidth="1"/>
    <col min="10242" max="10242" width="9.42578125" style="231" customWidth="1"/>
    <col min="10243" max="10244" width="17.5703125" style="231" customWidth="1"/>
    <col min="10245" max="10245" width="1.85546875" style="231" customWidth="1"/>
    <col min="10246" max="10493" width="9.42578125" style="231"/>
    <col min="10494" max="10495" width="12.5703125" style="231" customWidth="1"/>
    <col min="10496" max="10496" width="18.85546875" style="231" customWidth="1"/>
    <col min="10497" max="10497" width="11.140625" style="231" customWidth="1"/>
    <col min="10498" max="10498" width="9.42578125" style="231" customWidth="1"/>
    <col min="10499" max="10500" width="17.5703125" style="231" customWidth="1"/>
    <col min="10501" max="10501" width="1.85546875" style="231" customWidth="1"/>
    <col min="10502" max="10749" width="9.42578125" style="231"/>
    <col min="10750" max="10751" width="12.5703125" style="231" customWidth="1"/>
    <col min="10752" max="10752" width="18.85546875" style="231" customWidth="1"/>
    <col min="10753" max="10753" width="11.140625" style="231" customWidth="1"/>
    <col min="10754" max="10754" width="9.42578125" style="231" customWidth="1"/>
    <col min="10755" max="10756" width="17.5703125" style="231" customWidth="1"/>
    <col min="10757" max="10757" width="1.85546875" style="231" customWidth="1"/>
    <col min="10758" max="11005" width="9.42578125" style="231"/>
    <col min="11006" max="11007" width="12.5703125" style="231" customWidth="1"/>
    <col min="11008" max="11008" width="18.85546875" style="231" customWidth="1"/>
    <col min="11009" max="11009" width="11.140625" style="231" customWidth="1"/>
    <col min="11010" max="11010" width="9.42578125" style="231" customWidth="1"/>
    <col min="11011" max="11012" width="17.5703125" style="231" customWidth="1"/>
    <col min="11013" max="11013" width="1.85546875" style="231" customWidth="1"/>
    <col min="11014" max="11261" width="9.42578125" style="231"/>
    <col min="11262" max="11263" width="12.5703125" style="231" customWidth="1"/>
    <col min="11264" max="11264" width="18.85546875" style="231" customWidth="1"/>
    <col min="11265" max="11265" width="11.140625" style="231" customWidth="1"/>
    <col min="11266" max="11266" width="9.42578125" style="231" customWidth="1"/>
    <col min="11267" max="11268" width="17.5703125" style="231" customWidth="1"/>
    <col min="11269" max="11269" width="1.85546875" style="231" customWidth="1"/>
    <col min="11270" max="11517" width="9.42578125" style="231"/>
    <col min="11518" max="11519" width="12.5703125" style="231" customWidth="1"/>
    <col min="11520" max="11520" width="18.85546875" style="231" customWidth="1"/>
    <col min="11521" max="11521" width="11.140625" style="231" customWidth="1"/>
    <col min="11522" max="11522" width="9.42578125" style="231" customWidth="1"/>
    <col min="11523" max="11524" width="17.5703125" style="231" customWidth="1"/>
    <col min="11525" max="11525" width="1.85546875" style="231" customWidth="1"/>
    <col min="11526" max="11773" width="9.42578125" style="231"/>
    <col min="11774" max="11775" width="12.5703125" style="231" customWidth="1"/>
    <col min="11776" max="11776" width="18.85546875" style="231" customWidth="1"/>
    <col min="11777" max="11777" width="11.140625" style="231" customWidth="1"/>
    <col min="11778" max="11778" width="9.42578125" style="231" customWidth="1"/>
    <col min="11779" max="11780" width="17.5703125" style="231" customWidth="1"/>
    <col min="11781" max="11781" width="1.85546875" style="231" customWidth="1"/>
    <col min="11782" max="12029" width="9.42578125" style="231"/>
    <col min="12030" max="12031" width="12.5703125" style="231" customWidth="1"/>
    <col min="12032" max="12032" width="18.85546875" style="231" customWidth="1"/>
    <col min="12033" max="12033" width="11.140625" style="231" customWidth="1"/>
    <col min="12034" max="12034" width="9.42578125" style="231" customWidth="1"/>
    <col min="12035" max="12036" width="17.5703125" style="231" customWidth="1"/>
    <col min="12037" max="12037" width="1.85546875" style="231" customWidth="1"/>
    <col min="12038" max="12285" width="9.42578125" style="231"/>
    <col min="12286" max="12287" width="12.5703125" style="231" customWidth="1"/>
    <col min="12288" max="12288" width="18.85546875" style="231" customWidth="1"/>
    <col min="12289" max="12289" width="11.140625" style="231" customWidth="1"/>
    <col min="12290" max="12290" width="9.42578125" style="231" customWidth="1"/>
    <col min="12291" max="12292" width="17.5703125" style="231" customWidth="1"/>
    <col min="12293" max="12293" width="1.85546875" style="231" customWidth="1"/>
    <col min="12294" max="12541" width="9.42578125" style="231"/>
    <col min="12542" max="12543" width="12.5703125" style="231" customWidth="1"/>
    <col min="12544" max="12544" width="18.85546875" style="231" customWidth="1"/>
    <col min="12545" max="12545" width="11.140625" style="231" customWidth="1"/>
    <col min="12546" max="12546" width="9.42578125" style="231" customWidth="1"/>
    <col min="12547" max="12548" width="17.5703125" style="231" customWidth="1"/>
    <col min="12549" max="12549" width="1.85546875" style="231" customWidth="1"/>
    <col min="12550" max="12797" width="9.42578125" style="231"/>
    <col min="12798" max="12799" width="12.5703125" style="231" customWidth="1"/>
    <col min="12800" max="12800" width="18.85546875" style="231" customWidth="1"/>
    <col min="12801" max="12801" width="11.140625" style="231" customWidth="1"/>
    <col min="12802" max="12802" width="9.42578125" style="231" customWidth="1"/>
    <col min="12803" max="12804" width="17.5703125" style="231" customWidth="1"/>
    <col min="12805" max="12805" width="1.85546875" style="231" customWidth="1"/>
    <col min="12806" max="13053" width="9.42578125" style="231"/>
    <col min="13054" max="13055" width="12.5703125" style="231" customWidth="1"/>
    <col min="13056" max="13056" width="18.85546875" style="231" customWidth="1"/>
    <col min="13057" max="13057" width="11.140625" style="231" customWidth="1"/>
    <col min="13058" max="13058" width="9.42578125" style="231" customWidth="1"/>
    <col min="13059" max="13060" width="17.5703125" style="231" customWidth="1"/>
    <col min="13061" max="13061" width="1.85546875" style="231" customWidth="1"/>
    <col min="13062" max="13309" width="9.42578125" style="231"/>
    <col min="13310" max="13311" width="12.5703125" style="231" customWidth="1"/>
    <col min="13312" max="13312" width="18.85546875" style="231" customWidth="1"/>
    <col min="13313" max="13313" width="11.140625" style="231" customWidth="1"/>
    <col min="13314" max="13314" width="9.42578125" style="231" customWidth="1"/>
    <col min="13315" max="13316" width="17.5703125" style="231" customWidth="1"/>
    <col min="13317" max="13317" width="1.85546875" style="231" customWidth="1"/>
    <col min="13318" max="13565" width="9.42578125" style="231"/>
    <col min="13566" max="13567" width="12.5703125" style="231" customWidth="1"/>
    <col min="13568" max="13568" width="18.85546875" style="231" customWidth="1"/>
    <col min="13569" max="13569" width="11.140625" style="231" customWidth="1"/>
    <col min="13570" max="13570" width="9.42578125" style="231" customWidth="1"/>
    <col min="13571" max="13572" width="17.5703125" style="231" customWidth="1"/>
    <col min="13573" max="13573" width="1.85546875" style="231" customWidth="1"/>
    <col min="13574" max="13821" width="9.42578125" style="231"/>
    <col min="13822" max="13823" width="12.5703125" style="231" customWidth="1"/>
    <col min="13824" max="13824" width="18.85546875" style="231" customWidth="1"/>
    <col min="13825" max="13825" width="11.140625" style="231" customWidth="1"/>
    <col min="13826" max="13826" width="9.42578125" style="231" customWidth="1"/>
    <col min="13827" max="13828" width="17.5703125" style="231" customWidth="1"/>
    <col min="13829" max="13829" width="1.85546875" style="231" customWidth="1"/>
    <col min="13830" max="14077" width="9.42578125" style="231"/>
    <col min="14078" max="14079" width="12.5703125" style="231" customWidth="1"/>
    <col min="14080" max="14080" width="18.85546875" style="231" customWidth="1"/>
    <col min="14081" max="14081" width="11.140625" style="231" customWidth="1"/>
    <col min="14082" max="14082" width="9.42578125" style="231" customWidth="1"/>
    <col min="14083" max="14084" width="17.5703125" style="231" customWidth="1"/>
    <col min="14085" max="14085" width="1.85546875" style="231" customWidth="1"/>
    <col min="14086" max="14333" width="9.42578125" style="231"/>
    <col min="14334" max="14335" width="12.5703125" style="231" customWidth="1"/>
    <col min="14336" max="14336" width="18.85546875" style="231" customWidth="1"/>
    <col min="14337" max="14337" width="11.140625" style="231" customWidth="1"/>
    <col min="14338" max="14338" width="9.42578125" style="231" customWidth="1"/>
    <col min="14339" max="14340" width="17.5703125" style="231" customWidth="1"/>
    <col min="14341" max="14341" width="1.85546875" style="231" customWidth="1"/>
    <col min="14342" max="14589" width="9.42578125" style="231"/>
    <col min="14590" max="14591" width="12.5703125" style="231" customWidth="1"/>
    <col min="14592" max="14592" width="18.85546875" style="231" customWidth="1"/>
    <col min="14593" max="14593" width="11.140625" style="231" customWidth="1"/>
    <col min="14594" max="14594" width="9.42578125" style="231" customWidth="1"/>
    <col min="14595" max="14596" width="17.5703125" style="231" customWidth="1"/>
    <col min="14597" max="14597" width="1.85546875" style="231" customWidth="1"/>
    <col min="14598" max="14845" width="9.42578125" style="231"/>
    <col min="14846" max="14847" width="12.5703125" style="231" customWidth="1"/>
    <col min="14848" max="14848" width="18.85546875" style="231" customWidth="1"/>
    <col min="14849" max="14849" width="11.140625" style="231" customWidth="1"/>
    <col min="14850" max="14850" width="9.42578125" style="231" customWidth="1"/>
    <col min="14851" max="14852" width="17.5703125" style="231" customWidth="1"/>
    <col min="14853" max="14853" width="1.85546875" style="231" customWidth="1"/>
    <col min="14854" max="15101" width="9.42578125" style="231"/>
    <col min="15102" max="15103" width="12.5703125" style="231" customWidth="1"/>
    <col min="15104" max="15104" width="18.85546875" style="231" customWidth="1"/>
    <col min="15105" max="15105" width="11.140625" style="231" customWidth="1"/>
    <col min="15106" max="15106" width="9.42578125" style="231" customWidth="1"/>
    <col min="15107" max="15108" width="17.5703125" style="231" customWidth="1"/>
    <col min="15109" max="15109" width="1.85546875" style="231" customWidth="1"/>
    <col min="15110" max="15357" width="9.42578125" style="231"/>
    <col min="15358" max="15359" width="12.5703125" style="231" customWidth="1"/>
    <col min="15360" max="15360" width="18.85546875" style="231" customWidth="1"/>
    <col min="15361" max="15361" width="11.140625" style="231" customWidth="1"/>
    <col min="15362" max="15362" width="9.42578125" style="231" customWidth="1"/>
    <col min="15363" max="15364" width="17.5703125" style="231" customWidth="1"/>
    <col min="15365" max="15365" width="1.85546875" style="231" customWidth="1"/>
    <col min="15366" max="15613" width="9.42578125" style="231"/>
    <col min="15614" max="15615" width="12.5703125" style="231" customWidth="1"/>
    <col min="15616" max="15616" width="18.85546875" style="231" customWidth="1"/>
    <col min="15617" max="15617" width="11.140625" style="231" customWidth="1"/>
    <col min="15618" max="15618" width="9.42578125" style="231" customWidth="1"/>
    <col min="15619" max="15620" width="17.5703125" style="231" customWidth="1"/>
    <col min="15621" max="15621" width="1.85546875" style="231" customWidth="1"/>
    <col min="15622" max="15869" width="9.42578125" style="231"/>
    <col min="15870" max="15871" width="12.5703125" style="231" customWidth="1"/>
    <col min="15872" max="15872" width="18.85546875" style="231" customWidth="1"/>
    <col min="15873" max="15873" width="11.140625" style="231" customWidth="1"/>
    <col min="15874" max="15874" width="9.42578125" style="231" customWidth="1"/>
    <col min="15875" max="15876" width="17.5703125" style="231" customWidth="1"/>
    <col min="15877" max="15877" width="1.85546875" style="231" customWidth="1"/>
    <col min="15878" max="16125" width="9.42578125" style="231"/>
    <col min="16126" max="16127" width="12.5703125" style="231" customWidth="1"/>
    <col min="16128" max="16128" width="18.85546875" style="231" customWidth="1"/>
    <col min="16129" max="16129" width="11.140625" style="231" customWidth="1"/>
    <col min="16130" max="16130" width="9.42578125" style="231" customWidth="1"/>
    <col min="16131" max="16132" width="17.5703125" style="231" customWidth="1"/>
    <col min="16133" max="16133" width="1.85546875" style="231" customWidth="1"/>
    <col min="16134" max="16384" width="9.42578125" style="231"/>
  </cols>
  <sheetData>
    <row r="1" spans="2:8" ht="18" customHeight="1" x14ac:dyDescent="0.25">
      <c r="B1" s="106" t="str">
        <f>'2...'!B1:E1</f>
        <v>"COMPANY NAME AS PER AOA"</v>
      </c>
      <c r="C1" s="229"/>
      <c r="D1" s="229"/>
      <c r="E1" s="326"/>
      <c r="F1" s="326"/>
      <c r="G1" s="230"/>
    </row>
    <row r="2" spans="2:8" ht="18" customHeight="1" x14ac:dyDescent="0.25">
      <c r="B2" s="232" t="str">
        <f>'2...'!B2:E2</f>
        <v>"TYPE OF COMPANY AS PER AOA"</v>
      </c>
      <c r="C2" s="233"/>
      <c r="D2" s="233"/>
      <c r="E2" s="233"/>
      <c r="F2" s="233"/>
      <c r="G2" s="234"/>
    </row>
    <row r="3" spans="2:8" ht="18" customHeight="1" x14ac:dyDescent="0.25">
      <c r="B3" s="106" t="str">
        <f>'2...'!B3:E3</f>
        <v>NOTES TO THE FINANACIAL STATEMENT FOR THE YEAR ENDED " END DATE OF CURRENT YEAR"</v>
      </c>
      <c r="C3" s="229"/>
      <c r="D3" s="229"/>
      <c r="E3" s="229"/>
      <c r="F3" s="229"/>
      <c r="G3" s="234"/>
    </row>
    <row r="4" spans="2:8" ht="18" customHeight="1" x14ac:dyDescent="0.25">
      <c r="B4" s="109" t="str">
        <f>'2...'!B4:E4</f>
        <v>(All amounts in Saudi Riyals unless otherwies stated)</v>
      </c>
      <c r="C4" s="235"/>
      <c r="D4" s="235"/>
      <c r="E4" s="235"/>
      <c r="F4" s="235"/>
      <c r="G4" s="234"/>
    </row>
    <row r="5" spans="2:8" ht="18" customHeight="1" x14ac:dyDescent="0.25">
      <c r="B5" s="236"/>
      <c r="C5" s="236"/>
      <c r="D5" s="236"/>
      <c r="E5" s="236"/>
      <c r="F5" s="236"/>
      <c r="G5" s="234"/>
    </row>
    <row r="6" spans="2:8" ht="18" customHeight="1" x14ac:dyDescent="0.25">
      <c r="B6" s="112" t="s">
        <v>190</v>
      </c>
      <c r="C6" s="112"/>
      <c r="D6" s="112"/>
      <c r="E6" s="112"/>
      <c r="F6" s="237"/>
      <c r="G6" s="237"/>
      <c r="H6" s="238"/>
    </row>
    <row r="7" spans="2:8" ht="18" customHeight="1" x14ac:dyDescent="0.25">
      <c r="B7" s="310" t="s">
        <v>280</v>
      </c>
      <c r="C7" s="310"/>
      <c r="D7" s="310"/>
      <c r="E7" s="310"/>
      <c r="F7" s="310"/>
      <c r="G7" s="310"/>
      <c r="H7" s="239"/>
    </row>
    <row r="8" spans="2:8" ht="18" customHeight="1" x14ac:dyDescent="0.25">
      <c r="B8" s="310"/>
      <c r="C8" s="310"/>
      <c r="D8" s="310"/>
      <c r="E8" s="310"/>
      <c r="F8" s="310"/>
      <c r="G8" s="310"/>
      <c r="H8" s="240"/>
    </row>
    <row r="9" spans="2:8" ht="18" customHeight="1" x14ac:dyDescent="0.25">
      <c r="B9" s="241" t="s">
        <v>191</v>
      </c>
      <c r="C9" s="242" t="s">
        <v>192</v>
      </c>
      <c r="D9" s="242" t="s">
        <v>193</v>
      </c>
      <c r="E9" s="243"/>
      <c r="F9" s="241" t="s">
        <v>44</v>
      </c>
      <c r="G9" s="243"/>
      <c r="H9" s="240"/>
    </row>
    <row r="10" spans="2:8" ht="18" customHeight="1" x14ac:dyDescent="0.25">
      <c r="B10" s="105"/>
      <c r="C10" s="105"/>
      <c r="D10" s="244"/>
      <c r="E10" s="243"/>
      <c r="F10" s="244" t="s">
        <v>5</v>
      </c>
      <c r="G10" s="243"/>
      <c r="H10" s="238"/>
    </row>
    <row r="11" spans="2:8" ht="18" customHeight="1" x14ac:dyDescent="0.25">
      <c r="B11"/>
      <c r="C11" s="245"/>
      <c r="D11" s="245"/>
      <c r="E11" s="243"/>
      <c r="F11" s="245"/>
      <c r="G11" s="243"/>
      <c r="H11" s="240"/>
    </row>
    <row r="12" spans="2:8" ht="18" customHeight="1" x14ac:dyDescent="0.25">
      <c r="B12" s="123"/>
      <c r="C12" s="245"/>
      <c r="D12" s="245"/>
      <c r="E12" s="243"/>
      <c r="F12" s="245">
        <f>C12*D12</f>
        <v>0</v>
      </c>
      <c r="G12" s="243"/>
      <c r="H12" s="240"/>
    </row>
    <row r="13" spans="2:8" ht="18" customHeight="1" thickBot="1" x14ac:dyDescent="0.3">
      <c r="B13" s="237" t="s">
        <v>140</v>
      </c>
      <c r="C13" s="160">
        <f>SUM(C11:C12)</f>
        <v>0</v>
      </c>
      <c r="D13" s="246">
        <f>SUM(D10:D12)</f>
        <v>0</v>
      </c>
      <c r="E13" s="243"/>
      <c r="F13" s="160">
        <f>SUM(F11:F12)</f>
        <v>0</v>
      </c>
      <c r="G13" s="243"/>
      <c r="H13" s="247"/>
    </row>
    <row r="14" spans="2:8" ht="18" customHeight="1" thickTop="1" x14ac:dyDescent="0.25">
      <c r="B14" s="248"/>
      <c r="C14" s="248"/>
      <c r="D14" s="248"/>
      <c r="E14" s="248"/>
      <c r="F14" s="243"/>
      <c r="G14" s="249"/>
    </row>
    <row r="15" spans="2:8" ht="30" customHeight="1" x14ac:dyDescent="0.25">
      <c r="B15" s="243"/>
      <c r="C15" s="243"/>
      <c r="D15" s="243"/>
      <c r="E15" s="246"/>
      <c r="F15" s="246"/>
      <c r="G15" s="243"/>
    </row>
    <row r="16" spans="2:8" ht="30" customHeight="1" x14ac:dyDescent="0.25">
      <c r="B16" s="112" t="s">
        <v>194</v>
      </c>
      <c r="C16" s="243"/>
      <c r="D16" s="243"/>
      <c r="E16" s="246"/>
      <c r="F16" s="246"/>
      <c r="G16" s="243"/>
    </row>
    <row r="17" spans="2:9" ht="30" customHeight="1" x14ac:dyDescent="0.25">
      <c r="B17" s="310" t="s">
        <v>281</v>
      </c>
      <c r="C17" s="310"/>
      <c r="D17" s="310"/>
      <c r="E17" s="310"/>
      <c r="F17" s="310"/>
      <c r="G17" s="243"/>
    </row>
    <row r="18" spans="2:9" ht="30" customHeight="1" x14ac:dyDescent="0.25">
      <c r="B18" s="310"/>
      <c r="C18" s="310"/>
      <c r="D18" s="310"/>
      <c r="E18" s="310"/>
      <c r="F18" s="310"/>
      <c r="G18" s="243"/>
      <c r="I18" s="231">
        <v>-305781.90246575326</v>
      </c>
    </row>
    <row r="19" spans="2:9" ht="30" customHeight="1" x14ac:dyDescent="0.25">
      <c r="B19" s="310"/>
      <c r="C19" s="310"/>
      <c r="D19" s="310"/>
      <c r="E19" s="310"/>
      <c r="F19" s="310"/>
      <c r="G19" s="243"/>
      <c r="I19" s="231">
        <v>105344.00452054859</v>
      </c>
    </row>
    <row r="20" spans="2:9" ht="43.5" customHeight="1" x14ac:dyDescent="0.25">
      <c r="B20" s="310"/>
      <c r="C20" s="310"/>
      <c r="D20" s="310"/>
      <c r="E20" s="310"/>
      <c r="F20" s="310"/>
      <c r="G20" s="243"/>
    </row>
    <row r="21" spans="2:9" ht="30" customHeight="1" x14ac:dyDescent="0.25">
      <c r="B21" s="243"/>
      <c r="C21" s="243"/>
      <c r="D21" s="243"/>
      <c r="E21" s="246"/>
      <c r="F21" s="246"/>
      <c r="G21" s="243"/>
    </row>
    <row r="22" spans="2:9" ht="30" customHeight="1" x14ac:dyDescent="0.25">
      <c r="B22" s="310"/>
      <c r="C22" s="310"/>
      <c r="D22" s="310"/>
      <c r="E22" s="310"/>
      <c r="F22" s="310"/>
      <c r="G22" s="310"/>
    </row>
    <row r="23" spans="2:9" ht="30" customHeight="1" x14ac:dyDescent="0.25">
      <c r="B23" s="310"/>
      <c r="C23" s="310"/>
      <c r="D23" s="310"/>
      <c r="E23" s="310"/>
      <c r="F23" s="310"/>
      <c r="G23" s="310"/>
    </row>
    <row r="24" spans="2:9" ht="30" customHeight="1" x14ac:dyDescent="0.25">
      <c r="B24" s="243"/>
      <c r="C24" s="243"/>
      <c r="D24" s="243"/>
      <c r="E24" s="246"/>
      <c r="F24" s="246"/>
      <c r="G24" s="243"/>
    </row>
    <row r="25" spans="2:9" ht="30" customHeight="1" x14ac:dyDescent="0.25">
      <c r="B25" s="243"/>
      <c r="C25" s="243"/>
      <c r="D25" s="243"/>
      <c r="E25" s="246"/>
      <c r="F25" s="246"/>
      <c r="G25" s="243"/>
    </row>
    <row r="26" spans="2:9" ht="30" customHeight="1" x14ac:dyDescent="0.25">
      <c r="B26" s="243"/>
      <c r="C26" s="243"/>
      <c r="D26" s="243"/>
      <c r="E26" s="246"/>
      <c r="F26" s="246"/>
      <c r="G26" s="243"/>
    </row>
    <row r="27" spans="2:9" ht="18" customHeight="1" x14ac:dyDescent="0.25">
      <c r="B27" s="250"/>
      <c r="C27" s="250"/>
      <c r="D27" s="251"/>
      <c r="E27" s="243"/>
      <c r="F27" s="251"/>
      <c r="G27" s="249"/>
    </row>
    <row r="28" spans="2:9" ht="18" customHeight="1" x14ac:dyDescent="0.45">
      <c r="B28" s="252"/>
      <c r="C28" s="252"/>
      <c r="D28" s="252"/>
      <c r="E28" s="243"/>
      <c r="F28" s="161"/>
      <c r="G28" s="249"/>
    </row>
    <row r="29" spans="2:9" ht="18" customHeight="1" x14ac:dyDescent="0.45">
      <c r="B29" s="252"/>
      <c r="C29" s="252"/>
      <c r="D29" s="252"/>
      <c r="E29" s="243"/>
      <c r="F29" s="161"/>
      <c r="G29" s="249"/>
    </row>
    <row r="30" spans="2:9" ht="18" customHeight="1" x14ac:dyDescent="0.45">
      <c r="B30" s="252"/>
      <c r="C30" s="252"/>
      <c r="D30" s="252"/>
      <c r="E30" s="243"/>
      <c r="F30" s="161"/>
      <c r="G30" s="249"/>
    </row>
    <row r="31" spans="2:9" ht="18" customHeight="1" x14ac:dyDescent="0.45">
      <c r="B31" s="252"/>
      <c r="C31" s="252"/>
      <c r="D31" s="252"/>
      <c r="E31" s="243"/>
      <c r="F31" s="161"/>
      <c r="G31" s="249"/>
    </row>
    <row r="32" spans="2:9" ht="18" customHeight="1" x14ac:dyDescent="0.45">
      <c r="B32" s="252"/>
      <c r="C32" s="252"/>
      <c r="D32" s="252"/>
      <c r="E32" s="243"/>
      <c r="F32" s="161"/>
      <c r="G32" s="249"/>
    </row>
    <row r="33" spans="2:7" ht="18" customHeight="1" x14ac:dyDescent="0.45">
      <c r="B33" s="252"/>
      <c r="C33" s="252"/>
      <c r="D33" s="252"/>
      <c r="E33" s="243"/>
      <c r="F33" s="161"/>
      <c r="G33" s="249"/>
    </row>
    <row r="34" spans="2:7" ht="18" customHeight="1" x14ac:dyDescent="0.25">
      <c r="B34" s="248"/>
      <c r="C34" s="248"/>
      <c r="D34" s="248"/>
      <c r="E34" s="248"/>
      <c r="F34" s="248"/>
      <c r="G34" s="249"/>
    </row>
    <row r="35" spans="2:7" ht="18" customHeight="1" x14ac:dyDescent="0.25">
      <c r="B35" s="248"/>
      <c r="C35" s="248"/>
      <c r="D35" s="248"/>
      <c r="E35" s="248"/>
      <c r="F35" s="248"/>
      <c r="G35" s="249"/>
    </row>
    <row r="36" spans="2:7" ht="18" customHeight="1" x14ac:dyDescent="0.25">
      <c r="B36" s="327">
        <v>16</v>
      </c>
      <c r="C36" s="327"/>
      <c r="D36" s="327"/>
      <c r="E36" s="327"/>
      <c r="F36" s="327"/>
      <c r="G36" s="249"/>
    </row>
    <row r="37" spans="2:7" ht="18" customHeight="1" x14ac:dyDescent="0.25">
      <c r="B37" s="243"/>
      <c r="C37" s="243"/>
      <c r="D37" s="243"/>
      <c r="E37" s="246"/>
      <c r="F37" s="246"/>
      <c r="G37" s="243"/>
    </row>
    <row r="38" spans="2:7" ht="18" customHeight="1" x14ac:dyDescent="0.25">
      <c r="B38" s="243"/>
      <c r="C38" s="243"/>
      <c r="D38" s="243"/>
      <c r="E38" s="246"/>
      <c r="F38" s="246"/>
      <c r="G38" s="243"/>
    </row>
    <row r="39" spans="2:7" ht="18" customHeight="1" x14ac:dyDescent="0.25">
      <c r="B39" s="243"/>
      <c r="C39" s="243"/>
      <c r="D39" s="243"/>
      <c r="E39" s="246"/>
      <c r="F39" s="246"/>
      <c r="G39" s="243"/>
    </row>
    <row r="40" spans="2:7" ht="18" customHeight="1" x14ac:dyDescent="0.25">
      <c r="B40" s="243"/>
      <c r="C40" s="243"/>
      <c r="D40" s="243"/>
      <c r="E40" s="246"/>
      <c r="F40" s="246"/>
      <c r="G40" s="243"/>
    </row>
    <row r="41" spans="2:7" ht="18" customHeight="1" x14ac:dyDescent="0.25">
      <c r="B41" s="243"/>
      <c r="C41" s="243"/>
      <c r="D41" s="243"/>
      <c r="E41" s="246"/>
      <c r="F41" s="246"/>
      <c r="G41" s="243"/>
    </row>
    <row r="42" spans="2:7" ht="18" customHeight="1" x14ac:dyDescent="0.25"/>
    <row r="43" spans="2:7" ht="18" customHeight="1" x14ac:dyDescent="0.25"/>
    <row r="44" spans="2:7" ht="18" customHeight="1" x14ac:dyDescent="0.25"/>
    <row r="45" spans="2:7" ht="18" customHeight="1" x14ac:dyDescent="0.25"/>
    <row r="46" spans="2:7" ht="18" customHeight="1" x14ac:dyDescent="0.25"/>
    <row r="47" spans="2:7" ht="18" customHeight="1" x14ac:dyDescent="0.25"/>
    <row r="48" spans="2:7"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sheetData>
  <mergeCells count="5">
    <mergeCell ref="E1:F1"/>
    <mergeCell ref="B7:G8"/>
    <mergeCell ref="B17:F20"/>
    <mergeCell ref="B22:G23"/>
    <mergeCell ref="B36:F36"/>
  </mergeCells>
  <printOptions horizontalCentered="1"/>
  <pageMargins left="0" right="0" top="0.59055118110236227" bottom="0" header="0" footer="0"/>
  <pageSetup paperSize="9" scale="85" firstPageNumber="5" orientation="portrait" useFirstPageNumber="1"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5CC42-2EE9-463C-B779-D5EF4D8F11A2}">
  <sheetPr>
    <tabColor theme="4" tint="0.59999389629810485"/>
  </sheetPr>
  <dimension ref="A1:I79"/>
  <sheetViews>
    <sheetView showGridLines="0" view="pageBreakPreview" topLeftCell="A13" zoomScale="130" zoomScaleNormal="85" zoomScaleSheetLayoutView="130" workbookViewId="0">
      <selection activeCell="B12" sqref="B12"/>
    </sheetView>
  </sheetViews>
  <sheetFormatPr defaultColWidth="9.42578125" defaultRowHeight="30" customHeight="1" x14ac:dyDescent="0.25"/>
  <cols>
    <col min="1" max="1" width="5.5703125" style="78" customWidth="1"/>
    <col min="2" max="2" width="47.42578125" style="78" customWidth="1"/>
    <col min="3" max="3" width="19.85546875" style="78" customWidth="1"/>
    <col min="4" max="4" width="18.5703125" style="78" customWidth="1"/>
    <col min="5" max="5" width="1.5703125" style="228" customWidth="1"/>
    <col min="6" max="6" width="18.5703125" style="228" customWidth="1"/>
    <col min="7" max="7" width="5.5703125" style="78" customWidth="1"/>
    <col min="8" max="255" width="9.42578125" style="78"/>
    <col min="256" max="257" width="12.5703125" style="78" customWidth="1"/>
    <col min="258" max="258" width="18.85546875" style="78" customWidth="1"/>
    <col min="259" max="259" width="11.140625" style="78" customWidth="1"/>
    <col min="260" max="260" width="9.42578125" style="78" customWidth="1"/>
    <col min="261" max="262" width="17.5703125" style="78" customWidth="1"/>
    <col min="263" max="263" width="1.85546875" style="78" customWidth="1"/>
    <col min="264" max="511" width="9.42578125" style="78"/>
    <col min="512" max="513" width="12.5703125" style="78" customWidth="1"/>
    <col min="514" max="514" width="18.85546875" style="78" customWidth="1"/>
    <col min="515" max="515" width="11.140625" style="78" customWidth="1"/>
    <col min="516" max="516" width="9.42578125" style="78" customWidth="1"/>
    <col min="517" max="518" width="17.5703125" style="78" customWidth="1"/>
    <col min="519" max="519" width="1.85546875" style="78" customWidth="1"/>
    <col min="520" max="767" width="9.42578125" style="78"/>
    <col min="768" max="769" width="12.5703125" style="78" customWidth="1"/>
    <col min="770" max="770" width="18.85546875" style="78" customWidth="1"/>
    <col min="771" max="771" width="11.140625" style="78" customWidth="1"/>
    <col min="772" max="772" width="9.42578125" style="78" customWidth="1"/>
    <col min="773" max="774" width="17.5703125" style="78" customWidth="1"/>
    <col min="775" max="775" width="1.85546875" style="78" customWidth="1"/>
    <col min="776" max="1023" width="9.42578125" style="78"/>
    <col min="1024" max="1025" width="12.5703125" style="78" customWidth="1"/>
    <col min="1026" max="1026" width="18.85546875" style="78" customWidth="1"/>
    <col min="1027" max="1027" width="11.140625" style="78" customWidth="1"/>
    <col min="1028" max="1028" width="9.42578125" style="78" customWidth="1"/>
    <col min="1029" max="1030" width="17.5703125" style="78" customWidth="1"/>
    <col min="1031" max="1031" width="1.85546875" style="78" customWidth="1"/>
    <col min="1032" max="1279" width="9.42578125" style="78"/>
    <col min="1280" max="1281" width="12.5703125" style="78" customWidth="1"/>
    <col min="1282" max="1282" width="18.85546875" style="78" customWidth="1"/>
    <col min="1283" max="1283" width="11.140625" style="78" customWidth="1"/>
    <col min="1284" max="1284" width="9.42578125" style="78" customWidth="1"/>
    <col min="1285" max="1286" width="17.5703125" style="78" customWidth="1"/>
    <col min="1287" max="1287" width="1.85546875" style="78" customWidth="1"/>
    <col min="1288" max="1535" width="9.42578125" style="78"/>
    <col min="1536" max="1537" width="12.5703125" style="78" customWidth="1"/>
    <col min="1538" max="1538" width="18.85546875" style="78" customWidth="1"/>
    <col min="1539" max="1539" width="11.140625" style="78" customWidth="1"/>
    <col min="1540" max="1540" width="9.42578125" style="78" customWidth="1"/>
    <col min="1541" max="1542" width="17.5703125" style="78" customWidth="1"/>
    <col min="1543" max="1543" width="1.85546875" style="78" customWidth="1"/>
    <col min="1544" max="1791" width="9.42578125" style="78"/>
    <col min="1792" max="1793" width="12.5703125" style="78" customWidth="1"/>
    <col min="1794" max="1794" width="18.85546875" style="78" customWidth="1"/>
    <col min="1795" max="1795" width="11.140625" style="78" customWidth="1"/>
    <col min="1796" max="1796" width="9.42578125" style="78" customWidth="1"/>
    <col min="1797" max="1798" width="17.5703125" style="78" customWidth="1"/>
    <col min="1799" max="1799" width="1.85546875" style="78" customWidth="1"/>
    <col min="1800" max="2047" width="9.42578125" style="78"/>
    <col min="2048" max="2049" width="12.5703125" style="78" customWidth="1"/>
    <col min="2050" max="2050" width="18.85546875" style="78" customWidth="1"/>
    <col min="2051" max="2051" width="11.140625" style="78" customWidth="1"/>
    <col min="2052" max="2052" width="9.42578125" style="78" customWidth="1"/>
    <col min="2053" max="2054" width="17.5703125" style="78" customWidth="1"/>
    <col min="2055" max="2055" width="1.85546875" style="78" customWidth="1"/>
    <col min="2056" max="2303" width="9.42578125" style="78"/>
    <col min="2304" max="2305" width="12.5703125" style="78" customWidth="1"/>
    <col min="2306" max="2306" width="18.85546875" style="78" customWidth="1"/>
    <col min="2307" max="2307" width="11.140625" style="78" customWidth="1"/>
    <col min="2308" max="2308" width="9.42578125" style="78" customWidth="1"/>
    <col min="2309" max="2310" width="17.5703125" style="78" customWidth="1"/>
    <col min="2311" max="2311" width="1.85546875" style="78" customWidth="1"/>
    <col min="2312" max="2559" width="9.42578125" style="78"/>
    <col min="2560" max="2561" width="12.5703125" style="78" customWidth="1"/>
    <col min="2562" max="2562" width="18.85546875" style="78" customWidth="1"/>
    <col min="2563" max="2563" width="11.140625" style="78" customWidth="1"/>
    <col min="2564" max="2564" width="9.42578125" style="78" customWidth="1"/>
    <col min="2565" max="2566" width="17.5703125" style="78" customWidth="1"/>
    <col min="2567" max="2567" width="1.85546875" style="78" customWidth="1"/>
    <col min="2568" max="2815" width="9.42578125" style="78"/>
    <col min="2816" max="2817" width="12.5703125" style="78" customWidth="1"/>
    <col min="2818" max="2818" width="18.85546875" style="78" customWidth="1"/>
    <col min="2819" max="2819" width="11.140625" style="78" customWidth="1"/>
    <col min="2820" max="2820" width="9.42578125" style="78" customWidth="1"/>
    <col min="2821" max="2822" width="17.5703125" style="78" customWidth="1"/>
    <col min="2823" max="2823" width="1.85546875" style="78" customWidth="1"/>
    <col min="2824" max="3071" width="9.42578125" style="78"/>
    <col min="3072" max="3073" width="12.5703125" style="78" customWidth="1"/>
    <col min="3074" max="3074" width="18.85546875" style="78" customWidth="1"/>
    <col min="3075" max="3075" width="11.140625" style="78" customWidth="1"/>
    <col min="3076" max="3076" width="9.42578125" style="78" customWidth="1"/>
    <col min="3077" max="3078" width="17.5703125" style="78" customWidth="1"/>
    <col min="3079" max="3079" width="1.85546875" style="78" customWidth="1"/>
    <col min="3080" max="3327" width="9.42578125" style="78"/>
    <col min="3328" max="3329" width="12.5703125" style="78" customWidth="1"/>
    <col min="3330" max="3330" width="18.85546875" style="78" customWidth="1"/>
    <col min="3331" max="3331" width="11.140625" style="78" customWidth="1"/>
    <col min="3332" max="3332" width="9.42578125" style="78" customWidth="1"/>
    <col min="3333" max="3334" width="17.5703125" style="78" customWidth="1"/>
    <col min="3335" max="3335" width="1.85546875" style="78" customWidth="1"/>
    <col min="3336" max="3583" width="9.42578125" style="78"/>
    <col min="3584" max="3585" width="12.5703125" style="78" customWidth="1"/>
    <col min="3586" max="3586" width="18.85546875" style="78" customWidth="1"/>
    <col min="3587" max="3587" width="11.140625" style="78" customWidth="1"/>
    <col min="3588" max="3588" width="9.42578125" style="78" customWidth="1"/>
    <col min="3589" max="3590" width="17.5703125" style="78" customWidth="1"/>
    <col min="3591" max="3591" width="1.85546875" style="78" customWidth="1"/>
    <col min="3592" max="3839" width="9.42578125" style="78"/>
    <col min="3840" max="3841" width="12.5703125" style="78" customWidth="1"/>
    <col min="3842" max="3842" width="18.85546875" style="78" customWidth="1"/>
    <col min="3843" max="3843" width="11.140625" style="78" customWidth="1"/>
    <col min="3844" max="3844" width="9.42578125" style="78" customWidth="1"/>
    <col min="3845" max="3846" width="17.5703125" style="78" customWidth="1"/>
    <col min="3847" max="3847" width="1.85546875" style="78" customWidth="1"/>
    <col min="3848" max="4095" width="9.42578125" style="78"/>
    <col min="4096" max="4097" width="12.5703125" style="78" customWidth="1"/>
    <col min="4098" max="4098" width="18.85546875" style="78" customWidth="1"/>
    <col min="4099" max="4099" width="11.140625" style="78" customWidth="1"/>
    <col min="4100" max="4100" width="9.42578125" style="78" customWidth="1"/>
    <col min="4101" max="4102" width="17.5703125" style="78" customWidth="1"/>
    <col min="4103" max="4103" width="1.85546875" style="78" customWidth="1"/>
    <col min="4104" max="4351" width="9.42578125" style="78"/>
    <col min="4352" max="4353" width="12.5703125" style="78" customWidth="1"/>
    <col min="4354" max="4354" width="18.85546875" style="78" customWidth="1"/>
    <col min="4355" max="4355" width="11.140625" style="78" customWidth="1"/>
    <col min="4356" max="4356" width="9.42578125" style="78" customWidth="1"/>
    <col min="4357" max="4358" width="17.5703125" style="78" customWidth="1"/>
    <col min="4359" max="4359" width="1.85546875" style="78" customWidth="1"/>
    <col min="4360" max="4607" width="9.42578125" style="78"/>
    <col min="4608" max="4609" width="12.5703125" style="78" customWidth="1"/>
    <col min="4610" max="4610" width="18.85546875" style="78" customWidth="1"/>
    <col min="4611" max="4611" width="11.140625" style="78" customWidth="1"/>
    <col min="4612" max="4612" width="9.42578125" style="78" customWidth="1"/>
    <col min="4613" max="4614" width="17.5703125" style="78" customWidth="1"/>
    <col min="4615" max="4615" width="1.85546875" style="78" customWidth="1"/>
    <col min="4616" max="4863" width="9.42578125" style="78"/>
    <col min="4864" max="4865" width="12.5703125" style="78" customWidth="1"/>
    <col min="4866" max="4866" width="18.85546875" style="78" customWidth="1"/>
    <col min="4867" max="4867" width="11.140625" style="78" customWidth="1"/>
    <col min="4868" max="4868" width="9.42578125" style="78" customWidth="1"/>
    <col min="4869" max="4870" width="17.5703125" style="78" customWidth="1"/>
    <col min="4871" max="4871" width="1.85546875" style="78" customWidth="1"/>
    <col min="4872" max="5119" width="9.42578125" style="78"/>
    <col min="5120" max="5121" width="12.5703125" style="78" customWidth="1"/>
    <col min="5122" max="5122" width="18.85546875" style="78" customWidth="1"/>
    <col min="5123" max="5123" width="11.140625" style="78" customWidth="1"/>
    <col min="5124" max="5124" width="9.42578125" style="78" customWidth="1"/>
    <col min="5125" max="5126" width="17.5703125" style="78" customWidth="1"/>
    <col min="5127" max="5127" width="1.85546875" style="78" customWidth="1"/>
    <col min="5128" max="5375" width="9.42578125" style="78"/>
    <col min="5376" max="5377" width="12.5703125" style="78" customWidth="1"/>
    <col min="5378" max="5378" width="18.85546875" style="78" customWidth="1"/>
    <col min="5379" max="5379" width="11.140625" style="78" customWidth="1"/>
    <col min="5380" max="5380" width="9.42578125" style="78" customWidth="1"/>
    <col min="5381" max="5382" width="17.5703125" style="78" customWidth="1"/>
    <col min="5383" max="5383" width="1.85546875" style="78" customWidth="1"/>
    <col min="5384" max="5631" width="9.42578125" style="78"/>
    <col min="5632" max="5633" width="12.5703125" style="78" customWidth="1"/>
    <col min="5634" max="5634" width="18.85546875" style="78" customWidth="1"/>
    <col min="5635" max="5635" width="11.140625" style="78" customWidth="1"/>
    <col min="5636" max="5636" width="9.42578125" style="78" customWidth="1"/>
    <col min="5637" max="5638" width="17.5703125" style="78" customWidth="1"/>
    <col min="5639" max="5639" width="1.85546875" style="78" customWidth="1"/>
    <col min="5640" max="5887" width="9.42578125" style="78"/>
    <col min="5888" max="5889" width="12.5703125" style="78" customWidth="1"/>
    <col min="5890" max="5890" width="18.85546875" style="78" customWidth="1"/>
    <col min="5891" max="5891" width="11.140625" style="78" customWidth="1"/>
    <col min="5892" max="5892" width="9.42578125" style="78" customWidth="1"/>
    <col min="5893" max="5894" width="17.5703125" style="78" customWidth="1"/>
    <col min="5895" max="5895" width="1.85546875" style="78" customWidth="1"/>
    <col min="5896" max="6143" width="9.42578125" style="78"/>
    <col min="6144" max="6145" width="12.5703125" style="78" customWidth="1"/>
    <col min="6146" max="6146" width="18.85546875" style="78" customWidth="1"/>
    <col min="6147" max="6147" width="11.140625" style="78" customWidth="1"/>
    <col min="6148" max="6148" width="9.42578125" style="78" customWidth="1"/>
    <col min="6149" max="6150" width="17.5703125" style="78" customWidth="1"/>
    <col min="6151" max="6151" width="1.85546875" style="78" customWidth="1"/>
    <col min="6152" max="6399" width="9.42578125" style="78"/>
    <col min="6400" max="6401" width="12.5703125" style="78" customWidth="1"/>
    <col min="6402" max="6402" width="18.85546875" style="78" customWidth="1"/>
    <col min="6403" max="6403" width="11.140625" style="78" customWidth="1"/>
    <col min="6404" max="6404" width="9.42578125" style="78" customWidth="1"/>
    <col min="6405" max="6406" width="17.5703125" style="78" customWidth="1"/>
    <col min="6407" max="6407" width="1.85546875" style="78" customWidth="1"/>
    <col min="6408" max="6655" width="9.42578125" style="78"/>
    <col min="6656" max="6657" width="12.5703125" style="78" customWidth="1"/>
    <col min="6658" max="6658" width="18.85546875" style="78" customWidth="1"/>
    <col min="6659" max="6659" width="11.140625" style="78" customWidth="1"/>
    <col min="6660" max="6660" width="9.42578125" style="78" customWidth="1"/>
    <col min="6661" max="6662" width="17.5703125" style="78" customWidth="1"/>
    <col min="6663" max="6663" width="1.85546875" style="78" customWidth="1"/>
    <col min="6664" max="6911" width="9.42578125" style="78"/>
    <col min="6912" max="6913" width="12.5703125" style="78" customWidth="1"/>
    <col min="6914" max="6914" width="18.85546875" style="78" customWidth="1"/>
    <col min="6915" max="6915" width="11.140625" style="78" customWidth="1"/>
    <col min="6916" max="6916" width="9.42578125" style="78" customWidth="1"/>
    <col min="6917" max="6918" width="17.5703125" style="78" customWidth="1"/>
    <col min="6919" max="6919" width="1.85546875" style="78" customWidth="1"/>
    <col min="6920" max="7167" width="9.42578125" style="78"/>
    <col min="7168" max="7169" width="12.5703125" style="78" customWidth="1"/>
    <col min="7170" max="7170" width="18.85546875" style="78" customWidth="1"/>
    <col min="7171" max="7171" width="11.140625" style="78" customWidth="1"/>
    <col min="7172" max="7172" width="9.42578125" style="78" customWidth="1"/>
    <col min="7173" max="7174" width="17.5703125" style="78" customWidth="1"/>
    <col min="7175" max="7175" width="1.85546875" style="78" customWidth="1"/>
    <col min="7176" max="7423" width="9.42578125" style="78"/>
    <col min="7424" max="7425" width="12.5703125" style="78" customWidth="1"/>
    <col min="7426" max="7426" width="18.85546875" style="78" customWidth="1"/>
    <col min="7427" max="7427" width="11.140625" style="78" customWidth="1"/>
    <col min="7428" max="7428" width="9.42578125" style="78" customWidth="1"/>
    <col min="7429" max="7430" width="17.5703125" style="78" customWidth="1"/>
    <col min="7431" max="7431" width="1.85546875" style="78" customWidth="1"/>
    <col min="7432" max="7679" width="9.42578125" style="78"/>
    <col min="7680" max="7681" width="12.5703125" style="78" customWidth="1"/>
    <col min="7682" max="7682" width="18.85546875" style="78" customWidth="1"/>
    <col min="7683" max="7683" width="11.140625" style="78" customWidth="1"/>
    <col min="7684" max="7684" width="9.42578125" style="78" customWidth="1"/>
    <col min="7685" max="7686" width="17.5703125" style="78" customWidth="1"/>
    <col min="7687" max="7687" width="1.85546875" style="78" customWidth="1"/>
    <col min="7688" max="7935" width="9.42578125" style="78"/>
    <col min="7936" max="7937" width="12.5703125" style="78" customWidth="1"/>
    <col min="7938" max="7938" width="18.85546875" style="78" customWidth="1"/>
    <col min="7939" max="7939" width="11.140625" style="78" customWidth="1"/>
    <col min="7940" max="7940" width="9.42578125" style="78" customWidth="1"/>
    <col min="7941" max="7942" width="17.5703125" style="78" customWidth="1"/>
    <col min="7943" max="7943" width="1.85546875" style="78" customWidth="1"/>
    <col min="7944" max="8191" width="9.42578125" style="78"/>
    <col min="8192" max="8193" width="12.5703125" style="78" customWidth="1"/>
    <col min="8194" max="8194" width="18.85546875" style="78" customWidth="1"/>
    <col min="8195" max="8195" width="11.140625" style="78" customWidth="1"/>
    <col min="8196" max="8196" width="9.42578125" style="78" customWidth="1"/>
    <col min="8197" max="8198" width="17.5703125" style="78" customWidth="1"/>
    <col min="8199" max="8199" width="1.85546875" style="78" customWidth="1"/>
    <col min="8200" max="8447" width="9.42578125" style="78"/>
    <col min="8448" max="8449" width="12.5703125" style="78" customWidth="1"/>
    <col min="8450" max="8450" width="18.85546875" style="78" customWidth="1"/>
    <col min="8451" max="8451" width="11.140625" style="78" customWidth="1"/>
    <col min="8452" max="8452" width="9.42578125" style="78" customWidth="1"/>
    <col min="8453" max="8454" width="17.5703125" style="78" customWidth="1"/>
    <col min="8455" max="8455" width="1.85546875" style="78" customWidth="1"/>
    <col min="8456" max="8703" width="9.42578125" style="78"/>
    <col min="8704" max="8705" width="12.5703125" style="78" customWidth="1"/>
    <col min="8706" max="8706" width="18.85546875" style="78" customWidth="1"/>
    <col min="8707" max="8707" width="11.140625" style="78" customWidth="1"/>
    <col min="8708" max="8708" width="9.42578125" style="78" customWidth="1"/>
    <col min="8709" max="8710" width="17.5703125" style="78" customWidth="1"/>
    <col min="8711" max="8711" width="1.85546875" style="78" customWidth="1"/>
    <col min="8712" max="8959" width="9.42578125" style="78"/>
    <col min="8960" max="8961" width="12.5703125" style="78" customWidth="1"/>
    <col min="8962" max="8962" width="18.85546875" style="78" customWidth="1"/>
    <col min="8963" max="8963" width="11.140625" style="78" customWidth="1"/>
    <col min="8964" max="8964" width="9.42578125" style="78" customWidth="1"/>
    <col min="8965" max="8966" width="17.5703125" style="78" customWidth="1"/>
    <col min="8967" max="8967" width="1.85546875" style="78" customWidth="1"/>
    <col min="8968" max="9215" width="9.42578125" style="78"/>
    <col min="9216" max="9217" width="12.5703125" style="78" customWidth="1"/>
    <col min="9218" max="9218" width="18.85546875" style="78" customWidth="1"/>
    <col min="9219" max="9219" width="11.140625" style="78" customWidth="1"/>
    <col min="9220" max="9220" width="9.42578125" style="78" customWidth="1"/>
    <col min="9221" max="9222" width="17.5703125" style="78" customWidth="1"/>
    <col min="9223" max="9223" width="1.85546875" style="78" customWidth="1"/>
    <col min="9224" max="9471" width="9.42578125" style="78"/>
    <col min="9472" max="9473" width="12.5703125" style="78" customWidth="1"/>
    <col min="9474" max="9474" width="18.85546875" style="78" customWidth="1"/>
    <col min="9475" max="9475" width="11.140625" style="78" customWidth="1"/>
    <col min="9476" max="9476" width="9.42578125" style="78" customWidth="1"/>
    <col min="9477" max="9478" width="17.5703125" style="78" customWidth="1"/>
    <col min="9479" max="9479" width="1.85546875" style="78" customWidth="1"/>
    <col min="9480" max="9727" width="9.42578125" style="78"/>
    <col min="9728" max="9729" width="12.5703125" style="78" customWidth="1"/>
    <col min="9730" max="9730" width="18.85546875" style="78" customWidth="1"/>
    <col min="9731" max="9731" width="11.140625" style="78" customWidth="1"/>
    <col min="9732" max="9732" width="9.42578125" style="78" customWidth="1"/>
    <col min="9733" max="9734" width="17.5703125" style="78" customWidth="1"/>
    <col min="9735" max="9735" width="1.85546875" style="78" customWidth="1"/>
    <col min="9736" max="9983" width="9.42578125" style="78"/>
    <col min="9984" max="9985" width="12.5703125" style="78" customWidth="1"/>
    <col min="9986" max="9986" width="18.85546875" style="78" customWidth="1"/>
    <col min="9987" max="9987" width="11.140625" style="78" customWidth="1"/>
    <col min="9988" max="9988" width="9.42578125" style="78" customWidth="1"/>
    <col min="9989" max="9990" width="17.5703125" style="78" customWidth="1"/>
    <col min="9991" max="9991" width="1.85546875" style="78" customWidth="1"/>
    <col min="9992" max="10239" width="9.42578125" style="78"/>
    <col min="10240" max="10241" width="12.5703125" style="78" customWidth="1"/>
    <col min="10242" max="10242" width="18.85546875" style="78" customWidth="1"/>
    <col min="10243" max="10243" width="11.140625" style="78" customWidth="1"/>
    <col min="10244" max="10244" width="9.42578125" style="78" customWidth="1"/>
    <col min="10245" max="10246" width="17.5703125" style="78" customWidth="1"/>
    <col min="10247" max="10247" width="1.85546875" style="78" customWidth="1"/>
    <col min="10248" max="10495" width="9.42578125" style="78"/>
    <col min="10496" max="10497" width="12.5703125" style="78" customWidth="1"/>
    <col min="10498" max="10498" width="18.85546875" style="78" customWidth="1"/>
    <col min="10499" max="10499" width="11.140625" style="78" customWidth="1"/>
    <col min="10500" max="10500" width="9.42578125" style="78" customWidth="1"/>
    <col min="10501" max="10502" width="17.5703125" style="78" customWidth="1"/>
    <col min="10503" max="10503" width="1.85546875" style="78" customWidth="1"/>
    <col min="10504" max="10751" width="9.42578125" style="78"/>
    <col min="10752" max="10753" width="12.5703125" style="78" customWidth="1"/>
    <col min="10754" max="10754" width="18.85546875" style="78" customWidth="1"/>
    <col min="10755" max="10755" width="11.140625" style="78" customWidth="1"/>
    <col min="10756" max="10756" width="9.42578125" style="78" customWidth="1"/>
    <col min="10757" max="10758" width="17.5703125" style="78" customWidth="1"/>
    <col min="10759" max="10759" width="1.85546875" style="78" customWidth="1"/>
    <col min="10760" max="11007" width="9.42578125" style="78"/>
    <col min="11008" max="11009" width="12.5703125" style="78" customWidth="1"/>
    <col min="11010" max="11010" width="18.85546875" style="78" customWidth="1"/>
    <col min="11011" max="11011" width="11.140625" style="78" customWidth="1"/>
    <col min="11012" max="11012" width="9.42578125" style="78" customWidth="1"/>
    <col min="11013" max="11014" width="17.5703125" style="78" customWidth="1"/>
    <col min="11015" max="11015" width="1.85546875" style="78" customWidth="1"/>
    <col min="11016" max="11263" width="9.42578125" style="78"/>
    <col min="11264" max="11265" width="12.5703125" style="78" customWidth="1"/>
    <col min="11266" max="11266" width="18.85546875" style="78" customWidth="1"/>
    <col min="11267" max="11267" width="11.140625" style="78" customWidth="1"/>
    <col min="11268" max="11268" width="9.42578125" style="78" customWidth="1"/>
    <col min="11269" max="11270" width="17.5703125" style="78" customWidth="1"/>
    <col min="11271" max="11271" width="1.85546875" style="78" customWidth="1"/>
    <col min="11272" max="11519" width="9.42578125" style="78"/>
    <col min="11520" max="11521" width="12.5703125" style="78" customWidth="1"/>
    <col min="11522" max="11522" width="18.85546875" style="78" customWidth="1"/>
    <col min="11523" max="11523" width="11.140625" style="78" customWidth="1"/>
    <col min="11524" max="11524" width="9.42578125" style="78" customWidth="1"/>
    <col min="11525" max="11526" width="17.5703125" style="78" customWidth="1"/>
    <col min="11527" max="11527" width="1.85546875" style="78" customWidth="1"/>
    <col min="11528" max="11775" width="9.42578125" style="78"/>
    <col min="11776" max="11777" width="12.5703125" style="78" customWidth="1"/>
    <col min="11778" max="11778" width="18.85546875" style="78" customWidth="1"/>
    <col min="11779" max="11779" width="11.140625" style="78" customWidth="1"/>
    <col min="11780" max="11780" width="9.42578125" style="78" customWidth="1"/>
    <col min="11781" max="11782" width="17.5703125" style="78" customWidth="1"/>
    <col min="11783" max="11783" width="1.85546875" style="78" customWidth="1"/>
    <col min="11784" max="12031" width="9.42578125" style="78"/>
    <col min="12032" max="12033" width="12.5703125" style="78" customWidth="1"/>
    <col min="12034" max="12034" width="18.85546875" style="78" customWidth="1"/>
    <col min="12035" max="12035" width="11.140625" style="78" customWidth="1"/>
    <col min="12036" max="12036" width="9.42578125" style="78" customWidth="1"/>
    <col min="12037" max="12038" width="17.5703125" style="78" customWidth="1"/>
    <col min="12039" max="12039" width="1.85546875" style="78" customWidth="1"/>
    <col min="12040" max="12287" width="9.42578125" style="78"/>
    <col min="12288" max="12289" width="12.5703125" style="78" customWidth="1"/>
    <col min="12290" max="12290" width="18.85546875" style="78" customWidth="1"/>
    <col min="12291" max="12291" width="11.140625" style="78" customWidth="1"/>
    <col min="12292" max="12292" width="9.42578125" style="78" customWidth="1"/>
    <col min="12293" max="12294" width="17.5703125" style="78" customWidth="1"/>
    <col min="12295" max="12295" width="1.85546875" style="78" customWidth="1"/>
    <col min="12296" max="12543" width="9.42578125" style="78"/>
    <col min="12544" max="12545" width="12.5703125" style="78" customWidth="1"/>
    <col min="12546" max="12546" width="18.85546875" style="78" customWidth="1"/>
    <col min="12547" max="12547" width="11.140625" style="78" customWidth="1"/>
    <col min="12548" max="12548" width="9.42578125" style="78" customWidth="1"/>
    <col min="12549" max="12550" width="17.5703125" style="78" customWidth="1"/>
    <col min="12551" max="12551" width="1.85546875" style="78" customWidth="1"/>
    <col min="12552" max="12799" width="9.42578125" style="78"/>
    <col min="12800" max="12801" width="12.5703125" style="78" customWidth="1"/>
    <col min="12802" max="12802" width="18.85546875" style="78" customWidth="1"/>
    <col min="12803" max="12803" width="11.140625" style="78" customWidth="1"/>
    <col min="12804" max="12804" width="9.42578125" style="78" customWidth="1"/>
    <col min="12805" max="12806" width="17.5703125" style="78" customWidth="1"/>
    <col min="12807" max="12807" width="1.85546875" style="78" customWidth="1"/>
    <col min="12808" max="13055" width="9.42578125" style="78"/>
    <col min="13056" max="13057" width="12.5703125" style="78" customWidth="1"/>
    <col min="13058" max="13058" width="18.85546875" style="78" customWidth="1"/>
    <col min="13059" max="13059" width="11.140625" style="78" customWidth="1"/>
    <col min="13060" max="13060" width="9.42578125" style="78" customWidth="1"/>
    <col min="13061" max="13062" width="17.5703125" style="78" customWidth="1"/>
    <col min="13063" max="13063" width="1.85546875" style="78" customWidth="1"/>
    <col min="13064" max="13311" width="9.42578125" style="78"/>
    <col min="13312" max="13313" width="12.5703125" style="78" customWidth="1"/>
    <col min="13314" max="13314" width="18.85546875" style="78" customWidth="1"/>
    <col min="13315" max="13315" width="11.140625" style="78" customWidth="1"/>
    <col min="13316" max="13316" width="9.42578125" style="78" customWidth="1"/>
    <col min="13317" max="13318" width="17.5703125" style="78" customWidth="1"/>
    <col min="13319" max="13319" width="1.85546875" style="78" customWidth="1"/>
    <col min="13320" max="13567" width="9.42578125" style="78"/>
    <col min="13568" max="13569" width="12.5703125" style="78" customWidth="1"/>
    <col min="13570" max="13570" width="18.85546875" style="78" customWidth="1"/>
    <col min="13571" max="13571" width="11.140625" style="78" customWidth="1"/>
    <col min="13572" max="13572" width="9.42578125" style="78" customWidth="1"/>
    <col min="13573" max="13574" width="17.5703125" style="78" customWidth="1"/>
    <col min="13575" max="13575" width="1.85546875" style="78" customWidth="1"/>
    <col min="13576" max="13823" width="9.42578125" style="78"/>
    <col min="13824" max="13825" width="12.5703125" style="78" customWidth="1"/>
    <col min="13826" max="13826" width="18.85546875" style="78" customWidth="1"/>
    <col min="13827" max="13827" width="11.140625" style="78" customWidth="1"/>
    <col min="13828" max="13828" width="9.42578125" style="78" customWidth="1"/>
    <col min="13829" max="13830" width="17.5703125" style="78" customWidth="1"/>
    <col min="13831" max="13831" width="1.85546875" style="78" customWidth="1"/>
    <col min="13832" max="14079" width="9.42578125" style="78"/>
    <col min="14080" max="14081" width="12.5703125" style="78" customWidth="1"/>
    <col min="14082" max="14082" width="18.85546875" style="78" customWidth="1"/>
    <col min="14083" max="14083" width="11.140625" style="78" customWidth="1"/>
    <col min="14084" max="14084" width="9.42578125" style="78" customWidth="1"/>
    <col min="14085" max="14086" width="17.5703125" style="78" customWidth="1"/>
    <col min="14087" max="14087" width="1.85546875" style="78" customWidth="1"/>
    <col min="14088" max="14335" width="9.42578125" style="78"/>
    <col min="14336" max="14337" width="12.5703125" style="78" customWidth="1"/>
    <col min="14338" max="14338" width="18.85546875" style="78" customWidth="1"/>
    <col min="14339" max="14339" width="11.140625" style="78" customWidth="1"/>
    <col min="14340" max="14340" width="9.42578125" style="78" customWidth="1"/>
    <col min="14341" max="14342" width="17.5703125" style="78" customWidth="1"/>
    <col min="14343" max="14343" width="1.85546875" style="78" customWidth="1"/>
    <col min="14344" max="14591" width="9.42578125" style="78"/>
    <col min="14592" max="14593" width="12.5703125" style="78" customWidth="1"/>
    <col min="14594" max="14594" width="18.85546875" style="78" customWidth="1"/>
    <col min="14595" max="14595" width="11.140625" style="78" customWidth="1"/>
    <col min="14596" max="14596" width="9.42578125" style="78" customWidth="1"/>
    <col min="14597" max="14598" width="17.5703125" style="78" customWidth="1"/>
    <col min="14599" max="14599" width="1.85546875" style="78" customWidth="1"/>
    <col min="14600" max="14847" width="9.42578125" style="78"/>
    <col min="14848" max="14849" width="12.5703125" style="78" customWidth="1"/>
    <col min="14850" max="14850" width="18.85546875" style="78" customWidth="1"/>
    <col min="14851" max="14851" width="11.140625" style="78" customWidth="1"/>
    <col min="14852" max="14852" width="9.42578125" style="78" customWidth="1"/>
    <col min="14853" max="14854" width="17.5703125" style="78" customWidth="1"/>
    <col min="14855" max="14855" width="1.85546875" style="78" customWidth="1"/>
    <col min="14856" max="15103" width="9.42578125" style="78"/>
    <col min="15104" max="15105" width="12.5703125" style="78" customWidth="1"/>
    <col min="15106" max="15106" width="18.85546875" style="78" customWidth="1"/>
    <col min="15107" max="15107" width="11.140625" style="78" customWidth="1"/>
    <col min="15108" max="15108" width="9.42578125" style="78" customWidth="1"/>
    <col min="15109" max="15110" width="17.5703125" style="78" customWidth="1"/>
    <col min="15111" max="15111" width="1.85546875" style="78" customWidth="1"/>
    <col min="15112" max="15359" width="9.42578125" style="78"/>
    <col min="15360" max="15361" width="12.5703125" style="78" customWidth="1"/>
    <col min="15362" max="15362" width="18.85546875" style="78" customWidth="1"/>
    <col min="15363" max="15363" width="11.140625" style="78" customWidth="1"/>
    <col min="15364" max="15364" width="9.42578125" style="78" customWidth="1"/>
    <col min="15365" max="15366" width="17.5703125" style="78" customWidth="1"/>
    <col min="15367" max="15367" width="1.85546875" style="78" customWidth="1"/>
    <col min="15368" max="15615" width="9.42578125" style="78"/>
    <col min="15616" max="15617" width="12.5703125" style="78" customWidth="1"/>
    <col min="15618" max="15618" width="18.85546875" style="78" customWidth="1"/>
    <col min="15619" max="15619" width="11.140625" style="78" customWidth="1"/>
    <col min="15620" max="15620" width="9.42578125" style="78" customWidth="1"/>
    <col min="15621" max="15622" width="17.5703125" style="78" customWidth="1"/>
    <col min="15623" max="15623" width="1.85546875" style="78" customWidth="1"/>
    <col min="15624" max="15871" width="9.42578125" style="78"/>
    <col min="15872" max="15873" width="12.5703125" style="78" customWidth="1"/>
    <col min="15874" max="15874" width="18.85546875" style="78" customWidth="1"/>
    <col min="15875" max="15875" width="11.140625" style="78" customWidth="1"/>
    <col min="15876" max="15876" width="9.42578125" style="78" customWidth="1"/>
    <col min="15877" max="15878" width="17.5703125" style="78" customWidth="1"/>
    <col min="15879" max="15879" width="1.85546875" style="78" customWidth="1"/>
    <col min="15880" max="16127" width="9.42578125" style="78"/>
    <col min="16128" max="16129" width="12.5703125" style="78" customWidth="1"/>
    <col min="16130" max="16130" width="18.85546875" style="78" customWidth="1"/>
    <col min="16131" max="16131" width="11.140625" style="78" customWidth="1"/>
    <col min="16132" max="16132" width="9.42578125" style="78" customWidth="1"/>
    <col min="16133" max="16134" width="17.5703125" style="78" customWidth="1"/>
    <col min="16135" max="16135" width="1.85546875" style="78" customWidth="1"/>
    <col min="16136" max="16384" width="9.42578125" style="78"/>
  </cols>
  <sheetData>
    <row r="1" spans="1:9" ht="18" customHeight="1" x14ac:dyDescent="0.25">
      <c r="B1" s="75" t="str">
        <f>'2...'!B1:E1</f>
        <v>"COMPANY NAME AS PER AOA"</v>
      </c>
      <c r="C1" s="254"/>
      <c r="D1" s="254"/>
      <c r="E1" s="328"/>
      <c r="F1" s="328"/>
      <c r="G1" s="213"/>
      <c r="H1" s="213"/>
      <c r="I1" s="213"/>
    </row>
    <row r="2" spans="1:9" ht="18" customHeight="1" x14ac:dyDescent="0.25">
      <c r="B2" s="119" t="str">
        <f>'2...'!B2:E2</f>
        <v>"TYPE OF COMPANY AS PER AOA"</v>
      </c>
      <c r="C2" s="255"/>
      <c r="D2" s="255"/>
      <c r="E2" s="255"/>
      <c r="F2" s="255"/>
      <c r="G2" s="214"/>
      <c r="H2" s="214"/>
    </row>
    <row r="3" spans="1:9" ht="18" customHeight="1" x14ac:dyDescent="0.25">
      <c r="B3" s="75" t="str">
        <f>'2...'!B3:E3</f>
        <v>NOTES TO THE FINANACIAL STATEMENT FOR THE YEAR ENDED " END DATE OF CURRENT YEAR"</v>
      </c>
      <c r="C3" s="254"/>
      <c r="D3" s="254"/>
      <c r="E3" s="254"/>
      <c r="F3" s="254"/>
      <c r="G3" s="214"/>
      <c r="H3" s="214"/>
      <c r="I3" s="214"/>
    </row>
    <row r="4" spans="1:9" ht="18" customHeight="1" x14ac:dyDescent="0.25">
      <c r="B4" s="120" t="str">
        <f>'2...'!B4:E4</f>
        <v>(All amounts in Saudi Riyals unless otherwies stated)</v>
      </c>
      <c r="C4" s="256"/>
      <c r="D4" s="256"/>
      <c r="E4" s="256"/>
      <c r="F4" s="256"/>
      <c r="G4" s="214"/>
      <c r="H4" s="214"/>
      <c r="I4" s="214"/>
    </row>
    <row r="5" spans="1:9" ht="18" customHeight="1" x14ac:dyDescent="0.25">
      <c r="B5" s="58"/>
      <c r="C5" s="58"/>
      <c r="D5" s="58"/>
      <c r="E5" s="58"/>
      <c r="F5" s="58"/>
      <c r="G5" s="214"/>
      <c r="H5" s="214"/>
      <c r="I5" s="214"/>
    </row>
    <row r="6" spans="1:9" ht="18" customHeight="1" x14ac:dyDescent="0.25">
      <c r="B6" s="60"/>
      <c r="C6" s="60"/>
      <c r="D6" s="60"/>
      <c r="E6" s="60"/>
      <c r="F6" s="58"/>
      <c r="G6" s="214"/>
      <c r="H6" s="214"/>
      <c r="I6" s="214"/>
    </row>
    <row r="7" spans="1:9" ht="65.25" customHeight="1" x14ac:dyDescent="0.45">
      <c r="B7" s="173" t="s">
        <v>195</v>
      </c>
      <c r="C7" s="173"/>
      <c r="D7" s="82" t="str">
        <f>'(2)..'!F6</f>
        <v>CURRENT YEAR</v>
      </c>
      <c r="E7" s="212"/>
      <c r="F7" s="257" t="str">
        <f>'(2)..'!H6</f>
        <v>PREVIOUS YEAR</v>
      </c>
      <c r="G7" s="214"/>
      <c r="H7" s="214"/>
      <c r="I7" s="214"/>
    </row>
    <row r="8" spans="1:9" ht="18" customHeight="1" x14ac:dyDescent="0.45">
      <c r="B8" s="162"/>
      <c r="C8" s="162"/>
      <c r="D8" s="258" t="s">
        <v>5</v>
      </c>
      <c r="E8" s="212"/>
      <c r="F8" s="258" t="s">
        <v>5</v>
      </c>
      <c r="G8" s="214"/>
      <c r="H8" s="214"/>
      <c r="I8" s="214"/>
    </row>
    <row r="9" spans="1:9" ht="18" customHeight="1" x14ac:dyDescent="0.25">
      <c r="B9" s="69" t="s">
        <v>196</v>
      </c>
      <c r="C9" s="69"/>
      <c r="D9" s="157">
        <f>-SUM('Client TB (2)'!I79:I81,'Client TB (2)'!I84:I90)</f>
        <v>0</v>
      </c>
      <c r="E9" s="212"/>
      <c r="F9" s="157"/>
      <c r="G9" s="214"/>
      <c r="H9" s="214"/>
      <c r="I9" s="214"/>
    </row>
    <row r="10" spans="1:9" ht="18" customHeight="1" thickBot="1" x14ac:dyDescent="0.5">
      <c r="B10" s="259" t="s">
        <v>197</v>
      </c>
      <c r="C10" s="259"/>
      <c r="D10" s="166">
        <f>SUM(D9:D9)</f>
        <v>0</v>
      </c>
      <c r="E10" s="212"/>
      <c r="F10" s="166">
        <f>SUM(F9)</f>
        <v>0</v>
      </c>
      <c r="G10" s="214"/>
      <c r="H10" s="214"/>
      <c r="I10" s="214"/>
    </row>
    <row r="11" spans="1:9" ht="18" customHeight="1" thickTop="1" x14ac:dyDescent="0.25">
      <c r="B11" s="60"/>
      <c r="C11" s="60"/>
      <c r="D11" s="60"/>
      <c r="E11" s="60"/>
      <c r="F11" s="60"/>
      <c r="G11" s="214"/>
      <c r="H11" s="214"/>
      <c r="I11" s="214"/>
    </row>
    <row r="12" spans="1:9" ht="65.25" customHeight="1" x14ac:dyDescent="0.45">
      <c r="A12" s="195"/>
      <c r="B12" s="173" t="s">
        <v>198</v>
      </c>
      <c r="C12" s="173"/>
      <c r="D12" s="82" t="str">
        <f>+D7</f>
        <v>CURRENT YEAR</v>
      </c>
      <c r="E12" s="212"/>
      <c r="F12" s="82" t="str">
        <f>SCI!G6</f>
        <v>PREVIOUS YEAR</v>
      </c>
      <c r="G12" s="214"/>
      <c r="H12" s="214"/>
      <c r="I12" s="214"/>
    </row>
    <row r="13" spans="1:9" ht="18" customHeight="1" x14ac:dyDescent="0.45">
      <c r="A13" s="195"/>
      <c r="B13" s="162"/>
      <c r="C13" s="162"/>
      <c r="D13" s="258" t="s">
        <v>5</v>
      </c>
      <c r="E13" s="212"/>
      <c r="F13" s="258" t="s">
        <v>5</v>
      </c>
      <c r="G13" s="214"/>
      <c r="H13" s="214"/>
      <c r="I13" s="214"/>
    </row>
    <row r="14" spans="1:9" ht="18" customHeight="1" x14ac:dyDescent="0.25">
      <c r="A14" s="195"/>
      <c r="B14" s="69" t="s">
        <v>199</v>
      </c>
      <c r="C14" s="69"/>
      <c r="D14" s="157">
        <f>SUM('Client TB (2)'!I119:I120,'Client TB (2)'!I125,'Client TB (2)'!I127,'Client TB (2)'!I137,'Client TB (2)'!I149,'Client TB (2)'!I147,'Client TB (2)'!I145)</f>
        <v>0</v>
      </c>
      <c r="E14" s="212"/>
      <c r="F14" s="157"/>
      <c r="G14" s="214"/>
      <c r="H14" s="214"/>
      <c r="I14" s="214"/>
    </row>
    <row r="15" spans="1:9" ht="18" customHeight="1" x14ac:dyDescent="0.25">
      <c r="A15" s="195"/>
      <c r="B15" s="69" t="s">
        <v>200</v>
      </c>
      <c r="C15" s="69"/>
      <c r="D15" s="157">
        <f>SUM('Client TB (2)'!I112,'Client TB (2)'!I83)</f>
        <v>0</v>
      </c>
      <c r="E15" s="212"/>
      <c r="F15" s="157"/>
      <c r="G15" s="214"/>
      <c r="H15" s="214"/>
      <c r="I15" s="214"/>
    </row>
    <row r="16" spans="1:9" ht="18" customHeight="1" x14ac:dyDescent="0.25">
      <c r="A16" s="195"/>
      <c r="B16" s="69" t="s">
        <v>201</v>
      </c>
      <c r="C16" s="69"/>
      <c r="D16" s="157">
        <f>SUM('Client TB (2)'!I105:I106)</f>
        <v>0</v>
      </c>
      <c r="E16" s="212"/>
      <c r="F16" s="157"/>
      <c r="G16" s="214"/>
      <c r="H16" s="214"/>
      <c r="I16" s="214"/>
    </row>
    <row r="17" spans="1:9" ht="18" customHeight="1" x14ac:dyDescent="0.25">
      <c r="A17" s="195"/>
      <c r="B17" s="69" t="s">
        <v>202</v>
      </c>
      <c r="C17" s="69"/>
      <c r="D17" s="157">
        <f>SUM('Client TB (2)'!I115:I116,'Client TB (2)'!I128,'Client TB (2)'!I141:I142,'Client TB (2)'!I140)</f>
        <v>0</v>
      </c>
      <c r="E17" s="212"/>
      <c r="F17" s="157"/>
      <c r="G17" s="214"/>
      <c r="H17" s="214"/>
      <c r="I17" s="214"/>
    </row>
    <row r="18" spans="1:9" ht="18" customHeight="1" x14ac:dyDescent="0.25">
      <c r="A18" s="195"/>
      <c r="B18" s="69" t="s">
        <v>203</v>
      </c>
      <c r="C18" s="69"/>
      <c r="D18" s="157">
        <f>SUM('Client TB (2)'!I144,)</f>
        <v>0</v>
      </c>
      <c r="E18" s="212"/>
      <c r="F18" s="157"/>
      <c r="G18" s="214"/>
      <c r="H18" s="214"/>
      <c r="I18" s="214"/>
    </row>
    <row r="19" spans="1:9" ht="18" customHeight="1" x14ac:dyDescent="0.25">
      <c r="A19" s="195"/>
      <c r="B19" s="260" t="s">
        <v>204</v>
      </c>
      <c r="C19" s="69"/>
      <c r="D19" s="157">
        <f>'Client TB (2)'!I109</f>
        <v>0</v>
      </c>
      <c r="E19" s="212"/>
      <c r="F19" s="157"/>
      <c r="G19" s="214"/>
      <c r="H19" s="214"/>
      <c r="I19" s="214"/>
    </row>
    <row r="20" spans="1:9" ht="18" customHeight="1" x14ac:dyDescent="0.25">
      <c r="A20" s="195"/>
      <c r="B20" s="58" t="s">
        <v>205</v>
      </c>
      <c r="C20" s="58"/>
      <c r="D20" s="157">
        <f>SUM('Client TB (2)'!I108,'Client TB (2)'!I139)</f>
        <v>0</v>
      </c>
      <c r="E20" s="58"/>
      <c r="F20" s="157"/>
      <c r="G20" s="214"/>
      <c r="H20" s="214"/>
      <c r="I20" s="214"/>
    </row>
    <row r="21" spans="1:9" ht="18" customHeight="1" x14ac:dyDescent="0.25">
      <c r="A21" s="195"/>
      <c r="B21" s="58" t="s">
        <v>206</v>
      </c>
      <c r="C21" s="58"/>
      <c r="D21" s="157">
        <f>SUM('Client TB (2)'!I98:I99)</f>
        <v>0</v>
      </c>
      <c r="E21" s="58"/>
      <c r="F21" s="157"/>
      <c r="G21" s="214"/>
      <c r="H21" s="214"/>
      <c r="I21" s="214"/>
    </row>
    <row r="22" spans="1:9" ht="18" customHeight="1" x14ac:dyDescent="0.25">
      <c r="A22" s="195"/>
      <c r="B22" s="260" t="s">
        <v>207</v>
      </c>
      <c r="C22" s="69"/>
      <c r="D22" s="157">
        <f>SUM('Client TB (2)'!I117,'Client TB (2)'!I131)</f>
        <v>0</v>
      </c>
      <c r="E22" s="212"/>
      <c r="F22" s="157"/>
      <c r="G22" s="214"/>
      <c r="H22" s="214"/>
      <c r="I22" s="214"/>
    </row>
    <row r="23" spans="1:9" ht="18" customHeight="1" x14ac:dyDescent="0.25">
      <c r="A23" s="195"/>
      <c r="B23" s="260" t="s">
        <v>208</v>
      </c>
      <c r="C23" s="69"/>
      <c r="D23" s="157">
        <f>SUM('Client TB (2)'!I132:I134,'Client TB (2)'!I146,'Client TB (2)'!I113:I114)</f>
        <v>0</v>
      </c>
      <c r="E23" s="212"/>
      <c r="F23" s="157"/>
      <c r="G23" s="214"/>
      <c r="H23" s="214"/>
      <c r="I23" s="214"/>
    </row>
    <row r="24" spans="1:9" ht="18" customHeight="1" x14ac:dyDescent="0.25">
      <c r="A24" s="195"/>
      <c r="B24" s="260" t="s">
        <v>209</v>
      </c>
      <c r="C24" s="69"/>
      <c r="D24" s="157"/>
      <c r="E24" s="212"/>
      <c r="F24" s="157"/>
      <c r="G24" s="214"/>
      <c r="H24" s="214"/>
      <c r="I24" s="214"/>
    </row>
    <row r="25" spans="1:9" ht="18" customHeight="1" x14ac:dyDescent="0.25">
      <c r="A25" s="195"/>
      <c r="B25" s="260" t="s">
        <v>210</v>
      </c>
      <c r="C25" s="69"/>
      <c r="D25" s="157">
        <f>'Client TB (2)'!I126</f>
        <v>0</v>
      </c>
      <c r="E25" s="212"/>
      <c r="F25" s="157"/>
      <c r="G25" s="214"/>
      <c r="H25" s="214"/>
      <c r="I25" s="214"/>
    </row>
    <row r="26" spans="1:9" ht="18" customHeight="1" x14ac:dyDescent="0.25">
      <c r="A26" s="195"/>
      <c r="B26" s="260" t="s">
        <v>211</v>
      </c>
      <c r="C26" s="69"/>
      <c r="D26" s="157">
        <f>'Client TB (2)'!I138</f>
        <v>0</v>
      </c>
      <c r="E26" s="212"/>
      <c r="F26" s="157"/>
      <c r="G26" s="214"/>
      <c r="H26" s="214"/>
      <c r="I26" s="214"/>
    </row>
    <row r="27" spans="1:9" ht="18" customHeight="1" x14ac:dyDescent="0.25">
      <c r="A27" s="195"/>
      <c r="B27" s="260" t="s">
        <v>212</v>
      </c>
      <c r="C27" s="69"/>
      <c r="D27" s="157">
        <f>SUM('Client TB (2)'!I121,'Client TB (2)'!I148)</f>
        <v>0</v>
      </c>
      <c r="E27" s="212"/>
      <c r="F27" s="157"/>
      <c r="G27" s="214"/>
      <c r="H27" s="214"/>
      <c r="I27" s="214"/>
    </row>
    <row r="28" spans="1:9" ht="18" customHeight="1" x14ac:dyDescent="0.25">
      <c r="A28" s="195"/>
      <c r="B28" s="260" t="s">
        <v>54</v>
      </c>
      <c r="C28" s="69"/>
      <c r="D28" s="157">
        <f>'Client TB (2)'!I101</f>
        <v>0</v>
      </c>
      <c r="E28" s="212"/>
      <c r="F28" s="157"/>
      <c r="G28" s="214"/>
      <c r="H28" s="214"/>
      <c r="I28" s="214"/>
    </row>
    <row r="29" spans="1:9" ht="18" customHeight="1" x14ac:dyDescent="0.25">
      <c r="A29" s="195"/>
      <c r="B29" s="260" t="s">
        <v>213</v>
      </c>
      <c r="C29" s="69"/>
      <c r="D29" s="157">
        <f>SUM('Client TB (2)'!I95:I96)</f>
        <v>0</v>
      </c>
      <c r="E29" s="212"/>
      <c r="F29" s="157"/>
      <c r="G29" s="214"/>
      <c r="H29" s="214"/>
      <c r="I29" s="214"/>
    </row>
    <row r="30" spans="1:9" ht="18" customHeight="1" x14ac:dyDescent="0.25">
      <c r="A30" s="195"/>
      <c r="B30" s="69" t="s">
        <v>214</v>
      </c>
      <c r="C30" s="69"/>
      <c r="D30" s="157">
        <f>'Client TB (2)'!I103</f>
        <v>0</v>
      </c>
      <c r="E30" s="212"/>
      <c r="F30" s="157"/>
      <c r="G30" s="214"/>
      <c r="H30" s="214"/>
      <c r="I30" s="214"/>
    </row>
    <row r="31" spans="1:9" ht="18" customHeight="1" x14ac:dyDescent="0.25">
      <c r="A31" s="195"/>
      <c r="B31" s="69" t="s">
        <v>215</v>
      </c>
      <c r="C31" s="69"/>
      <c r="D31" s="157">
        <f>SUM('Client TB (2)'!I129:I130)</f>
        <v>0</v>
      </c>
      <c r="E31" s="212"/>
      <c r="F31" s="157"/>
      <c r="G31" s="214"/>
      <c r="H31" s="214"/>
      <c r="I31" s="214"/>
    </row>
    <row r="32" spans="1:9" ht="18" customHeight="1" x14ac:dyDescent="0.25">
      <c r="A32" s="195"/>
      <c r="B32" s="69" t="s">
        <v>216</v>
      </c>
      <c r="C32" s="69"/>
      <c r="D32" s="157">
        <f>SUM('Client TB (2)'!I136,'Client TB (2)'!I110,'Client TB (2)'!I111)</f>
        <v>0</v>
      </c>
      <c r="E32" s="212"/>
      <c r="F32" s="157"/>
      <c r="G32" s="214"/>
      <c r="H32" s="214"/>
      <c r="I32" s="214"/>
    </row>
    <row r="33" spans="1:9" ht="18" customHeight="1" x14ac:dyDescent="0.25">
      <c r="A33" s="195"/>
      <c r="B33" s="69" t="s">
        <v>217</v>
      </c>
      <c r="C33" s="69"/>
      <c r="D33" s="157">
        <f>'Client TB (2)'!I124</f>
        <v>0</v>
      </c>
      <c r="E33" s="212"/>
      <c r="F33" s="157"/>
      <c r="G33" s="214"/>
      <c r="H33" s="214"/>
      <c r="I33" s="214"/>
    </row>
    <row r="34" spans="1:9" ht="18" customHeight="1" x14ac:dyDescent="0.25">
      <c r="A34" s="195"/>
      <c r="B34" s="69" t="s">
        <v>218</v>
      </c>
      <c r="C34" s="69"/>
      <c r="D34" s="157">
        <f>SUM('Client TB (2)'!I143,'Client TB (2)'!I135,'Client TB (2)'!I118,'Client TB (2)'!I122)</f>
        <v>0</v>
      </c>
      <c r="E34" s="212"/>
      <c r="F34" s="157"/>
      <c r="G34" s="214"/>
      <c r="H34" s="214"/>
      <c r="I34" s="214"/>
    </row>
    <row r="35" spans="1:9" ht="18" customHeight="1" thickBot="1" x14ac:dyDescent="0.5">
      <c r="A35" s="195"/>
      <c r="B35" s="259" t="s">
        <v>197</v>
      </c>
      <c r="C35" s="259"/>
      <c r="D35" s="166">
        <f>SUM(D14:D34)</f>
        <v>0</v>
      </c>
      <c r="E35" s="212"/>
      <c r="F35" s="166">
        <f>SUM(F14:F34)</f>
        <v>0</v>
      </c>
      <c r="G35" s="214"/>
      <c r="H35" s="214"/>
      <c r="I35" s="214"/>
    </row>
    <row r="36" spans="1:9" ht="18" customHeight="1" thickTop="1" x14ac:dyDescent="0.45">
      <c r="A36" s="195"/>
      <c r="B36" s="259"/>
      <c r="C36" s="259"/>
      <c r="D36" s="167"/>
      <c r="E36" s="212"/>
      <c r="F36" s="167"/>
      <c r="G36" s="214"/>
      <c r="H36" s="214"/>
      <c r="I36" s="214"/>
    </row>
    <row r="37" spans="1:9" ht="18" customHeight="1" x14ac:dyDescent="0.45">
      <c r="A37" s="195"/>
      <c r="B37" s="173"/>
      <c r="C37" s="69"/>
      <c r="D37" s="261"/>
      <c r="E37" s="212"/>
      <c r="F37" s="261"/>
      <c r="G37" s="214"/>
      <c r="H37" s="214"/>
      <c r="I37" s="214"/>
    </row>
    <row r="38" spans="1:9" ht="30" customHeight="1" x14ac:dyDescent="0.45">
      <c r="B38" s="262"/>
      <c r="C38" s="58"/>
      <c r="D38" s="263"/>
      <c r="E38" s="62"/>
      <c r="F38" s="263"/>
    </row>
    <row r="39" spans="1:9" ht="30" customHeight="1" x14ac:dyDescent="0.25">
      <c r="B39" s="58"/>
      <c r="C39" s="58"/>
      <c r="D39" s="264"/>
      <c r="E39" s="62"/>
      <c r="F39" s="62"/>
    </row>
    <row r="40" spans="1:9" ht="30" customHeight="1" x14ac:dyDescent="0.45">
      <c r="B40" s="265"/>
      <c r="C40" s="58"/>
      <c r="D40" s="181"/>
      <c r="E40" s="62"/>
      <c r="F40" s="157"/>
    </row>
    <row r="41" spans="1:9" ht="30" customHeight="1" x14ac:dyDescent="0.25">
      <c r="B41" s="58"/>
      <c r="C41" s="58"/>
      <c r="D41" s="58"/>
      <c r="E41" s="62"/>
      <c r="F41" s="62"/>
    </row>
    <row r="42" spans="1:9" ht="30" customHeight="1" x14ac:dyDescent="0.25">
      <c r="B42" s="58"/>
      <c r="C42" s="58"/>
      <c r="D42" s="58"/>
      <c r="E42" s="62"/>
      <c r="F42" s="62"/>
    </row>
    <row r="43" spans="1:9" ht="18" customHeight="1" x14ac:dyDescent="0.25">
      <c r="B43" s="222"/>
      <c r="C43" s="222"/>
      <c r="D43" s="72"/>
      <c r="E43" s="58"/>
      <c r="F43" s="72"/>
      <c r="G43" s="214"/>
      <c r="H43" s="214"/>
      <c r="I43" s="214"/>
    </row>
    <row r="44" spans="1:9" ht="18" customHeight="1" x14ac:dyDescent="0.45">
      <c r="B44" s="224"/>
      <c r="C44" s="224"/>
      <c r="D44" s="224"/>
      <c r="E44" s="58"/>
      <c r="F44" s="167"/>
      <c r="G44" s="214"/>
      <c r="H44" s="214"/>
      <c r="I44" s="214"/>
    </row>
    <row r="45" spans="1:9" ht="18" customHeight="1" x14ac:dyDescent="0.45">
      <c r="B45" s="224"/>
      <c r="C45" s="224"/>
      <c r="D45" s="224"/>
      <c r="E45" s="58"/>
      <c r="F45" s="167"/>
      <c r="G45" s="214"/>
      <c r="H45" s="214"/>
      <c r="I45" s="214"/>
    </row>
    <row r="46" spans="1:9" ht="18" customHeight="1" x14ac:dyDescent="0.45">
      <c r="B46" s="224"/>
      <c r="C46" s="224"/>
      <c r="D46" s="224"/>
      <c r="E46" s="58"/>
      <c r="F46" s="167"/>
      <c r="G46" s="214"/>
      <c r="H46" s="214"/>
      <c r="I46" s="214"/>
    </row>
    <row r="47" spans="1:9" ht="18" customHeight="1" x14ac:dyDescent="0.45">
      <c r="B47" s="224"/>
      <c r="C47" s="224"/>
      <c r="D47" s="224"/>
      <c r="E47" s="58"/>
      <c r="F47" s="167"/>
      <c r="G47" s="214"/>
      <c r="H47" s="214"/>
      <c r="I47" s="214"/>
    </row>
    <row r="48" spans="1:9" ht="18" customHeight="1" x14ac:dyDescent="0.45">
      <c r="B48" s="224"/>
      <c r="C48" s="224"/>
      <c r="D48" s="224"/>
      <c r="E48" s="58"/>
      <c r="F48" s="167"/>
      <c r="G48" s="214"/>
      <c r="H48" s="214"/>
      <c r="I48" s="214"/>
    </row>
    <row r="49" spans="2:9" ht="18" customHeight="1" x14ac:dyDescent="0.45">
      <c r="B49" s="224"/>
      <c r="C49" s="224"/>
      <c r="D49" s="224"/>
      <c r="E49" s="58"/>
      <c r="F49" s="167"/>
      <c r="G49" s="214"/>
      <c r="H49" s="214"/>
      <c r="I49" s="214"/>
    </row>
    <row r="50" spans="2:9" ht="18" customHeight="1" x14ac:dyDescent="0.25">
      <c r="B50" s="60"/>
      <c r="C50" s="60"/>
      <c r="D50" s="60"/>
      <c r="E50" s="60"/>
      <c r="F50" s="60"/>
      <c r="G50" s="214"/>
      <c r="H50" s="214"/>
      <c r="I50" s="214"/>
    </row>
    <row r="51" spans="2:9" ht="18" customHeight="1" x14ac:dyDescent="0.25">
      <c r="B51" s="60"/>
      <c r="C51" s="60"/>
      <c r="D51" s="60"/>
      <c r="E51" s="60"/>
      <c r="F51" s="60"/>
      <c r="G51" s="214"/>
      <c r="H51" s="214"/>
      <c r="I51" s="214"/>
    </row>
    <row r="52" spans="2:9" ht="18" customHeight="1" x14ac:dyDescent="0.25">
      <c r="B52" s="325">
        <v>17</v>
      </c>
      <c r="C52" s="325"/>
      <c r="D52" s="325"/>
      <c r="E52" s="325"/>
      <c r="F52" s="325"/>
      <c r="G52" s="214"/>
      <c r="H52" s="214"/>
      <c r="I52" s="214"/>
    </row>
    <row r="53" spans="2:9" ht="18" customHeight="1" x14ac:dyDescent="0.25">
      <c r="B53" s="58"/>
      <c r="C53" s="58"/>
      <c r="D53" s="58"/>
      <c r="E53" s="62"/>
      <c r="F53" s="62"/>
    </row>
    <row r="54" spans="2:9" ht="18" customHeight="1" x14ac:dyDescent="0.25">
      <c r="B54" s="58"/>
      <c r="C54" s="58"/>
      <c r="D54" s="58"/>
      <c r="E54" s="62"/>
      <c r="F54" s="62"/>
    </row>
    <row r="55" spans="2:9" ht="18" customHeight="1" x14ac:dyDescent="0.25">
      <c r="B55" s="58"/>
      <c r="C55" s="58"/>
      <c r="D55" s="58"/>
      <c r="E55" s="62"/>
      <c r="F55" s="62"/>
    </row>
    <row r="56" spans="2:9" ht="18" customHeight="1" x14ac:dyDescent="0.25">
      <c r="B56" s="58"/>
      <c r="C56" s="58"/>
      <c r="D56" s="58"/>
      <c r="E56" s="62"/>
      <c r="F56" s="62"/>
    </row>
    <row r="57" spans="2:9" ht="18" customHeight="1" x14ac:dyDescent="0.25">
      <c r="B57" s="58"/>
      <c r="C57" s="58"/>
      <c r="D57" s="58"/>
      <c r="E57" s="62"/>
      <c r="F57" s="62"/>
    </row>
    <row r="58" spans="2:9" ht="18" customHeight="1" x14ac:dyDescent="0.25">
      <c r="B58" s="58"/>
      <c r="C58" s="58"/>
      <c r="D58" s="58"/>
      <c r="E58" s="62"/>
      <c r="F58" s="62"/>
    </row>
    <row r="59" spans="2:9" ht="18" customHeight="1" x14ac:dyDescent="0.25">
      <c r="B59" s="58"/>
      <c r="C59" s="58"/>
      <c r="D59" s="58"/>
      <c r="E59" s="62"/>
      <c r="F59" s="62"/>
    </row>
    <row r="60" spans="2:9" ht="18" customHeight="1" x14ac:dyDescent="0.25">
      <c r="B60" s="58"/>
      <c r="C60" s="58"/>
      <c r="D60" s="58"/>
      <c r="E60" s="62"/>
      <c r="F60" s="62"/>
    </row>
    <row r="61" spans="2:9" ht="18" customHeight="1" x14ac:dyDescent="0.25">
      <c r="B61" s="58"/>
      <c r="C61" s="58"/>
      <c r="D61" s="58"/>
      <c r="E61" s="62"/>
      <c r="F61" s="62"/>
    </row>
    <row r="62" spans="2:9" ht="18" customHeight="1" x14ac:dyDescent="0.25"/>
    <row r="63" spans="2:9" ht="18" customHeight="1" x14ac:dyDescent="0.25"/>
    <row r="64" spans="2:9"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sheetData>
  <mergeCells count="2">
    <mergeCell ref="E1:F1"/>
    <mergeCell ref="B52:F52"/>
  </mergeCells>
  <printOptions horizontalCentered="1"/>
  <pageMargins left="0" right="0" top="0.59055118110236227" bottom="0" header="0" footer="0"/>
  <pageSetup paperSize="9" scale="85" firstPageNumber="5" orientation="portrait" useFirstPageNumber="1"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E469D-04CB-4543-9827-3D01C3A03A76}">
  <sheetPr>
    <tabColor theme="4" tint="0.59999389629810485"/>
  </sheetPr>
  <dimension ref="B1:E37"/>
  <sheetViews>
    <sheetView showGridLines="0" view="pageBreakPreview" zoomScaleNormal="100" zoomScaleSheetLayoutView="100" workbookViewId="0">
      <selection activeCell="B3" sqref="B3"/>
    </sheetView>
  </sheetViews>
  <sheetFormatPr defaultColWidth="8.5703125" defaultRowHeight="18.75" x14ac:dyDescent="0.45"/>
  <cols>
    <col min="1" max="1" width="5.5703125" style="104" customWidth="1"/>
    <col min="2" max="2" width="68.140625" style="104" customWidth="1"/>
    <col min="3" max="3" width="18.5703125" style="117" customWidth="1"/>
    <col min="4" max="4" width="1.5703125" style="117" customWidth="1"/>
    <col min="5" max="5" width="18.5703125" style="104" customWidth="1"/>
    <col min="6" max="6" width="5.5703125" style="104" customWidth="1"/>
    <col min="7" max="16384" width="8.5703125" style="104"/>
  </cols>
  <sheetData>
    <row r="1" spans="2:5" ht="20.25" customHeight="1" x14ac:dyDescent="0.45">
      <c r="B1" s="75" t="str">
        <f>'6'!B1</f>
        <v>"COMPANY NAME AS PER AOA"</v>
      </c>
      <c r="C1" s="194"/>
      <c r="D1" s="194"/>
      <c r="E1" s="194"/>
    </row>
    <row r="2" spans="2:5" ht="20.25" customHeight="1" x14ac:dyDescent="0.45">
      <c r="B2" s="119" t="str">
        <f>'6'!B2</f>
        <v>"TYPE OF COMPANY AS PER AOA"</v>
      </c>
      <c r="C2" s="162"/>
      <c r="D2" s="162"/>
      <c r="E2" s="162"/>
    </row>
    <row r="3" spans="2:5" ht="20.25" customHeight="1" x14ac:dyDescent="0.45">
      <c r="B3" s="75" t="str">
        <f>'6'!B3</f>
        <v>NOTES TO THE FINANACIAL STATEMENT FOR THE YEAR ENDED " END DATE OF CURRENT YEAR"</v>
      </c>
      <c r="C3" s="194"/>
      <c r="D3" s="194"/>
      <c r="E3" s="194"/>
    </row>
    <row r="4" spans="2:5" ht="20.25" customHeight="1" x14ac:dyDescent="0.45">
      <c r="B4" s="120" t="str">
        <f>'6'!B4</f>
        <v>(All amounts in Saudi Riyals unless otherwies stated)</v>
      </c>
      <c r="C4" s="266"/>
      <c r="D4" s="266"/>
      <c r="E4" s="266"/>
    </row>
    <row r="5" spans="2:5" ht="20.25" customHeight="1" x14ac:dyDescent="0.45">
      <c r="C5" s="267"/>
      <c r="D5" s="267"/>
    </row>
    <row r="6" spans="2:5" ht="20.25" customHeight="1" x14ac:dyDescent="0.45">
      <c r="B6" s="112" t="s">
        <v>219</v>
      </c>
    </row>
    <row r="7" spans="2:5" ht="20.25" customHeight="1" x14ac:dyDescent="0.45">
      <c r="B7" s="268" t="s">
        <v>220</v>
      </c>
    </row>
    <row r="8" spans="2:5" ht="47.25" customHeight="1" x14ac:dyDescent="0.45">
      <c r="B8" s="331" t="s">
        <v>221</v>
      </c>
      <c r="C8" s="331"/>
      <c r="D8" s="331"/>
      <c r="E8" s="331"/>
    </row>
    <row r="9" spans="2:5" ht="20.25" customHeight="1" x14ac:dyDescent="0.45">
      <c r="B9" s="112" t="s">
        <v>222</v>
      </c>
    </row>
    <row r="10" spans="2:5" ht="34.5" customHeight="1" x14ac:dyDescent="0.45">
      <c r="B10" s="331" t="s">
        <v>223</v>
      </c>
      <c r="C10" s="331"/>
      <c r="D10" s="331"/>
      <c r="E10" s="331"/>
    </row>
    <row r="11" spans="2:5" x14ac:dyDescent="0.45">
      <c r="B11" s="269" t="s">
        <v>224</v>
      </c>
      <c r="C11" s="269"/>
      <c r="D11" s="269"/>
      <c r="E11" s="269"/>
    </row>
    <row r="12" spans="2:5" x14ac:dyDescent="0.45">
      <c r="B12" s="270" t="s">
        <v>225</v>
      </c>
      <c r="C12" s="269"/>
      <c r="D12" s="269"/>
      <c r="E12" s="269"/>
    </row>
    <row r="13" spans="2:5" x14ac:dyDescent="0.45">
      <c r="B13" s="269" t="s">
        <v>226</v>
      </c>
      <c r="C13" s="269"/>
      <c r="D13" s="269"/>
      <c r="E13" s="269"/>
    </row>
    <row r="14" spans="2:5" x14ac:dyDescent="0.45">
      <c r="B14" s="269" t="s">
        <v>227</v>
      </c>
      <c r="C14" s="269"/>
      <c r="D14" s="269"/>
      <c r="E14" s="269"/>
    </row>
    <row r="15" spans="2:5" ht="36.75" customHeight="1" x14ac:dyDescent="0.45">
      <c r="B15" s="331" t="s">
        <v>228</v>
      </c>
      <c r="C15" s="331"/>
      <c r="D15" s="331"/>
      <c r="E15" s="331"/>
    </row>
    <row r="16" spans="2:5" x14ac:dyDescent="0.45">
      <c r="B16" s="112" t="s">
        <v>229</v>
      </c>
    </row>
    <row r="17" spans="2:5" ht="20.25" customHeight="1" x14ac:dyDescent="0.45">
      <c r="B17" s="271" t="s">
        <v>230</v>
      </c>
      <c r="C17" s="271"/>
      <c r="D17" s="271"/>
      <c r="E17" s="271"/>
    </row>
    <row r="18" spans="2:5" ht="20.25" customHeight="1" x14ac:dyDescent="0.45">
      <c r="B18" s="272" t="s">
        <v>231</v>
      </c>
      <c r="C18" s="272"/>
      <c r="D18" s="272"/>
      <c r="E18" s="273"/>
    </row>
    <row r="19" spans="2:5" ht="20.25" customHeight="1" x14ac:dyDescent="0.45">
      <c r="B19" s="272"/>
      <c r="C19" s="150" t="str">
        <f>+'6'!D7</f>
        <v>CURRENT YEAR</v>
      </c>
      <c r="D19" s="274"/>
      <c r="E19" s="150" t="str">
        <f>+'6'!F7</f>
        <v>PREVIOUS YEAR</v>
      </c>
    </row>
    <row r="20" spans="2:5" x14ac:dyDescent="0.45">
      <c r="C20" s="174" t="s">
        <v>232</v>
      </c>
      <c r="D20" s="112"/>
      <c r="E20" s="174" t="s">
        <v>232</v>
      </c>
    </row>
    <row r="21" spans="2:5" x14ac:dyDescent="0.45">
      <c r="B21" s="156" t="s">
        <v>233</v>
      </c>
      <c r="C21" s="70">
        <f>+SOFP!E11</f>
        <v>0</v>
      </c>
      <c r="D21" s="275"/>
      <c r="E21" s="70">
        <f>SOFP!G11</f>
        <v>0</v>
      </c>
    </row>
    <row r="22" spans="2:5" x14ac:dyDescent="0.45">
      <c r="B22" s="156" t="s">
        <v>234</v>
      </c>
      <c r="C22" s="70">
        <f>-SOFP!E22</f>
        <v>0</v>
      </c>
      <c r="D22" s="276"/>
      <c r="E22" s="70">
        <f>-SOFP!G22</f>
        <v>0</v>
      </c>
    </row>
    <row r="23" spans="2:5" ht="20.25" customHeight="1" thickBot="1" x14ac:dyDescent="0.5">
      <c r="B23" s="277" t="s">
        <v>235</v>
      </c>
      <c r="C23" s="73">
        <f>SUM(C21:C22)</f>
        <v>0</v>
      </c>
      <c r="D23" s="115"/>
      <c r="E23" s="73">
        <f>SUM(E21:E22)</f>
        <v>0</v>
      </c>
    </row>
    <row r="24" spans="2:5" ht="20.25" customHeight="1" thickTop="1" x14ac:dyDescent="0.45"/>
    <row r="25" spans="2:5" ht="20.25" customHeight="1" x14ac:dyDescent="0.45">
      <c r="B25" s="112" t="s">
        <v>225</v>
      </c>
    </row>
    <row r="26" spans="2:5" ht="64.5" customHeight="1" x14ac:dyDescent="0.45">
      <c r="B26" s="331" t="s">
        <v>236</v>
      </c>
      <c r="C26" s="331"/>
      <c r="D26" s="331"/>
      <c r="E26" s="331"/>
    </row>
    <row r="27" spans="2:5" ht="20.25" customHeight="1" x14ac:dyDescent="0.45">
      <c r="B27" s="112" t="s">
        <v>226</v>
      </c>
    </row>
    <row r="28" spans="2:5" ht="45" customHeight="1" x14ac:dyDescent="0.45">
      <c r="B28" s="331" t="s">
        <v>237</v>
      </c>
      <c r="C28" s="331"/>
      <c r="D28" s="331"/>
      <c r="E28" s="331"/>
    </row>
    <row r="29" spans="2:5" ht="20.25" customHeight="1" x14ac:dyDescent="0.45">
      <c r="B29" s="112" t="s">
        <v>238</v>
      </c>
    </row>
    <row r="30" spans="2:5" ht="74.25" customHeight="1" x14ac:dyDescent="0.45">
      <c r="B30" s="331" t="s">
        <v>239</v>
      </c>
      <c r="C30" s="331"/>
      <c r="D30" s="331"/>
      <c r="E30" s="331"/>
    </row>
    <row r="31" spans="2:5" x14ac:dyDescent="0.45">
      <c r="B31" s="112" t="s">
        <v>240</v>
      </c>
      <c r="C31" s="115"/>
      <c r="D31" s="115"/>
      <c r="E31" s="115"/>
    </row>
    <row r="32" spans="2:5" ht="20.25" customHeight="1" x14ac:dyDescent="0.45">
      <c r="B32" s="329" t="s">
        <v>241</v>
      </c>
      <c r="C32" s="329"/>
      <c r="D32" s="329"/>
      <c r="E32" s="329"/>
    </row>
    <row r="33" spans="2:5" ht="20.25" customHeight="1" x14ac:dyDescent="0.45">
      <c r="B33" s="112" t="s">
        <v>242</v>
      </c>
      <c r="C33" s="115"/>
      <c r="D33" s="115"/>
      <c r="E33" s="115"/>
    </row>
    <row r="34" spans="2:5" ht="20.25" customHeight="1" x14ac:dyDescent="0.45">
      <c r="B34" s="330" t="s">
        <v>243</v>
      </c>
      <c r="C34" s="330"/>
      <c r="D34" s="330"/>
      <c r="E34" s="330"/>
    </row>
    <row r="35" spans="2:5" ht="20.25" customHeight="1" x14ac:dyDescent="0.45"/>
    <row r="36" spans="2:5" ht="21" customHeight="1" x14ac:dyDescent="0.45">
      <c r="C36" s="115"/>
      <c r="D36" s="115"/>
    </row>
    <row r="37" spans="2:5" ht="20.25" customHeight="1" x14ac:dyDescent="0.45">
      <c r="B37" s="325">
        <v>18</v>
      </c>
      <c r="C37" s="325"/>
      <c r="D37" s="325"/>
      <c r="E37" s="325"/>
    </row>
  </sheetData>
  <mergeCells count="9">
    <mergeCell ref="B32:E32"/>
    <mergeCell ref="B34:E34"/>
    <mergeCell ref="B37:E37"/>
    <mergeCell ref="B8:E8"/>
    <mergeCell ref="B10:E10"/>
    <mergeCell ref="B15:E15"/>
    <mergeCell ref="B26:E26"/>
    <mergeCell ref="B28:E28"/>
    <mergeCell ref="B30:E30"/>
  </mergeCells>
  <printOptions horizontalCentered="1"/>
  <pageMargins left="0" right="0" top="0.59055118110236227" bottom="0" header="0" footer="0"/>
  <pageSetup paperSize="9" scale="85"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EAA3D-DD05-41CF-934C-532C42B72D64}">
  <sheetPr>
    <tabColor theme="4" tint="0.59999389629810485"/>
  </sheetPr>
  <dimension ref="A1:J153"/>
  <sheetViews>
    <sheetView tabSelected="1" zoomScale="145" zoomScaleNormal="145" workbookViewId="0">
      <pane ySplit="3" topLeftCell="A4" activePane="bottomLeft" state="frozen"/>
      <selection activeCell="J18" sqref="J18"/>
      <selection pane="bottomLeft" activeCell="A8" sqref="A8"/>
    </sheetView>
  </sheetViews>
  <sheetFormatPr defaultColWidth="8.5703125" defaultRowHeight="18" x14ac:dyDescent="0.45"/>
  <cols>
    <col min="1" max="1" width="52.85546875" style="118" bestFit="1" customWidth="1"/>
    <col min="2" max="2" width="19.140625" style="118" bestFit="1" customWidth="1"/>
    <col min="3" max="3" width="25.85546875" style="118" bestFit="1" customWidth="1"/>
    <col min="4" max="4" width="18.42578125" style="118" bestFit="1" customWidth="1"/>
    <col min="5" max="6" width="13.28515625" style="118" bestFit="1" customWidth="1"/>
    <col min="7" max="8" width="9.85546875" style="118" bestFit="1" customWidth="1"/>
    <col min="9" max="9" width="13.28515625" style="118" bestFit="1" customWidth="1"/>
    <col min="10" max="10" width="77.7109375" style="118" bestFit="1" customWidth="1"/>
    <col min="11" max="16384" width="8.5703125" style="118"/>
  </cols>
  <sheetData>
    <row r="1" spans="1:10" ht="23.25" x14ac:dyDescent="0.5">
      <c r="A1" s="332" t="s">
        <v>282</v>
      </c>
      <c r="B1" s="332"/>
      <c r="C1" s="332"/>
      <c r="D1" s="332"/>
      <c r="E1" s="332"/>
      <c r="F1" s="332"/>
      <c r="G1" s="332"/>
      <c r="H1" s="332"/>
      <c r="I1" s="332"/>
    </row>
    <row r="2" spans="1:10" s="104" customFormat="1" ht="18.75" x14ac:dyDescent="0.45">
      <c r="A2" s="333" t="s">
        <v>244</v>
      </c>
      <c r="B2" s="333" t="s">
        <v>245</v>
      </c>
      <c r="C2" s="333" t="s">
        <v>246</v>
      </c>
      <c r="D2" s="333" t="s">
        <v>247</v>
      </c>
      <c r="E2" s="333" t="s">
        <v>248</v>
      </c>
      <c r="F2" s="333" t="s">
        <v>249</v>
      </c>
      <c r="G2" s="335" t="s">
        <v>250</v>
      </c>
      <c r="H2" s="336"/>
      <c r="I2" s="333" t="s">
        <v>251</v>
      </c>
    </row>
    <row r="3" spans="1:10" s="104" customFormat="1" ht="18.75" x14ac:dyDescent="0.45">
      <c r="A3" s="334"/>
      <c r="B3" s="334"/>
      <c r="C3" s="334"/>
      <c r="D3" s="334"/>
      <c r="E3" s="334"/>
      <c r="F3" s="334"/>
      <c r="G3" s="278" t="s">
        <v>248</v>
      </c>
      <c r="H3" s="278" t="s">
        <v>249</v>
      </c>
      <c r="I3" s="334"/>
    </row>
    <row r="4" spans="1:10" s="104" customFormat="1" ht="18.75" x14ac:dyDescent="0.45">
      <c r="A4" s="279"/>
      <c r="B4" s="280"/>
      <c r="C4" s="280"/>
      <c r="D4" s="281"/>
      <c r="E4" s="281"/>
      <c r="F4" s="281"/>
      <c r="G4" s="281"/>
      <c r="H4" s="281"/>
      <c r="I4" s="281"/>
      <c r="J4" s="114"/>
    </row>
    <row r="5" spans="1:10" s="104" customFormat="1" ht="18.75" x14ac:dyDescent="0.45">
      <c r="A5" s="282"/>
      <c r="B5" s="283"/>
      <c r="C5" s="283"/>
      <c r="D5" s="284"/>
      <c r="E5" s="284"/>
      <c r="F5" s="284"/>
      <c r="G5" s="284"/>
      <c r="H5" s="284"/>
      <c r="I5" s="284"/>
      <c r="J5" s="114"/>
    </row>
    <row r="6" spans="1:10" s="104" customFormat="1" ht="18.75" x14ac:dyDescent="0.45">
      <c r="A6" s="282"/>
      <c r="B6" s="283"/>
      <c r="C6" s="283"/>
      <c r="D6" s="284"/>
      <c r="E6" s="284"/>
      <c r="F6" s="284"/>
      <c r="G6" s="284"/>
      <c r="H6" s="284"/>
      <c r="I6" s="284"/>
      <c r="J6" s="114"/>
    </row>
    <row r="7" spans="1:10" s="104" customFormat="1" ht="18.75" x14ac:dyDescent="0.45">
      <c r="A7" s="285"/>
      <c r="B7" s="283"/>
      <c r="C7" s="283"/>
      <c r="D7" s="284"/>
      <c r="E7" s="284"/>
      <c r="F7" s="284"/>
      <c r="G7" s="284"/>
      <c r="H7" s="284"/>
      <c r="I7" s="284"/>
      <c r="J7" s="114"/>
    </row>
    <row r="8" spans="1:10" s="104" customFormat="1" ht="18.75" x14ac:dyDescent="0.45">
      <c r="A8" s="286"/>
      <c r="B8" s="283"/>
      <c r="C8" s="283"/>
      <c r="D8" s="284"/>
      <c r="E8" s="284"/>
      <c r="F8" s="284"/>
      <c r="G8" s="284"/>
      <c r="H8" s="284"/>
      <c r="I8" s="284"/>
      <c r="J8" s="114"/>
    </row>
    <row r="9" spans="1:10" s="104" customFormat="1" ht="18.75" x14ac:dyDescent="0.45">
      <c r="A9" s="286"/>
      <c r="B9" s="283"/>
      <c r="C9" s="283"/>
      <c r="D9" s="284"/>
      <c r="E9" s="284"/>
      <c r="F9" s="284"/>
      <c r="G9" s="284"/>
      <c r="H9" s="284"/>
      <c r="I9" s="284"/>
      <c r="J9" s="114"/>
    </row>
    <row r="10" spans="1:10" s="104" customFormat="1" ht="18.75" x14ac:dyDescent="0.45">
      <c r="A10" s="287"/>
      <c r="B10" s="283"/>
      <c r="C10" s="283"/>
      <c r="D10" s="288"/>
      <c r="E10" s="288"/>
      <c r="F10" s="288"/>
      <c r="G10" s="288"/>
      <c r="H10" s="288"/>
      <c r="I10" s="284"/>
      <c r="J10" s="114"/>
    </row>
    <row r="11" spans="1:10" s="104" customFormat="1" ht="18.75" x14ac:dyDescent="0.45">
      <c r="A11" s="287"/>
      <c r="B11" s="283"/>
      <c r="C11" s="283"/>
      <c r="D11" s="288"/>
      <c r="E11" s="288"/>
      <c r="F11" s="288"/>
      <c r="G11" s="288"/>
      <c r="H11" s="288"/>
      <c r="I11" s="284"/>
      <c r="J11" s="114"/>
    </row>
    <row r="12" spans="1:10" s="104" customFormat="1" ht="18.75" x14ac:dyDescent="0.45">
      <c r="A12" s="287"/>
      <c r="B12" s="283"/>
      <c r="C12" s="283"/>
      <c r="D12" s="284"/>
      <c r="E12" s="288"/>
      <c r="F12" s="288"/>
      <c r="G12" s="288"/>
      <c r="H12" s="288"/>
      <c r="I12" s="284"/>
      <c r="J12" s="114"/>
    </row>
    <row r="13" spans="1:10" s="104" customFormat="1" ht="18.75" x14ac:dyDescent="0.45">
      <c r="A13" s="287"/>
      <c r="B13" s="283"/>
      <c r="C13" s="283"/>
      <c r="D13" s="284"/>
      <c r="E13" s="284"/>
      <c r="F13" s="284"/>
      <c r="G13" s="284"/>
      <c r="H13" s="284"/>
      <c r="I13" s="284"/>
      <c r="J13" s="114"/>
    </row>
    <row r="14" spans="1:10" s="104" customFormat="1" ht="18.75" x14ac:dyDescent="0.45">
      <c r="A14" s="287"/>
      <c r="B14" s="283"/>
      <c r="C14" s="283"/>
      <c r="D14" s="284"/>
      <c r="E14" s="284"/>
      <c r="F14" s="284"/>
      <c r="G14" s="284"/>
      <c r="H14" s="284"/>
      <c r="I14" s="289"/>
      <c r="J14" s="114"/>
    </row>
    <row r="15" spans="1:10" s="104" customFormat="1" ht="18.75" x14ac:dyDescent="0.45">
      <c r="A15" s="287"/>
      <c r="B15" s="283"/>
      <c r="C15" s="283"/>
      <c r="D15" s="284"/>
      <c r="E15" s="284"/>
      <c r="F15" s="284"/>
      <c r="G15" s="284"/>
      <c r="H15" s="284"/>
      <c r="I15" s="284"/>
      <c r="J15" s="114"/>
    </row>
    <row r="16" spans="1:10" s="104" customFormat="1" ht="18.75" x14ac:dyDescent="0.45">
      <c r="A16" s="287"/>
      <c r="B16" s="283"/>
      <c r="C16" s="283"/>
      <c r="D16" s="284"/>
      <c r="E16" s="284"/>
      <c r="F16" s="284"/>
      <c r="G16" s="284"/>
      <c r="H16" s="284"/>
      <c r="I16" s="284"/>
      <c r="J16" s="114"/>
    </row>
    <row r="17" spans="1:10" s="104" customFormat="1" ht="18.75" x14ac:dyDescent="0.45">
      <c r="A17" s="287"/>
      <c r="B17" s="283"/>
      <c r="C17" s="283"/>
      <c r="D17" s="284"/>
      <c r="E17" s="284"/>
      <c r="F17" s="284"/>
      <c r="G17" s="284"/>
      <c r="H17" s="284"/>
      <c r="I17" s="284"/>
      <c r="J17" s="114"/>
    </row>
    <row r="18" spans="1:10" s="104" customFormat="1" ht="18.75" x14ac:dyDescent="0.45">
      <c r="A18" s="287"/>
      <c r="B18" s="283"/>
      <c r="C18" s="283"/>
      <c r="D18" s="284"/>
      <c r="E18" s="284"/>
      <c r="F18" s="284"/>
      <c r="G18" s="284"/>
      <c r="H18" s="284"/>
      <c r="I18" s="284"/>
      <c r="J18" s="114"/>
    </row>
    <row r="19" spans="1:10" s="104" customFormat="1" ht="18.75" x14ac:dyDescent="0.45">
      <c r="A19" s="287"/>
      <c r="B19" s="283"/>
      <c r="C19" s="283"/>
      <c r="D19" s="284"/>
      <c r="E19" s="284"/>
      <c r="F19" s="284"/>
      <c r="G19" s="284"/>
      <c r="H19" s="284"/>
      <c r="I19" s="284"/>
      <c r="J19" s="114"/>
    </row>
    <row r="20" spans="1:10" s="104" customFormat="1" ht="18.75" x14ac:dyDescent="0.45">
      <c r="A20" s="287"/>
      <c r="B20" s="283"/>
      <c r="C20" s="283"/>
      <c r="D20" s="284"/>
      <c r="E20" s="284"/>
      <c r="F20" s="284"/>
      <c r="G20" s="284"/>
      <c r="H20" s="284"/>
      <c r="I20" s="284"/>
      <c r="J20" s="114"/>
    </row>
    <row r="21" spans="1:10" s="104" customFormat="1" ht="18.75" x14ac:dyDescent="0.45">
      <c r="A21" s="287"/>
      <c r="B21" s="283"/>
      <c r="C21" s="283"/>
      <c r="D21" s="284"/>
      <c r="E21" s="284"/>
      <c r="F21" s="284"/>
      <c r="G21" s="284"/>
      <c r="H21" s="284"/>
      <c r="I21" s="284"/>
      <c r="J21" s="114"/>
    </row>
    <row r="22" spans="1:10" s="104" customFormat="1" ht="18.75" x14ac:dyDescent="0.45">
      <c r="A22" s="287"/>
      <c r="B22" s="283"/>
      <c r="C22" s="283"/>
      <c r="D22" s="284"/>
      <c r="E22" s="284"/>
      <c r="F22" s="284"/>
      <c r="G22" s="284"/>
      <c r="H22" s="284"/>
      <c r="I22" s="284"/>
      <c r="J22" s="114"/>
    </row>
    <row r="23" spans="1:10" s="104" customFormat="1" ht="18.75" x14ac:dyDescent="0.45">
      <c r="A23" s="287"/>
      <c r="B23" s="283"/>
      <c r="C23" s="283"/>
      <c r="D23" s="284"/>
      <c r="E23" s="284"/>
      <c r="F23" s="284"/>
      <c r="G23" s="284"/>
      <c r="H23" s="284"/>
      <c r="I23" s="284"/>
      <c r="J23" s="114"/>
    </row>
    <row r="24" spans="1:10" s="104" customFormat="1" ht="18.75" x14ac:dyDescent="0.45">
      <c r="A24" s="287"/>
      <c r="B24" s="283"/>
      <c r="C24" s="283"/>
      <c r="D24" s="284"/>
      <c r="E24" s="284"/>
      <c r="F24" s="284"/>
      <c r="G24" s="284"/>
      <c r="H24" s="284"/>
      <c r="I24" s="284"/>
      <c r="J24" s="114"/>
    </row>
    <row r="25" spans="1:10" s="104" customFormat="1" ht="18.75" x14ac:dyDescent="0.45">
      <c r="A25" s="287"/>
      <c r="B25" s="283"/>
      <c r="C25" s="283"/>
      <c r="D25" s="284"/>
      <c r="E25" s="284"/>
      <c r="F25" s="284"/>
      <c r="G25" s="284"/>
      <c r="H25" s="284"/>
      <c r="I25" s="284"/>
      <c r="J25" s="114"/>
    </row>
    <row r="26" spans="1:10" s="104" customFormat="1" ht="18.75" x14ac:dyDescent="0.45">
      <c r="A26" s="287"/>
      <c r="B26" s="283"/>
      <c r="C26" s="283"/>
      <c r="D26" s="284"/>
      <c r="E26" s="284"/>
      <c r="F26" s="284"/>
      <c r="G26" s="284"/>
      <c r="H26" s="284"/>
      <c r="I26" s="284"/>
      <c r="J26" s="114"/>
    </row>
    <row r="27" spans="1:10" s="104" customFormat="1" ht="18.75" x14ac:dyDescent="0.45">
      <c r="A27" s="287"/>
      <c r="B27" s="283"/>
      <c r="C27" s="283"/>
      <c r="D27" s="284"/>
      <c r="E27" s="284"/>
      <c r="F27" s="284"/>
      <c r="G27" s="284"/>
      <c r="H27" s="284"/>
      <c r="I27" s="284"/>
      <c r="J27" s="114"/>
    </row>
    <row r="28" spans="1:10" s="104" customFormat="1" ht="18.75" x14ac:dyDescent="0.45">
      <c r="A28" s="287"/>
      <c r="B28" s="283"/>
      <c r="C28" s="283"/>
      <c r="D28" s="284"/>
      <c r="E28" s="284"/>
      <c r="F28" s="284"/>
      <c r="G28" s="284"/>
      <c r="H28" s="284"/>
      <c r="I28" s="284"/>
      <c r="J28" s="114"/>
    </row>
    <row r="29" spans="1:10" s="104" customFormat="1" ht="18.75" x14ac:dyDescent="0.45">
      <c r="A29" s="287"/>
      <c r="B29" s="283"/>
      <c r="C29" s="283"/>
      <c r="D29" s="284"/>
      <c r="E29" s="284"/>
      <c r="F29" s="284"/>
      <c r="G29" s="284"/>
      <c r="H29" s="284"/>
      <c r="I29" s="284"/>
      <c r="J29" s="114"/>
    </row>
    <row r="30" spans="1:10" s="104" customFormat="1" ht="18.75" x14ac:dyDescent="0.45">
      <c r="A30" s="287"/>
      <c r="B30" s="283"/>
      <c r="C30" s="283"/>
      <c r="D30" s="284"/>
      <c r="E30" s="284"/>
      <c r="F30" s="284"/>
      <c r="G30" s="284"/>
      <c r="H30" s="284"/>
      <c r="I30" s="284"/>
      <c r="J30" s="114"/>
    </row>
    <row r="31" spans="1:10" s="104" customFormat="1" ht="18.75" x14ac:dyDescent="0.45">
      <c r="A31" s="287"/>
      <c r="B31" s="283"/>
      <c r="C31" s="283"/>
      <c r="D31" s="284"/>
      <c r="E31" s="284"/>
      <c r="F31" s="284"/>
      <c r="G31" s="284"/>
      <c r="H31" s="284"/>
      <c r="I31" s="284"/>
      <c r="J31" s="114"/>
    </row>
    <row r="32" spans="1:10" s="104" customFormat="1" ht="18.75" x14ac:dyDescent="0.45">
      <c r="A32" s="287"/>
      <c r="B32" s="283"/>
      <c r="C32" s="283"/>
      <c r="D32" s="284"/>
      <c r="E32" s="284"/>
      <c r="F32" s="284"/>
      <c r="G32" s="284"/>
      <c r="H32" s="284"/>
      <c r="I32" s="284"/>
      <c r="J32" s="114"/>
    </row>
    <row r="33" spans="1:10" s="104" customFormat="1" ht="18.75" x14ac:dyDescent="0.45">
      <c r="A33" s="287"/>
      <c r="B33" s="283"/>
      <c r="C33" s="283"/>
      <c r="D33" s="284"/>
      <c r="E33" s="284"/>
      <c r="F33" s="284"/>
      <c r="G33" s="284"/>
      <c r="H33" s="284"/>
      <c r="I33" s="284"/>
      <c r="J33" s="114"/>
    </row>
    <row r="34" spans="1:10" s="104" customFormat="1" ht="18.75" x14ac:dyDescent="0.45">
      <c r="A34" s="287"/>
      <c r="B34" s="283"/>
      <c r="C34" s="283"/>
      <c r="D34" s="284"/>
      <c r="E34" s="284"/>
      <c r="F34" s="284"/>
      <c r="G34" s="284"/>
      <c r="H34" s="284"/>
      <c r="I34" s="284"/>
      <c r="J34" s="114"/>
    </row>
    <row r="35" spans="1:10" s="104" customFormat="1" ht="18.75" x14ac:dyDescent="0.45">
      <c r="A35" s="287"/>
      <c r="B35" s="283"/>
      <c r="C35" s="283"/>
      <c r="D35" s="284"/>
      <c r="E35" s="284"/>
      <c r="F35" s="284"/>
      <c r="G35" s="284"/>
      <c r="H35" s="284"/>
      <c r="I35" s="284"/>
      <c r="J35" s="114"/>
    </row>
    <row r="36" spans="1:10" s="104" customFormat="1" ht="18.75" x14ac:dyDescent="0.45">
      <c r="A36" s="290"/>
      <c r="B36" s="283"/>
      <c r="C36" s="283"/>
      <c r="D36" s="284"/>
      <c r="E36" s="284"/>
      <c r="F36" s="284"/>
      <c r="G36" s="284"/>
      <c r="H36" s="284"/>
      <c r="I36" s="284"/>
      <c r="J36" s="114"/>
    </row>
    <row r="37" spans="1:10" s="104" customFormat="1" ht="18.75" x14ac:dyDescent="0.45">
      <c r="A37" s="287"/>
      <c r="B37" s="283"/>
      <c r="C37" s="283"/>
      <c r="D37" s="284"/>
      <c r="E37" s="284"/>
      <c r="F37" s="284"/>
      <c r="G37" s="284"/>
      <c r="H37" s="284"/>
      <c r="I37" s="284"/>
      <c r="J37" s="114"/>
    </row>
    <row r="38" spans="1:10" s="104" customFormat="1" ht="18.75" x14ac:dyDescent="0.45">
      <c r="A38" s="290"/>
      <c r="B38" s="283"/>
      <c r="C38" s="283"/>
      <c r="D38" s="284"/>
      <c r="E38" s="284"/>
      <c r="F38" s="284"/>
      <c r="G38" s="284"/>
      <c r="H38" s="284"/>
      <c r="I38" s="284"/>
      <c r="J38" s="114"/>
    </row>
    <row r="39" spans="1:10" s="104" customFormat="1" ht="18.75" x14ac:dyDescent="0.45">
      <c r="A39" s="290"/>
      <c r="B39" s="283"/>
      <c r="C39" s="283"/>
      <c r="D39" s="284"/>
      <c r="E39" s="284"/>
      <c r="F39" s="284"/>
      <c r="G39" s="284"/>
      <c r="H39" s="284"/>
      <c r="I39" s="284"/>
      <c r="J39" s="114"/>
    </row>
    <row r="40" spans="1:10" s="104" customFormat="1" ht="18.75" x14ac:dyDescent="0.45">
      <c r="A40" s="290"/>
      <c r="B40" s="283"/>
      <c r="C40" s="283"/>
      <c r="D40" s="284"/>
      <c r="E40" s="284"/>
      <c r="F40" s="284"/>
      <c r="G40" s="284"/>
      <c r="H40" s="284"/>
      <c r="I40" s="284"/>
      <c r="J40" s="114"/>
    </row>
    <row r="41" spans="1:10" s="104" customFormat="1" ht="18.75" x14ac:dyDescent="0.45">
      <c r="A41" s="287"/>
      <c r="B41" s="283"/>
      <c r="C41" s="283"/>
      <c r="D41" s="284"/>
      <c r="E41" s="284"/>
      <c r="F41" s="284"/>
      <c r="G41" s="284"/>
      <c r="H41" s="284"/>
      <c r="I41" s="284"/>
      <c r="J41" s="114"/>
    </row>
    <row r="42" spans="1:10" s="104" customFormat="1" ht="18.75" x14ac:dyDescent="0.45">
      <c r="A42" s="287"/>
      <c r="B42" s="283"/>
      <c r="C42" s="283"/>
      <c r="D42" s="284"/>
      <c r="E42" s="284"/>
      <c r="F42" s="284"/>
      <c r="G42" s="284"/>
      <c r="H42" s="284"/>
      <c r="I42" s="284"/>
      <c r="J42" s="114"/>
    </row>
    <row r="43" spans="1:10" s="104" customFormat="1" ht="18.75" x14ac:dyDescent="0.45">
      <c r="A43" s="287"/>
      <c r="B43" s="283"/>
      <c r="C43" s="283"/>
      <c r="D43" s="284"/>
      <c r="E43" s="284"/>
      <c r="F43" s="284"/>
      <c r="G43" s="284"/>
      <c r="H43" s="284"/>
      <c r="I43" s="284"/>
      <c r="J43" s="114"/>
    </row>
    <row r="44" spans="1:10" s="104" customFormat="1" ht="18.75" x14ac:dyDescent="0.45">
      <c r="A44" s="287"/>
      <c r="B44" s="283"/>
      <c r="C44" s="283"/>
      <c r="D44" s="284"/>
      <c r="E44" s="284"/>
      <c r="F44" s="284"/>
      <c r="G44" s="284"/>
      <c r="H44" s="284"/>
      <c r="I44" s="284"/>
      <c r="J44" s="114"/>
    </row>
    <row r="45" spans="1:10" s="104" customFormat="1" ht="18.75" x14ac:dyDescent="0.45">
      <c r="A45" s="287"/>
      <c r="B45" s="283"/>
      <c r="C45" s="283"/>
      <c r="D45" s="284"/>
      <c r="E45" s="284"/>
      <c r="F45" s="284"/>
      <c r="G45" s="284"/>
      <c r="H45" s="284"/>
      <c r="I45" s="284"/>
      <c r="J45" s="114"/>
    </row>
    <row r="46" spans="1:10" s="104" customFormat="1" ht="18.75" x14ac:dyDescent="0.45">
      <c r="A46" s="283"/>
      <c r="B46" s="283"/>
      <c r="C46" s="283"/>
      <c r="D46" s="284"/>
      <c r="E46" s="284"/>
      <c r="F46" s="284"/>
      <c r="G46" s="284"/>
      <c r="H46" s="284"/>
      <c r="I46" s="284"/>
      <c r="J46" s="114"/>
    </row>
    <row r="47" spans="1:10" s="104" customFormat="1" ht="18.75" x14ac:dyDescent="0.45">
      <c r="A47" s="291"/>
      <c r="B47" s="283"/>
      <c r="C47" s="283"/>
      <c r="D47" s="284"/>
      <c r="E47" s="284"/>
      <c r="F47" s="284"/>
      <c r="G47" s="284"/>
      <c r="H47" s="284"/>
      <c r="I47" s="284"/>
      <c r="J47" s="114"/>
    </row>
    <row r="48" spans="1:10" s="104" customFormat="1" ht="18.75" x14ac:dyDescent="0.45">
      <c r="A48" s="291"/>
      <c r="B48" s="283"/>
      <c r="C48" s="283"/>
      <c r="D48" s="284"/>
      <c r="E48" s="284"/>
      <c r="F48" s="284"/>
      <c r="G48" s="284"/>
      <c r="H48" s="284"/>
      <c r="I48" s="284"/>
      <c r="J48" s="114"/>
    </row>
    <row r="49" spans="1:10" s="104" customFormat="1" ht="18.75" x14ac:dyDescent="0.45">
      <c r="A49" s="291"/>
      <c r="B49" s="283"/>
      <c r="C49" s="283"/>
      <c r="D49" s="284"/>
      <c r="E49" s="284"/>
      <c r="F49" s="284"/>
      <c r="G49" s="284"/>
      <c r="H49" s="284"/>
      <c r="I49" s="284"/>
      <c r="J49" s="114"/>
    </row>
    <row r="50" spans="1:10" s="104" customFormat="1" ht="18.75" x14ac:dyDescent="0.45">
      <c r="A50" s="291"/>
      <c r="B50" s="283"/>
      <c r="C50" s="283"/>
      <c r="D50" s="284"/>
      <c r="E50" s="284"/>
      <c r="F50" s="284"/>
      <c r="G50" s="284"/>
      <c r="H50" s="284"/>
      <c r="I50" s="284"/>
      <c r="J50" s="114"/>
    </row>
    <row r="51" spans="1:10" s="104" customFormat="1" ht="18.75" x14ac:dyDescent="0.45">
      <c r="A51" s="291"/>
      <c r="B51" s="283"/>
      <c r="C51" s="283"/>
      <c r="D51" s="284"/>
      <c r="E51" s="284"/>
      <c r="F51" s="284"/>
      <c r="G51" s="284"/>
      <c r="H51" s="284"/>
      <c r="I51" s="284"/>
      <c r="J51" s="114"/>
    </row>
    <row r="52" spans="1:10" s="104" customFormat="1" ht="18.75" x14ac:dyDescent="0.45">
      <c r="A52" s="291"/>
      <c r="B52" s="283"/>
      <c r="C52" s="283"/>
      <c r="D52" s="284"/>
      <c r="E52" s="284"/>
      <c r="F52" s="284"/>
      <c r="G52" s="284"/>
      <c r="H52" s="284"/>
      <c r="I52" s="284"/>
      <c r="J52" s="114"/>
    </row>
    <row r="53" spans="1:10" s="104" customFormat="1" ht="18.75" x14ac:dyDescent="0.45">
      <c r="A53" s="291"/>
      <c r="B53" s="283"/>
      <c r="C53" s="283"/>
      <c r="D53" s="284"/>
      <c r="E53" s="284"/>
      <c r="F53" s="284"/>
      <c r="G53" s="284"/>
      <c r="H53" s="284"/>
      <c r="I53" s="284"/>
      <c r="J53" s="114"/>
    </row>
    <row r="54" spans="1:10" s="104" customFormat="1" ht="18.75" x14ac:dyDescent="0.45">
      <c r="A54" s="291"/>
      <c r="B54" s="283"/>
      <c r="C54" s="283"/>
      <c r="D54" s="284"/>
      <c r="E54" s="284"/>
      <c r="F54" s="284"/>
      <c r="G54" s="284"/>
      <c r="H54" s="284"/>
      <c r="I54" s="284"/>
      <c r="J54" s="114"/>
    </row>
    <row r="55" spans="1:10" s="104" customFormat="1" ht="18.75" x14ac:dyDescent="0.45">
      <c r="A55" s="291"/>
      <c r="B55" s="283"/>
      <c r="C55" s="283"/>
      <c r="D55" s="284"/>
      <c r="E55" s="284"/>
      <c r="F55" s="284"/>
      <c r="G55" s="284"/>
      <c r="H55" s="284"/>
      <c r="I55" s="284"/>
      <c r="J55" s="114"/>
    </row>
    <row r="56" spans="1:10" s="104" customFormat="1" ht="18.75" x14ac:dyDescent="0.45">
      <c r="A56" s="291"/>
      <c r="B56" s="283"/>
      <c r="C56" s="283"/>
      <c r="D56" s="284"/>
      <c r="E56" s="284"/>
      <c r="F56" s="284"/>
      <c r="G56" s="284"/>
      <c r="H56" s="284"/>
      <c r="I56" s="284"/>
      <c r="J56" s="114"/>
    </row>
    <row r="57" spans="1:10" s="104" customFormat="1" ht="18.75" x14ac:dyDescent="0.45">
      <c r="A57" s="291"/>
      <c r="B57" s="283"/>
      <c r="C57" s="283"/>
      <c r="D57" s="284"/>
      <c r="E57" s="284"/>
      <c r="F57" s="284"/>
      <c r="G57" s="284"/>
      <c r="H57" s="284"/>
      <c r="I57" s="284"/>
      <c r="J57" s="114"/>
    </row>
    <row r="58" spans="1:10" s="104" customFormat="1" ht="18.75" x14ac:dyDescent="0.45">
      <c r="A58" s="291"/>
      <c r="B58" s="283"/>
      <c r="C58" s="283"/>
      <c r="D58" s="284"/>
      <c r="E58" s="284"/>
      <c r="F58" s="284"/>
      <c r="G58" s="284"/>
      <c r="H58" s="284"/>
      <c r="I58" s="284"/>
      <c r="J58" s="114"/>
    </row>
    <row r="59" spans="1:10" s="104" customFormat="1" ht="18.75" x14ac:dyDescent="0.45">
      <c r="A59" s="291"/>
      <c r="B59" s="283"/>
      <c r="C59" s="283"/>
      <c r="D59" s="284"/>
      <c r="E59" s="284"/>
      <c r="F59" s="284"/>
      <c r="G59" s="284"/>
      <c r="H59" s="284"/>
      <c r="I59" s="284"/>
      <c r="J59" s="114"/>
    </row>
    <row r="60" spans="1:10" s="104" customFormat="1" ht="18.75" x14ac:dyDescent="0.45">
      <c r="A60" s="291"/>
      <c r="B60" s="283"/>
      <c r="C60" s="283"/>
      <c r="D60" s="284"/>
      <c r="E60" s="284"/>
      <c r="F60" s="284"/>
      <c r="G60" s="284"/>
      <c r="H60" s="284"/>
      <c r="I60" s="284"/>
      <c r="J60" s="114"/>
    </row>
    <row r="61" spans="1:10" s="104" customFormat="1" ht="18.75" x14ac:dyDescent="0.45">
      <c r="A61" s="291"/>
      <c r="B61" s="283"/>
      <c r="C61" s="283"/>
      <c r="D61" s="284"/>
      <c r="E61" s="284"/>
      <c r="F61" s="284"/>
      <c r="G61" s="284"/>
      <c r="H61" s="284"/>
      <c r="I61" s="284"/>
      <c r="J61" s="114"/>
    </row>
    <row r="62" spans="1:10" s="104" customFormat="1" ht="18.75" x14ac:dyDescent="0.45">
      <c r="A62" s="291"/>
      <c r="B62" s="283"/>
      <c r="C62" s="283"/>
      <c r="D62" s="284"/>
      <c r="E62" s="284"/>
      <c r="F62" s="284"/>
      <c r="G62" s="284"/>
      <c r="H62" s="284"/>
      <c r="I62" s="284"/>
      <c r="J62" s="114"/>
    </row>
    <row r="63" spans="1:10" s="104" customFormat="1" ht="18.75" x14ac:dyDescent="0.45">
      <c r="A63" s="291"/>
      <c r="B63" s="283"/>
      <c r="C63" s="283"/>
      <c r="D63" s="284"/>
      <c r="E63" s="284"/>
      <c r="F63" s="284"/>
      <c r="G63" s="284"/>
      <c r="H63" s="284"/>
      <c r="I63" s="289"/>
      <c r="J63" s="114"/>
    </row>
    <row r="64" spans="1:10" s="104" customFormat="1" ht="18.75" x14ac:dyDescent="0.45">
      <c r="A64" s="283"/>
      <c r="B64" s="283"/>
      <c r="C64" s="283"/>
      <c r="D64" s="284"/>
      <c r="E64" s="284"/>
      <c r="F64" s="284"/>
      <c r="G64" s="284"/>
      <c r="H64" s="284"/>
      <c r="I64" s="284"/>
      <c r="J64" s="114"/>
    </row>
    <row r="65" spans="1:10" s="104" customFormat="1" ht="18.75" x14ac:dyDescent="0.45">
      <c r="A65" s="283"/>
      <c r="B65" s="283"/>
      <c r="C65" s="283"/>
      <c r="D65" s="284"/>
      <c r="E65" s="284"/>
      <c r="F65" s="284"/>
      <c r="G65" s="284"/>
      <c r="H65" s="284"/>
      <c r="I65" s="284"/>
      <c r="J65" s="114"/>
    </row>
    <row r="66" spans="1:10" s="104" customFormat="1" ht="18.75" x14ac:dyDescent="0.45">
      <c r="A66" s="283"/>
      <c r="B66" s="283"/>
      <c r="C66" s="283"/>
      <c r="D66" s="284"/>
      <c r="E66" s="284"/>
      <c r="F66" s="284"/>
      <c r="G66" s="284"/>
      <c r="H66" s="284"/>
      <c r="I66" s="284"/>
      <c r="J66" s="114"/>
    </row>
    <row r="67" spans="1:10" s="104" customFormat="1" ht="18.75" x14ac:dyDescent="0.45">
      <c r="A67" s="283"/>
      <c r="B67" s="283"/>
      <c r="C67" s="283"/>
      <c r="D67" s="284"/>
      <c r="E67" s="284"/>
      <c r="F67" s="284"/>
      <c r="G67" s="284"/>
      <c r="H67" s="284"/>
      <c r="I67" s="284"/>
      <c r="J67" s="114"/>
    </row>
    <row r="68" spans="1:10" s="104" customFormat="1" ht="18.75" x14ac:dyDescent="0.45">
      <c r="A68" s="283"/>
      <c r="B68" s="283"/>
      <c r="C68" s="283"/>
      <c r="D68" s="284"/>
      <c r="E68" s="284"/>
      <c r="F68" s="284"/>
      <c r="G68" s="284"/>
      <c r="H68" s="284"/>
      <c r="I68" s="284"/>
      <c r="J68" s="114"/>
    </row>
    <row r="69" spans="1:10" s="104" customFormat="1" ht="18.75" x14ac:dyDescent="0.45">
      <c r="A69" s="283"/>
      <c r="B69" s="283"/>
      <c r="C69" s="283"/>
      <c r="D69" s="284"/>
      <c r="E69" s="284"/>
      <c r="F69" s="284"/>
      <c r="G69" s="284"/>
      <c r="H69" s="284"/>
      <c r="I69" s="284"/>
      <c r="J69" s="114"/>
    </row>
    <row r="70" spans="1:10" s="104" customFormat="1" ht="18.75" x14ac:dyDescent="0.45">
      <c r="A70" s="283"/>
      <c r="B70" s="283"/>
      <c r="C70" s="283"/>
      <c r="D70" s="284"/>
      <c r="E70" s="284"/>
      <c r="F70" s="284"/>
      <c r="G70" s="284"/>
      <c r="H70" s="284"/>
      <c r="I70" s="284"/>
      <c r="J70" s="114"/>
    </row>
    <row r="71" spans="1:10" s="104" customFormat="1" ht="18.75" x14ac:dyDescent="0.45">
      <c r="A71" s="283"/>
      <c r="B71" s="283"/>
      <c r="C71" s="283"/>
      <c r="D71" s="284"/>
      <c r="E71" s="284"/>
      <c r="F71" s="284"/>
      <c r="G71" s="284"/>
      <c r="H71" s="284"/>
      <c r="I71" s="284"/>
      <c r="J71" s="114"/>
    </row>
    <row r="72" spans="1:10" s="104" customFormat="1" ht="18.75" x14ac:dyDescent="0.45">
      <c r="A72" s="283"/>
      <c r="B72" s="283"/>
      <c r="C72" s="283"/>
      <c r="D72" s="284"/>
      <c r="E72" s="284"/>
      <c r="F72" s="284"/>
      <c r="G72" s="284"/>
      <c r="H72" s="284"/>
      <c r="I72" s="284"/>
      <c r="J72" s="114"/>
    </row>
    <row r="73" spans="1:10" s="104" customFormat="1" ht="18.75" x14ac:dyDescent="0.45">
      <c r="A73" s="283"/>
      <c r="B73" s="283"/>
      <c r="C73" s="283"/>
      <c r="D73" s="284"/>
      <c r="E73" s="284"/>
      <c r="F73" s="284"/>
      <c r="G73" s="284"/>
      <c r="H73" s="284"/>
      <c r="I73" s="284"/>
      <c r="J73" s="114"/>
    </row>
    <row r="74" spans="1:10" s="104" customFormat="1" ht="18.75" x14ac:dyDescent="0.45">
      <c r="A74" s="283"/>
      <c r="B74" s="283"/>
      <c r="C74" s="283"/>
      <c r="D74" s="284"/>
      <c r="E74" s="284"/>
      <c r="F74" s="284"/>
      <c r="G74" s="284"/>
      <c r="H74" s="284"/>
      <c r="I74" s="284"/>
      <c r="J74" s="114"/>
    </row>
    <row r="75" spans="1:10" s="104" customFormat="1" ht="18.75" x14ac:dyDescent="0.45">
      <c r="A75" s="283"/>
      <c r="B75" s="283"/>
      <c r="C75" s="283"/>
      <c r="D75" s="284"/>
      <c r="E75" s="284"/>
      <c r="F75" s="284"/>
      <c r="G75" s="284"/>
      <c r="H75" s="284"/>
      <c r="I75" s="284"/>
      <c r="J75" s="114"/>
    </row>
    <row r="76" spans="1:10" s="104" customFormat="1" ht="18.75" x14ac:dyDescent="0.45">
      <c r="A76" s="283"/>
      <c r="B76" s="283"/>
      <c r="C76" s="283"/>
      <c r="D76" s="284"/>
      <c r="E76" s="284"/>
      <c r="F76" s="284"/>
      <c r="G76" s="284"/>
      <c r="H76" s="284"/>
      <c r="I76" s="284"/>
      <c r="J76" s="114"/>
    </row>
    <row r="77" spans="1:10" s="104" customFormat="1" ht="18.75" x14ac:dyDescent="0.45">
      <c r="A77" s="283"/>
      <c r="B77" s="283"/>
      <c r="C77" s="283"/>
      <c r="D77" s="284"/>
      <c r="E77" s="284"/>
      <c r="F77" s="284"/>
      <c r="G77" s="284"/>
      <c r="H77" s="284"/>
      <c r="I77" s="284"/>
      <c r="J77" s="114"/>
    </row>
    <row r="78" spans="1:10" s="104" customFormat="1" ht="18.75" x14ac:dyDescent="0.45">
      <c r="A78" s="283"/>
      <c r="B78" s="283"/>
      <c r="C78" s="283"/>
      <c r="D78" s="284"/>
      <c r="E78" s="284"/>
      <c r="F78" s="284"/>
      <c r="G78" s="284"/>
      <c r="H78" s="284"/>
      <c r="I78" s="284"/>
      <c r="J78" s="114"/>
    </row>
    <row r="79" spans="1:10" s="104" customFormat="1" ht="18.75" x14ac:dyDescent="0.45">
      <c r="A79" s="283"/>
      <c r="B79" s="283"/>
      <c r="C79" s="283"/>
      <c r="D79" s="284"/>
      <c r="E79" s="284"/>
      <c r="F79" s="284"/>
      <c r="G79" s="284"/>
      <c r="H79" s="284"/>
      <c r="I79" s="284"/>
      <c r="J79" s="114"/>
    </row>
    <row r="80" spans="1:10" s="104" customFormat="1" ht="18.75" x14ac:dyDescent="0.45">
      <c r="A80" s="283"/>
      <c r="B80" s="283"/>
      <c r="C80" s="283"/>
      <c r="D80" s="284"/>
      <c r="E80" s="284"/>
      <c r="F80" s="284"/>
      <c r="G80" s="284"/>
      <c r="H80" s="284"/>
      <c r="I80" s="284"/>
      <c r="J80" s="114"/>
    </row>
    <row r="81" spans="1:10" s="104" customFormat="1" ht="18.75" x14ac:dyDescent="0.45">
      <c r="A81" s="283"/>
      <c r="B81" s="283"/>
      <c r="C81" s="283"/>
      <c r="D81" s="284"/>
      <c r="E81" s="284"/>
      <c r="F81" s="284"/>
      <c r="G81" s="284"/>
      <c r="H81" s="284"/>
      <c r="I81" s="284"/>
      <c r="J81" s="114"/>
    </row>
    <row r="82" spans="1:10" s="104" customFormat="1" ht="18.75" x14ac:dyDescent="0.45">
      <c r="A82" s="283"/>
      <c r="B82" s="283"/>
      <c r="C82" s="283"/>
      <c r="D82" s="284"/>
      <c r="E82" s="284"/>
      <c r="F82" s="284"/>
      <c r="G82" s="284"/>
      <c r="H82" s="284"/>
      <c r="I82" s="284"/>
      <c r="J82" s="114"/>
    </row>
    <row r="83" spans="1:10" s="104" customFormat="1" ht="18.75" x14ac:dyDescent="0.45">
      <c r="A83" s="283"/>
      <c r="B83" s="283"/>
      <c r="C83" s="283"/>
      <c r="D83" s="284"/>
      <c r="E83" s="284"/>
      <c r="F83" s="284"/>
      <c r="G83" s="284"/>
      <c r="H83" s="284"/>
      <c r="I83" s="284"/>
      <c r="J83" s="114"/>
    </row>
    <row r="84" spans="1:10" s="104" customFormat="1" ht="18.75" x14ac:dyDescent="0.45">
      <c r="A84" s="290"/>
      <c r="B84" s="283"/>
      <c r="C84" s="283"/>
      <c r="D84" s="284"/>
      <c r="E84" s="284"/>
      <c r="F84" s="284"/>
      <c r="G84" s="284"/>
      <c r="H84" s="284"/>
      <c r="I84" s="284"/>
      <c r="J84" s="114"/>
    </row>
    <row r="85" spans="1:10" s="104" customFormat="1" ht="18.75" x14ac:dyDescent="0.45">
      <c r="A85" s="290"/>
      <c r="B85" s="283"/>
      <c r="C85" s="283"/>
      <c r="D85" s="284"/>
      <c r="E85" s="284"/>
      <c r="F85" s="284"/>
      <c r="G85" s="284"/>
      <c r="H85" s="284"/>
      <c r="I85" s="284"/>
      <c r="J85" s="114"/>
    </row>
    <row r="86" spans="1:10" s="104" customFormat="1" ht="18.75" x14ac:dyDescent="0.45">
      <c r="A86" s="290"/>
      <c r="B86" s="283"/>
      <c r="C86" s="283"/>
      <c r="D86" s="284"/>
      <c r="E86" s="284"/>
      <c r="F86" s="284"/>
      <c r="G86" s="284"/>
      <c r="H86" s="284"/>
      <c r="I86" s="284"/>
      <c r="J86" s="114"/>
    </row>
    <row r="87" spans="1:10" s="104" customFormat="1" ht="18.75" x14ac:dyDescent="0.45">
      <c r="A87" s="290"/>
      <c r="B87" s="283"/>
      <c r="C87" s="283"/>
      <c r="D87" s="284"/>
      <c r="E87" s="284"/>
      <c r="F87" s="284"/>
      <c r="G87" s="284"/>
      <c r="H87" s="284"/>
      <c r="I87" s="284"/>
      <c r="J87" s="114"/>
    </row>
    <row r="88" spans="1:10" s="104" customFormat="1" ht="18.75" x14ac:dyDescent="0.45">
      <c r="A88" s="290"/>
      <c r="B88" s="283"/>
      <c r="C88" s="283"/>
      <c r="D88" s="284"/>
      <c r="E88" s="284"/>
      <c r="F88" s="284"/>
      <c r="G88" s="284"/>
      <c r="H88" s="284"/>
      <c r="I88" s="284"/>
      <c r="J88" s="114"/>
    </row>
    <row r="89" spans="1:10" s="104" customFormat="1" ht="18.75" x14ac:dyDescent="0.45">
      <c r="A89" s="290"/>
      <c r="B89" s="283"/>
      <c r="C89" s="283"/>
      <c r="D89" s="284"/>
      <c r="E89" s="284"/>
      <c r="F89" s="284"/>
      <c r="G89" s="284"/>
      <c r="H89" s="284"/>
      <c r="I89" s="284"/>
      <c r="J89" s="114"/>
    </row>
    <row r="90" spans="1:10" s="104" customFormat="1" ht="18.75" x14ac:dyDescent="0.45">
      <c r="A90" s="290"/>
      <c r="B90" s="283"/>
      <c r="C90" s="283"/>
      <c r="D90" s="284"/>
      <c r="E90" s="284"/>
      <c r="F90" s="284"/>
      <c r="G90" s="284"/>
      <c r="H90" s="284"/>
      <c r="I90" s="284"/>
      <c r="J90" s="114"/>
    </row>
    <row r="91" spans="1:10" s="104" customFormat="1" ht="18.75" x14ac:dyDescent="0.45">
      <c r="A91" s="290"/>
      <c r="B91" s="283"/>
      <c r="C91" s="283"/>
      <c r="D91" s="284"/>
      <c r="E91" s="284"/>
      <c r="F91" s="284"/>
      <c r="G91" s="284"/>
      <c r="H91" s="284"/>
      <c r="I91" s="284"/>
      <c r="J91" s="114"/>
    </row>
    <row r="92" spans="1:10" s="104" customFormat="1" ht="18.75" x14ac:dyDescent="0.45">
      <c r="A92" s="290"/>
      <c r="B92" s="283"/>
      <c r="C92" s="283"/>
      <c r="D92" s="284"/>
      <c r="E92" s="284"/>
      <c r="F92" s="284"/>
      <c r="G92" s="284"/>
      <c r="H92" s="284"/>
      <c r="I92" s="284"/>
      <c r="J92" s="114"/>
    </row>
    <row r="93" spans="1:10" s="104" customFormat="1" ht="18.75" x14ac:dyDescent="0.45">
      <c r="A93" s="290"/>
      <c r="B93" s="283"/>
      <c r="C93" s="283"/>
      <c r="D93" s="284"/>
      <c r="E93" s="284"/>
      <c r="F93" s="284"/>
      <c r="G93" s="284"/>
      <c r="H93" s="284"/>
      <c r="I93" s="284"/>
      <c r="J93" s="114"/>
    </row>
    <row r="94" spans="1:10" s="104" customFormat="1" ht="18.75" x14ac:dyDescent="0.45">
      <c r="A94" s="290"/>
      <c r="B94" s="283"/>
      <c r="C94" s="283"/>
      <c r="D94" s="284"/>
      <c r="E94" s="284"/>
      <c r="F94" s="284"/>
      <c r="G94" s="284"/>
      <c r="H94" s="284"/>
      <c r="I94" s="284"/>
      <c r="J94" s="114"/>
    </row>
    <row r="95" spans="1:10" s="104" customFormat="1" ht="18.75" x14ac:dyDescent="0.45">
      <c r="A95" s="290"/>
      <c r="B95" s="283"/>
      <c r="C95" s="283"/>
      <c r="D95" s="284"/>
      <c r="E95" s="284"/>
      <c r="F95" s="284"/>
      <c r="G95" s="284"/>
      <c r="H95" s="284"/>
      <c r="I95" s="284"/>
      <c r="J95" s="114"/>
    </row>
    <row r="96" spans="1:10" s="104" customFormat="1" ht="18.75" x14ac:dyDescent="0.45">
      <c r="A96" s="290"/>
      <c r="B96" s="283"/>
      <c r="C96" s="283"/>
      <c r="D96" s="284"/>
      <c r="E96" s="284"/>
      <c r="F96" s="284"/>
      <c r="G96" s="284"/>
      <c r="H96" s="284"/>
      <c r="I96" s="284"/>
      <c r="J96" s="114"/>
    </row>
    <row r="97" spans="1:10" s="104" customFormat="1" ht="18.75" x14ac:dyDescent="0.45">
      <c r="A97" s="290"/>
      <c r="B97" s="283"/>
      <c r="C97" s="283"/>
      <c r="D97" s="284"/>
      <c r="E97" s="284"/>
      <c r="F97" s="284"/>
      <c r="G97" s="284"/>
      <c r="H97" s="284"/>
      <c r="I97" s="284"/>
      <c r="J97" s="114"/>
    </row>
    <row r="98" spans="1:10" s="104" customFormat="1" ht="18.75" x14ac:dyDescent="0.45">
      <c r="A98" s="290"/>
      <c r="B98" s="283"/>
      <c r="C98" s="283"/>
      <c r="D98" s="284"/>
      <c r="E98" s="284"/>
      <c r="F98" s="284"/>
      <c r="G98" s="284"/>
      <c r="H98" s="284"/>
      <c r="I98" s="284"/>
      <c r="J98" s="114"/>
    </row>
    <row r="99" spans="1:10" s="104" customFormat="1" ht="18.75" x14ac:dyDescent="0.45">
      <c r="A99" s="290"/>
      <c r="B99" s="283"/>
      <c r="C99" s="283"/>
      <c r="D99" s="284"/>
      <c r="E99" s="284"/>
      <c r="F99" s="284"/>
      <c r="G99" s="284"/>
      <c r="H99" s="284"/>
      <c r="I99" s="284"/>
      <c r="J99" s="114"/>
    </row>
    <row r="100" spans="1:10" s="104" customFormat="1" ht="18.75" x14ac:dyDescent="0.45">
      <c r="A100" s="290"/>
      <c r="B100" s="283"/>
      <c r="C100" s="283"/>
      <c r="D100" s="284"/>
      <c r="E100" s="284"/>
      <c r="F100" s="284"/>
      <c r="G100" s="284"/>
      <c r="H100" s="284"/>
      <c r="I100" s="284"/>
      <c r="J100" s="114"/>
    </row>
    <row r="101" spans="1:10" s="104" customFormat="1" ht="18.75" x14ac:dyDescent="0.45">
      <c r="A101" s="290"/>
      <c r="B101" s="283"/>
      <c r="C101" s="283"/>
      <c r="D101" s="284"/>
      <c r="E101" s="284"/>
      <c r="F101" s="284"/>
      <c r="G101" s="284"/>
      <c r="H101" s="284"/>
      <c r="I101" s="284"/>
      <c r="J101" s="114"/>
    </row>
    <row r="102" spans="1:10" s="104" customFormat="1" ht="18.75" x14ac:dyDescent="0.45">
      <c r="A102" s="290"/>
      <c r="B102" s="283"/>
      <c r="C102" s="283"/>
      <c r="D102" s="284"/>
      <c r="E102" s="284"/>
      <c r="F102" s="284"/>
      <c r="G102" s="284"/>
      <c r="H102" s="284"/>
      <c r="I102" s="284"/>
      <c r="J102" s="114"/>
    </row>
    <row r="103" spans="1:10" s="104" customFormat="1" ht="18.75" x14ac:dyDescent="0.45">
      <c r="A103" s="290"/>
      <c r="B103" s="283"/>
      <c r="C103" s="283"/>
      <c r="D103" s="284"/>
      <c r="E103" s="284"/>
      <c r="F103" s="284"/>
      <c r="G103" s="284"/>
      <c r="H103" s="284"/>
      <c r="I103" s="284"/>
      <c r="J103" s="114"/>
    </row>
    <row r="104" spans="1:10" s="104" customFormat="1" ht="18.75" x14ac:dyDescent="0.45">
      <c r="A104" s="290"/>
      <c r="B104" s="283"/>
      <c r="C104" s="283"/>
      <c r="D104" s="284"/>
      <c r="E104" s="284"/>
      <c r="F104" s="284"/>
      <c r="G104" s="284"/>
      <c r="H104" s="284"/>
      <c r="I104" s="284"/>
      <c r="J104" s="114"/>
    </row>
    <row r="105" spans="1:10" s="104" customFormat="1" ht="18.75" x14ac:dyDescent="0.45">
      <c r="A105" s="290"/>
      <c r="B105" s="283"/>
      <c r="C105" s="283"/>
      <c r="D105" s="284"/>
      <c r="E105" s="284"/>
      <c r="F105" s="284"/>
      <c r="G105" s="284"/>
      <c r="H105" s="284"/>
      <c r="I105" s="284"/>
      <c r="J105" s="114"/>
    </row>
    <row r="106" spans="1:10" s="104" customFormat="1" ht="18.75" x14ac:dyDescent="0.45">
      <c r="A106" s="290"/>
      <c r="B106" s="283"/>
      <c r="C106" s="283"/>
      <c r="D106" s="284"/>
      <c r="E106" s="284"/>
      <c r="F106" s="284"/>
      <c r="G106" s="284"/>
      <c r="H106" s="284"/>
      <c r="I106" s="284"/>
      <c r="J106" s="114"/>
    </row>
    <row r="107" spans="1:10" s="104" customFormat="1" ht="18.75" x14ac:dyDescent="0.45">
      <c r="A107" s="290"/>
      <c r="B107" s="283"/>
      <c r="C107" s="283"/>
      <c r="D107" s="284"/>
      <c r="E107" s="284"/>
      <c r="F107" s="284"/>
      <c r="G107" s="284"/>
      <c r="H107" s="284"/>
      <c r="I107" s="284"/>
      <c r="J107" s="114"/>
    </row>
    <row r="108" spans="1:10" s="104" customFormat="1" ht="18.75" x14ac:dyDescent="0.45">
      <c r="A108" s="290"/>
      <c r="B108" s="283"/>
      <c r="C108" s="283"/>
      <c r="D108" s="284"/>
      <c r="E108" s="284"/>
      <c r="F108" s="284"/>
      <c r="G108" s="284"/>
      <c r="H108" s="284"/>
      <c r="I108" s="284"/>
      <c r="J108" s="114"/>
    </row>
    <row r="109" spans="1:10" s="104" customFormat="1" ht="18.75" x14ac:dyDescent="0.45">
      <c r="A109" s="290"/>
      <c r="B109" s="283"/>
      <c r="C109" s="283"/>
      <c r="D109" s="284"/>
      <c r="E109" s="284"/>
      <c r="F109" s="284"/>
      <c r="G109" s="284"/>
      <c r="H109" s="284"/>
      <c r="I109" s="284"/>
      <c r="J109" s="114"/>
    </row>
    <row r="110" spans="1:10" s="104" customFormat="1" ht="18.75" x14ac:dyDescent="0.45">
      <c r="A110" s="290"/>
      <c r="B110" s="283"/>
      <c r="C110" s="283"/>
      <c r="D110" s="284"/>
      <c r="E110" s="284"/>
      <c r="F110" s="284"/>
      <c r="G110" s="284"/>
      <c r="H110" s="284"/>
      <c r="I110" s="284"/>
      <c r="J110" s="114"/>
    </row>
    <row r="111" spans="1:10" s="104" customFormat="1" ht="18.75" x14ac:dyDescent="0.45">
      <c r="A111" s="290"/>
      <c r="B111" s="283"/>
      <c r="C111" s="283"/>
      <c r="D111" s="284"/>
      <c r="E111" s="284"/>
      <c r="F111" s="284"/>
      <c r="G111" s="284"/>
      <c r="H111" s="284"/>
      <c r="I111" s="284"/>
      <c r="J111" s="114"/>
    </row>
    <row r="112" spans="1:10" s="104" customFormat="1" ht="18.75" x14ac:dyDescent="0.45">
      <c r="A112" s="290"/>
      <c r="B112" s="283"/>
      <c r="C112" s="283"/>
      <c r="D112" s="284"/>
      <c r="E112" s="284"/>
      <c r="F112" s="284"/>
      <c r="G112" s="284"/>
      <c r="H112" s="284"/>
      <c r="I112" s="284"/>
      <c r="J112" s="114"/>
    </row>
    <row r="113" spans="1:10" s="104" customFormat="1" ht="18.75" x14ac:dyDescent="0.45">
      <c r="A113" s="290"/>
      <c r="B113" s="283"/>
      <c r="C113" s="283"/>
      <c r="D113" s="284"/>
      <c r="E113" s="284"/>
      <c r="F113" s="284"/>
      <c r="G113" s="284"/>
      <c r="H113" s="284"/>
      <c r="I113" s="284"/>
      <c r="J113" s="114"/>
    </row>
    <row r="114" spans="1:10" s="104" customFormat="1" ht="18.75" x14ac:dyDescent="0.45">
      <c r="A114" s="290"/>
      <c r="B114" s="283"/>
      <c r="C114" s="283"/>
      <c r="D114" s="284"/>
      <c r="E114" s="284"/>
      <c r="F114" s="284"/>
      <c r="G114" s="284"/>
      <c r="H114" s="284"/>
      <c r="I114" s="284"/>
      <c r="J114" s="114"/>
    </row>
    <row r="115" spans="1:10" s="104" customFormat="1" ht="18.75" x14ac:dyDescent="0.45">
      <c r="A115" s="290"/>
      <c r="B115" s="283"/>
      <c r="C115" s="283"/>
      <c r="D115" s="284"/>
      <c r="E115" s="284"/>
      <c r="F115" s="284"/>
      <c r="G115" s="284"/>
      <c r="H115" s="284"/>
      <c r="I115" s="284"/>
      <c r="J115" s="114"/>
    </row>
    <row r="116" spans="1:10" s="104" customFormat="1" ht="18.75" x14ac:dyDescent="0.45">
      <c r="A116" s="290"/>
      <c r="B116" s="283"/>
      <c r="C116" s="283"/>
      <c r="D116" s="284"/>
      <c r="E116" s="284"/>
      <c r="F116" s="284"/>
      <c r="G116" s="284"/>
      <c r="H116" s="284"/>
      <c r="I116" s="284"/>
      <c r="J116" s="114"/>
    </row>
    <row r="117" spans="1:10" s="104" customFormat="1" ht="18.75" x14ac:dyDescent="0.45">
      <c r="A117" s="290"/>
      <c r="B117" s="283"/>
      <c r="C117" s="283"/>
      <c r="D117" s="284"/>
      <c r="E117" s="284"/>
      <c r="F117" s="284"/>
      <c r="G117" s="284"/>
      <c r="H117" s="284"/>
      <c r="I117" s="284"/>
      <c r="J117" s="114"/>
    </row>
    <row r="118" spans="1:10" s="104" customFormat="1" ht="18.75" x14ac:dyDescent="0.45">
      <c r="A118" s="290"/>
      <c r="B118" s="283"/>
      <c r="C118" s="283"/>
      <c r="D118" s="284"/>
      <c r="E118" s="284"/>
      <c r="F118" s="284"/>
      <c r="G118" s="284"/>
      <c r="H118" s="284"/>
      <c r="I118" s="284"/>
      <c r="J118" s="114"/>
    </row>
    <row r="119" spans="1:10" s="104" customFormat="1" ht="18.75" x14ac:dyDescent="0.45">
      <c r="A119" s="290"/>
      <c r="B119" s="283"/>
      <c r="C119" s="283"/>
      <c r="D119" s="284"/>
      <c r="E119" s="284"/>
      <c r="F119" s="284"/>
      <c r="G119" s="284"/>
      <c r="H119" s="284"/>
      <c r="I119" s="284"/>
      <c r="J119" s="114"/>
    </row>
    <row r="120" spans="1:10" s="104" customFormat="1" ht="18.75" x14ac:dyDescent="0.45">
      <c r="A120" s="290"/>
      <c r="B120" s="283"/>
      <c r="C120" s="283"/>
      <c r="D120" s="284"/>
      <c r="E120" s="284"/>
      <c r="F120" s="284"/>
      <c r="G120" s="284"/>
      <c r="H120" s="284"/>
      <c r="I120" s="284"/>
      <c r="J120" s="114"/>
    </row>
    <row r="121" spans="1:10" s="104" customFormat="1" ht="18.75" x14ac:dyDescent="0.45">
      <c r="A121" s="290"/>
      <c r="B121" s="283"/>
      <c r="C121" s="283"/>
      <c r="D121" s="284"/>
      <c r="E121" s="284"/>
      <c r="F121" s="284"/>
      <c r="G121" s="284"/>
      <c r="H121" s="284"/>
      <c r="I121" s="284"/>
      <c r="J121" s="114"/>
    </row>
    <row r="122" spans="1:10" s="104" customFormat="1" ht="18.75" x14ac:dyDescent="0.45">
      <c r="A122" s="290"/>
      <c r="B122" s="283"/>
      <c r="C122" s="283"/>
      <c r="D122" s="284"/>
      <c r="E122" s="284"/>
      <c r="F122" s="284"/>
      <c r="G122" s="284"/>
      <c r="H122" s="284"/>
      <c r="I122" s="284"/>
      <c r="J122" s="114"/>
    </row>
    <row r="123" spans="1:10" s="104" customFormat="1" ht="18.75" x14ac:dyDescent="0.45">
      <c r="A123" s="290"/>
      <c r="B123" s="283"/>
      <c r="C123" s="283"/>
      <c r="D123" s="284"/>
      <c r="E123" s="284"/>
      <c r="F123" s="284"/>
      <c r="G123" s="284"/>
      <c r="H123" s="284"/>
      <c r="I123" s="284"/>
      <c r="J123" s="114"/>
    </row>
    <row r="124" spans="1:10" s="104" customFormat="1" ht="18.75" x14ac:dyDescent="0.45">
      <c r="A124" s="290"/>
      <c r="B124" s="283"/>
      <c r="C124" s="283"/>
      <c r="D124" s="284"/>
      <c r="E124" s="284"/>
      <c r="F124" s="284"/>
      <c r="G124" s="284"/>
      <c r="H124" s="284"/>
      <c r="I124" s="284"/>
      <c r="J124" s="114"/>
    </row>
    <row r="125" spans="1:10" s="104" customFormat="1" ht="18.75" x14ac:dyDescent="0.45">
      <c r="A125" s="290"/>
      <c r="B125" s="283"/>
      <c r="C125" s="283"/>
      <c r="D125" s="284"/>
      <c r="E125" s="284"/>
      <c r="F125" s="284"/>
      <c r="G125" s="284"/>
      <c r="H125" s="284"/>
      <c r="I125" s="284"/>
      <c r="J125" s="114"/>
    </row>
    <row r="126" spans="1:10" s="104" customFormat="1" ht="18.75" x14ac:dyDescent="0.45">
      <c r="A126" s="290"/>
      <c r="B126" s="283"/>
      <c r="C126" s="283"/>
      <c r="D126" s="284"/>
      <c r="E126" s="284"/>
      <c r="F126" s="284"/>
      <c r="G126" s="284"/>
      <c r="H126" s="284"/>
      <c r="I126" s="284"/>
      <c r="J126" s="114"/>
    </row>
    <row r="127" spans="1:10" s="104" customFormat="1" ht="18.75" x14ac:dyDescent="0.45">
      <c r="A127" s="290"/>
      <c r="B127" s="283"/>
      <c r="C127" s="283"/>
      <c r="D127" s="284"/>
      <c r="E127" s="284"/>
      <c r="F127" s="284"/>
      <c r="G127" s="284"/>
      <c r="H127" s="284"/>
      <c r="I127" s="284"/>
      <c r="J127" s="114"/>
    </row>
    <row r="128" spans="1:10" s="104" customFormat="1" ht="18.75" x14ac:dyDescent="0.45">
      <c r="A128" s="290"/>
      <c r="B128" s="283"/>
      <c r="C128" s="283"/>
      <c r="D128" s="284"/>
      <c r="E128" s="284"/>
      <c r="F128" s="284"/>
      <c r="G128" s="284"/>
      <c r="H128" s="284"/>
      <c r="I128" s="284"/>
      <c r="J128" s="114"/>
    </row>
    <row r="129" spans="1:10" s="104" customFormat="1" ht="18.75" x14ac:dyDescent="0.45">
      <c r="A129" s="290"/>
      <c r="B129" s="283"/>
      <c r="C129" s="283"/>
      <c r="D129" s="284"/>
      <c r="E129" s="284"/>
      <c r="F129" s="284"/>
      <c r="G129" s="284"/>
      <c r="H129" s="284"/>
      <c r="I129" s="284"/>
      <c r="J129" s="114"/>
    </row>
    <row r="130" spans="1:10" s="104" customFormat="1" ht="18.75" x14ac:dyDescent="0.45">
      <c r="A130" s="290"/>
      <c r="B130" s="283"/>
      <c r="C130" s="283"/>
      <c r="D130" s="284"/>
      <c r="E130" s="284"/>
      <c r="F130" s="284"/>
      <c r="G130" s="284"/>
      <c r="H130" s="284"/>
      <c r="I130" s="284"/>
      <c r="J130" s="114"/>
    </row>
    <row r="131" spans="1:10" s="104" customFormat="1" ht="18.75" x14ac:dyDescent="0.45">
      <c r="A131" s="290"/>
      <c r="B131" s="283"/>
      <c r="C131" s="283"/>
      <c r="D131" s="284"/>
      <c r="E131" s="284"/>
      <c r="F131" s="284"/>
      <c r="G131" s="284"/>
      <c r="H131" s="284"/>
      <c r="I131" s="284"/>
      <c r="J131" s="114"/>
    </row>
    <row r="132" spans="1:10" s="104" customFormat="1" ht="18.75" x14ac:dyDescent="0.45">
      <c r="A132" s="290"/>
      <c r="B132" s="283"/>
      <c r="C132" s="283"/>
      <c r="D132" s="284"/>
      <c r="E132" s="284"/>
      <c r="F132" s="284"/>
      <c r="G132" s="284"/>
      <c r="H132" s="284"/>
      <c r="I132" s="284"/>
      <c r="J132" s="114"/>
    </row>
    <row r="133" spans="1:10" s="104" customFormat="1" ht="18.75" x14ac:dyDescent="0.45">
      <c r="A133" s="290"/>
      <c r="B133" s="283"/>
      <c r="C133" s="283"/>
      <c r="D133" s="284"/>
      <c r="E133" s="284"/>
      <c r="F133" s="284"/>
      <c r="G133" s="284"/>
      <c r="H133" s="284"/>
      <c r="I133" s="284"/>
      <c r="J133" s="114"/>
    </row>
    <row r="134" spans="1:10" s="104" customFormat="1" ht="18.75" x14ac:dyDescent="0.45">
      <c r="A134" s="290"/>
      <c r="B134" s="283"/>
      <c r="C134" s="283"/>
      <c r="D134" s="284"/>
      <c r="E134" s="284"/>
      <c r="F134" s="284"/>
      <c r="G134" s="284"/>
      <c r="H134" s="284"/>
      <c r="I134" s="284"/>
      <c r="J134" s="114"/>
    </row>
    <row r="135" spans="1:10" s="104" customFormat="1" ht="18.75" x14ac:dyDescent="0.45">
      <c r="A135" s="290"/>
      <c r="B135" s="283"/>
      <c r="C135" s="283"/>
      <c r="D135" s="284"/>
      <c r="E135" s="284"/>
      <c r="F135" s="284"/>
      <c r="G135" s="284"/>
      <c r="H135" s="284"/>
      <c r="I135" s="284"/>
      <c r="J135" s="114"/>
    </row>
    <row r="136" spans="1:10" s="104" customFormat="1" ht="18.75" x14ac:dyDescent="0.45">
      <c r="A136" s="290"/>
      <c r="B136" s="283"/>
      <c r="C136" s="283"/>
      <c r="D136" s="284"/>
      <c r="E136" s="284"/>
      <c r="F136" s="284"/>
      <c r="G136" s="284"/>
      <c r="H136" s="284"/>
      <c r="I136" s="284"/>
      <c r="J136" s="114"/>
    </row>
    <row r="137" spans="1:10" s="104" customFormat="1" ht="18.75" x14ac:dyDescent="0.45">
      <c r="A137" s="290"/>
      <c r="B137" s="283"/>
      <c r="C137" s="283"/>
      <c r="D137" s="284"/>
      <c r="E137" s="284"/>
      <c r="F137" s="284"/>
      <c r="G137" s="284"/>
      <c r="H137" s="284"/>
      <c r="I137" s="284"/>
      <c r="J137" s="114"/>
    </row>
    <row r="138" spans="1:10" s="104" customFormat="1" ht="18.75" x14ac:dyDescent="0.45">
      <c r="A138" s="290"/>
      <c r="B138" s="283"/>
      <c r="C138" s="283"/>
      <c r="D138" s="284"/>
      <c r="E138" s="284"/>
      <c r="F138" s="284"/>
      <c r="G138" s="284"/>
      <c r="H138" s="284"/>
      <c r="I138" s="284"/>
      <c r="J138" s="114"/>
    </row>
    <row r="139" spans="1:10" s="104" customFormat="1" ht="18.75" x14ac:dyDescent="0.45">
      <c r="A139" s="290"/>
      <c r="B139" s="283"/>
      <c r="C139" s="283"/>
      <c r="D139" s="284"/>
      <c r="E139" s="284"/>
      <c r="F139" s="284"/>
      <c r="G139" s="284"/>
      <c r="H139" s="284"/>
      <c r="I139" s="284"/>
      <c r="J139" s="114"/>
    </row>
    <row r="140" spans="1:10" s="104" customFormat="1" ht="18.75" x14ac:dyDescent="0.45">
      <c r="A140" s="290"/>
      <c r="B140" s="283"/>
      <c r="C140" s="283"/>
      <c r="D140" s="284"/>
      <c r="E140" s="284"/>
      <c r="F140" s="284"/>
      <c r="G140" s="284"/>
      <c r="H140" s="284"/>
      <c r="I140" s="284"/>
      <c r="J140" s="114"/>
    </row>
    <row r="141" spans="1:10" s="104" customFormat="1" ht="18.75" x14ac:dyDescent="0.45">
      <c r="A141" s="290"/>
      <c r="B141" s="283"/>
      <c r="C141" s="283"/>
      <c r="D141" s="284"/>
      <c r="E141" s="284"/>
      <c r="F141" s="284"/>
      <c r="G141" s="284"/>
      <c r="H141" s="284"/>
      <c r="I141" s="284"/>
      <c r="J141" s="114"/>
    </row>
    <row r="142" spans="1:10" s="104" customFormat="1" ht="18.75" x14ac:dyDescent="0.45">
      <c r="A142" s="290"/>
      <c r="B142" s="283"/>
      <c r="C142" s="283"/>
      <c r="D142" s="284"/>
      <c r="E142" s="284"/>
      <c r="F142" s="284"/>
      <c r="G142" s="284"/>
      <c r="H142" s="284"/>
      <c r="I142" s="284"/>
      <c r="J142" s="114"/>
    </row>
    <row r="143" spans="1:10" s="104" customFormat="1" ht="18.75" x14ac:dyDescent="0.45">
      <c r="A143" s="290"/>
      <c r="B143" s="283"/>
      <c r="C143" s="283"/>
      <c r="D143" s="284"/>
      <c r="E143" s="284"/>
      <c r="F143" s="284"/>
      <c r="G143" s="284"/>
      <c r="H143" s="284"/>
      <c r="I143" s="284"/>
      <c r="J143" s="114"/>
    </row>
    <row r="144" spans="1:10" s="104" customFormat="1" ht="18.75" x14ac:dyDescent="0.45">
      <c r="A144" s="290"/>
      <c r="B144" s="283"/>
      <c r="C144" s="283"/>
      <c r="D144" s="284"/>
      <c r="E144" s="284"/>
      <c r="F144" s="284"/>
      <c r="G144" s="284"/>
      <c r="H144" s="284"/>
      <c r="I144" s="284"/>
      <c r="J144" s="114"/>
    </row>
    <row r="145" spans="1:10" s="104" customFormat="1" ht="18.75" x14ac:dyDescent="0.45">
      <c r="A145" s="290"/>
      <c r="B145" s="283"/>
      <c r="C145" s="283"/>
      <c r="D145" s="284"/>
      <c r="E145" s="284"/>
      <c r="F145" s="284"/>
      <c r="G145" s="284"/>
      <c r="H145" s="284"/>
      <c r="I145" s="284"/>
      <c r="J145" s="114"/>
    </row>
    <row r="146" spans="1:10" s="104" customFormat="1" ht="18.75" x14ac:dyDescent="0.45">
      <c r="A146" s="290"/>
      <c r="B146" s="283"/>
      <c r="C146" s="283"/>
      <c r="D146" s="284"/>
      <c r="E146" s="284"/>
      <c r="F146" s="284"/>
      <c r="G146" s="284"/>
      <c r="H146" s="284"/>
      <c r="I146" s="284"/>
      <c r="J146" s="114"/>
    </row>
    <row r="147" spans="1:10" s="104" customFormat="1" ht="18.75" x14ac:dyDescent="0.45">
      <c r="A147" s="290"/>
      <c r="B147" s="283"/>
      <c r="C147" s="283"/>
      <c r="D147" s="284"/>
      <c r="E147" s="284"/>
      <c r="F147" s="284"/>
      <c r="G147" s="284"/>
      <c r="H147" s="284"/>
      <c r="I147" s="284"/>
      <c r="J147" s="114"/>
    </row>
    <row r="148" spans="1:10" s="104" customFormat="1" ht="18.75" x14ac:dyDescent="0.45">
      <c r="A148" s="290"/>
      <c r="B148" s="283"/>
      <c r="C148" s="283"/>
      <c r="D148" s="284"/>
      <c r="E148" s="284"/>
      <c r="F148" s="284"/>
      <c r="G148" s="284"/>
      <c r="H148" s="284"/>
      <c r="I148" s="284"/>
      <c r="J148" s="114"/>
    </row>
    <row r="149" spans="1:10" s="104" customFormat="1" ht="18.75" x14ac:dyDescent="0.45">
      <c r="A149" s="290"/>
      <c r="B149" s="283"/>
      <c r="C149" s="283"/>
      <c r="D149" s="284"/>
      <c r="E149" s="284"/>
      <c r="F149" s="284"/>
      <c r="G149" s="284"/>
      <c r="H149" s="284"/>
      <c r="I149" s="284"/>
      <c r="J149" s="114"/>
    </row>
    <row r="150" spans="1:10" s="296" customFormat="1" ht="19.5" thickBot="1" x14ac:dyDescent="0.5">
      <c r="A150" s="292" t="s">
        <v>252</v>
      </c>
      <c r="B150" s="292"/>
      <c r="C150" s="292"/>
      <c r="D150" s="293">
        <f t="shared" ref="D150:I150" si="0">SUM(D4:D149)</f>
        <v>0</v>
      </c>
      <c r="E150" s="294">
        <f t="shared" si="0"/>
        <v>0</v>
      </c>
      <c r="F150" s="294">
        <f t="shared" si="0"/>
        <v>0</v>
      </c>
      <c r="G150" s="294">
        <f t="shared" si="0"/>
        <v>0</v>
      </c>
      <c r="H150" s="294">
        <f t="shared" si="0"/>
        <v>0</v>
      </c>
      <c r="I150" s="295">
        <f t="shared" si="0"/>
        <v>0</v>
      </c>
      <c r="J150" s="114"/>
    </row>
    <row r="151" spans="1:10" ht="19.5" thickTop="1" x14ac:dyDescent="0.45">
      <c r="D151" s="297"/>
      <c r="E151" s="297"/>
      <c r="F151" s="297"/>
      <c r="G151" s="297"/>
      <c r="H151" s="297"/>
      <c r="I151" s="297"/>
      <c r="J151" s="114"/>
    </row>
    <row r="152" spans="1:10" x14ac:dyDescent="0.45">
      <c r="D152" s="297"/>
      <c r="E152" s="297"/>
      <c r="F152" s="297"/>
      <c r="G152" s="297"/>
      <c r="H152" s="297"/>
      <c r="I152" s="297"/>
    </row>
    <row r="153" spans="1:10" x14ac:dyDescent="0.45">
      <c r="D153" s="297"/>
      <c r="E153" s="297"/>
      <c r="F153" s="297"/>
      <c r="G153" s="297"/>
      <c r="H153" s="297"/>
      <c r="I153" s="297"/>
    </row>
  </sheetData>
  <autoFilter ref="A2:I3" xr:uid="{23A03BDA-1053-423A-96FC-29DDD69B926F}">
    <filterColumn colId="6" showButton="0"/>
  </autoFilter>
  <mergeCells count="9">
    <mergeCell ref="A1:I1"/>
    <mergeCell ref="A2:A3"/>
    <mergeCell ref="B2:B3"/>
    <mergeCell ref="C2:C3"/>
    <mergeCell ref="D2:D3"/>
    <mergeCell ref="E2:E3"/>
    <mergeCell ref="F2:F3"/>
    <mergeCell ref="G2:H2"/>
    <mergeCell ref="I2:I3"/>
  </mergeCells>
  <pageMargins left="0.7" right="0.7" top="0.75" bottom="0.75" header="0.3" footer="0.3"/>
  <pageSetup scale="5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DF844A5C781EC48905CD4BC03C7F67B" ma:contentTypeVersion="10" ma:contentTypeDescription="Create a new document." ma:contentTypeScope="" ma:versionID="1c10b3a8558348aa9c3445412b2277b3">
  <xsd:schema xmlns:xsd="http://www.w3.org/2001/XMLSchema" xmlns:xs="http://www.w3.org/2001/XMLSchema" xmlns:p="http://schemas.microsoft.com/office/2006/metadata/properties" xmlns:ns3="4cceba76-b503-4240-8796-dc316c349618" targetNamespace="http://schemas.microsoft.com/office/2006/metadata/properties" ma:root="true" ma:fieldsID="4e4b9c5af5ab6b40244d52539d9ddd49" ns3:_="">
    <xsd:import namespace="4cceba76-b503-4240-8796-dc316c349618"/>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MediaServiceLocatio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ceba76-b503-4240-8796-dc316c34961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_activity" ma:index="17"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4cceba76-b503-4240-8796-dc316c349618" xsi:nil="true"/>
  </documentManagement>
</p:properties>
</file>

<file path=customXml/itemProps1.xml><?xml version="1.0" encoding="utf-8"?>
<ds:datastoreItem xmlns:ds="http://schemas.openxmlformats.org/officeDocument/2006/customXml" ds:itemID="{89F8ABF7-C295-415C-A1D9-A65B01E450B8}">
  <ds:schemaRefs>
    <ds:schemaRef ds:uri="http://schemas.microsoft.com/sharepoint/v3/contenttype/forms"/>
  </ds:schemaRefs>
</ds:datastoreItem>
</file>

<file path=customXml/itemProps2.xml><?xml version="1.0" encoding="utf-8"?>
<ds:datastoreItem xmlns:ds="http://schemas.openxmlformats.org/officeDocument/2006/customXml" ds:itemID="{81045397-EF26-4C18-8893-8848261D03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ceba76-b503-4240-8796-dc316c3496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7B518C-70BB-4E4E-8122-F5B53934D0BA}">
  <ds:schemaRefs>
    <ds:schemaRef ds:uri="http://schemas.microsoft.com/office/infopath/2007/PartnerControls"/>
    <ds:schemaRef ds:uri="http://schemas.microsoft.com/office/2006/metadata/properties"/>
    <ds:schemaRef ds:uri="http://purl.org/dc/terms/"/>
    <ds:schemaRef ds:uri="4cceba76-b503-4240-8796-dc316c349618"/>
    <ds:schemaRef ds:uri="http://purl.org/dc/elements/1.1/"/>
    <ds:schemaRef ds:uri="http://schemas.openxmlformats.org/package/2006/metadata/core-properties"/>
    <ds:schemaRef ds:uri="http://schemas.microsoft.com/office/2006/documentManagement/types"/>
    <ds:schemaRef ds:uri="http://purl.org/dc/dcmitype/"/>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16</vt:i4>
      </vt:variant>
    </vt:vector>
  </HeadingPairs>
  <TitlesOfParts>
    <vt:vector size="32" baseType="lpstr">
      <vt:lpstr>SOFP</vt:lpstr>
      <vt:lpstr>SCI</vt:lpstr>
      <vt:lpstr>SCE</vt:lpstr>
      <vt:lpstr>SCF</vt:lpstr>
      <vt:lpstr>S 1</vt:lpstr>
      <vt:lpstr>S 2</vt:lpstr>
      <vt:lpstr>S 3</vt:lpstr>
      <vt:lpstr>S 4</vt:lpstr>
      <vt:lpstr>S 5</vt:lpstr>
      <vt:lpstr>1..</vt:lpstr>
      <vt:lpstr>(2)..</vt:lpstr>
      <vt:lpstr>2...</vt:lpstr>
      <vt:lpstr>5</vt:lpstr>
      <vt:lpstr>6</vt:lpstr>
      <vt:lpstr>8</vt:lpstr>
      <vt:lpstr>Client TB (2)</vt:lpstr>
      <vt:lpstr>'(2)..'!Print_Area</vt:lpstr>
      <vt:lpstr>'1..'!Print_Area</vt:lpstr>
      <vt:lpstr>'2...'!Print_Area</vt:lpstr>
      <vt:lpstr>'5'!Print_Area</vt:lpstr>
      <vt:lpstr>'6'!Print_Area</vt:lpstr>
      <vt:lpstr>'8'!Print_Area</vt:lpstr>
      <vt:lpstr>'Client TB (2)'!Print_Area</vt:lpstr>
      <vt:lpstr>'S 1'!Print_Area</vt:lpstr>
      <vt:lpstr>'S 2'!Print_Area</vt:lpstr>
      <vt:lpstr>'S 3'!Print_Area</vt:lpstr>
      <vt:lpstr>'S 4'!Print_Area</vt:lpstr>
      <vt:lpstr>'S 5'!Print_Area</vt:lpstr>
      <vt:lpstr>SCE!Print_Area</vt:lpstr>
      <vt:lpstr>SCF!Print_Area</vt:lpstr>
      <vt:lpstr>SCI!Print_Area</vt:lpstr>
      <vt:lpstr>SOFP!Print_Area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Nihal P</dc:creator>
  <cp:lastModifiedBy>Mohamed Nihal P</cp:lastModifiedBy>
  <dcterms:created xsi:type="dcterms:W3CDTF">2026-10-06T10:07:56Z</dcterms:created>
  <dcterms:modified xsi:type="dcterms:W3CDTF">2026-10-07T07:37:20Z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0x0101002DF844A5C781EC48905CD4BC03C7F67B</vt:lpwstr>
  </property>
</Properties>
</file>