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.Aswathy\Desktop\Ai\"/>
    </mc:Choice>
  </mc:AlternateContent>
  <xr:revisionPtr revIDLastSave="0" documentId="13_ncr:1_{D19D145C-6A7A-4D52-BB28-5C4BA47E2DEC}" xr6:coauthVersionLast="47" xr6:coauthVersionMax="47" xr10:uidLastSave="{00000000-0000-0000-0000-000000000000}"/>
  <bookViews>
    <workbookView xWindow="-108" yWindow="-108" windowWidth="23256" windowHeight="12576" activeTab="5" xr2:uid="{364614C3-B639-4166-B697-5883D039BBDF}"/>
  </bookViews>
  <sheets>
    <sheet name="IFRS TB" sheetId="1" r:id="rId1"/>
    <sheet name="BS" sheetId="2" r:id="rId2"/>
    <sheet name="P and L" sheetId="3" r:id="rId3"/>
    <sheet name="Statement of equity" sheetId="4" r:id="rId4"/>
    <sheet name="Capital" sheetId="5" r:id="rId5"/>
    <sheet name="COGS" sheetId="6" r:id="rId6"/>
  </sheets>
  <externalReferences>
    <externalReference r:id="rId7"/>
    <externalReference r:id="rId8"/>
  </externalReferences>
  <definedNames>
    <definedName name="_xlnm._FilterDatabase" localSheetId="4" hidden="1">Capital!$A$3:$H$4</definedName>
    <definedName name="_xlnm._FilterDatabase" localSheetId="0" hidden="1">'IFRS TB'!$A$3:$C$66</definedName>
    <definedName name="AbridgedAccounts">#REF!</definedName>
    <definedName name="Account">#REF!</definedName>
    <definedName name="AccountingBodyRegisteredAs">#REF!</definedName>
    <definedName name="AccountingPeriod">#REF!</definedName>
    <definedName name="AccountingPoliciesShow">#REF!</definedName>
    <definedName name="accpolicies">#REF!</definedName>
    <definedName name="accpolicies_num">#REF!</definedName>
    <definedName name="AdditionalAct">#REF!</definedName>
    <definedName name="AdditionalProfAddress">#REF!</definedName>
    <definedName name="AdditionalProfessionals">#REF!</definedName>
    <definedName name="AdditionalProfessionalsAddress">#REF!</definedName>
    <definedName name="AdditionalProfessionalsAddress1">#REF!</definedName>
    <definedName name="AdditionalProfessionalsAddress2">#REF!</definedName>
    <definedName name="AdditionalProfessionalsAddress3">#REF!</definedName>
    <definedName name="AdditionalProfessionalsAddress4">#REF!</definedName>
    <definedName name="AdditionalProfessionalsAddress5">#REF!</definedName>
    <definedName name="AdditionalProfessionalsAudAddress1">#REF!</definedName>
    <definedName name="AdditionalProfessionalsAudAddress2">#REF!</definedName>
    <definedName name="AdditionalProfessionalsAudAddress3">#REF!</definedName>
    <definedName name="AdditionalProfessionalsAudAddress4">#REF!</definedName>
    <definedName name="AdditionalProfessionalsAudAddress5">#REF!</definedName>
    <definedName name="AdditionalProfessionalsDateOfSignature">#REF!</definedName>
    <definedName name="AdditionalProfessionalsDesignation">#REF!</definedName>
    <definedName name="AdditionalProfessionalsFirmSignatory">#REF!</definedName>
    <definedName name="AdditionalProfessionalsFirmType">#REF!</definedName>
    <definedName name="AdditionalProfessionalsReport_are_am">#REF!</definedName>
    <definedName name="AdditionalProfessionalsReport_are_is">#REF!</definedName>
    <definedName name="AdditionalProfessionalsReport_auditor_compound">#REF!</definedName>
    <definedName name="AdditionalProfessionalsReport_auditor_s">#REF!</definedName>
    <definedName name="AdditionalProfessionalsReport_compiler_compound">#REF!</definedName>
    <definedName name="AdditionalProfessionalsReport_compiler_s">#REF!</definedName>
    <definedName name="AdditionalProfessionalsReport_have_has">#REF!</definedName>
    <definedName name="AdditionalProfessionalsReport_officer_compound">#REF!</definedName>
    <definedName name="AdditionalProfessionalsReport_officer_s">#REF!</definedName>
    <definedName name="AdditionalProfessionalsReport_reviewer_compound">#REF!</definedName>
    <definedName name="AdditionalProfessionalsReport_reviewer_s">#REF!</definedName>
    <definedName name="AdditionalProfessionalsReport_were_was">#REF!</definedName>
    <definedName name="AdditionalProfessionalsReportingAs1">#REF!</definedName>
    <definedName name="AdditionalProfessionalsReportingAs2">#REF!</definedName>
    <definedName name="AdditionalProfessionalsReportingAs3">#REF!</definedName>
    <definedName name="AdditionalProfessionalsReportingAs4">#REF!</definedName>
    <definedName name="AdditionalProfessionalsReportingAs5">#REF!</definedName>
    <definedName name="AdditionalProfessionalsReportingAs6">#REF!</definedName>
    <definedName name="AdditionalProfessionalsRole">#REF!</definedName>
    <definedName name="Address">#REF!</definedName>
    <definedName name="Address1">#REF!</definedName>
    <definedName name="Address2">#REF!</definedName>
    <definedName name="Address3">#REF!</definedName>
    <definedName name="Address4">#REF!</definedName>
    <definedName name="Address5">#REF!</definedName>
    <definedName name="AddressReportsTo">#REF!</definedName>
    <definedName name="Adjustments">#REF!</definedName>
    <definedName name="AdjustmentsReference">#REF!</definedName>
    <definedName name="AfrikaansFinancials">#REF!</definedName>
    <definedName name="AFS_Name">#REF!</definedName>
    <definedName name="AFS_Name_Annual">#REF!</definedName>
    <definedName name="AFS_Name_NoAnnual">#REF!</definedName>
    <definedName name="AGMDate">#REF!</definedName>
    <definedName name="AndGroup">#REF!</definedName>
    <definedName name="AnnualAFS">#REF!</definedName>
    <definedName name="ApplicableAct">#REF!</definedName>
    <definedName name="ApprovalDate">#REF!</definedName>
    <definedName name="Asset_Categories">[1]Dep.Schedule!$D$5:$D$11</definedName>
    <definedName name="AudAddress1">#REF!</definedName>
    <definedName name="AudAddress2">#REF!</definedName>
    <definedName name="AudAddress3">#REF!</definedName>
    <definedName name="AudAddress4">#REF!</definedName>
    <definedName name="AudAddress5">#REF!</definedName>
    <definedName name="AuditorDesignation">#REF!</definedName>
    <definedName name="Auditors">#REF!</definedName>
    <definedName name="AuditorsAddress">#REF!</definedName>
    <definedName name="AuditorsAddress1">#REF!</definedName>
    <definedName name="AuditorsAddress2">#REF!</definedName>
    <definedName name="AuditorsAddress3">#REF!</definedName>
    <definedName name="AuditorsAddress4">#REF!</definedName>
    <definedName name="AuditorsAddress5">#REF!</definedName>
    <definedName name="AuditorsRegistration">#REF!</definedName>
    <definedName name="AuditRequired">#REF!</definedName>
    <definedName name="AverageEmployees">#REF!</definedName>
    <definedName name="AverageNumberOfEmployees">#REF!</definedName>
    <definedName name="AverageNumberOfEmployeesPrior1">#REF!</definedName>
    <definedName name="BalanceSheetOrder">#REF!</definedName>
    <definedName name="Bankers">#REF!</definedName>
    <definedName name="BoardDescription">#REF!</definedName>
    <definedName name="BudgetAdjustments">#REF!</definedName>
    <definedName name="BudgetQuarter1">#REF!</definedName>
    <definedName name="BudgetQuarter2">#REF!</definedName>
    <definedName name="BudgetQuarter3">#REF!</definedName>
    <definedName name="BudgetQuarter4">#REF!</definedName>
    <definedName name="BusinessAddress">#REF!</definedName>
    <definedName name="BusinessAddress1">#REF!</definedName>
    <definedName name="BusinessAddress2">#REF!</definedName>
    <definedName name="BusinessAddress3">#REF!</definedName>
    <definedName name="BusinessAddress4">#REF!</definedName>
    <definedName name="BusinessAddress5">#REF!</definedName>
    <definedName name="BusinessCommencementDate">#REF!</definedName>
    <definedName name="Capitalisation">#REF!</definedName>
    <definedName name="CapitalNaming">#REF!</definedName>
    <definedName name="CashFlow">#REF!</definedName>
    <definedName name="CashFlowGovernmentGrants">#REF!</definedName>
    <definedName name="CashFlowTaxRefunded">#REF!</definedName>
    <definedName name="CEMP_ID">[2]CHK!$B$6:$B$1048576</definedName>
    <definedName name="ChangesInEquity">#REF!</definedName>
    <definedName name="clerk_signoff">#REF!</definedName>
    <definedName name="Client">#REF!</definedName>
    <definedName name="ClientCode">#REF!</definedName>
    <definedName name="CLink">#REF!</definedName>
    <definedName name="CompanyEmail">#REF!</definedName>
    <definedName name="CompanyMobile">#REF!</definedName>
    <definedName name="CompanyName">#REF!</definedName>
    <definedName name="CompanyTelephone">#REF!</definedName>
    <definedName name="Consoli">#REF!</definedName>
    <definedName name="ConsoliCurrentRounding">#REF!</definedName>
    <definedName name="ConsoliCurrentRounding2">#REF!</definedName>
    <definedName name="ConsoliCurrentRounding3">#REF!</definedName>
    <definedName name="ConsoliPrior2Rounding">#REF!</definedName>
    <definedName name="ConsoliPrior2Rounding2">#REF!</definedName>
    <definedName name="ConsoliPrior2Rounding3">#REF!</definedName>
    <definedName name="ConsoliPrior3Rounding">#REF!</definedName>
    <definedName name="ConsoliPrior3Rounding2">#REF!</definedName>
    <definedName name="ConsoliPrior3Rounding3">#REF!</definedName>
    <definedName name="ConsoliPrior4Rounding">#REF!</definedName>
    <definedName name="ConsoliPrior4Rounding2">#REF!</definedName>
    <definedName name="ConsoliPrior4Rounding3">#REF!</definedName>
    <definedName name="ConsoliPrior5Rounding">#REF!</definedName>
    <definedName name="ConsoliPrior5Rounding2">#REF!</definedName>
    <definedName name="ConsoliPrior5Rounding3">#REF!</definedName>
    <definedName name="ConsoliPriorRounding">#REF!</definedName>
    <definedName name="ConsoliPriorRounding2">#REF!</definedName>
    <definedName name="ConsoliPriorRounding3">#REF!</definedName>
    <definedName name="CountryOfIncorporation">#REF!</definedName>
    <definedName name="CurrencyDescription">#REF!</definedName>
    <definedName name="CurrencyRounding">#REF!</definedName>
    <definedName name="CurrencySymbol">#REF!</definedName>
    <definedName name="CurrencySymbolAdd">#REF!</definedName>
    <definedName name="CurrencySymbolLoc">#REF!</definedName>
    <definedName name="CurrencySymbolRoundingBrackets">#REF!</definedName>
    <definedName name="CurrentRounding">#REF!</definedName>
    <definedName name="CurrentRounding2">#REF!</definedName>
    <definedName name="CurrentRounding3">#REF!</definedName>
    <definedName name="Customer_code">#REF!</definedName>
    <definedName name="DateOfSignature">#REF!</definedName>
    <definedName name="DetailedISSign">#REF!</definedName>
    <definedName name="DetailedListingOfReserves">#REF!</definedName>
    <definedName name="Details">#REF!</definedName>
    <definedName name="DGender_consider_s">#REF!</definedName>
    <definedName name="DGender_has_have">#REF!</definedName>
    <definedName name="DGender_is_are">#REF!</definedName>
    <definedName name="DGender_itself_themselves">#REF!</definedName>
    <definedName name="DGender_their">#REF!</definedName>
    <definedName name="DGender_them">#REF!</definedName>
    <definedName name="DGender_they">#REF!</definedName>
    <definedName name="DGender_They_C">#REF!</definedName>
    <definedName name="Director">#REF!</definedName>
    <definedName name="Director_a">#REF!</definedName>
    <definedName name="Director_accept_s">#REF!</definedName>
    <definedName name="Director_acknowledge_s">#REF!</definedName>
    <definedName name="Director_anticipate_s">#REF!</definedName>
    <definedName name="Director_Ap">#REF!</definedName>
    <definedName name="Director_are_am">#REF!</definedName>
    <definedName name="Director_believe_s">#REF!</definedName>
    <definedName name="Director_board">#REF!</definedName>
    <definedName name="Director_board_Ap">#REF!</definedName>
    <definedName name="Director_determine_s">#REF!</definedName>
    <definedName name="Director_do_es">#REF!</definedName>
    <definedName name="Director_draw_s">#REF!</definedName>
    <definedName name="Director_has_have">#REF!</definedName>
    <definedName name="Director_I_We">#REF!</definedName>
    <definedName name="Director_intend_s">#REF!</definedName>
    <definedName name="Director_is_are">#REF!</definedName>
    <definedName name="Director_loan_s">#REF!</definedName>
    <definedName name="Director_my_our">#REF!</definedName>
    <definedName name="Director_myself_ourselves">#REF!</definedName>
    <definedName name="Director_nointerest">#REF!</definedName>
    <definedName name="Director_place_s">#REF!</definedName>
    <definedName name="Director_present_s">#REF!</definedName>
    <definedName name="Director_provide_s">#REF!</definedName>
    <definedName name="Director_recommend_s">#REF!</definedName>
    <definedName name="Director_report_s">#REF!</definedName>
    <definedName name="Director_set_s">#REF!</definedName>
    <definedName name="Director_signoff_detail">#REF!</definedName>
    <definedName name="Director_submit_s">#REF!</definedName>
    <definedName name="Director_the">#REF!</definedName>
    <definedName name="Director_was_were">#REF!</definedName>
    <definedName name="Director1">#REF!</definedName>
    <definedName name="Director10">#REF!</definedName>
    <definedName name="Director10DateAppointed">#REF!</definedName>
    <definedName name="Director10DateResigned">#REF!</definedName>
    <definedName name="Director10Email">#REF!</definedName>
    <definedName name="Director10Gender">#REF!</definedName>
    <definedName name="Director10Holding">#REF!</definedName>
    <definedName name="Director10ID">#REF!</definedName>
    <definedName name="Director10Nationality">#REF!</definedName>
    <definedName name="Director11">#REF!</definedName>
    <definedName name="Director11DateAppointed">#REF!</definedName>
    <definedName name="Director11DateResigned">#REF!</definedName>
    <definedName name="Director11Email">#REF!</definedName>
    <definedName name="Director11Gender">#REF!</definedName>
    <definedName name="Director11Holding">#REF!</definedName>
    <definedName name="Director11ID">#REF!</definedName>
    <definedName name="Director11Nationality">#REF!</definedName>
    <definedName name="Director12">#REF!</definedName>
    <definedName name="Director12DateAppointed">#REF!</definedName>
    <definedName name="Director12DateResigned">#REF!</definedName>
    <definedName name="Director12Email">#REF!</definedName>
    <definedName name="Director12Gender">#REF!</definedName>
    <definedName name="Director12Holding">#REF!</definedName>
    <definedName name="Director12ID">#REF!</definedName>
    <definedName name="Director12Nationality">#REF!</definedName>
    <definedName name="Director13">#REF!</definedName>
    <definedName name="Director13DateAppointed">#REF!</definedName>
    <definedName name="Director13DateResigned">#REF!</definedName>
    <definedName name="Director13Email">#REF!</definedName>
    <definedName name="Director13Gender">#REF!</definedName>
    <definedName name="Director13Holding">#REF!</definedName>
    <definedName name="Director13ID">#REF!</definedName>
    <definedName name="Director13Nationality">#REF!</definedName>
    <definedName name="Director14">#REF!</definedName>
    <definedName name="Director14DateAppointed">#REF!</definedName>
    <definedName name="Director14DateResigned">#REF!</definedName>
    <definedName name="Director14Email">#REF!</definedName>
    <definedName name="Director14Gender">#REF!</definedName>
    <definedName name="Director14Holding">#REF!</definedName>
    <definedName name="Director14ID">#REF!</definedName>
    <definedName name="Director14Nationality">#REF!</definedName>
    <definedName name="Director15">#REF!</definedName>
    <definedName name="Director15DateAppointed">#REF!</definedName>
    <definedName name="Director15DateResigned">#REF!</definedName>
    <definedName name="Director15Email">#REF!</definedName>
    <definedName name="Director15Gender">#REF!</definedName>
    <definedName name="Director15Holding">#REF!</definedName>
    <definedName name="Director15ID">#REF!</definedName>
    <definedName name="Director15Nationality">#REF!</definedName>
    <definedName name="Director16">#REF!</definedName>
    <definedName name="Director16DateAppointed">#REF!</definedName>
    <definedName name="Director16DateResigned">#REF!</definedName>
    <definedName name="Director16Email">#REF!</definedName>
    <definedName name="Director16Gender">#REF!</definedName>
    <definedName name="Director16Holding">#REF!</definedName>
    <definedName name="Director16ID">#REF!</definedName>
    <definedName name="Director16Nationality">#REF!</definedName>
    <definedName name="Director17">#REF!</definedName>
    <definedName name="Director17DateAppointed">#REF!</definedName>
    <definedName name="Director17DateResigned">#REF!</definedName>
    <definedName name="Director17Email">#REF!</definedName>
    <definedName name="Director17Gender">#REF!</definedName>
    <definedName name="Director17Holding">#REF!</definedName>
    <definedName name="Director17ID">#REF!</definedName>
    <definedName name="Director17Nationality">#REF!</definedName>
    <definedName name="Director18">#REF!</definedName>
    <definedName name="Director18DateAppointed">#REF!</definedName>
    <definedName name="Director18DateResigned">#REF!</definedName>
    <definedName name="Director18Email">#REF!</definedName>
    <definedName name="Director18Gender">#REF!</definedName>
    <definedName name="Director18Holding">#REF!</definedName>
    <definedName name="Director18ID">#REF!</definedName>
    <definedName name="Director18Nationality">#REF!</definedName>
    <definedName name="Director19">#REF!</definedName>
    <definedName name="Director19DateAppointed">#REF!</definedName>
    <definedName name="Director19DateResigned">#REF!</definedName>
    <definedName name="Director19Email">#REF!</definedName>
    <definedName name="Director19Gender">#REF!</definedName>
    <definedName name="Director19Holding">#REF!</definedName>
    <definedName name="Director19ID">#REF!</definedName>
    <definedName name="Director19Nationality">#REF!</definedName>
    <definedName name="Director1DateAppointed">#REF!</definedName>
    <definedName name="Director1DateResigned">#REF!</definedName>
    <definedName name="Director1Email">#REF!</definedName>
    <definedName name="Director1Gender">#REF!</definedName>
    <definedName name="Director1Holding">#REF!</definedName>
    <definedName name="Director1ID">#REF!</definedName>
    <definedName name="Director1Nationality">#REF!</definedName>
    <definedName name="Director2">#REF!</definedName>
    <definedName name="Director20">#REF!</definedName>
    <definedName name="Director20DateAppointed">#REF!</definedName>
    <definedName name="Director20DateResigned">#REF!</definedName>
    <definedName name="Director20Email">#REF!</definedName>
    <definedName name="Director20Gender">#REF!</definedName>
    <definedName name="Director20Holding">#REF!</definedName>
    <definedName name="Director20ID">#REF!</definedName>
    <definedName name="Director20Nationality">#REF!</definedName>
    <definedName name="Director2DateAppointed">#REF!</definedName>
    <definedName name="Director2DateResigned">#REF!</definedName>
    <definedName name="Director2Email">#REF!</definedName>
    <definedName name="Director2Gender">#REF!</definedName>
    <definedName name="Director2Holding">#REF!</definedName>
    <definedName name="Director2ID">#REF!</definedName>
    <definedName name="Director2Nationality">#REF!</definedName>
    <definedName name="Director3">#REF!</definedName>
    <definedName name="Director3DateAppointed">#REF!</definedName>
    <definedName name="Director3DateResigned">#REF!</definedName>
    <definedName name="Director3Email">#REF!</definedName>
    <definedName name="Director3Gender">#REF!</definedName>
    <definedName name="Director3Holding">#REF!</definedName>
    <definedName name="Director3ID">#REF!</definedName>
    <definedName name="Director3Nationality">#REF!</definedName>
    <definedName name="Director4">#REF!</definedName>
    <definedName name="Director4DateAppointed">#REF!</definedName>
    <definedName name="Director4DateResigned">#REF!</definedName>
    <definedName name="Director4Email">#REF!</definedName>
    <definedName name="Director4Gender">#REF!</definedName>
    <definedName name="Director4Holding">#REF!</definedName>
    <definedName name="Director4ID">#REF!</definedName>
    <definedName name="Director4Nationality">#REF!</definedName>
    <definedName name="Director5">#REF!</definedName>
    <definedName name="Director5DateAppointed">#REF!</definedName>
    <definedName name="Director5DateResigned">#REF!</definedName>
    <definedName name="Director5Email">#REF!</definedName>
    <definedName name="Director5Gender">#REF!</definedName>
    <definedName name="Director5Holding">#REF!</definedName>
    <definedName name="Director5ID">#REF!</definedName>
    <definedName name="Director5Nationality">#REF!</definedName>
    <definedName name="Director6">#REF!</definedName>
    <definedName name="Director6DateAppointed">#REF!</definedName>
    <definedName name="Director6DateResigned">#REF!</definedName>
    <definedName name="Director6Email">#REF!</definedName>
    <definedName name="Director6Gender">#REF!</definedName>
    <definedName name="Director6Holding">#REF!</definedName>
    <definedName name="Director6ID">#REF!</definedName>
    <definedName name="Director6Nationality">#REF!</definedName>
    <definedName name="Director7">#REF!</definedName>
    <definedName name="Director7DateAppointed">#REF!</definedName>
    <definedName name="Director7DateResigned">#REF!</definedName>
    <definedName name="Director7Email">#REF!</definedName>
    <definedName name="Director7Gender">#REF!</definedName>
    <definedName name="Director7Holding">#REF!</definedName>
    <definedName name="Director7ID">#REF!</definedName>
    <definedName name="Director7Nationality">#REF!</definedName>
    <definedName name="Director8">#REF!</definedName>
    <definedName name="Director8DateAppointed">#REF!</definedName>
    <definedName name="Director8DateResigned">#REF!</definedName>
    <definedName name="Director8Email">#REF!</definedName>
    <definedName name="Director8Gender">#REF!</definedName>
    <definedName name="Director8Holding">#REF!</definedName>
    <definedName name="Director8ID">#REF!</definedName>
    <definedName name="Director8Nationality">#REF!</definedName>
    <definedName name="Director9">#REF!</definedName>
    <definedName name="Director9DateAppointed">#REF!</definedName>
    <definedName name="Director9DateResigned">#REF!</definedName>
    <definedName name="Director9Email">#REF!</definedName>
    <definedName name="Director9Gender">#REF!</definedName>
    <definedName name="Director9Holding">#REF!</definedName>
    <definedName name="Director9ID">#REF!</definedName>
    <definedName name="Director9Nationality">#REF!</definedName>
    <definedName name="Disclosure">#REF!</definedName>
    <definedName name="DisclosureType">#REF!</definedName>
    <definedName name="DisplayName">#REF!</definedName>
    <definedName name="DistributionNaming">#REF!</definedName>
    <definedName name="DistributionsSoCE">#REF!</definedName>
    <definedName name="DistributionsSoCI">#REF!</definedName>
    <definedName name="DormantEntity">#REF!</definedName>
    <definedName name="EmployeeReferences">#REF!</definedName>
    <definedName name="EngagementLetterDate">#REF!</definedName>
    <definedName name="EngLetterDate">#REF!</definedName>
    <definedName name="Entity_are_is">#REF!</definedName>
    <definedName name="Entity_have_has">#REF!</definedName>
    <definedName name="EntityDescription">#REF!</definedName>
    <definedName name="EntityDescriptionAp">#REF!</definedName>
    <definedName name="EntityDescriptionApCase">#REF!</definedName>
    <definedName name="EntityDescriptionCase">#REF!</definedName>
    <definedName name="EntitySentenceCase">#REF!</definedName>
    <definedName name="EntityType">#REF!</definedName>
    <definedName name="EO_CHK">#REF!</definedName>
    <definedName name="EO_EMP_ID">#REF!</definedName>
    <definedName name="EO_EMP_Name">#REF!</definedName>
    <definedName name="EO_J_DATE">#REF!</definedName>
    <definedName name="EquityNaming">#REF!</definedName>
    <definedName name="ExchangeListing">#REF!</definedName>
    <definedName name="FileName">#REF!</definedName>
    <definedName name="Final">#REF!</definedName>
    <definedName name="FinalBudget">#REF!</definedName>
    <definedName name="FinalInterim">#REF!</definedName>
    <definedName name="FinalTaxRate">#REF!</definedName>
    <definedName name="FinancialsPlus">#REF!</definedName>
    <definedName name="FindReplaceVersion">#REF!</definedName>
    <definedName name="Finyear_Monthfinperiod">#REF!</definedName>
    <definedName name="FirmPrintLocation">#REF!</definedName>
    <definedName name="FirmSignatory">#REF!</definedName>
    <definedName name="FirmType">#REF!</definedName>
    <definedName name="Framework">#REF!</definedName>
    <definedName name="FrameworkDetail">#REF!</definedName>
    <definedName name="Fudiciary">#REF!</definedName>
    <definedName name="GroupAFSPrefix">#REF!</definedName>
    <definedName name="Groupand">#REF!</definedName>
    <definedName name="GroupandEntity">#REF!</definedName>
    <definedName name="GroupDash">#REF!</definedName>
    <definedName name="GroupEntity">#REF!</definedName>
    <definedName name="GroupEntityCase">#REF!</definedName>
    <definedName name="GroupEntityCaseAp">#REF!</definedName>
    <definedName name="GroupLinebreak">#REF!</definedName>
    <definedName name="GroupSpace">#REF!</definedName>
    <definedName name="H.NetIncome">#REF!</definedName>
    <definedName name="H.Prior1NetIncome">#REF!</definedName>
    <definedName name="H.Prior2NetIncome">#REF!</definedName>
    <definedName name="HeadingPrinting">#REF!</definedName>
    <definedName name="Holding1">#REF!</definedName>
    <definedName name="Holding10">#REF!</definedName>
    <definedName name="Holding11">#REF!</definedName>
    <definedName name="Holding12">#REF!</definedName>
    <definedName name="Holding13">#REF!</definedName>
    <definedName name="Holding14">#REF!</definedName>
    <definedName name="Holding15">#REF!</definedName>
    <definedName name="Holding16">#REF!</definedName>
    <definedName name="Holding17">#REF!</definedName>
    <definedName name="Holding18">#REF!</definedName>
    <definedName name="Holding19">#REF!</definedName>
    <definedName name="Holding2">#REF!</definedName>
    <definedName name="Holding20">#REF!</definedName>
    <definedName name="Holding3">#REF!</definedName>
    <definedName name="Holding4">#REF!</definedName>
    <definedName name="Holding5">#REF!</definedName>
    <definedName name="Holding6">#REF!</definedName>
    <definedName name="Holding7">#REF!</definedName>
    <definedName name="Holding8">#REF!</definedName>
    <definedName name="Holding9">#REF!</definedName>
    <definedName name="IncludeBasicEarningsPerShare">#REF!</definedName>
    <definedName name="IncludeDilutedEarningsPerShare">#REF!</definedName>
    <definedName name="Industry">#REF!</definedName>
    <definedName name="InterimAdjustments">#REF!</definedName>
    <definedName name="language_agm_date_long">#REF!</definedName>
    <definedName name="language_agm_date_month">#REF!</definedName>
    <definedName name="language_agm_date_short">#REF!</definedName>
    <definedName name="language_date_of_signature_long">#REF!</definedName>
    <definedName name="language_date_of_signature_month">#REF!</definedName>
    <definedName name="language_date_of_signature_short">#REF!</definedName>
    <definedName name="language_prior_year_end_date_long">#REF!</definedName>
    <definedName name="language_prior_year_end_date_month">#REF!</definedName>
    <definedName name="language_prior_year_end_date_short">#REF!</definedName>
    <definedName name="language_prior_year_end_year">#REF!</definedName>
    <definedName name="language_prior_year_start_date_long">#REF!</definedName>
    <definedName name="language_prior_year_start_date_month">#REF!</definedName>
    <definedName name="language_prior_year_start_date_short">#REF!</definedName>
    <definedName name="language_year_end_date_long">#REF!</definedName>
    <definedName name="language_year_end_date_month">#REF!</definedName>
    <definedName name="language_year_end_date_plus_month_long">#REF!</definedName>
    <definedName name="language_year_end_date_plus_month_month">#REF!</definedName>
    <definedName name="language_year_end_date_plus_month_short">#REF!</definedName>
    <definedName name="language_year_end_date_short">#REF!</definedName>
    <definedName name="language_year_end_year">#REF!</definedName>
    <definedName name="language_year_start_date_long">#REF!</definedName>
    <definedName name="language_year_start_date_month">#REF!</definedName>
    <definedName name="language_year_start_date_short">#REF!</definedName>
    <definedName name="LDLower">#REF!</definedName>
    <definedName name="LDUpper">#REF!</definedName>
    <definedName name="LeadNumberA">#REF!</definedName>
    <definedName name="LeadNumberB">#REF!</definedName>
    <definedName name="LeadNumberC">#REF!</definedName>
    <definedName name="LeadNumberD">#REF!</definedName>
    <definedName name="LeadTypeA">#REF!</definedName>
    <definedName name="LeadTypeB">#REF!</definedName>
    <definedName name="LeadTypeC">#REF!</definedName>
    <definedName name="LeadTypeD">#REF!</definedName>
    <definedName name="LegalFormOfEntity">#REF!</definedName>
    <definedName name="Link">#REF!</definedName>
    <definedName name="ListingBiologicalAssets">#REF!</definedName>
    <definedName name="ListingIntangibleAssets">#REF!</definedName>
    <definedName name="ListingInvestments">#REF!</definedName>
    <definedName name="ListingOtheFinancialAssets">#REF!</definedName>
    <definedName name="ListingOtherFinancialAssets">#REF!</definedName>
    <definedName name="ListingOtherFinancialLiabilities">#REF!</definedName>
    <definedName name="ListingOtherNonFinancialAssets">#REF!</definedName>
    <definedName name="ListingOtherNonFinancialLiabilities">#REF!</definedName>
    <definedName name="ListingProvisions">#REF!</definedName>
    <definedName name="M_Gross_Sal">[2]MainFile!$V:$V</definedName>
    <definedName name="M_MONTH">[2]MainFile!$AB:$AB</definedName>
    <definedName name="M_NET_Pay">[2]MainFile!$AA:$AA</definedName>
    <definedName name="ManagementAccounts">#REF!</definedName>
    <definedName name="ManagementDescriptionPlural">#REF!</definedName>
    <definedName name="ManagementDescriptionPluralApostrophe">#REF!</definedName>
    <definedName name="ManagementDescriptionSingular">#REF!</definedName>
    <definedName name="ManagementDescriptionSingularApostrophe">#REF!</definedName>
    <definedName name="ManagementReferences">#REF!</definedName>
    <definedName name="manager_signoff">#REF!</definedName>
    <definedName name="Materiality">#REF!</definedName>
    <definedName name="MediumDisclosuresNotAllowed">#REF!</definedName>
    <definedName name="MEMP_ID">[2]MainFile!$A:$A</definedName>
    <definedName name="MergeDebtors">#REF!</definedName>
    <definedName name="Minus1">#REF!</definedName>
    <definedName name="Minus2">#REF!</definedName>
    <definedName name="Month1">#REF!</definedName>
    <definedName name="Month10">#REF!</definedName>
    <definedName name="Month10Budget">#REF!</definedName>
    <definedName name="Month11">#REF!</definedName>
    <definedName name="Month11Budget">#REF!</definedName>
    <definedName name="Month12">#REF!</definedName>
    <definedName name="Month12Budget">#REF!</definedName>
    <definedName name="Month13">#REF!</definedName>
    <definedName name="Month13Budget">#REF!</definedName>
    <definedName name="Month1Budget">#REF!</definedName>
    <definedName name="Month2">#REF!</definedName>
    <definedName name="Month2Budget">#REF!</definedName>
    <definedName name="Month3">#REF!</definedName>
    <definedName name="Month3Budget">#REF!</definedName>
    <definedName name="Month4">#REF!</definedName>
    <definedName name="Month4Budget">#REF!</definedName>
    <definedName name="Month5">#REF!</definedName>
    <definedName name="Month5Budget">#REF!</definedName>
    <definedName name="Month6">#REF!</definedName>
    <definedName name="Month6Budget">#REF!</definedName>
    <definedName name="Month7">#REF!</definedName>
    <definedName name="Month7Budget">#REF!</definedName>
    <definedName name="Month8">#REF!</definedName>
    <definedName name="Month8Budget">#REF!</definedName>
    <definedName name="Month9">#REF!</definedName>
    <definedName name="Month9Budget">#REF!</definedName>
    <definedName name="NatureOfBusiness">#REF!</definedName>
    <definedName name="NetIncome">#REF!</definedName>
    <definedName name="Notes">#REF!</definedName>
    <definedName name="NotOwnerManaged">#REF!</definedName>
    <definedName name="Opening">#REF!</definedName>
    <definedName name="OpeningBudget">#REF!</definedName>
    <definedName name="OpeningReference">#REF!</definedName>
    <definedName name="OtherExpMerged">#REF!</definedName>
    <definedName name="OverrideCY">#REF!</definedName>
    <definedName name="OverrideDates">#REF!</definedName>
    <definedName name="OverridePY">#REF!</definedName>
    <definedName name="Owner">#REF!</definedName>
    <definedName name="Owner_Ap">#REF!</definedName>
    <definedName name="Owner_arise_s">#REF!</definedName>
    <definedName name="Owner_interest_s">#REF!</definedName>
    <definedName name="Owner_is_are">#REF!</definedName>
    <definedName name="Owner_their">#REF!</definedName>
    <definedName name="OwnerDescriptionPlural">#REF!</definedName>
    <definedName name="OwnerDescriptionPluralApostrophe">#REF!</definedName>
    <definedName name="OwnerDescriptionSingular">#REF!</definedName>
    <definedName name="OwnerDescriptionSingularApostrophe">#REF!</definedName>
    <definedName name="PageHeaderLine">#REF!</definedName>
    <definedName name="ParentEnterprise">#REF!</definedName>
    <definedName name="partner_signoff">#REF!</definedName>
    <definedName name="PAYE">#REF!</definedName>
    <definedName name="Period_Year">#REF!</definedName>
    <definedName name="PISCompiled">#REF!</definedName>
    <definedName name="PISEntityType">#REF!</definedName>
    <definedName name="PlaceOfSignature">#REF!</definedName>
    <definedName name="PostalAddress">#REF!</definedName>
    <definedName name="PostalAddress1">#REF!</definedName>
    <definedName name="PostalAddress2">#REF!</definedName>
    <definedName name="PostalAddress3">#REF!</definedName>
    <definedName name="PostalAddress4">#REF!</definedName>
    <definedName name="PostalAddress5">#REF!</definedName>
    <definedName name="PresentedSoCI">#REF!</definedName>
    <definedName name="PresentFilleted">#REF!</definedName>
    <definedName name="PreviousAccountingPeriod">#REF!</definedName>
    <definedName name="_xlnm.Print_Area" localSheetId="1">BS!$A$1:$E$46</definedName>
    <definedName name="_xlnm.Print_Area" localSheetId="0">'IFRS TB'!$A$1:$C$66</definedName>
    <definedName name="_xlnm.Print_Area" localSheetId="2">'P and L'!$A$1:$E$19</definedName>
    <definedName name="Prior1">#REF!</definedName>
    <definedName name="Prior1_Period_Year">#REF!</definedName>
    <definedName name="Prior1_Year_Monthperiod">#REF!</definedName>
    <definedName name="Prior1Budget">#REF!</definedName>
    <definedName name="Prior1Interim">#REF!</definedName>
    <definedName name="Prior1TaxRate">#REF!</definedName>
    <definedName name="Prior1YearEndDate_Calc">#REF!</definedName>
    <definedName name="Prior1YearEndDate_Calc2">#REF!</definedName>
    <definedName name="Prior1YearEndDate_Calc3">#REF!</definedName>
    <definedName name="Prior2">#REF!</definedName>
    <definedName name="Prior2_Period_Year">#REF!</definedName>
    <definedName name="Prior2AccountingPeriod">#REF!</definedName>
    <definedName name="Prior2Budget">#REF!</definedName>
    <definedName name="Prior2BudgetAdjustments">#REF!</definedName>
    <definedName name="Prior2Interim">#REF!</definedName>
    <definedName name="Prior2Month1">#REF!</definedName>
    <definedName name="Prior2Month10">#REF!</definedName>
    <definedName name="Prior2Month10Budget">#REF!</definedName>
    <definedName name="Prior2Month11">#REF!</definedName>
    <definedName name="Prior2Month11Budget">#REF!</definedName>
    <definedName name="Prior2Month12">#REF!</definedName>
    <definedName name="Prior2Month12Budget">#REF!</definedName>
    <definedName name="Prior2Month13">#REF!</definedName>
    <definedName name="Prior2Month13Budget">#REF!</definedName>
    <definedName name="Prior2Month1Budget">#REF!</definedName>
    <definedName name="Prior2Month2">#REF!</definedName>
    <definedName name="Prior2Month2Budget">#REF!</definedName>
    <definedName name="Prior2Month3">#REF!</definedName>
    <definedName name="Prior2Month3Budget">#REF!</definedName>
    <definedName name="Prior2Month4">#REF!</definedName>
    <definedName name="Prior2Month4Budget">#REF!</definedName>
    <definedName name="Prior2Month5">#REF!</definedName>
    <definedName name="Prior2Month5Budget">#REF!</definedName>
    <definedName name="Prior2Month6">#REF!</definedName>
    <definedName name="Prior2Month6Budget">#REF!</definedName>
    <definedName name="Prior2Month7">#REF!</definedName>
    <definedName name="Prior2Month7Budget">#REF!</definedName>
    <definedName name="Prior2Month8">#REF!</definedName>
    <definedName name="Prior2Month8Budget">#REF!</definedName>
    <definedName name="Prior2Month9">#REF!</definedName>
    <definedName name="Prior2Month9Budget">#REF!</definedName>
    <definedName name="Prior2NetIncome">#REF!</definedName>
    <definedName name="Prior2OpeningBudget">#REF!</definedName>
    <definedName name="Prior2Rounding">#REF!</definedName>
    <definedName name="Prior2Rounding2">#REF!</definedName>
    <definedName name="Prior2Rounding3">#REF!</definedName>
    <definedName name="Prior2TaxRate">#REF!</definedName>
    <definedName name="Prior2YearEndDate">#REF!</definedName>
    <definedName name="Prior2YearEndDate_Calc">#REF!</definedName>
    <definedName name="Prior2YearEndDate_Calc2">#REF!</definedName>
    <definedName name="Prior2YearStartDate">#REF!</definedName>
    <definedName name="Prior3">#REF!</definedName>
    <definedName name="Prior3_Period_Year">#REF!</definedName>
    <definedName name="Prior3AccountingPeriod">#REF!</definedName>
    <definedName name="Prior3Budget">#REF!</definedName>
    <definedName name="Prior3BudgetAdjustments">#REF!</definedName>
    <definedName name="Prior3Interim">#REF!</definedName>
    <definedName name="Prior3Month1">#REF!</definedName>
    <definedName name="Prior3Month10">#REF!</definedName>
    <definedName name="Prior3Month10Budget">#REF!</definedName>
    <definedName name="Prior3Month11">#REF!</definedName>
    <definedName name="Prior3Month11Budget">#REF!</definedName>
    <definedName name="Prior3Month12">#REF!</definedName>
    <definedName name="Prior3Month12Budget">#REF!</definedName>
    <definedName name="Prior3Month13">#REF!</definedName>
    <definedName name="Prior3Month13Budget">#REF!</definedName>
    <definedName name="Prior3Month1Budget">#REF!</definedName>
    <definedName name="Prior3Month2">#REF!</definedName>
    <definedName name="Prior3Month2Budget">#REF!</definedName>
    <definedName name="Prior3Month3">#REF!</definedName>
    <definedName name="Prior3Month3Budget">#REF!</definedName>
    <definedName name="Prior3Month4">#REF!</definedName>
    <definedName name="Prior3Month4Budget">#REF!</definedName>
    <definedName name="Prior3Month5">#REF!</definedName>
    <definedName name="Prior3Month5Budget">#REF!</definedName>
    <definedName name="Prior3Month6">#REF!</definedName>
    <definedName name="Prior3Month6Budget">#REF!</definedName>
    <definedName name="Prior3Month7">#REF!</definedName>
    <definedName name="Prior3Month7Budget">#REF!</definedName>
    <definedName name="Prior3Month8">#REF!</definedName>
    <definedName name="Prior3Month8Budget">#REF!</definedName>
    <definedName name="Prior3Month9">#REF!</definedName>
    <definedName name="Prior3Month9Budget">#REF!</definedName>
    <definedName name="Prior3OpeningBudget">#REF!</definedName>
    <definedName name="Prior3Rounding">#REF!</definedName>
    <definedName name="Prior3Rounding2">#REF!</definedName>
    <definedName name="Prior3Rounding3">#REF!</definedName>
    <definedName name="Prior3TaxRate">#REF!</definedName>
    <definedName name="Prior3YearEndDate">#REF!</definedName>
    <definedName name="Prior3YearEndDate_Calc">#REF!</definedName>
    <definedName name="Prior3YearEndDate_Calc2">#REF!</definedName>
    <definedName name="Prior3YearStartDate">#REF!</definedName>
    <definedName name="Prior4">#REF!</definedName>
    <definedName name="Prior4_Period_Year">#REF!</definedName>
    <definedName name="Prior4AccountingPeriod">#REF!</definedName>
    <definedName name="Prior4Budget">#REF!</definedName>
    <definedName name="Prior4BudgetAdjustments">#REF!</definedName>
    <definedName name="Prior4Interim">#REF!</definedName>
    <definedName name="Prior4OpeningBudget">#REF!</definedName>
    <definedName name="Prior4Rounding">#REF!</definedName>
    <definedName name="Prior4Rounding2">#REF!</definedName>
    <definedName name="Prior4Rounding3">#REF!</definedName>
    <definedName name="Prior4TaxRate">#REF!</definedName>
    <definedName name="Prior4YearEndDate">#REF!</definedName>
    <definedName name="Prior4YearEndDate_Calc">#REF!</definedName>
    <definedName name="Prior4YearEndDate_Calc2">#REF!</definedName>
    <definedName name="Prior4YearStartDate">#REF!</definedName>
    <definedName name="Prior5">#REF!</definedName>
    <definedName name="Prior5Budget">#REF!</definedName>
    <definedName name="Prior5BudgetAdjustments">#REF!</definedName>
    <definedName name="Prior5Interim">#REF!</definedName>
    <definedName name="Prior5OpeningBudget">#REF!</definedName>
    <definedName name="Prior5Rounding">#REF!</definedName>
    <definedName name="Prior5Rounding2">#REF!</definedName>
    <definedName name="Prior5Rounding3">#REF!</definedName>
    <definedName name="PriorAdjustments">#REF!</definedName>
    <definedName name="PriorAdjustments2">#REF!</definedName>
    <definedName name="PriorAdjustments3">#REF!</definedName>
    <definedName name="PriorAdjustments4">#REF!</definedName>
    <definedName name="PriorAdjustments5">#REF!</definedName>
    <definedName name="PriorBudgetAdjustments">#REF!</definedName>
    <definedName name="PriorBudgetQuarter1">#REF!</definedName>
    <definedName name="PriorBudgetQuarter2">#REF!</definedName>
    <definedName name="PriorBudgetQuarter3">#REF!</definedName>
    <definedName name="PriorBudgetQuarter4">#REF!</definedName>
    <definedName name="PriorInterimAdjustments">#REF!</definedName>
    <definedName name="PriorInterimAdjustments2">#REF!</definedName>
    <definedName name="PriorInterimAdjustments3">#REF!</definedName>
    <definedName name="PriorInterimAdjustments4">#REF!</definedName>
    <definedName name="PriorInterimAdjustments5">#REF!</definedName>
    <definedName name="PriorMonth1">#REF!</definedName>
    <definedName name="PriorMonth10">#REF!</definedName>
    <definedName name="PriorMonth10Budget">#REF!</definedName>
    <definedName name="PriorMonth11">#REF!</definedName>
    <definedName name="PriorMonth11Budget">#REF!</definedName>
    <definedName name="PriorMonth12">#REF!</definedName>
    <definedName name="PriorMonth12Budget">#REF!</definedName>
    <definedName name="PriorMonth13">#REF!</definedName>
    <definedName name="PriorMonth13Budget">#REF!</definedName>
    <definedName name="PriorMonth1Budget">#REF!</definedName>
    <definedName name="PriorMonth2">#REF!</definedName>
    <definedName name="PriorMonth2Budget">#REF!</definedName>
    <definedName name="PriorMonth3">#REF!</definedName>
    <definedName name="PriorMonth3Budget">#REF!</definedName>
    <definedName name="PriorMonth4">#REF!</definedName>
    <definedName name="PriorMonth4Budget">#REF!</definedName>
    <definedName name="PriorMonth5">#REF!</definedName>
    <definedName name="PriorMonth5Budget">#REF!</definedName>
    <definedName name="PriorMonth6">#REF!</definedName>
    <definedName name="PriorMonth6Budget">#REF!</definedName>
    <definedName name="PriorMonth7">#REF!</definedName>
    <definedName name="PriorMonth7Budget">#REF!</definedName>
    <definedName name="PriorMonth8">#REF!</definedName>
    <definedName name="PriorMonth8Budget">#REF!</definedName>
    <definedName name="PriorMonth9">#REF!</definedName>
    <definedName name="PriorMonth9Budget">#REF!</definedName>
    <definedName name="PriorNetIncome">#REF!</definedName>
    <definedName name="PriorOpening">#REF!</definedName>
    <definedName name="PriorOpening2">#REF!</definedName>
    <definedName name="PriorOpening3">#REF!</definedName>
    <definedName name="PriorOpening4">#REF!</definedName>
    <definedName name="PriorOpening5">#REF!</definedName>
    <definedName name="PriorOpeningBudget">#REF!</definedName>
    <definedName name="PriorQuarter1">#REF!</definedName>
    <definedName name="PriorQuarter2">#REF!</definedName>
    <definedName name="PriorQuarter3">#REF!</definedName>
    <definedName name="PriorQuarter4">#REF!</definedName>
    <definedName name="PriorRounding">#REF!</definedName>
    <definedName name="PriorRounding2">#REF!</definedName>
    <definedName name="PriorRounding3">#REF!</definedName>
    <definedName name="PriorTaxYear">#REF!</definedName>
    <definedName name="PriorYearEndDate">#REF!</definedName>
    <definedName name="PriorYearStartDate">#REF!</definedName>
    <definedName name="Product">#REF!</definedName>
    <definedName name="ProfessionalBody">#REF!</definedName>
    <definedName name="PSLower">#REF!</definedName>
    <definedName name="PSUpper">#REF!</definedName>
    <definedName name="PublicInterestScore">#REF!</definedName>
    <definedName name="Quarter1">#REF!</definedName>
    <definedName name="Quarter2">#REF!</definedName>
    <definedName name="Quarter3">#REF!</definedName>
    <definedName name="Quarter4">#REF!</definedName>
    <definedName name="Reference">#REF!</definedName>
    <definedName name="Reference2">#REF!</definedName>
    <definedName name="ReferenceBoard">#REF!</definedName>
    <definedName name="ReferToPeriodSoCI">#REF!</definedName>
    <definedName name="RegisteredAddress">#REF!</definedName>
    <definedName name="RegisteredAddress1">#REF!</definedName>
    <definedName name="RegisteredAddress2">#REF!</definedName>
    <definedName name="RegisteredAddress3">#REF!</definedName>
    <definedName name="RegisteredAddress4">#REF!</definedName>
    <definedName name="RegisteredAddress5">#REF!</definedName>
    <definedName name="RegistrarAddress">#REF!</definedName>
    <definedName name="RegistrarAddress1">#REF!</definedName>
    <definedName name="RegistrarAddress2">#REF!</definedName>
    <definedName name="RegistrarAddress3">#REF!</definedName>
    <definedName name="RegistrarAddress4">#REF!</definedName>
    <definedName name="RegistrarAddress5">#REF!</definedName>
    <definedName name="RegistrationNumber">#REF!</definedName>
    <definedName name="Report_are_am">#REF!</definedName>
    <definedName name="Report_are_is">#REF!</definedName>
    <definedName name="Report_auditor_compound">#REF!</definedName>
    <definedName name="Report_auditor_s">#REF!</definedName>
    <definedName name="Report_compiler_compound">#REF!</definedName>
    <definedName name="Report_compiler_s">#REF!</definedName>
    <definedName name="Report_have_has">#REF!</definedName>
    <definedName name="Report_officer_compound">#REF!</definedName>
    <definedName name="Report_officer_s">#REF!</definedName>
    <definedName name="Report_reviewer_compound">#REF!</definedName>
    <definedName name="Report_reviewer_s">#REF!</definedName>
    <definedName name="Report_were_was">#REF!</definedName>
    <definedName name="ReportingAs1">#REF!</definedName>
    <definedName name="ReportingAs2">#REF!</definedName>
    <definedName name="ReportingAs3">#REF!</definedName>
    <definedName name="ReportingAs4">#REF!</definedName>
    <definedName name="ReportingAs5">#REF!</definedName>
    <definedName name="ReportingAs6">#REF!</definedName>
    <definedName name="ReportingPeriod">#REF!</definedName>
    <definedName name="RestatedFinal">#REF!</definedName>
    <definedName name="RestatedPrior1">#REF!</definedName>
    <definedName name="RestatedPrior2">#REF!</definedName>
    <definedName name="RestatedPrior3">#REF!</definedName>
    <definedName name="RestatedPrior4">#REF!</definedName>
    <definedName name="ReviewedBy">#REF!</definedName>
    <definedName name="RightAlignDirectors">#REF!</definedName>
    <definedName name="Risk_Accounts_Payable">#REF!</definedName>
    <definedName name="Risk_Accounts_Receivable">#REF!</definedName>
    <definedName name="Risk_Cash_and_Cash_Equivalent">#REF!</definedName>
    <definedName name="Risk_Cost_of_Sales">#REF!</definedName>
    <definedName name="Risk_Equity">#REF!</definedName>
    <definedName name="Risk_Intangible_Assets">#REF!</definedName>
    <definedName name="Risk_Inventory">#REF!</definedName>
    <definedName name="Risk_Investment_Property">#REF!</definedName>
    <definedName name="Risk_Investments">#REF!</definedName>
    <definedName name="Risk_Loans_and_Advances_Receivable">#REF!</definedName>
    <definedName name="Risk_Loans_and_Long_Term_Debt">#REF!</definedName>
    <definedName name="Risk_Other_Expenses">#REF!</definedName>
    <definedName name="Risk_Other_Income">#REF!</definedName>
    <definedName name="Risk_Overall_Financial_Statement_Risk">#REF!</definedName>
    <definedName name="Risk_Payroll">#REF!</definedName>
    <definedName name="Risk_Prepaid_Expenses">#REF!</definedName>
    <definedName name="Risk_Property__Plant_and_Equipment">#REF!</definedName>
    <definedName name="Risk_Provisions">#REF!</definedName>
    <definedName name="Risk_Revenues">#REF!</definedName>
    <definedName name="Risk_Taxation">#REF!</definedName>
    <definedName name="S.NetIncome">#REF!</definedName>
    <definedName name="S.Prior1NetIncome">#REF!</definedName>
    <definedName name="S.Prior2NetIncome">#REF!</definedName>
    <definedName name="SDL">#REF!</definedName>
    <definedName name="Secretaries">#REF!</definedName>
    <definedName name="SecretariesAddress">#REF!</definedName>
    <definedName name="SecretariesAddress1">#REF!</definedName>
    <definedName name="SecretariesAddress2">#REF!</definedName>
    <definedName name="SecretariesAddress3">#REF!</definedName>
    <definedName name="SecretariesAddress4">#REF!</definedName>
    <definedName name="SecretariesAddress5">#REF!</definedName>
    <definedName name="SeparateOCI">#REF!</definedName>
    <definedName name="Setting_AuditorAddress">#REF!</definedName>
    <definedName name="Setting_DateofSignature">#REF!</definedName>
    <definedName name="Setting_DateofSignature_Select">#REF!</definedName>
    <definedName name="Shareholder1">#REF!</definedName>
    <definedName name="Shareholder10">#REF!</definedName>
    <definedName name="Shareholder10Email">#REF!</definedName>
    <definedName name="Shareholder10Gender">#REF!</definedName>
    <definedName name="Shareholder11">#REF!</definedName>
    <definedName name="Shareholder11Email">#REF!</definedName>
    <definedName name="Shareholder11Gender">#REF!</definedName>
    <definedName name="Shareholder12">#REF!</definedName>
    <definedName name="Shareholder12Email">#REF!</definedName>
    <definedName name="Shareholder12Gender">#REF!</definedName>
    <definedName name="Shareholder13">#REF!</definedName>
    <definedName name="Shareholder13Email">#REF!</definedName>
    <definedName name="Shareholder13Gender">#REF!</definedName>
    <definedName name="Shareholder14">#REF!</definedName>
    <definedName name="Shareholder14Email">#REF!</definedName>
    <definedName name="Shareholder14Gender">#REF!</definedName>
    <definedName name="Shareholder15">#REF!</definedName>
    <definedName name="Shareholder15Email">#REF!</definedName>
    <definedName name="Shareholder15Gender">#REF!</definedName>
    <definedName name="Shareholder16">#REF!</definedName>
    <definedName name="Shareholder16Email">#REF!</definedName>
    <definedName name="Shareholder16Gender">#REF!</definedName>
    <definedName name="Shareholder17">#REF!</definedName>
    <definedName name="Shareholder17Email">#REF!</definedName>
    <definedName name="Shareholder17Gender">#REF!</definedName>
    <definedName name="Shareholder18">#REF!</definedName>
    <definedName name="Shareholder18Email">#REF!</definedName>
    <definedName name="Shareholder18Gender">#REF!</definedName>
    <definedName name="Shareholder19">#REF!</definedName>
    <definedName name="Shareholder19Email">#REF!</definedName>
    <definedName name="Shareholder19Gender">#REF!</definedName>
    <definedName name="Shareholder1Email">#REF!</definedName>
    <definedName name="Shareholder1Gender">#REF!</definedName>
    <definedName name="Shareholder2">#REF!</definedName>
    <definedName name="Shareholder20">#REF!</definedName>
    <definedName name="Shareholder20Email">#REF!</definedName>
    <definedName name="Shareholder20Gender">#REF!</definedName>
    <definedName name="Shareholder2Email">#REF!</definedName>
    <definedName name="Shareholder2Gender">#REF!</definedName>
    <definedName name="Shareholder3">#REF!</definedName>
    <definedName name="Shareholder3Email">#REF!</definedName>
    <definedName name="Shareholder3Gender">#REF!</definedName>
    <definedName name="Shareholder4">#REF!</definedName>
    <definedName name="Shareholder4Email">#REF!</definedName>
    <definedName name="Shareholder4Gender">#REF!</definedName>
    <definedName name="Shareholder5">#REF!</definedName>
    <definedName name="Shareholder5Email">#REF!</definedName>
    <definedName name="Shareholder5Gender">#REF!</definedName>
    <definedName name="Shareholder6">#REF!</definedName>
    <definedName name="Shareholder6Email">#REF!</definedName>
    <definedName name="Shareholder6Gender">#REF!</definedName>
    <definedName name="Shareholder7">#REF!</definedName>
    <definedName name="Shareholder7Email">#REF!</definedName>
    <definedName name="Shareholder7Gender">#REF!</definedName>
    <definedName name="Shareholder8">#REF!</definedName>
    <definedName name="Shareholder8Email">#REF!</definedName>
    <definedName name="Shareholder8Gender">#REF!</definedName>
    <definedName name="Shareholder9">#REF!</definedName>
    <definedName name="Shareholder9Email">#REF!</definedName>
    <definedName name="Shareholder9Gender">#REF!</definedName>
    <definedName name="ShareholderNationality1">#REF!</definedName>
    <definedName name="ShareholderNationality10">#REF!</definedName>
    <definedName name="ShareholderNationality11">#REF!</definedName>
    <definedName name="ShareholderNationality12">#REF!</definedName>
    <definedName name="ShareholderNationality13">#REF!</definedName>
    <definedName name="ShareholderNationality14">#REF!</definedName>
    <definedName name="ShareholderNationality15">#REF!</definedName>
    <definedName name="ShareholderNationality16">#REF!</definedName>
    <definedName name="ShareholderNationality17">#REF!</definedName>
    <definedName name="ShareholderNationality18">#REF!</definedName>
    <definedName name="ShareholderNationality19">#REF!</definedName>
    <definedName name="ShareholderNationality2">#REF!</definedName>
    <definedName name="ShareholderNationality20">#REF!</definedName>
    <definedName name="ShareholderNationality3">#REF!</definedName>
    <definedName name="ShareholderNationality4">#REF!</definedName>
    <definedName name="ShareholderNationality5">#REF!</definedName>
    <definedName name="ShareholderNationality6">#REF!</definedName>
    <definedName name="ShareholderNationality7">#REF!</definedName>
    <definedName name="ShareholderNationality8">#REF!</definedName>
    <definedName name="ShareholderNationality9">#REF!</definedName>
    <definedName name="Signature_Auditor">#REF!</definedName>
    <definedName name="SmartDoc_Materiality">#REF!</definedName>
    <definedName name="SO_END_DATE">#REF!</definedName>
    <definedName name="StakeHolders">#REF!</definedName>
    <definedName name="StatsName">#REF!</definedName>
    <definedName name="SubandGroup">#REF!</definedName>
    <definedName name="SubExemption">#REF!</definedName>
    <definedName name="T_EO">#REF!</definedName>
    <definedName name="T_GM">'[2]GOSI Movements'!$B:$Q</definedName>
    <definedName name="T_GR">[2]Total!$B:$Q</definedName>
    <definedName name="T_Net_Pay">[2]Net!$B:$Q</definedName>
    <definedName name="TableHeaderAlignment">#REF!</definedName>
    <definedName name="TaxNumber">#REF!</definedName>
    <definedName name="TaxYear">#REF!</definedName>
    <definedName name="TBLink">#REF!</definedName>
    <definedName name="ThirdPartyLiability">#REF!</definedName>
    <definedName name="ThouGrp">#REF!</definedName>
    <definedName name="ThousandRounding">#REF!</definedName>
    <definedName name="TickMark2Seq">#REF!</definedName>
    <definedName name="TickMarkSeq">#REF!</definedName>
    <definedName name="TotalLiabilities">#REF!</definedName>
    <definedName name="TradingAs">#REF!</definedName>
    <definedName name="TransferDetail">#REF!</definedName>
    <definedName name="TrustType">#REF!</definedName>
    <definedName name="TurnOver">#REF!</definedName>
    <definedName name="Type">#REF!</definedName>
    <definedName name="UIF">#REF!</definedName>
    <definedName name="UltimateParentEnterprise">#REF!</definedName>
    <definedName name="VADJUSTMENTS">#REF!</definedName>
    <definedName name="valuevx">42.314159</definedName>
    <definedName name="VATNumber">#REF!</definedName>
    <definedName name="VBudgetAdjustments">#REF!</definedName>
    <definedName name="VBudgetOpening">#REF!</definedName>
    <definedName name="VDetails">#REF!</definedName>
    <definedName name="vertex42_copyright" hidden="1">"© 2009-2017 Vertex42 LLC"</definedName>
    <definedName name="vertex42_id" hidden="1">"depreciation-schedule.xlsx"</definedName>
    <definedName name="vertex42_title" hidden="1">"Depreciation Schedule Template"</definedName>
    <definedName name="VFinal">#REF!</definedName>
    <definedName name="VFinalBudget">#REF!</definedName>
    <definedName name="VFinalInterim">#REF!</definedName>
    <definedName name="VInterimAdjustments">#REF!</definedName>
    <definedName name="VLink">#REF!</definedName>
    <definedName name="VMonth1">#REF!</definedName>
    <definedName name="VMonth10">#REF!</definedName>
    <definedName name="VMonth10Budget">#REF!</definedName>
    <definedName name="VMonth11">#REF!</definedName>
    <definedName name="VMonth11Budget">#REF!</definedName>
    <definedName name="VMonth12">#REF!</definedName>
    <definedName name="VMonth12Budget">#REF!</definedName>
    <definedName name="VMonth13">#REF!</definedName>
    <definedName name="VMonth13Budget">#REF!</definedName>
    <definedName name="VMonth1Budget">#REF!</definedName>
    <definedName name="VMonth2">#REF!</definedName>
    <definedName name="VMonth2Budget">#REF!</definedName>
    <definedName name="VMonth3">#REF!</definedName>
    <definedName name="VMonth3Budget">#REF!</definedName>
    <definedName name="VMonth4">#REF!</definedName>
    <definedName name="VMonth4Budget">#REF!</definedName>
    <definedName name="VMonth5">#REF!</definedName>
    <definedName name="VMonth5Budget">#REF!</definedName>
    <definedName name="VMonth6">#REF!</definedName>
    <definedName name="VMonth6Budget">#REF!</definedName>
    <definedName name="VMonth7">#REF!</definedName>
    <definedName name="VMonth7Budget">#REF!</definedName>
    <definedName name="VMonth8">#REF!</definedName>
    <definedName name="VMonth8Budget">#REF!</definedName>
    <definedName name="VMonth9">#REF!</definedName>
    <definedName name="VMonth9Budget">#REF!</definedName>
    <definedName name="VoluntaryAudit">#REF!</definedName>
    <definedName name="VOpening">#REF!</definedName>
    <definedName name="VPrior1">#REF!</definedName>
    <definedName name="VPrior1Adjustments">#REF!</definedName>
    <definedName name="VPrior1Budget">#REF!</definedName>
    <definedName name="VPrior1BudgetAdjustments">#REF!</definedName>
    <definedName name="VPrior1BudgetOpening">#REF!</definedName>
    <definedName name="VPrior1Interim">#REF!</definedName>
    <definedName name="VPrior1InterimAdjustments">#REF!</definedName>
    <definedName name="VPrior1Month1">#REF!</definedName>
    <definedName name="VPrior1Month10">#REF!</definedName>
    <definedName name="VPrior1Month10Budget">#REF!</definedName>
    <definedName name="VPrior1Month11">#REF!</definedName>
    <definedName name="VPrior1Month11Budget">#REF!</definedName>
    <definedName name="VPrior1Month12">#REF!</definedName>
    <definedName name="VPrior1Month12Budget">#REF!</definedName>
    <definedName name="VPrior1Month13">#REF!</definedName>
    <definedName name="VPrior1Month13Budget">#REF!</definedName>
    <definedName name="VPrior1Month1Budget">#REF!</definedName>
    <definedName name="VPrior1Month2">#REF!</definedName>
    <definedName name="VPrior1Month2Budget">#REF!</definedName>
    <definedName name="VPrior1Month3">#REF!</definedName>
    <definedName name="VPrior1Month3Budget">#REF!</definedName>
    <definedName name="VPrior1Month4">#REF!</definedName>
    <definedName name="VPrior1Month4Budget">#REF!</definedName>
    <definedName name="VPrior1Month5">#REF!</definedName>
    <definedName name="VPrior1Month5Budget">#REF!</definedName>
    <definedName name="VPrior1Month6">#REF!</definedName>
    <definedName name="VPrior1Month6Budget">#REF!</definedName>
    <definedName name="VPrior1Month7">#REF!</definedName>
    <definedName name="VPrior1Month7Budget">#REF!</definedName>
    <definedName name="VPrior1Month8">#REF!</definedName>
    <definedName name="VPrior1Month8Budget">#REF!</definedName>
    <definedName name="VPrior1Month9">#REF!</definedName>
    <definedName name="VPrior1Month9Budget">#REF!</definedName>
    <definedName name="VPrior1Quarter1">#REF!</definedName>
    <definedName name="VPrior1Quarter2">#REF!</definedName>
    <definedName name="VPrior1Quarter3">#REF!</definedName>
    <definedName name="VPrior1quarter4">#REF!</definedName>
    <definedName name="VPrior2">#REF!</definedName>
    <definedName name="Vprior2adjustments">#REF!</definedName>
    <definedName name="VPrior2Budget">#REF!</definedName>
    <definedName name="VPrior2BudgetAdjustments">#REF!</definedName>
    <definedName name="VPrior2BudgetOpening">#REF!</definedName>
    <definedName name="VPrior2Interim">#REF!</definedName>
    <definedName name="VPrior2InterimAdjustments">#REF!</definedName>
    <definedName name="VPrior2Month1">#REF!</definedName>
    <definedName name="VPrior2Month10">#REF!</definedName>
    <definedName name="VPrior2Month10Budget">#REF!</definedName>
    <definedName name="VPrior2Month11">#REF!</definedName>
    <definedName name="VPrior2Month11Budget">#REF!</definedName>
    <definedName name="VPrior2Month12">#REF!</definedName>
    <definedName name="VPrior2Month12Budget">#REF!</definedName>
    <definedName name="VPrior2Month13">#REF!</definedName>
    <definedName name="VPrior2Month13Budget">#REF!</definedName>
    <definedName name="VPrior2Month1Budget">#REF!</definedName>
    <definedName name="VPrior2Month2">#REF!</definedName>
    <definedName name="VPrior2Month2Budget">#REF!</definedName>
    <definedName name="VPrior2Month3">#REF!</definedName>
    <definedName name="VPrior2Month3Budget">#REF!</definedName>
    <definedName name="VPrior2Month4">#REF!</definedName>
    <definedName name="VPrior2Month4Budget">#REF!</definedName>
    <definedName name="VPrior2Month5">#REF!</definedName>
    <definedName name="VPrior2Month5Budget">#REF!</definedName>
    <definedName name="VPrior2Month6">#REF!</definedName>
    <definedName name="VPrior2Month6Budget">#REF!</definedName>
    <definedName name="VPrior2Month7">#REF!</definedName>
    <definedName name="VPrior2Month7Budget">#REF!</definedName>
    <definedName name="VPrior2Month8">#REF!</definedName>
    <definedName name="VPrior2Month8Budget">#REF!</definedName>
    <definedName name="VPrior2Month9">#REF!</definedName>
    <definedName name="VPrior2Month9Budget">#REF!</definedName>
    <definedName name="VPrior3">#REF!</definedName>
    <definedName name="Vprior3adjustments">#REF!</definedName>
    <definedName name="VPrior3Budget">#REF!</definedName>
    <definedName name="VPrior3BudgetAdjustments">#REF!</definedName>
    <definedName name="VPrior3BudgetOpening">#REF!</definedName>
    <definedName name="VPrior3Interim">#REF!</definedName>
    <definedName name="VPrior3InterimAdjustments">#REF!</definedName>
    <definedName name="VPrior3Month1">#REF!</definedName>
    <definedName name="VPrior3Month10">#REF!</definedName>
    <definedName name="VPrior3Month10Budget">#REF!</definedName>
    <definedName name="VPrior3Month11">#REF!</definedName>
    <definedName name="VPrior3Month11Budget">#REF!</definedName>
    <definedName name="VPrior3Month12">#REF!</definedName>
    <definedName name="VPrior3Month12Budget">#REF!</definedName>
    <definedName name="VPrior3Month13">#REF!</definedName>
    <definedName name="VPrior3Month13Budget">#REF!</definedName>
    <definedName name="VPrior3Month1Budget">#REF!</definedName>
    <definedName name="VPrior3Month2">#REF!</definedName>
    <definedName name="VPrior3Month2Budget">#REF!</definedName>
    <definedName name="VPrior3Month3">#REF!</definedName>
    <definedName name="VPrior3Month3Budget">#REF!</definedName>
    <definedName name="VPrior3Month4">#REF!</definedName>
    <definedName name="VPrior3Month4Budget">#REF!</definedName>
    <definedName name="VPrior3Month5">#REF!</definedName>
    <definedName name="VPrior3Month5Budget">#REF!</definedName>
    <definedName name="VPrior3Month6">#REF!</definedName>
    <definedName name="VPrior3Month6Budget">#REF!</definedName>
    <definedName name="VPrior3Month7">#REF!</definedName>
    <definedName name="VPrior3Month7Budget">#REF!</definedName>
    <definedName name="VPrior3Month8">#REF!</definedName>
    <definedName name="VPrior3Month8Budget">#REF!</definedName>
    <definedName name="VPrior3Month9">#REF!</definedName>
    <definedName name="VPrior3Month9Budget">#REF!</definedName>
    <definedName name="VPrior4">#REF!</definedName>
    <definedName name="Vprior4adjustments">#REF!</definedName>
    <definedName name="VPrior4Budget">#REF!</definedName>
    <definedName name="VPrior4BudgetAdjustments">#REF!</definedName>
    <definedName name="VPrior4BudgetOpening">#REF!</definedName>
    <definedName name="VPrior4Interim">#REF!</definedName>
    <definedName name="VPrior4InterimAdjustments">#REF!</definedName>
    <definedName name="VPrior5">#REF!</definedName>
    <definedName name="Vprior5adjustments">#REF!</definedName>
    <definedName name="VPrior5Budget">#REF!</definedName>
    <definedName name="VPrior5BudgetAdjustments">#REF!</definedName>
    <definedName name="VPrior5BudgetOpening">#REF!</definedName>
    <definedName name="VPrior5Interim">#REF!</definedName>
    <definedName name="VPrior5InterimAdjustments">#REF!</definedName>
    <definedName name="VPriorOpening">#REF!</definedName>
    <definedName name="VPriorOpening2">#REF!</definedName>
    <definedName name="VPriorOpening3">#REF!</definedName>
    <definedName name="VPriorOpening4">#REF!</definedName>
    <definedName name="VPriorOpening5">#REF!</definedName>
    <definedName name="VQUARTER1">#REF!</definedName>
    <definedName name="VQUARTER2">#REF!</definedName>
    <definedName name="VQUARTER3">#REF!</definedName>
    <definedName name="VQUARTER4">#REF!</definedName>
    <definedName name="VType">#REF!</definedName>
    <definedName name="WTBName">#REF!</definedName>
    <definedName name="WTBSeq">#REF!</definedName>
    <definedName name="XBRLDetail">#REF!</definedName>
    <definedName name="Year_Monthperiod">#REF!</definedName>
    <definedName name="YearEndDate">#REF!</definedName>
    <definedName name="YearEndDate_Calc">#REF!</definedName>
    <definedName name="YearEndDate_Calc2">#REF!</definedName>
    <definedName name="YearEndDate_Calc3">#REF!</definedName>
    <definedName name="YearStartDate">#REF!</definedName>
    <definedName name="YearsToReportOn">#REF!</definedName>
    <definedName name="Zer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5" l="1"/>
  <c r="B2" i="2"/>
  <c r="F29" i="4"/>
  <c r="F28" i="4"/>
  <c r="F27" i="4"/>
  <c r="F26" i="4"/>
  <c r="F25" i="4"/>
  <c r="F24" i="4"/>
  <c r="F23" i="4"/>
  <c r="D22" i="4"/>
  <c r="D30" i="4" s="1"/>
  <c r="B22" i="4"/>
  <c r="B30" i="4" s="1"/>
  <c r="F16" i="4"/>
  <c r="F15" i="4"/>
  <c r="F14" i="4"/>
  <c r="F13" i="4"/>
  <c r="F12" i="4"/>
  <c r="F11" i="4"/>
  <c r="F10" i="4"/>
  <c r="E9" i="4"/>
  <c r="E17" i="4" s="1"/>
  <c r="E22" i="4" s="1"/>
  <c r="E30" i="4" s="1"/>
  <c r="D9" i="4"/>
  <c r="D17" i="4" s="1"/>
  <c r="C9" i="4"/>
  <c r="C17" i="4" s="1"/>
  <c r="C22" i="4" s="1"/>
  <c r="C30" i="4" s="1"/>
  <c r="B9" i="4"/>
  <c r="F8" i="4"/>
  <c r="F7" i="4"/>
  <c r="A3" i="4"/>
  <c r="E8" i="3"/>
  <c r="D8" i="3"/>
  <c r="B2" i="3"/>
  <c r="E43" i="2"/>
  <c r="D43" i="2"/>
  <c r="E37" i="2"/>
  <c r="D37" i="2"/>
  <c r="E32" i="2"/>
  <c r="E45" i="2" s="1"/>
  <c r="D32" i="2"/>
  <c r="E22" i="2"/>
  <c r="D22" i="2"/>
  <c r="E14" i="2"/>
  <c r="E24" i="2" s="1"/>
  <c r="E47" i="2" s="1"/>
  <c r="D14" i="2"/>
  <c r="D24" i="2" s="1"/>
  <c r="C66" i="1"/>
  <c r="B66" i="1"/>
  <c r="A2" i="1"/>
  <c r="B17" i="4" l="1"/>
  <c r="F9" i="4"/>
  <c r="F17" i="4" s="1"/>
  <c r="F20" i="4" s="1"/>
  <c r="F22" i="4" s="1"/>
  <c r="F30" i="4" s="1"/>
  <c r="D45" i="2"/>
  <c r="D47" i="2" s="1"/>
  <c r="E12" i="3"/>
  <c r="E16" i="3" s="1"/>
  <c r="E18" i="3" s="1"/>
  <c r="D12" i="3"/>
  <c r="D16" i="3" s="1"/>
  <c r="D18" i="3" s="1"/>
</calcChain>
</file>

<file path=xl/sharedStrings.xml><?xml version="1.0" encoding="utf-8"?>
<sst xmlns="http://schemas.openxmlformats.org/spreadsheetml/2006/main" count="99" uniqueCount="85">
  <si>
    <t>Snow Mass Global Trading Company</t>
  </si>
  <si>
    <t xml:space="preserve">VAT Reg </t>
  </si>
  <si>
    <t>for the period from 01 Jan 2025 to 31 Dec 2025</t>
  </si>
  <si>
    <t>Account Name in English</t>
  </si>
  <si>
    <t>Total</t>
  </si>
  <si>
    <t>Assets</t>
  </si>
  <si>
    <t>Current Assets</t>
  </si>
  <si>
    <t>Cash and cash equivalents</t>
  </si>
  <si>
    <t>Trade accounts receivable</t>
  </si>
  <si>
    <t>Term deposits</t>
  </si>
  <si>
    <t>Trading investments</t>
  </si>
  <si>
    <t>Inventories</t>
  </si>
  <si>
    <t>Receivable from related parties</t>
  </si>
  <si>
    <t>Prepaid expenses and other receivable</t>
  </si>
  <si>
    <t>Non-Current Assets</t>
  </si>
  <si>
    <t>Tangible Asset</t>
  </si>
  <si>
    <t>Intangible assets</t>
  </si>
  <si>
    <t>Biological assets</t>
  </si>
  <si>
    <t>Long term investments</t>
  </si>
  <si>
    <t>Other long term receivable</t>
  </si>
  <si>
    <t>Assets held for sale</t>
  </si>
  <si>
    <t>Total Assets</t>
  </si>
  <si>
    <t>Liabilities and Equity</t>
  </si>
  <si>
    <t>Current Liabilities</t>
  </si>
  <si>
    <t>Accounts payable</t>
  </si>
  <si>
    <t>Accrued expenses and other liabilities</t>
  </si>
  <si>
    <t>Payable to related parties</t>
  </si>
  <si>
    <t>Dividend payable</t>
  </si>
  <si>
    <t>Non-Current Liabilities</t>
  </si>
  <si>
    <t xml:space="preserve">Loans </t>
  </si>
  <si>
    <t>Provision for end of service benefits</t>
  </si>
  <si>
    <t>Equity</t>
  </si>
  <si>
    <t>Paid-in capital</t>
  </si>
  <si>
    <t>Statutory reserve</t>
  </si>
  <si>
    <t>Additional Paid-in capital/other reserves</t>
  </si>
  <si>
    <t>Retained earnings</t>
  </si>
  <si>
    <t>Total Liabilities and Equity</t>
  </si>
  <si>
    <t/>
  </si>
  <si>
    <t>Sales/revenue</t>
  </si>
  <si>
    <t>Cost of sales</t>
  </si>
  <si>
    <t>Gross profit</t>
  </si>
  <si>
    <t>General and administrative expenses</t>
  </si>
  <si>
    <t>Selling and marketing expenses</t>
  </si>
  <si>
    <t>Operating profit</t>
  </si>
  <si>
    <t>Other income/expenses, gains/losses</t>
  </si>
  <si>
    <t>Finance charges</t>
  </si>
  <si>
    <t>Zakat and tax expense</t>
  </si>
  <si>
    <t>Net profit</t>
  </si>
  <si>
    <t>Statement of Equity</t>
  </si>
  <si>
    <t>Share Capital</t>
  </si>
  <si>
    <t>Statutory Reserve</t>
  </si>
  <si>
    <t>Additional paid in capital</t>
  </si>
  <si>
    <t>Retained Earnings</t>
  </si>
  <si>
    <t>Balance at 31-01-2024</t>
  </si>
  <si>
    <t>Change in accounting policy/Correction of an error</t>
  </si>
  <si>
    <t>Restated balance</t>
  </si>
  <si>
    <t>Net income for the year</t>
  </si>
  <si>
    <t>Statutory Reserve Balance</t>
  </si>
  <si>
    <t>Dividends</t>
  </si>
  <si>
    <t>Additional investment from shareholders</t>
  </si>
  <si>
    <t>Provision for zakat and income tax</t>
  </si>
  <si>
    <t>Change in non-controlling interest</t>
  </si>
  <si>
    <t>Increase/Decrease in share capital</t>
  </si>
  <si>
    <t>Balance at 31 December 2024</t>
  </si>
  <si>
    <t>Balance at 1 Jan 2025</t>
  </si>
  <si>
    <t>Balance at 31 December 2025</t>
  </si>
  <si>
    <t>Company Name</t>
  </si>
  <si>
    <t xml:space="preserve">Sl. No. </t>
  </si>
  <si>
    <t>CR Number</t>
  </si>
  <si>
    <t xml:space="preserve">Name </t>
  </si>
  <si>
    <t>Activity</t>
  </si>
  <si>
    <t xml:space="preserve">Status </t>
  </si>
  <si>
    <t>Type</t>
  </si>
  <si>
    <t>Capital Amount</t>
  </si>
  <si>
    <t>Total Capital</t>
  </si>
  <si>
    <t>COS</t>
  </si>
  <si>
    <t>Particulars</t>
  </si>
  <si>
    <t>Amount</t>
  </si>
  <si>
    <t>Opening Stock</t>
  </si>
  <si>
    <t xml:space="preserve">Purchases: </t>
  </si>
  <si>
    <t>Local Purchase</t>
  </si>
  <si>
    <t>Import Purchase</t>
  </si>
  <si>
    <t>Direct expenses</t>
  </si>
  <si>
    <t>Closing stock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</si>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</sst>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_);_(* \(#,##0\);_(* &quot; - &quot;_);_(@_)"/>
    <numFmt numFmtId="167" formatCode="[$-F800]dddd\,\ mmmm\ dd\,\ yyyy"/>
    <numFmt numFmtId="168" formatCode="_(* #,##0.00_);_(* \(#,##0.00\);_(* &quot; - &quot;_);_(@_)"/>
    <numFmt numFmtId="169" formatCode="_(* #\ ##0_);_(* \(#\ ##0\);_(* &quot; - &quot;_);_(@_)"/>
    <numFmt numFmtId="170" formatCode="&quot;‏&quot;#,##0_);[Red]\(&quot;&quot;###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sz val="11"/>
      <color theme="0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sz val="8.25"/>
      <name val="Microsoft Sans Serif"/>
      <family val="2"/>
    </font>
    <font>
      <b/>
      <sz val="11"/>
      <color indexed="8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250007629627369"/>
      </top>
      <bottom/>
      <diagonal/>
    </border>
    <border>
      <left/>
      <right/>
      <top style="thin">
        <color theme="1" tint="0.250007629627369"/>
      </top>
      <bottom style="medium">
        <color theme="1" tint="0.250007629627369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</cellStyleXfs>
  <cellXfs count="137">
    <xf numFmtId="0" fontId="0" fillId="0" borderId="0" xfId="0"/>
    <xf numFmtId="0" fontId="3" fillId="0" borderId="0" xfId="0" applyFont="1"/>
    <xf numFmtId="164" fontId="3" fillId="0" borderId="0" xfId="1" applyFont="1"/>
    <xf numFmtId="0" fontId="4" fillId="0" borderId="0" xfId="0" quotePrefix="1" applyFont="1" applyAlignment="1">
      <alignment horizontal="right"/>
    </xf>
    <xf numFmtId="0" fontId="4" fillId="0" borderId="4" xfId="0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5" fontId="4" fillId="0" borderId="0" xfId="0" quotePrefix="1" applyNumberFormat="1" applyFont="1" applyAlignment="1">
      <alignment horizontal="right"/>
    </xf>
    <xf numFmtId="165" fontId="3" fillId="0" borderId="6" xfId="1" applyNumberFormat="1" applyFont="1" applyFill="1" applyBorder="1"/>
    <xf numFmtId="165" fontId="5" fillId="0" borderId="6" xfId="1" applyNumberFormat="1" applyFont="1" applyFill="1" applyBorder="1"/>
    <xf numFmtId="0" fontId="6" fillId="0" borderId="0" xfId="0" applyFont="1"/>
    <xf numFmtId="165" fontId="5" fillId="0" borderId="6" xfId="1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center"/>
    </xf>
    <xf numFmtId="165" fontId="2" fillId="2" borderId="6" xfId="1" applyNumberFormat="1" applyFont="1" applyFill="1" applyBorder="1" applyAlignment="1">
      <alignment horizontal="center"/>
    </xf>
    <xf numFmtId="0" fontId="7" fillId="0" borderId="0" xfId="0" applyFont="1"/>
    <xf numFmtId="4" fontId="8" fillId="0" borderId="0" xfId="0" applyNumberFormat="1" applyFont="1" applyAlignment="1">
      <alignment horizontal="right" vertical="top" shrinkToFit="1"/>
    </xf>
    <xf numFmtId="164" fontId="6" fillId="0" borderId="0" xfId="1" applyFont="1"/>
    <xf numFmtId="0" fontId="3" fillId="0" borderId="6" xfId="0" applyFont="1" applyBorder="1"/>
    <xf numFmtId="0" fontId="3" fillId="0" borderId="0" xfId="0" applyFont="1" applyAlignment="1">
      <alignment wrapText="1"/>
    </xf>
    <xf numFmtId="0" fontId="5" fillId="0" borderId="6" xfId="0" applyFont="1" applyBorder="1"/>
    <xf numFmtId="0" fontId="6" fillId="0" borderId="6" xfId="0" applyFont="1" applyBorder="1"/>
    <xf numFmtId="165" fontId="6" fillId="0" borderId="6" xfId="1" applyNumberFormat="1" applyFont="1" applyFill="1" applyBorder="1"/>
    <xf numFmtId="0" fontId="6" fillId="0" borderId="0" xfId="0" applyFont="1" applyAlignment="1">
      <alignment wrapText="1"/>
    </xf>
    <xf numFmtId="164" fontId="3" fillId="0" borderId="0" xfId="1" applyFont="1" applyFill="1"/>
    <xf numFmtId="0" fontId="5" fillId="0" borderId="0" xfId="0" applyFont="1"/>
    <xf numFmtId="0" fontId="5" fillId="0" borderId="7" xfId="0" applyFont="1" applyBorder="1"/>
    <xf numFmtId="165" fontId="5" fillId="0" borderId="7" xfId="1" applyNumberFormat="1" applyFont="1" applyFill="1" applyBorder="1"/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2" fontId="9" fillId="3" borderId="0" xfId="3" applyNumberFormat="1" applyFont="1" applyFill="1" applyProtection="1">
      <protection locked="0"/>
    </xf>
    <xf numFmtId="0" fontId="2" fillId="2" borderId="0" xfId="4" applyFont="1" applyFill="1" applyAlignment="1">
      <alignment vertical="center"/>
    </xf>
    <xf numFmtId="166" fontId="10" fillId="2" borderId="0" xfId="4" applyNumberFormat="1" applyFont="1" applyFill="1" applyAlignment="1">
      <alignment horizontal="center" vertical="center" wrapText="1"/>
    </xf>
    <xf numFmtId="0" fontId="11" fillId="3" borderId="0" xfId="3" applyFont="1" applyFill="1" applyProtection="1">
      <protection locked="0"/>
    </xf>
    <xf numFmtId="0" fontId="12" fillId="0" borderId="8" xfId="3" applyFont="1" applyBorder="1" applyAlignment="1" applyProtection="1">
      <alignment horizontal="left" vertical="center"/>
      <protection locked="0"/>
    </xf>
    <xf numFmtId="0" fontId="4" fillId="0" borderId="8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4" fillId="0" borderId="0" xfId="0" applyFont="1"/>
    <xf numFmtId="0" fontId="9" fillId="4" borderId="0" xfId="3" applyFont="1" applyFill="1" applyProtection="1">
      <protection locked="0"/>
    </xf>
    <xf numFmtId="0" fontId="12" fillId="4" borderId="0" xfId="3" applyFont="1" applyFill="1" applyAlignment="1" applyProtection="1">
      <alignment vertical="center" wrapText="1"/>
      <protection locked="0"/>
    </xf>
    <xf numFmtId="166" fontId="8" fillId="4" borderId="0" xfId="3" applyNumberFormat="1" applyFont="1" applyFill="1" applyAlignment="1" applyProtection="1">
      <alignment vertical="center"/>
      <protection locked="0"/>
    </xf>
    <xf numFmtId="166" fontId="8" fillId="4" borderId="9" xfId="3" applyNumberFormat="1" applyFont="1" applyFill="1" applyBorder="1" applyAlignment="1">
      <alignment horizontal="right" vertical="center"/>
    </xf>
    <xf numFmtId="0" fontId="3" fillId="4" borderId="0" xfId="0" applyFont="1" applyFill="1"/>
    <xf numFmtId="2" fontId="9" fillId="4" borderId="0" xfId="3" applyNumberFormat="1" applyFont="1" applyFill="1" applyProtection="1">
      <protection locked="0"/>
    </xf>
    <xf numFmtId="166" fontId="8" fillId="4" borderId="0" xfId="3" applyNumberFormat="1" applyFont="1" applyFill="1" applyAlignment="1" applyProtection="1">
      <alignment horizontal="right" vertical="center"/>
      <protection locked="0"/>
    </xf>
    <xf numFmtId="166" fontId="8" fillId="4" borderId="0" xfId="3" applyNumberFormat="1" applyFont="1" applyFill="1" applyAlignment="1">
      <alignment horizontal="right" vertical="center"/>
    </xf>
    <xf numFmtId="166" fontId="8" fillId="0" borderId="0" xfId="3" applyNumberFormat="1" applyFont="1" applyAlignment="1">
      <alignment horizontal="right" vertical="center"/>
    </xf>
    <xf numFmtId="0" fontId="8" fillId="4" borderId="0" xfId="3" applyFont="1" applyFill="1" applyAlignment="1" applyProtection="1">
      <alignment vertical="center"/>
      <protection locked="0"/>
    </xf>
    <xf numFmtId="166" fontId="3" fillId="4" borderId="0" xfId="0" applyNumberFormat="1" applyFont="1" applyFill="1"/>
    <xf numFmtId="166" fontId="12" fillId="4" borderId="9" xfId="3" applyNumberFormat="1" applyFont="1" applyFill="1" applyBorder="1" applyAlignment="1">
      <alignment horizontal="right" vertical="center"/>
    </xf>
    <xf numFmtId="166" fontId="12" fillId="0" borderId="9" xfId="3" applyNumberFormat="1" applyFont="1" applyBorder="1" applyAlignment="1">
      <alignment horizontal="right" vertical="center"/>
    </xf>
    <xf numFmtId="0" fontId="14" fillId="4" borderId="0" xfId="5" applyFont="1" applyFill="1">
      <protection locked="0"/>
    </xf>
    <xf numFmtId="0" fontId="12" fillId="4" borderId="0" xfId="3" applyFont="1" applyFill="1" applyAlignment="1" applyProtection="1">
      <alignment vertical="center"/>
      <protection locked="0"/>
    </xf>
    <xf numFmtId="166" fontId="12" fillId="4" borderId="2" xfId="3" applyNumberFormat="1" applyFont="1" applyFill="1" applyBorder="1" applyAlignment="1">
      <alignment horizontal="right" vertical="center"/>
    </xf>
    <xf numFmtId="166" fontId="12" fillId="0" borderId="2" xfId="3" applyNumberFormat="1" applyFont="1" applyBorder="1" applyAlignment="1">
      <alignment horizontal="right" vertical="center"/>
    </xf>
    <xf numFmtId="166" fontId="12" fillId="4" borderId="0" xfId="3" applyNumberFormat="1" applyFont="1" applyFill="1" applyAlignment="1">
      <alignment horizontal="right" vertical="center"/>
    </xf>
    <xf numFmtId="166" fontId="12" fillId="0" borderId="0" xfId="3" applyNumberFormat="1" applyFont="1" applyAlignment="1">
      <alignment horizontal="right" vertical="center"/>
    </xf>
    <xf numFmtId="0" fontId="5" fillId="4" borderId="0" xfId="6" applyFont="1" applyFill="1" applyAlignment="1">
      <alignment vertical="center" wrapText="1"/>
      <protection locked="0"/>
    </xf>
    <xf numFmtId="166" fontId="3" fillId="0" borderId="0" xfId="0" applyNumberFormat="1" applyFont="1"/>
    <xf numFmtId="166" fontId="8" fillId="4" borderId="0" xfId="5" applyNumberFormat="1" applyFont="1" applyFill="1" applyAlignment="1" applyProtection="1">
      <alignment horizontal="right" vertical="center"/>
    </xf>
    <xf numFmtId="166" fontId="8" fillId="0" borderId="0" xfId="5" applyNumberFormat="1" applyFont="1" applyAlignment="1" applyProtection="1">
      <alignment horizontal="right" vertical="center"/>
    </xf>
    <xf numFmtId="2" fontId="9" fillId="4" borderId="0" xfId="3" applyNumberFormat="1" applyFont="1" applyFill="1" applyAlignment="1" applyProtection="1">
      <alignment vertical="center"/>
      <protection locked="0"/>
    </xf>
    <xf numFmtId="2" fontId="9" fillId="4" borderId="0" xfId="3" applyNumberFormat="1" applyFont="1" applyFill="1"/>
    <xf numFmtId="168" fontId="8" fillId="4" borderId="0" xfId="3" applyNumberFormat="1" applyFont="1" applyFill="1" applyAlignment="1">
      <alignment horizontal="right" vertical="center"/>
    </xf>
    <xf numFmtId="2" fontId="9" fillId="3" borderId="0" xfId="4" applyNumberFormat="1" applyFont="1" applyFill="1" applyProtection="1">
      <protection locked="0"/>
    </xf>
    <xf numFmtId="169" fontId="12" fillId="3" borderId="0" xfId="4" applyNumberFormat="1" applyFont="1" applyFill="1" applyAlignment="1" applyProtection="1">
      <alignment horizontal="center" vertical="center" wrapText="1"/>
      <protection locked="0"/>
    </xf>
    <xf numFmtId="0" fontId="9" fillId="4" borderId="0" xfId="4" applyFont="1" applyFill="1" applyProtection="1">
      <protection locked="0"/>
    </xf>
    <xf numFmtId="0" fontId="12" fillId="3" borderId="8" xfId="4" applyFont="1" applyFill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2" fillId="4" borderId="8" xfId="4" applyFont="1" applyFill="1" applyBorder="1" applyAlignment="1">
      <alignment horizontal="center" vertical="center"/>
    </xf>
    <xf numFmtId="0" fontId="8" fillId="4" borderId="0" xfId="4" applyFont="1" applyFill="1" applyProtection="1">
      <protection locked="0"/>
    </xf>
    <xf numFmtId="0" fontId="12" fillId="0" borderId="0" xfId="4" applyFont="1" applyAlignment="1" applyProtection="1">
      <alignment horizontal="left" vertical="center"/>
      <protection locked="0"/>
    </xf>
    <xf numFmtId="166" fontId="8" fillId="4" borderId="0" xfId="4" applyNumberFormat="1" applyFont="1" applyFill="1" applyAlignment="1">
      <alignment horizontal="right" vertical="center"/>
    </xf>
    <xf numFmtId="2" fontId="8" fillId="3" borderId="0" xfId="4" applyNumberFormat="1" applyFont="1" applyFill="1" applyProtection="1">
      <protection locked="0"/>
    </xf>
    <xf numFmtId="0" fontId="12" fillId="0" borderId="0" xfId="4" applyFont="1" applyAlignment="1" applyProtection="1">
      <alignment vertical="center" wrapText="1"/>
      <protection locked="0"/>
    </xf>
    <xf numFmtId="0" fontId="8" fillId="0" borderId="0" xfId="4" applyFont="1" applyAlignment="1" applyProtection="1">
      <alignment vertical="center" wrapText="1"/>
      <protection locked="0"/>
    </xf>
    <xf numFmtId="2" fontId="12" fillId="3" borderId="0" xfId="4" applyNumberFormat="1" applyFont="1" applyFill="1" applyProtection="1">
      <protection locked="0"/>
    </xf>
    <xf numFmtId="166" fontId="12" fillId="4" borderId="10" xfId="4" applyNumberFormat="1" applyFont="1" applyFill="1" applyBorder="1" applyAlignment="1">
      <alignment horizontal="right" vertical="center"/>
    </xf>
    <xf numFmtId="9" fontId="3" fillId="0" borderId="0" xfId="2" applyFont="1"/>
    <xf numFmtId="166" fontId="12" fillId="4" borderId="0" xfId="4" applyNumberFormat="1" applyFont="1" applyFill="1" applyAlignment="1">
      <alignment horizontal="right" vertical="center"/>
    </xf>
    <xf numFmtId="170" fontId="12" fillId="4" borderId="0" xfId="4" applyNumberFormat="1" applyFont="1" applyFill="1" applyAlignment="1">
      <alignment horizontal="right" vertical="center"/>
    </xf>
    <xf numFmtId="0" fontId="8" fillId="0" borderId="0" xfId="4" applyFont="1" applyAlignment="1">
      <alignment horizontal="left"/>
    </xf>
    <xf numFmtId="166" fontId="8" fillId="4" borderId="0" xfId="4" applyNumberFormat="1" applyFont="1" applyFill="1" applyAlignment="1">
      <alignment horizontal="right"/>
    </xf>
    <xf numFmtId="0" fontId="12" fillId="0" borderId="0" xfId="7" applyFont="1" applyAlignment="1">
      <alignment vertical="center" wrapText="1"/>
      <protection locked="0"/>
    </xf>
    <xf numFmtId="166" fontId="15" fillId="4" borderId="11" xfId="4" applyNumberFormat="1" applyFont="1" applyFill="1" applyBorder="1" applyAlignment="1">
      <alignment horizontal="right" vertical="center"/>
    </xf>
    <xf numFmtId="0" fontId="8" fillId="3" borderId="0" xfId="4" applyFont="1" applyFill="1" applyProtection="1">
      <protection locked="0"/>
    </xf>
    <xf numFmtId="0" fontId="8" fillId="0" borderId="0" xfId="4" applyFont="1" applyAlignment="1" applyProtection="1">
      <alignment vertical="center"/>
      <protection locked="0"/>
    </xf>
    <xf numFmtId="166" fontId="8" fillId="0" borderId="0" xfId="4" applyNumberFormat="1" applyFont="1" applyAlignment="1">
      <alignment horizontal="right" vertical="center"/>
    </xf>
    <xf numFmtId="43" fontId="3" fillId="0" borderId="0" xfId="0" applyNumberFormat="1" applyFont="1"/>
    <xf numFmtId="0" fontId="10" fillId="0" borderId="0" xfId="0" applyFont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166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165" fontId="8" fillId="0" borderId="0" xfId="1" applyNumberFormat="1" applyFont="1" applyAlignment="1">
      <alignment horizontal="right"/>
    </xf>
    <xf numFmtId="0" fontId="8" fillId="0" borderId="0" xfId="0" applyFont="1" applyProtection="1">
      <protection locked="0"/>
    </xf>
    <xf numFmtId="165" fontId="8" fillId="0" borderId="2" xfId="1" applyNumberFormat="1" applyFont="1" applyBorder="1" applyAlignment="1">
      <alignment horizontal="right"/>
    </xf>
    <xf numFmtId="165" fontId="3" fillId="0" borderId="0" xfId="1" applyNumberFormat="1" applyFont="1"/>
    <xf numFmtId="165" fontId="8" fillId="0" borderId="0" xfId="1" applyNumberFormat="1" applyFont="1" applyAlignment="1" applyProtection="1">
      <alignment horizontal="right"/>
      <protection locked="0"/>
    </xf>
    <xf numFmtId="0" fontId="12" fillId="0" borderId="0" xfId="0" applyFont="1" applyAlignment="1" applyProtection="1">
      <alignment horizontal="left" vertical="center"/>
      <protection locked="0"/>
    </xf>
    <xf numFmtId="165" fontId="12" fillId="0" borderId="11" xfId="1" applyNumberFormat="1" applyFont="1" applyBorder="1" applyAlignment="1">
      <alignment horizontal="right" vertical="center"/>
    </xf>
    <xf numFmtId="164" fontId="8" fillId="0" borderId="0" xfId="1" applyFont="1" applyFill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165" fontId="2" fillId="2" borderId="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6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5" fontId="3" fillId="0" borderId="0" xfId="1" applyNumberFormat="1" applyFont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4" applyFont="1" applyFill="1" applyAlignment="1" applyProtection="1">
      <alignment horizontal="center" vertical="center"/>
      <protection locked="0"/>
    </xf>
    <xf numFmtId="166" fontId="2" fillId="2" borderId="0" xfId="4" applyNumberFormat="1" applyFont="1" applyFill="1" applyAlignment="1" applyProtection="1">
      <alignment horizontal="center" vertical="center"/>
      <protection locked="0"/>
    </xf>
    <xf numFmtId="167" fontId="2" fillId="2" borderId="0" xfId="4" applyNumberFormat="1" applyFont="1" applyFill="1" applyAlignment="1" applyProtection="1">
      <alignment horizontal="center" vertical="center"/>
      <protection locked="0"/>
    </xf>
    <xf numFmtId="0" fontId="2" fillId="2" borderId="0" xfId="4" applyFont="1" applyFill="1" applyAlignment="1">
      <alignment horizontal="center"/>
    </xf>
    <xf numFmtId="169" fontId="2" fillId="2" borderId="0" xfId="3" applyNumberFormat="1" applyFont="1" applyFill="1" applyAlignment="1" applyProtection="1">
      <alignment horizontal="center" vertical="center" wrapText="1"/>
      <protection locked="0"/>
    </xf>
    <xf numFmtId="169" fontId="2" fillId="2" borderId="0" xfId="0" applyNumberFormat="1" applyFont="1" applyFill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3" fillId="0" borderId="0" xfId="1" applyFont="1" applyAlignment="1">
      <alignment vertical="center"/>
    </xf>
    <xf numFmtId="164" fontId="4" fillId="0" borderId="6" xfId="1" applyFont="1" applyFill="1" applyBorder="1" applyAlignment="1">
      <alignment vertical="center"/>
    </xf>
  </cellXfs>
  <cellStyles count="8">
    <cellStyle name="Comma" xfId="1" builtinId="3"/>
    <cellStyle name="Normal" xfId="0" builtinId="0"/>
    <cellStyle name="Normal 14" xfId="5" xr:uid="{7F7D175E-901E-4B95-94A4-66510C7775A2}"/>
    <cellStyle name="Normal 2 2" xfId="6" xr:uid="{EA9FE1CA-87DB-4035-B94A-21D97FF33024}"/>
    <cellStyle name="Normal 4" xfId="7" xr:uid="{00B35553-DDD9-49D7-8A70-172BEC8DEBB9}"/>
    <cellStyle name="Normal_Sheet1" xfId="3" xr:uid="{5A9C9AD1-8835-4A6F-BD7B-39904DD799E1}"/>
    <cellStyle name="Normal_Sheet2" xfId="4" xr:uid="{41EEC9E3-C39A-4C98-8702-7AAFA17C933E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4\fintech\KSA%20-%20AAMC\AUDIT\ZAKAT%20FILES\Disclaimer%20audit\ZK252%20Bait%20Al%20Fakhama%20for%20wholesale%20and%20Retail%20Trading%20Company%20ltd\ZK252%20Bait%20Al%20Fakhama%20-%20TB%20&amp;%20Financia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SA%20-%20AAMC\AUDIT\ZAKAT%20FILES\AUDIT%20-%202024\Proper%20Audit\ZK535%20Rock%20Fall%20Contracting%20Company\Other%20Related%20files\Mail%2010.03.25\9%20-%20Salary\SALARY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rial Balance - "/>
      <sheetName val="BS"/>
      <sheetName val="P and L"/>
      <sheetName val="Eq movement"/>
      <sheetName val="VAT Verification"/>
      <sheetName val="Capital"/>
      <sheetName val="Dep.Schedule"/>
      <sheetName val="EOSB"/>
      <sheetName val="IQAMA Pre-paid"/>
      <sheetName val="COGS"/>
      <sheetName val=" Rent Prepaid"/>
      <sheetName val="Sheet1"/>
    </sheetNames>
    <sheetDataSet>
      <sheetData sheetId="0"/>
      <sheetData sheetId="1">
        <row r="3">
          <cell r="E3" t="str">
            <v>31 Dec 2022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D5" t="str">
            <v>Vehicles</v>
          </cell>
        </row>
        <row r="6">
          <cell r="D6" t="str">
            <v>Airconditioners</v>
          </cell>
        </row>
        <row r="7">
          <cell r="D7" t="str">
            <v>Decors &amp; Interiors</v>
          </cell>
        </row>
        <row r="8">
          <cell r="D8" t="str">
            <v>Computer and Peripherals</v>
          </cell>
        </row>
        <row r="9">
          <cell r="D9" t="str">
            <v>Furniture &amp; Fittings</v>
          </cell>
        </row>
        <row r="10">
          <cell r="D10" t="str">
            <v>Plant &amp; Machinery</v>
          </cell>
        </row>
        <row r="11">
          <cell r="D11" t="str">
            <v>Tools &amp; Equippments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File"/>
      <sheetName val="Sheet3"/>
      <sheetName val="Net"/>
      <sheetName val="Total"/>
      <sheetName val="EOSB"/>
      <sheetName val="GOSI Movements"/>
      <sheetName val="GOSI"/>
      <sheetName val="CHK"/>
      <sheetName val="GosiMatching"/>
      <sheetName val="FinData"/>
      <sheetName val="VarData"/>
      <sheetName val="CoData"/>
      <sheetName val="LinkData"/>
      <sheetName val="SmartDocs"/>
      <sheetName val="Version"/>
    </sheetNames>
    <sheetDataSet>
      <sheetData sheetId="0">
        <row r="4">
          <cell r="A4" t="str">
            <v>ID</v>
          </cell>
          <cell r="V4" t="str">
            <v>Gross Earned</v>
          </cell>
          <cell r="AA4" t="str">
            <v>Net Payable</v>
          </cell>
          <cell r="AB4" t="str">
            <v>Month</v>
          </cell>
        </row>
        <row r="5">
          <cell r="A5">
            <v>2557048200</v>
          </cell>
          <cell r="V5">
            <v>4140</v>
          </cell>
          <cell r="AA5">
            <v>4140</v>
          </cell>
          <cell r="AB5">
            <v>1</v>
          </cell>
        </row>
        <row r="6">
          <cell r="A6">
            <v>2517544140</v>
          </cell>
          <cell r="V6">
            <v>4532</v>
          </cell>
          <cell r="AA6">
            <v>4532</v>
          </cell>
          <cell r="AB6">
            <v>1</v>
          </cell>
        </row>
        <row r="7">
          <cell r="V7">
            <v>3366</v>
          </cell>
          <cell r="AA7">
            <v>3366</v>
          </cell>
          <cell r="AB7">
            <v>1</v>
          </cell>
        </row>
        <row r="8">
          <cell r="V8">
            <v>1530</v>
          </cell>
          <cell r="AA8">
            <v>1530</v>
          </cell>
          <cell r="AB8">
            <v>1</v>
          </cell>
        </row>
        <row r="9">
          <cell r="A9">
            <v>2470446069</v>
          </cell>
          <cell r="V9">
            <v>3500</v>
          </cell>
          <cell r="AA9">
            <v>3500</v>
          </cell>
          <cell r="AB9">
            <v>1</v>
          </cell>
        </row>
        <row r="10">
          <cell r="A10">
            <v>2557048200</v>
          </cell>
          <cell r="V10">
            <v>4042.6666666666665</v>
          </cell>
          <cell r="AA10">
            <v>4042.6666666666665</v>
          </cell>
          <cell r="AB10">
            <v>2</v>
          </cell>
        </row>
        <row r="11">
          <cell r="A11">
            <v>2517544140</v>
          </cell>
          <cell r="V11">
            <v>4410</v>
          </cell>
          <cell r="AA11">
            <v>4410</v>
          </cell>
          <cell r="AB11">
            <v>2</v>
          </cell>
        </row>
        <row r="12">
          <cell r="V12">
            <v>4053.3333333333335</v>
          </cell>
          <cell r="AA12">
            <v>4053.3333333333335</v>
          </cell>
          <cell r="AB12">
            <v>2</v>
          </cell>
        </row>
        <row r="13">
          <cell r="V13">
            <v>3045</v>
          </cell>
          <cell r="AA13">
            <v>3045</v>
          </cell>
          <cell r="AB13">
            <v>2</v>
          </cell>
        </row>
        <row r="14">
          <cell r="A14">
            <v>2567234931</v>
          </cell>
          <cell r="V14">
            <v>700</v>
          </cell>
          <cell r="AA14">
            <v>700</v>
          </cell>
          <cell r="AB14">
            <v>2</v>
          </cell>
        </row>
        <row r="15">
          <cell r="A15">
            <v>2470446069</v>
          </cell>
          <cell r="V15">
            <v>3500</v>
          </cell>
          <cell r="AA15">
            <v>3500</v>
          </cell>
          <cell r="AB15">
            <v>2</v>
          </cell>
        </row>
        <row r="16">
          <cell r="A16">
            <v>2557048200</v>
          </cell>
          <cell r="V16">
            <v>3712</v>
          </cell>
          <cell r="AA16">
            <v>3712</v>
          </cell>
          <cell r="AB16">
            <v>3</v>
          </cell>
        </row>
        <row r="17">
          <cell r="A17">
            <v>2567234931</v>
          </cell>
          <cell r="V17">
            <v>4060</v>
          </cell>
          <cell r="AA17">
            <v>4060</v>
          </cell>
          <cell r="AB17">
            <v>3</v>
          </cell>
        </row>
        <row r="18">
          <cell r="V18">
            <v>4213.333333333333</v>
          </cell>
          <cell r="AA18">
            <v>4213.333333333333</v>
          </cell>
          <cell r="AB18">
            <v>3</v>
          </cell>
        </row>
        <row r="19">
          <cell r="A19">
            <v>2517544140</v>
          </cell>
          <cell r="V19">
            <v>4106.666666666667</v>
          </cell>
          <cell r="AA19">
            <v>4106.666666666667</v>
          </cell>
          <cell r="AB19">
            <v>3</v>
          </cell>
        </row>
        <row r="20">
          <cell r="A20">
            <v>2544958495</v>
          </cell>
          <cell r="V20">
            <v>850.76666666666688</v>
          </cell>
          <cell r="AA20">
            <v>850.76666666666688</v>
          </cell>
          <cell r="AB20">
            <v>3</v>
          </cell>
        </row>
        <row r="21">
          <cell r="A21">
            <v>2524483936</v>
          </cell>
          <cell r="V21">
            <v>850.76666666666688</v>
          </cell>
          <cell r="AA21">
            <v>850.76666666666688</v>
          </cell>
          <cell r="AB21">
            <v>3</v>
          </cell>
        </row>
        <row r="22">
          <cell r="A22">
            <v>2470446069</v>
          </cell>
          <cell r="V22">
            <v>3500</v>
          </cell>
          <cell r="AA22">
            <v>3500</v>
          </cell>
          <cell r="AB22">
            <v>3</v>
          </cell>
        </row>
        <row r="23">
          <cell r="A23">
            <v>2557048200</v>
          </cell>
          <cell r="V23">
            <v>4106.666666666667</v>
          </cell>
          <cell r="AA23">
            <v>4106.666666666667</v>
          </cell>
          <cell r="AB23">
            <v>4</v>
          </cell>
        </row>
        <row r="24">
          <cell r="A24">
            <v>2567234931</v>
          </cell>
          <cell r="V24">
            <v>4246.666666666667</v>
          </cell>
          <cell r="AA24">
            <v>4246.666666666667</v>
          </cell>
          <cell r="AB24">
            <v>4</v>
          </cell>
        </row>
        <row r="25">
          <cell r="V25">
            <v>4000</v>
          </cell>
          <cell r="AA25">
            <v>4000</v>
          </cell>
          <cell r="AB25">
            <v>4</v>
          </cell>
        </row>
        <row r="26">
          <cell r="A26">
            <v>2517544140</v>
          </cell>
          <cell r="V26">
            <v>3826.6666666666665</v>
          </cell>
          <cell r="AA26">
            <v>3826.6666666666665</v>
          </cell>
          <cell r="AB26">
            <v>4</v>
          </cell>
        </row>
        <row r="27">
          <cell r="A27">
            <v>2544958495</v>
          </cell>
          <cell r="V27">
            <v>3100</v>
          </cell>
          <cell r="AA27">
            <v>3100</v>
          </cell>
          <cell r="AB27">
            <v>4</v>
          </cell>
        </row>
        <row r="28">
          <cell r="A28">
            <v>2524483936</v>
          </cell>
          <cell r="V28">
            <v>3100</v>
          </cell>
          <cell r="AA28">
            <v>3100</v>
          </cell>
          <cell r="AB28">
            <v>4</v>
          </cell>
        </row>
        <row r="29">
          <cell r="A29">
            <v>2470446069</v>
          </cell>
          <cell r="V29">
            <v>3500</v>
          </cell>
          <cell r="AA29">
            <v>3500</v>
          </cell>
          <cell r="AB29">
            <v>4</v>
          </cell>
        </row>
        <row r="30">
          <cell r="A30">
            <v>2557048200</v>
          </cell>
          <cell r="V30">
            <v>4351.666666666667</v>
          </cell>
          <cell r="AA30">
            <v>4351.666666666667</v>
          </cell>
          <cell r="AB30">
            <v>5</v>
          </cell>
        </row>
        <row r="31">
          <cell r="A31">
            <v>2567234931</v>
          </cell>
          <cell r="V31">
            <v>4293.333333333333</v>
          </cell>
          <cell r="AA31">
            <v>4293.333333333333</v>
          </cell>
          <cell r="AB31">
            <v>5</v>
          </cell>
        </row>
        <row r="32">
          <cell r="V32">
            <v>3173.3333333333339</v>
          </cell>
          <cell r="AA32">
            <v>3173.3333333333339</v>
          </cell>
          <cell r="AB32">
            <v>5</v>
          </cell>
        </row>
        <row r="33">
          <cell r="A33">
            <v>2517544140</v>
          </cell>
          <cell r="V33">
            <v>816.66666666666697</v>
          </cell>
          <cell r="AA33">
            <v>816.66666666666697</v>
          </cell>
          <cell r="AB33">
            <v>5</v>
          </cell>
        </row>
        <row r="34">
          <cell r="A34">
            <v>2517544140</v>
          </cell>
          <cell r="V34">
            <v>2683.3333333333335</v>
          </cell>
          <cell r="AA34">
            <v>2683.3333333333335</v>
          </cell>
          <cell r="AB34">
            <v>5</v>
          </cell>
        </row>
        <row r="35">
          <cell r="A35">
            <v>2547031670</v>
          </cell>
          <cell r="V35">
            <v>350</v>
          </cell>
          <cell r="AA35">
            <v>350</v>
          </cell>
          <cell r="AB35">
            <v>5</v>
          </cell>
        </row>
        <row r="36">
          <cell r="A36">
            <v>2544958495</v>
          </cell>
          <cell r="V36">
            <v>300</v>
          </cell>
          <cell r="AA36">
            <v>300</v>
          </cell>
          <cell r="AB36">
            <v>5</v>
          </cell>
        </row>
        <row r="37">
          <cell r="A37">
            <v>2544958495</v>
          </cell>
          <cell r="V37">
            <v>2000</v>
          </cell>
          <cell r="AA37">
            <v>2000</v>
          </cell>
          <cell r="AB37">
            <v>5</v>
          </cell>
        </row>
        <row r="38">
          <cell r="A38">
            <v>2365462643</v>
          </cell>
          <cell r="V38">
            <v>1250</v>
          </cell>
          <cell r="AA38">
            <v>1250</v>
          </cell>
          <cell r="AB38">
            <v>5</v>
          </cell>
        </row>
        <row r="39">
          <cell r="A39">
            <v>2532248339</v>
          </cell>
          <cell r="V39">
            <v>350</v>
          </cell>
          <cell r="AA39">
            <v>350</v>
          </cell>
          <cell r="AB39">
            <v>5</v>
          </cell>
        </row>
        <row r="40">
          <cell r="A40">
            <v>2568265728</v>
          </cell>
          <cell r="V40">
            <v>400</v>
          </cell>
          <cell r="AA40">
            <v>400</v>
          </cell>
          <cell r="AB40">
            <v>5</v>
          </cell>
        </row>
        <row r="41">
          <cell r="A41">
            <v>2524483936</v>
          </cell>
          <cell r="V41">
            <v>2000</v>
          </cell>
          <cell r="AA41">
            <v>2000</v>
          </cell>
          <cell r="AB41">
            <v>5</v>
          </cell>
        </row>
        <row r="42">
          <cell r="A42">
            <v>2470446069</v>
          </cell>
          <cell r="V42">
            <v>3500</v>
          </cell>
          <cell r="AA42">
            <v>3500</v>
          </cell>
          <cell r="AB42">
            <v>5</v>
          </cell>
        </row>
        <row r="43">
          <cell r="A43">
            <v>2557048200</v>
          </cell>
          <cell r="V43">
            <v>1493.3333333333335</v>
          </cell>
          <cell r="AA43">
            <v>1493.3333333333335</v>
          </cell>
          <cell r="AB43">
            <v>6</v>
          </cell>
        </row>
        <row r="44">
          <cell r="A44">
            <v>2557048200</v>
          </cell>
          <cell r="V44">
            <v>1166.666666666667</v>
          </cell>
          <cell r="AA44">
            <v>1166.666666666667</v>
          </cell>
          <cell r="AB44">
            <v>6</v>
          </cell>
        </row>
        <row r="45">
          <cell r="A45">
            <v>2557048200</v>
          </cell>
          <cell r="V45">
            <v>1050</v>
          </cell>
          <cell r="AA45">
            <v>1050</v>
          </cell>
          <cell r="AB45">
            <v>6</v>
          </cell>
        </row>
        <row r="46">
          <cell r="A46">
            <v>2567234931</v>
          </cell>
          <cell r="V46">
            <v>420</v>
          </cell>
          <cell r="AA46">
            <v>420</v>
          </cell>
          <cell r="AB46">
            <v>6</v>
          </cell>
        </row>
        <row r="47">
          <cell r="A47">
            <v>2543126383</v>
          </cell>
          <cell r="V47">
            <v>3949.3333333333335</v>
          </cell>
          <cell r="AA47">
            <v>3949.3333333333335</v>
          </cell>
          <cell r="AB47">
            <v>6</v>
          </cell>
        </row>
        <row r="48">
          <cell r="A48">
            <v>2517544140</v>
          </cell>
          <cell r="V48">
            <v>4000</v>
          </cell>
          <cell r="AA48">
            <v>4000</v>
          </cell>
          <cell r="AB48">
            <v>6</v>
          </cell>
        </row>
        <row r="49">
          <cell r="A49">
            <v>2547031670</v>
          </cell>
          <cell r="V49">
            <v>4186.666666666667</v>
          </cell>
          <cell r="AA49">
            <v>4186.666666666667</v>
          </cell>
          <cell r="AB49">
            <v>6</v>
          </cell>
        </row>
        <row r="50">
          <cell r="A50">
            <v>2544958495</v>
          </cell>
          <cell r="V50">
            <v>3060</v>
          </cell>
          <cell r="AA50">
            <v>3060</v>
          </cell>
          <cell r="AB50">
            <v>6</v>
          </cell>
        </row>
        <row r="51">
          <cell r="A51">
            <v>2365462643</v>
          </cell>
          <cell r="V51">
            <v>3500</v>
          </cell>
          <cell r="AA51">
            <v>3500</v>
          </cell>
          <cell r="AB51">
            <v>6</v>
          </cell>
        </row>
        <row r="52">
          <cell r="A52">
            <v>2532248339</v>
          </cell>
          <cell r="V52">
            <v>3500</v>
          </cell>
          <cell r="AA52">
            <v>3500</v>
          </cell>
          <cell r="AB52">
            <v>6</v>
          </cell>
        </row>
        <row r="53">
          <cell r="A53">
            <v>2568265728</v>
          </cell>
          <cell r="V53">
            <v>4000</v>
          </cell>
          <cell r="AA53">
            <v>4000</v>
          </cell>
          <cell r="AB53">
            <v>6</v>
          </cell>
        </row>
        <row r="54">
          <cell r="A54">
            <v>2524483936</v>
          </cell>
          <cell r="V54">
            <v>3000</v>
          </cell>
          <cell r="AA54">
            <v>3000</v>
          </cell>
          <cell r="AB54">
            <v>6</v>
          </cell>
        </row>
        <row r="55">
          <cell r="A55">
            <v>2470446069</v>
          </cell>
          <cell r="V55">
            <v>3500</v>
          </cell>
          <cell r="AA55">
            <v>3500</v>
          </cell>
          <cell r="AB55">
            <v>6</v>
          </cell>
        </row>
        <row r="56">
          <cell r="A56">
            <v>2557048200</v>
          </cell>
          <cell r="V56">
            <v>3733.3333333333335</v>
          </cell>
          <cell r="AA56">
            <v>3733.3333333333335</v>
          </cell>
          <cell r="AB56">
            <v>7</v>
          </cell>
        </row>
        <row r="57">
          <cell r="V57">
            <v>3333.3333333333335</v>
          </cell>
          <cell r="AA57">
            <v>3333.3333333333335</v>
          </cell>
          <cell r="AB57">
            <v>7</v>
          </cell>
        </row>
        <row r="58">
          <cell r="A58">
            <v>2517544140</v>
          </cell>
          <cell r="V58">
            <v>4000</v>
          </cell>
          <cell r="AA58">
            <v>4000</v>
          </cell>
          <cell r="AB58">
            <v>7</v>
          </cell>
        </row>
        <row r="59">
          <cell r="A59">
            <v>2547031670</v>
          </cell>
          <cell r="V59">
            <v>4533.333333333333</v>
          </cell>
          <cell r="AA59">
            <v>4533.333333333333</v>
          </cell>
          <cell r="AB59">
            <v>7</v>
          </cell>
        </row>
        <row r="60">
          <cell r="A60">
            <v>2544958495</v>
          </cell>
          <cell r="V60">
            <v>800</v>
          </cell>
          <cell r="AA60">
            <v>800</v>
          </cell>
          <cell r="AB60">
            <v>7</v>
          </cell>
        </row>
        <row r="61">
          <cell r="A61">
            <v>2544958321</v>
          </cell>
          <cell r="V61">
            <v>2200</v>
          </cell>
          <cell r="AA61">
            <v>2200</v>
          </cell>
          <cell r="AB61">
            <v>7</v>
          </cell>
        </row>
        <row r="62">
          <cell r="A62">
            <v>2365462643</v>
          </cell>
          <cell r="V62">
            <v>3650.2666666666669</v>
          </cell>
          <cell r="AA62">
            <v>3650.2666666666669</v>
          </cell>
          <cell r="AB62">
            <v>7</v>
          </cell>
        </row>
        <row r="63">
          <cell r="A63">
            <v>2532248339</v>
          </cell>
          <cell r="V63">
            <v>3500</v>
          </cell>
          <cell r="AA63">
            <v>3500</v>
          </cell>
          <cell r="AB63">
            <v>7</v>
          </cell>
        </row>
        <row r="64">
          <cell r="A64">
            <v>2568265728</v>
          </cell>
          <cell r="V64">
            <v>4000</v>
          </cell>
          <cell r="AA64">
            <v>4000</v>
          </cell>
          <cell r="AB64">
            <v>7</v>
          </cell>
        </row>
        <row r="65">
          <cell r="A65">
            <v>2524483936</v>
          </cell>
          <cell r="V65">
            <v>3000</v>
          </cell>
          <cell r="AA65">
            <v>3000</v>
          </cell>
          <cell r="AB65">
            <v>7</v>
          </cell>
        </row>
        <row r="66">
          <cell r="A66">
            <v>2480672423</v>
          </cell>
          <cell r="V66">
            <v>3166.666666666667</v>
          </cell>
          <cell r="AA66">
            <v>3166.666666666667</v>
          </cell>
          <cell r="AB66">
            <v>7</v>
          </cell>
        </row>
        <row r="67">
          <cell r="A67">
            <v>2560990554</v>
          </cell>
          <cell r="V67">
            <v>3266.666666666667</v>
          </cell>
          <cell r="AA67">
            <v>3266.666666666667</v>
          </cell>
          <cell r="AB67">
            <v>7</v>
          </cell>
        </row>
        <row r="68">
          <cell r="A68">
            <v>2533088189</v>
          </cell>
          <cell r="V68">
            <v>2200</v>
          </cell>
          <cell r="AA68">
            <v>2200</v>
          </cell>
          <cell r="AB68">
            <v>7</v>
          </cell>
        </row>
        <row r="69">
          <cell r="A69">
            <v>2571312939</v>
          </cell>
          <cell r="V69">
            <v>723.33333333333303</v>
          </cell>
          <cell r="AA69">
            <v>723.33333333333303</v>
          </cell>
          <cell r="AB69">
            <v>7</v>
          </cell>
        </row>
        <row r="70">
          <cell r="A70">
            <v>2530250667</v>
          </cell>
          <cell r="V70">
            <v>1900</v>
          </cell>
          <cell r="AA70">
            <v>1900</v>
          </cell>
          <cell r="AB70">
            <v>7</v>
          </cell>
        </row>
        <row r="71">
          <cell r="A71">
            <v>2470446069</v>
          </cell>
          <cell r="V71">
            <v>3500</v>
          </cell>
          <cell r="AA71">
            <v>3500</v>
          </cell>
          <cell r="AB71">
            <v>7</v>
          </cell>
        </row>
        <row r="72">
          <cell r="A72">
            <v>2557048200</v>
          </cell>
          <cell r="V72">
            <v>4192.666666666667</v>
          </cell>
          <cell r="AA72">
            <v>4192.666666666667</v>
          </cell>
          <cell r="AB72">
            <v>8</v>
          </cell>
        </row>
        <row r="73">
          <cell r="A73">
            <v>2567234931</v>
          </cell>
          <cell r="V73">
            <v>5000</v>
          </cell>
          <cell r="AA73">
            <v>5000</v>
          </cell>
          <cell r="AB73">
            <v>8</v>
          </cell>
        </row>
        <row r="74">
          <cell r="V74">
            <v>4000</v>
          </cell>
          <cell r="AA74">
            <v>4000</v>
          </cell>
          <cell r="AB74">
            <v>8</v>
          </cell>
        </row>
        <row r="75">
          <cell r="A75">
            <v>2544958321</v>
          </cell>
          <cell r="V75">
            <v>3160</v>
          </cell>
          <cell r="AA75">
            <v>3160</v>
          </cell>
          <cell r="AB75">
            <v>8</v>
          </cell>
        </row>
        <row r="76">
          <cell r="A76">
            <v>2365462643</v>
          </cell>
          <cell r="V76">
            <v>3733.3333333333335</v>
          </cell>
          <cell r="AA76">
            <v>3733.3333333333335</v>
          </cell>
          <cell r="AB76">
            <v>8</v>
          </cell>
        </row>
        <row r="77">
          <cell r="A77">
            <v>2532248339</v>
          </cell>
          <cell r="V77">
            <v>3500</v>
          </cell>
          <cell r="AA77">
            <v>3500</v>
          </cell>
          <cell r="AB77">
            <v>8</v>
          </cell>
        </row>
        <row r="78">
          <cell r="A78">
            <v>2568265728</v>
          </cell>
          <cell r="V78">
            <v>3800</v>
          </cell>
          <cell r="AA78">
            <v>3800</v>
          </cell>
          <cell r="AB78">
            <v>8</v>
          </cell>
        </row>
        <row r="79">
          <cell r="A79">
            <v>2560990554</v>
          </cell>
          <cell r="V79">
            <v>3500</v>
          </cell>
          <cell r="AA79">
            <v>3500</v>
          </cell>
          <cell r="AB79">
            <v>8</v>
          </cell>
        </row>
        <row r="80">
          <cell r="A80">
            <v>2530250667</v>
          </cell>
          <cell r="V80">
            <v>3926.6666666666665</v>
          </cell>
          <cell r="AA80">
            <v>3926.6666666666665</v>
          </cell>
          <cell r="AB80">
            <v>8</v>
          </cell>
        </row>
        <row r="81">
          <cell r="A81">
            <v>2546840709</v>
          </cell>
          <cell r="V81">
            <v>933.33333333333348</v>
          </cell>
          <cell r="AA81">
            <v>933.33333333333348</v>
          </cell>
          <cell r="AB81">
            <v>8</v>
          </cell>
        </row>
        <row r="82">
          <cell r="A82">
            <v>2558884520</v>
          </cell>
          <cell r="V82">
            <v>700</v>
          </cell>
          <cell r="AA82">
            <v>700</v>
          </cell>
          <cell r="AB82">
            <v>8</v>
          </cell>
        </row>
        <row r="83">
          <cell r="A83">
            <v>2579698164</v>
          </cell>
          <cell r="V83">
            <v>760</v>
          </cell>
          <cell r="AA83">
            <v>760</v>
          </cell>
          <cell r="AB83">
            <v>8</v>
          </cell>
        </row>
        <row r="84">
          <cell r="A84">
            <v>2549353601</v>
          </cell>
          <cell r="V84">
            <v>760</v>
          </cell>
          <cell r="AA84">
            <v>760</v>
          </cell>
          <cell r="AB84">
            <v>8</v>
          </cell>
        </row>
        <row r="85">
          <cell r="A85">
            <v>2524483936</v>
          </cell>
          <cell r="V85">
            <v>3000</v>
          </cell>
          <cell r="AA85">
            <v>3000</v>
          </cell>
          <cell r="AB85">
            <v>8</v>
          </cell>
        </row>
        <row r="86">
          <cell r="A86">
            <v>2480672423</v>
          </cell>
          <cell r="V86">
            <v>3926.6666666666665</v>
          </cell>
          <cell r="AA86">
            <v>3926.6666666666665</v>
          </cell>
          <cell r="AB86">
            <v>8</v>
          </cell>
        </row>
        <row r="87">
          <cell r="A87">
            <v>2571312939</v>
          </cell>
          <cell r="V87">
            <v>3203.3333333333335</v>
          </cell>
          <cell r="AA87">
            <v>3203.3333333333335</v>
          </cell>
          <cell r="AB87">
            <v>8</v>
          </cell>
        </row>
        <row r="88">
          <cell r="A88">
            <v>2470446069</v>
          </cell>
          <cell r="V88">
            <v>3500</v>
          </cell>
          <cell r="AA88">
            <v>3500</v>
          </cell>
          <cell r="AB88">
            <v>8</v>
          </cell>
        </row>
        <row r="89">
          <cell r="A89">
            <v>2566390569</v>
          </cell>
          <cell r="V89">
            <v>6000</v>
          </cell>
          <cell r="AA89">
            <v>6000</v>
          </cell>
          <cell r="AB89">
            <v>8</v>
          </cell>
        </row>
        <row r="90">
          <cell r="A90">
            <v>1125769230</v>
          </cell>
          <cell r="V90">
            <v>0</v>
          </cell>
          <cell r="AA90">
            <v>0</v>
          </cell>
          <cell r="AB90">
            <v>8</v>
          </cell>
        </row>
        <row r="91">
          <cell r="A91">
            <v>2567234931</v>
          </cell>
          <cell r="V91">
            <v>493.33333333333348</v>
          </cell>
          <cell r="AA91">
            <v>493.33333333333348</v>
          </cell>
          <cell r="AB91">
            <v>9</v>
          </cell>
        </row>
        <row r="92">
          <cell r="A92">
            <v>2517544140</v>
          </cell>
          <cell r="V92">
            <v>3600.0000000000005</v>
          </cell>
          <cell r="AA92">
            <v>3600.0000000000005</v>
          </cell>
          <cell r="AB92">
            <v>9</v>
          </cell>
        </row>
        <row r="93">
          <cell r="A93">
            <v>2517544140</v>
          </cell>
          <cell r="V93">
            <v>4306.6666666666679</v>
          </cell>
          <cell r="AA93">
            <v>4306.6666666666679</v>
          </cell>
          <cell r="AB93">
            <v>9</v>
          </cell>
        </row>
        <row r="94">
          <cell r="A94">
            <v>2557048200</v>
          </cell>
          <cell r="V94">
            <v>4420.666666666667</v>
          </cell>
          <cell r="AA94">
            <v>4420.666666666667</v>
          </cell>
          <cell r="AB94">
            <v>9</v>
          </cell>
        </row>
        <row r="95">
          <cell r="V95">
            <v>4000</v>
          </cell>
          <cell r="AA95">
            <v>4000</v>
          </cell>
          <cell r="AB95">
            <v>9</v>
          </cell>
        </row>
        <row r="96">
          <cell r="A96">
            <v>2544958321</v>
          </cell>
          <cell r="V96">
            <v>2850</v>
          </cell>
          <cell r="AA96">
            <v>2850</v>
          </cell>
          <cell r="AB96">
            <v>9</v>
          </cell>
        </row>
        <row r="97">
          <cell r="A97">
            <v>2365462643</v>
          </cell>
          <cell r="V97">
            <v>3950</v>
          </cell>
          <cell r="AA97">
            <v>3950</v>
          </cell>
          <cell r="AB97">
            <v>9</v>
          </cell>
        </row>
        <row r="98">
          <cell r="A98">
            <v>2532248339</v>
          </cell>
          <cell r="V98">
            <v>3500</v>
          </cell>
          <cell r="AA98">
            <v>3500</v>
          </cell>
          <cell r="AB98">
            <v>9</v>
          </cell>
        </row>
        <row r="99">
          <cell r="A99">
            <v>2568265728</v>
          </cell>
          <cell r="V99">
            <v>1466.666666666667</v>
          </cell>
          <cell r="AA99">
            <v>1466.666666666667</v>
          </cell>
          <cell r="AB99">
            <v>9</v>
          </cell>
        </row>
        <row r="100">
          <cell r="A100">
            <v>2560990554</v>
          </cell>
          <cell r="V100">
            <v>2683.3333333333335</v>
          </cell>
          <cell r="AA100">
            <v>2683.3333333333335</v>
          </cell>
          <cell r="AB100">
            <v>9</v>
          </cell>
        </row>
        <row r="101">
          <cell r="A101">
            <v>2524483936</v>
          </cell>
          <cell r="V101">
            <v>3090</v>
          </cell>
          <cell r="AA101">
            <v>3090</v>
          </cell>
          <cell r="AB101">
            <v>9</v>
          </cell>
        </row>
        <row r="102">
          <cell r="A102">
            <v>2480672423</v>
          </cell>
          <cell r="V102">
            <v>3914</v>
          </cell>
          <cell r="AA102">
            <v>3914</v>
          </cell>
          <cell r="AB102">
            <v>9</v>
          </cell>
        </row>
        <row r="103">
          <cell r="A103">
            <v>2508021819</v>
          </cell>
          <cell r="V103">
            <v>3500</v>
          </cell>
          <cell r="AA103">
            <v>3500</v>
          </cell>
          <cell r="AB103">
            <v>9</v>
          </cell>
        </row>
        <row r="104">
          <cell r="A104">
            <v>2571312939</v>
          </cell>
          <cell r="V104">
            <v>3306.6666666666665</v>
          </cell>
          <cell r="AA104">
            <v>3306.6666666666665</v>
          </cell>
          <cell r="AB104">
            <v>9</v>
          </cell>
        </row>
        <row r="105">
          <cell r="A105">
            <v>2530250667</v>
          </cell>
          <cell r="V105">
            <v>3914</v>
          </cell>
          <cell r="AA105">
            <v>3914</v>
          </cell>
          <cell r="AB105">
            <v>9</v>
          </cell>
        </row>
        <row r="106">
          <cell r="A106">
            <v>2546840709</v>
          </cell>
          <cell r="V106">
            <v>3500</v>
          </cell>
          <cell r="AA106">
            <v>3500</v>
          </cell>
          <cell r="AB106">
            <v>9</v>
          </cell>
        </row>
        <row r="107">
          <cell r="A107">
            <v>2558884520</v>
          </cell>
          <cell r="V107">
            <v>3616.6666666666665</v>
          </cell>
          <cell r="AA107">
            <v>3616.6666666666665</v>
          </cell>
          <cell r="AB107">
            <v>9</v>
          </cell>
        </row>
        <row r="108">
          <cell r="A108">
            <v>2579698164</v>
          </cell>
          <cell r="V108">
            <v>3800</v>
          </cell>
          <cell r="AA108">
            <v>3800</v>
          </cell>
          <cell r="AB108">
            <v>9</v>
          </cell>
        </row>
        <row r="109">
          <cell r="A109">
            <v>2549353601</v>
          </cell>
          <cell r="V109">
            <v>3926.6666666666665</v>
          </cell>
          <cell r="AA109">
            <v>3926.6666666666665</v>
          </cell>
          <cell r="AB109">
            <v>9</v>
          </cell>
        </row>
        <row r="110">
          <cell r="A110">
            <v>2576646273</v>
          </cell>
          <cell r="V110">
            <v>1750</v>
          </cell>
          <cell r="AA110">
            <v>1750</v>
          </cell>
          <cell r="AB110">
            <v>9</v>
          </cell>
        </row>
        <row r="111">
          <cell r="A111">
            <v>2470446069</v>
          </cell>
          <cell r="V111">
            <v>3500</v>
          </cell>
          <cell r="AA111">
            <v>3500</v>
          </cell>
          <cell r="AB111">
            <v>9</v>
          </cell>
        </row>
        <row r="112">
          <cell r="A112">
            <v>2566390569</v>
          </cell>
          <cell r="V112">
            <v>6000</v>
          </cell>
          <cell r="AA112">
            <v>6000</v>
          </cell>
          <cell r="AB112">
            <v>9</v>
          </cell>
        </row>
        <row r="113">
          <cell r="A113">
            <v>1125769230</v>
          </cell>
          <cell r="V113">
            <v>4000</v>
          </cell>
          <cell r="AA113">
            <v>4000</v>
          </cell>
          <cell r="AB113">
            <v>9</v>
          </cell>
        </row>
        <row r="114">
          <cell r="A114">
            <v>2567234931</v>
          </cell>
          <cell r="V114">
            <v>4000</v>
          </cell>
          <cell r="AA114">
            <v>4000</v>
          </cell>
          <cell r="AB114">
            <v>10</v>
          </cell>
        </row>
        <row r="115">
          <cell r="A115">
            <v>2517544140</v>
          </cell>
          <cell r="V115">
            <v>4840</v>
          </cell>
          <cell r="AA115">
            <v>4840</v>
          </cell>
          <cell r="AB115">
            <v>10</v>
          </cell>
        </row>
        <row r="116">
          <cell r="A116">
            <v>2557048200</v>
          </cell>
          <cell r="V116">
            <v>4585.333333333333</v>
          </cell>
          <cell r="AA116">
            <v>4585.333333333333</v>
          </cell>
          <cell r="AB116">
            <v>10</v>
          </cell>
        </row>
        <row r="117">
          <cell r="V117">
            <v>4000</v>
          </cell>
          <cell r="AA117">
            <v>3430</v>
          </cell>
          <cell r="AB117">
            <v>10</v>
          </cell>
        </row>
        <row r="118">
          <cell r="V118">
            <v>400</v>
          </cell>
          <cell r="AA118">
            <v>400</v>
          </cell>
          <cell r="AB118">
            <v>10</v>
          </cell>
        </row>
        <row r="119">
          <cell r="A119">
            <v>2299375358</v>
          </cell>
          <cell r="V119">
            <v>990</v>
          </cell>
          <cell r="AA119">
            <v>990</v>
          </cell>
          <cell r="AB119">
            <v>10</v>
          </cell>
        </row>
        <row r="120">
          <cell r="A120">
            <v>2544958321</v>
          </cell>
          <cell r="V120">
            <v>3730</v>
          </cell>
          <cell r="AA120">
            <v>3730</v>
          </cell>
          <cell r="AB120">
            <v>10</v>
          </cell>
        </row>
        <row r="121">
          <cell r="A121">
            <v>2540418601</v>
          </cell>
          <cell r="V121">
            <v>1848</v>
          </cell>
          <cell r="AA121">
            <v>1848</v>
          </cell>
          <cell r="AB121">
            <v>10</v>
          </cell>
        </row>
        <row r="122">
          <cell r="A122">
            <v>2576764639</v>
          </cell>
          <cell r="V122">
            <v>1073.3333333333335</v>
          </cell>
          <cell r="AA122">
            <v>1073.3333333333335</v>
          </cell>
          <cell r="AB122">
            <v>10</v>
          </cell>
        </row>
        <row r="123">
          <cell r="A123">
            <v>2365462643</v>
          </cell>
          <cell r="V123">
            <v>3850</v>
          </cell>
          <cell r="AA123">
            <v>3850</v>
          </cell>
          <cell r="AB123">
            <v>10</v>
          </cell>
        </row>
        <row r="124">
          <cell r="A124">
            <v>2532248339</v>
          </cell>
          <cell r="V124">
            <v>3500</v>
          </cell>
          <cell r="AA124">
            <v>3500</v>
          </cell>
          <cell r="AB124">
            <v>10</v>
          </cell>
        </row>
        <row r="125">
          <cell r="A125">
            <v>2560990554</v>
          </cell>
          <cell r="V125">
            <v>3600</v>
          </cell>
          <cell r="AA125">
            <v>3600</v>
          </cell>
          <cell r="AB125">
            <v>10</v>
          </cell>
        </row>
        <row r="126">
          <cell r="A126">
            <v>2524483936</v>
          </cell>
          <cell r="V126">
            <v>200</v>
          </cell>
          <cell r="AA126">
            <v>200</v>
          </cell>
          <cell r="AB126">
            <v>10</v>
          </cell>
        </row>
        <row r="127">
          <cell r="A127">
            <v>2539356986</v>
          </cell>
          <cell r="V127">
            <v>3033.3333333333335</v>
          </cell>
          <cell r="AA127">
            <v>3033.3333333333335</v>
          </cell>
          <cell r="AB127">
            <v>10</v>
          </cell>
        </row>
        <row r="128">
          <cell r="A128">
            <v>2480672423</v>
          </cell>
          <cell r="V128">
            <v>1520</v>
          </cell>
          <cell r="AA128">
            <v>1520</v>
          </cell>
          <cell r="AB128">
            <v>10</v>
          </cell>
        </row>
        <row r="129">
          <cell r="A129">
            <v>2480672423</v>
          </cell>
          <cell r="V129">
            <v>1140</v>
          </cell>
          <cell r="AA129">
            <v>1140</v>
          </cell>
          <cell r="AB129">
            <v>10</v>
          </cell>
        </row>
        <row r="130">
          <cell r="A130">
            <v>2480672423</v>
          </cell>
          <cell r="V130">
            <v>1013.3333333333335</v>
          </cell>
          <cell r="AA130">
            <v>1013.3333333333335</v>
          </cell>
          <cell r="AB130">
            <v>10</v>
          </cell>
        </row>
        <row r="131">
          <cell r="A131">
            <v>2480672423</v>
          </cell>
          <cell r="V131">
            <v>126.66666666666652</v>
          </cell>
          <cell r="AA131">
            <v>126.66666666666652</v>
          </cell>
          <cell r="AB131">
            <v>10</v>
          </cell>
        </row>
        <row r="132">
          <cell r="A132">
            <v>2549353601</v>
          </cell>
          <cell r="V132">
            <v>886.66666666666697</v>
          </cell>
          <cell r="AA132">
            <v>886.66666666666697</v>
          </cell>
          <cell r="AB132">
            <v>10</v>
          </cell>
        </row>
        <row r="133">
          <cell r="A133">
            <v>2549353601</v>
          </cell>
          <cell r="V133">
            <v>2533.3333333333335</v>
          </cell>
          <cell r="AA133">
            <v>2533.3333333333335</v>
          </cell>
          <cell r="AB133">
            <v>10</v>
          </cell>
        </row>
        <row r="134">
          <cell r="A134">
            <v>2508021819</v>
          </cell>
          <cell r="V134">
            <v>3500</v>
          </cell>
          <cell r="AA134">
            <v>3500</v>
          </cell>
          <cell r="AB134">
            <v>10</v>
          </cell>
        </row>
        <row r="135">
          <cell r="A135">
            <v>2571312939</v>
          </cell>
          <cell r="V135">
            <v>3500</v>
          </cell>
          <cell r="AA135">
            <v>3500</v>
          </cell>
          <cell r="AB135">
            <v>10</v>
          </cell>
        </row>
        <row r="136">
          <cell r="A136">
            <v>2530250667</v>
          </cell>
          <cell r="V136">
            <v>3800</v>
          </cell>
          <cell r="AA136">
            <v>3800</v>
          </cell>
          <cell r="AB136">
            <v>10</v>
          </cell>
        </row>
        <row r="137">
          <cell r="A137">
            <v>2546840709</v>
          </cell>
          <cell r="V137">
            <v>3500</v>
          </cell>
          <cell r="AA137">
            <v>3500</v>
          </cell>
          <cell r="AB137">
            <v>10</v>
          </cell>
        </row>
        <row r="138">
          <cell r="A138">
            <v>2558884520</v>
          </cell>
          <cell r="V138">
            <v>3733.3333333333335</v>
          </cell>
          <cell r="AA138">
            <v>3733.3333333333335</v>
          </cell>
          <cell r="AB138">
            <v>10</v>
          </cell>
        </row>
        <row r="139">
          <cell r="A139">
            <v>2579698164</v>
          </cell>
          <cell r="V139">
            <v>3926.6666666666665</v>
          </cell>
          <cell r="AA139">
            <v>3926.6666666666665</v>
          </cell>
          <cell r="AB139">
            <v>10</v>
          </cell>
        </row>
        <row r="140">
          <cell r="A140">
            <v>2576646273</v>
          </cell>
          <cell r="V140">
            <v>3500</v>
          </cell>
          <cell r="AA140">
            <v>3500</v>
          </cell>
          <cell r="AB140">
            <v>10</v>
          </cell>
        </row>
        <row r="141">
          <cell r="A141">
            <v>2579447125</v>
          </cell>
          <cell r="V141">
            <v>2566.666666666667</v>
          </cell>
          <cell r="AA141">
            <v>2566.666666666667</v>
          </cell>
          <cell r="AB141">
            <v>10</v>
          </cell>
        </row>
        <row r="142">
          <cell r="A142">
            <v>2580479455</v>
          </cell>
          <cell r="V142">
            <v>2293.3333333333335</v>
          </cell>
          <cell r="AA142">
            <v>2293.3333333333335</v>
          </cell>
          <cell r="AB142">
            <v>10</v>
          </cell>
        </row>
        <row r="143">
          <cell r="A143">
            <v>2470446069</v>
          </cell>
          <cell r="V143">
            <v>3500</v>
          </cell>
          <cell r="AA143">
            <v>3500</v>
          </cell>
          <cell r="AB143">
            <v>10</v>
          </cell>
        </row>
        <row r="144">
          <cell r="A144">
            <v>2566390569</v>
          </cell>
          <cell r="V144">
            <v>6000</v>
          </cell>
          <cell r="AA144">
            <v>6000</v>
          </cell>
          <cell r="AB144">
            <v>10</v>
          </cell>
        </row>
        <row r="145">
          <cell r="A145">
            <v>1125769230</v>
          </cell>
          <cell r="V145">
            <v>4000</v>
          </cell>
          <cell r="AA145">
            <v>4000</v>
          </cell>
          <cell r="AB145">
            <v>10</v>
          </cell>
        </row>
        <row r="146">
          <cell r="A146">
            <v>2567234931</v>
          </cell>
          <cell r="V146">
            <v>4000</v>
          </cell>
          <cell r="AA146">
            <v>4000</v>
          </cell>
          <cell r="AB146">
            <v>11</v>
          </cell>
        </row>
        <row r="147">
          <cell r="A147">
            <v>2517544140</v>
          </cell>
          <cell r="V147">
            <v>2666.666666666667</v>
          </cell>
          <cell r="AA147">
            <v>2666.666666666667</v>
          </cell>
          <cell r="AB147">
            <v>11</v>
          </cell>
        </row>
        <row r="148">
          <cell r="V148">
            <v>400</v>
          </cell>
          <cell r="AA148">
            <v>400</v>
          </cell>
          <cell r="AB148">
            <v>11</v>
          </cell>
        </row>
        <row r="149">
          <cell r="A149">
            <v>2575650854</v>
          </cell>
          <cell r="V149">
            <v>3466.666666666667</v>
          </cell>
          <cell r="AA149">
            <v>3466.666666666667</v>
          </cell>
          <cell r="AB149">
            <v>11</v>
          </cell>
        </row>
        <row r="150">
          <cell r="A150">
            <v>2299375358</v>
          </cell>
          <cell r="V150">
            <v>3300</v>
          </cell>
          <cell r="AA150">
            <v>3300</v>
          </cell>
          <cell r="AB150">
            <v>11</v>
          </cell>
        </row>
        <row r="151">
          <cell r="A151">
            <v>2544958321</v>
          </cell>
          <cell r="V151">
            <v>3927</v>
          </cell>
          <cell r="AA151">
            <v>3927</v>
          </cell>
          <cell r="AB151">
            <v>11</v>
          </cell>
        </row>
        <row r="152">
          <cell r="A152">
            <v>2582881260</v>
          </cell>
          <cell r="V152">
            <v>1518</v>
          </cell>
          <cell r="AA152">
            <v>1518</v>
          </cell>
          <cell r="AB152">
            <v>11</v>
          </cell>
        </row>
        <row r="153">
          <cell r="A153">
            <v>2365462643</v>
          </cell>
          <cell r="V153">
            <v>3650</v>
          </cell>
          <cell r="AA153">
            <v>3650</v>
          </cell>
          <cell r="AB153">
            <v>11</v>
          </cell>
        </row>
        <row r="154">
          <cell r="A154">
            <v>2532248339</v>
          </cell>
          <cell r="V154">
            <v>3500</v>
          </cell>
          <cell r="AA154">
            <v>3500</v>
          </cell>
          <cell r="AB154">
            <v>11</v>
          </cell>
        </row>
        <row r="155">
          <cell r="A155">
            <v>2560990554</v>
          </cell>
          <cell r="V155">
            <v>3600</v>
          </cell>
          <cell r="AA155">
            <v>3600</v>
          </cell>
          <cell r="AB155">
            <v>11</v>
          </cell>
        </row>
        <row r="156">
          <cell r="A156">
            <v>2539356986</v>
          </cell>
          <cell r="V156">
            <v>3500</v>
          </cell>
          <cell r="AA156">
            <v>3500</v>
          </cell>
          <cell r="AB156">
            <v>11</v>
          </cell>
        </row>
        <row r="157">
          <cell r="A157">
            <v>2480672423</v>
          </cell>
          <cell r="V157">
            <v>3800</v>
          </cell>
          <cell r="AA157">
            <v>3800</v>
          </cell>
          <cell r="AB157">
            <v>11</v>
          </cell>
        </row>
        <row r="158">
          <cell r="A158">
            <v>2508021819</v>
          </cell>
          <cell r="V158">
            <v>3616.6666666666665</v>
          </cell>
          <cell r="AA158">
            <v>3616.6666666666665</v>
          </cell>
          <cell r="AB158">
            <v>11</v>
          </cell>
        </row>
        <row r="159">
          <cell r="A159">
            <v>2571312939</v>
          </cell>
          <cell r="V159">
            <v>3350</v>
          </cell>
          <cell r="AA159">
            <v>3350</v>
          </cell>
          <cell r="AB159">
            <v>11</v>
          </cell>
        </row>
        <row r="160">
          <cell r="A160">
            <v>2530250667</v>
          </cell>
          <cell r="V160">
            <v>633.33333333333348</v>
          </cell>
          <cell r="AA160">
            <v>633.33333333333348</v>
          </cell>
          <cell r="AB160">
            <v>11</v>
          </cell>
        </row>
        <row r="161">
          <cell r="A161">
            <v>2549091284</v>
          </cell>
          <cell r="V161">
            <v>2100</v>
          </cell>
          <cell r="AA161">
            <v>2100</v>
          </cell>
          <cell r="AB161">
            <v>11</v>
          </cell>
        </row>
        <row r="162">
          <cell r="A162">
            <v>2546840709</v>
          </cell>
          <cell r="V162">
            <v>3500</v>
          </cell>
          <cell r="AA162">
            <v>3500</v>
          </cell>
          <cell r="AB162">
            <v>11</v>
          </cell>
        </row>
        <row r="163">
          <cell r="A163">
            <v>2558884520</v>
          </cell>
          <cell r="V163">
            <v>3616.6666666666665</v>
          </cell>
          <cell r="AA163">
            <v>3616.6666666666665</v>
          </cell>
          <cell r="AB163">
            <v>11</v>
          </cell>
        </row>
        <row r="164">
          <cell r="A164">
            <v>2579698164</v>
          </cell>
          <cell r="V164">
            <v>3926.6666666666665</v>
          </cell>
          <cell r="AA164">
            <v>3926.6666666666665</v>
          </cell>
          <cell r="AB164">
            <v>11</v>
          </cell>
        </row>
        <row r="165">
          <cell r="A165">
            <v>2557048200</v>
          </cell>
          <cell r="V165">
            <v>1520</v>
          </cell>
          <cell r="AA165">
            <v>1520</v>
          </cell>
          <cell r="AB165">
            <v>11</v>
          </cell>
        </row>
        <row r="166">
          <cell r="A166">
            <v>2557048200</v>
          </cell>
          <cell r="V166">
            <v>760</v>
          </cell>
          <cell r="AA166">
            <v>760</v>
          </cell>
          <cell r="AB166">
            <v>11</v>
          </cell>
        </row>
        <row r="167">
          <cell r="V167">
            <v>3293.3333333333335</v>
          </cell>
          <cell r="AA167">
            <v>3293.3333333333335</v>
          </cell>
          <cell r="AB167">
            <v>11</v>
          </cell>
        </row>
        <row r="168">
          <cell r="A168">
            <v>2576646273</v>
          </cell>
          <cell r="V168">
            <v>1866.6666666666667</v>
          </cell>
          <cell r="AA168">
            <v>1866.6666666666667</v>
          </cell>
          <cell r="AB168">
            <v>11</v>
          </cell>
        </row>
        <row r="169">
          <cell r="A169">
            <v>2576646273</v>
          </cell>
          <cell r="V169">
            <v>1633.3333333333335</v>
          </cell>
          <cell r="AA169">
            <v>1633.3333333333335</v>
          </cell>
          <cell r="AB169">
            <v>11</v>
          </cell>
        </row>
        <row r="170">
          <cell r="A170">
            <v>2579447125</v>
          </cell>
          <cell r="V170">
            <v>2333.3333333333335</v>
          </cell>
          <cell r="AA170">
            <v>2333.3333333333335</v>
          </cell>
          <cell r="AB170">
            <v>11</v>
          </cell>
        </row>
        <row r="171">
          <cell r="A171">
            <v>2580479455</v>
          </cell>
          <cell r="V171">
            <v>4300</v>
          </cell>
          <cell r="AA171">
            <v>4300</v>
          </cell>
          <cell r="AB171">
            <v>11</v>
          </cell>
        </row>
        <row r="172">
          <cell r="V172">
            <v>640</v>
          </cell>
          <cell r="AA172">
            <v>640</v>
          </cell>
          <cell r="AB172">
            <v>11</v>
          </cell>
        </row>
        <row r="173">
          <cell r="A173">
            <v>2576789925</v>
          </cell>
          <cell r="V173">
            <v>1500</v>
          </cell>
          <cell r="AA173">
            <v>1500</v>
          </cell>
          <cell r="AB173">
            <v>11</v>
          </cell>
        </row>
        <row r="174">
          <cell r="A174">
            <v>2470446069</v>
          </cell>
          <cell r="V174">
            <v>3500</v>
          </cell>
          <cell r="AA174">
            <v>3500</v>
          </cell>
          <cell r="AB174">
            <v>11</v>
          </cell>
        </row>
        <row r="175">
          <cell r="A175">
            <v>2566390569</v>
          </cell>
          <cell r="V175">
            <v>6000</v>
          </cell>
          <cell r="AA175">
            <v>6000</v>
          </cell>
          <cell r="AB175">
            <v>11</v>
          </cell>
        </row>
        <row r="176">
          <cell r="A176">
            <v>1125769230</v>
          </cell>
          <cell r="V176">
            <v>4000</v>
          </cell>
          <cell r="AA176">
            <v>4000</v>
          </cell>
          <cell r="AB176">
            <v>11</v>
          </cell>
        </row>
        <row r="177">
          <cell r="A177">
            <v>2567234931</v>
          </cell>
          <cell r="V177">
            <v>4000</v>
          </cell>
          <cell r="AA177">
            <v>4000</v>
          </cell>
          <cell r="AB177">
            <v>12</v>
          </cell>
        </row>
        <row r="178">
          <cell r="A178">
            <v>2517544140</v>
          </cell>
          <cell r="V178">
            <v>3066.666666666667</v>
          </cell>
          <cell r="AA178">
            <v>3066.666666666667</v>
          </cell>
          <cell r="AB178">
            <v>12</v>
          </cell>
        </row>
        <row r="179">
          <cell r="A179">
            <v>2575650854</v>
          </cell>
          <cell r="V179">
            <v>4520</v>
          </cell>
          <cell r="AA179">
            <v>4520</v>
          </cell>
          <cell r="AB179">
            <v>12</v>
          </cell>
        </row>
        <row r="180">
          <cell r="A180">
            <v>2299375358</v>
          </cell>
          <cell r="V180">
            <v>3300</v>
          </cell>
          <cell r="AA180">
            <v>3300</v>
          </cell>
          <cell r="AB180">
            <v>12</v>
          </cell>
        </row>
        <row r="181">
          <cell r="A181">
            <v>2544958321</v>
          </cell>
          <cell r="V181">
            <v>4070</v>
          </cell>
          <cell r="AA181">
            <v>4070</v>
          </cell>
          <cell r="AB181">
            <v>12</v>
          </cell>
        </row>
        <row r="182">
          <cell r="A182">
            <v>2582881260</v>
          </cell>
          <cell r="V182">
            <v>3531</v>
          </cell>
          <cell r="AA182">
            <v>3531</v>
          </cell>
          <cell r="AB182">
            <v>12</v>
          </cell>
        </row>
        <row r="183">
          <cell r="A183">
            <v>2365462643</v>
          </cell>
          <cell r="V183">
            <v>3950</v>
          </cell>
          <cell r="AA183">
            <v>3950</v>
          </cell>
          <cell r="AB183">
            <v>12</v>
          </cell>
        </row>
        <row r="184">
          <cell r="A184">
            <v>2532248339</v>
          </cell>
          <cell r="V184">
            <v>3500</v>
          </cell>
          <cell r="AA184">
            <v>3500</v>
          </cell>
          <cell r="AB184">
            <v>12</v>
          </cell>
        </row>
        <row r="185">
          <cell r="A185">
            <v>2560990554</v>
          </cell>
          <cell r="V185">
            <v>3383.3333333333335</v>
          </cell>
          <cell r="AA185">
            <v>3383.3333333333335</v>
          </cell>
          <cell r="AB185">
            <v>12</v>
          </cell>
        </row>
        <row r="186">
          <cell r="A186">
            <v>2539356986</v>
          </cell>
          <cell r="V186">
            <v>3500</v>
          </cell>
          <cell r="AA186">
            <v>3500</v>
          </cell>
          <cell r="AB186">
            <v>12</v>
          </cell>
        </row>
        <row r="187">
          <cell r="A187">
            <v>2480672423</v>
          </cell>
          <cell r="V187">
            <v>3914</v>
          </cell>
          <cell r="AA187">
            <v>3914</v>
          </cell>
          <cell r="AB187">
            <v>12</v>
          </cell>
        </row>
        <row r="188">
          <cell r="A188">
            <v>2508021819</v>
          </cell>
          <cell r="V188">
            <v>3733.3333333333335</v>
          </cell>
          <cell r="AA188">
            <v>3733.3333333333335</v>
          </cell>
          <cell r="AB188">
            <v>12</v>
          </cell>
        </row>
        <row r="189">
          <cell r="A189">
            <v>2571312939</v>
          </cell>
          <cell r="V189">
            <v>3650</v>
          </cell>
          <cell r="AA189">
            <v>3650</v>
          </cell>
          <cell r="AB189">
            <v>12</v>
          </cell>
        </row>
        <row r="190">
          <cell r="A190">
            <v>2549091284</v>
          </cell>
          <cell r="V190">
            <v>3500</v>
          </cell>
          <cell r="AA190">
            <v>3500</v>
          </cell>
          <cell r="AB190">
            <v>12</v>
          </cell>
        </row>
        <row r="191">
          <cell r="A191">
            <v>2546840709</v>
          </cell>
          <cell r="V191">
            <v>3616.6666666666665</v>
          </cell>
          <cell r="AA191">
            <v>3616.6666666666665</v>
          </cell>
          <cell r="AB191">
            <v>12</v>
          </cell>
        </row>
        <row r="192">
          <cell r="A192">
            <v>2558884520</v>
          </cell>
          <cell r="V192">
            <v>3733.3333333333335</v>
          </cell>
          <cell r="AA192">
            <v>3733.3333333333335</v>
          </cell>
          <cell r="AB192">
            <v>12</v>
          </cell>
        </row>
        <row r="193">
          <cell r="A193">
            <v>2579698164</v>
          </cell>
          <cell r="V193">
            <v>4028</v>
          </cell>
          <cell r="AA193">
            <v>4028</v>
          </cell>
          <cell r="AB193">
            <v>12</v>
          </cell>
        </row>
        <row r="194">
          <cell r="A194">
            <v>2557048200</v>
          </cell>
          <cell r="V194">
            <v>3850.6666666666665</v>
          </cell>
          <cell r="AA194">
            <v>3850.6666666666665</v>
          </cell>
          <cell r="AB194">
            <v>12</v>
          </cell>
        </row>
        <row r="195">
          <cell r="A195">
            <v>2576646273</v>
          </cell>
          <cell r="V195">
            <v>3500</v>
          </cell>
          <cell r="AA195">
            <v>3500</v>
          </cell>
          <cell r="AB195">
            <v>12</v>
          </cell>
        </row>
        <row r="196">
          <cell r="A196">
            <v>2580479455</v>
          </cell>
          <cell r="V196">
            <v>4300</v>
          </cell>
          <cell r="AA196">
            <v>4300</v>
          </cell>
          <cell r="AB196">
            <v>12</v>
          </cell>
        </row>
        <row r="197">
          <cell r="V197">
            <v>3200</v>
          </cell>
          <cell r="AA197">
            <v>3200</v>
          </cell>
          <cell r="AB197">
            <v>12</v>
          </cell>
        </row>
        <row r="198">
          <cell r="A198">
            <v>2576789925</v>
          </cell>
          <cell r="V198">
            <v>2333.333333333333</v>
          </cell>
          <cell r="AA198">
            <v>2333.333333333333</v>
          </cell>
          <cell r="AB198">
            <v>12</v>
          </cell>
        </row>
        <row r="199">
          <cell r="A199">
            <v>2576789925</v>
          </cell>
          <cell r="V199">
            <v>253.33333333333348</v>
          </cell>
          <cell r="AA199">
            <v>253.33333333333348</v>
          </cell>
          <cell r="AB199">
            <v>12</v>
          </cell>
        </row>
        <row r="200">
          <cell r="A200">
            <v>2572597538</v>
          </cell>
          <cell r="V200">
            <v>2811.6666666666665</v>
          </cell>
          <cell r="AA200">
            <v>2811.6666666666665</v>
          </cell>
          <cell r="AB200">
            <v>12</v>
          </cell>
        </row>
        <row r="201">
          <cell r="A201">
            <v>2470446069</v>
          </cell>
          <cell r="V201">
            <v>3500</v>
          </cell>
          <cell r="AA201">
            <v>3500</v>
          </cell>
          <cell r="AB201">
            <v>12</v>
          </cell>
        </row>
        <row r="202">
          <cell r="A202">
            <v>2566390569</v>
          </cell>
          <cell r="V202">
            <v>6000</v>
          </cell>
          <cell r="AA202">
            <v>6000</v>
          </cell>
          <cell r="AB202">
            <v>12</v>
          </cell>
        </row>
        <row r="203">
          <cell r="A203">
            <v>1125769230</v>
          </cell>
          <cell r="V203">
            <v>4000</v>
          </cell>
          <cell r="AA203">
            <v>4000</v>
          </cell>
          <cell r="AB203">
            <v>12</v>
          </cell>
        </row>
        <row r="204">
          <cell r="V204">
            <v>607332.13333333354</v>
          </cell>
          <cell r="AA204">
            <v>606762.13333333354</v>
          </cell>
        </row>
      </sheetData>
      <sheetData sheetId="1"/>
      <sheetData sheetId="2">
        <row r="3">
          <cell r="B3" t="str">
            <v>ID</v>
          </cell>
          <cell r="C3" t="str">
            <v>Employee Name</v>
          </cell>
          <cell r="D3" t="str">
            <v>CHK</v>
          </cell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 t="str">
            <v>Total</v>
          </cell>
        </row>
        <row r="4">
          <cell r="D4" t="str">
            <v>NO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D5" t="str">
            <v>NO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D6" t="str">
            <v>NO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D7" t="str">
            <v>NO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D8" t="str">
            <v>NO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D9" t="str">
            <v>NO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D10" t="str">
            <v>NO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D11" t="str">
            <v>NO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D12" t="str">
            <v>NO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D13" t="str">
            <v>NO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D14" t="str">
            <v>NO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D15" t="str">
            <v>NO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D16" t="str">
            <v>NO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D17" t="str">
            <v>NO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D18" t="str">
            <v>NO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D19" t="str">
            <v>NO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D20" t="str">
            <v>NO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D21" t="str">
            <v>NO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D22" t="str">
            <v>NO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D23" t="str">
            <v>NO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D24" t="str">
            <v>NO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D25" t="str">
            <v>NO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D26" t="str">
            <v>NO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D27" t="str">
            <v>NO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D28" t="str">
            <v>NO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D29" t="str">
            <v>NO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D30" t="str">
            <v>NO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D31" t="str">
            <v>NO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D32" t="str">
            <v>NO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D33" t="str">
            <v>NO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B34">
            <v>2557048200</v>
          </cell>
          <cell r="C34" t="str">
            <v>Anwar Ali</v>
          </cell>
          <cell r="D34" t="str">
            <v>NO</v>
          </cell>
          <cell r="E34">
            <v>4140</v>
          </cell>
          <cell r="F34">
            <v>4042.6666666666665</v>
          </cell>
          <cell r="G34">
            <v>3712</v>
          </cell>
          <cell r="H34">
            <v>4106.666666666667</v>
          </cell>
          <cell r="I34">
            <v>4351.666666666667</v>
          </cell>
          <cell r="J34">
            <v>3710.0000000000005</v>
          </cell>
          <cell r="K34">
            <v>3733.3333333333335</v>
          </cell>
          <cell r="L34">
            <v>4192.666666666667</v>
          </cell>
          <cell r="M34">
            <v>4420.666666666667</v>
          </cell>
          <cell r="N34">
            <v>4585.333333333333</v>
          </cell>
          <cell r="O34">
            <v>2280</v>
          </cell>
          <cell r="P34">
            <v>3850.6666666666665</v>
          </cell>
          <cell r="Q34">
            <v>47125.666666666664</v>
          </cell>
        </row>
        <row r="35">
          <cell r="B35">
            <v>2517544140</v>
          </cell>
          <cell r="C35" t="str">
            <v>Mina Zar</v>
          </cell>
          <cell r="D35" t="str">
            <v>NO</v>
          </cell>
          <cell r="E35">
            <v>4532</v>
          </cell>
          <cell r="F35">
            <v>4410</v>
          </cell>
          <cell r="G35">
            <v>4106.666666666667</v>
          </cell>
          <cell r="H35">
            <v>3826.6666666666665</v>
          </cell>
          <cell r="I35">
            <v>3500.0000000000005</v>
          </cell>
          <cell r="J35">
            <v>4000</v>
          </cell>
          <cell r="K35">
            <v>4000</v>
          </cell>
          <cell r="L35">
            <v>0</v>
          </cell>
          <cell r="M35">
            <v>7906.6666666666679</v>
          </cell>
          <cell r="N35">
            <v>4840</v>
          </cell>
          <cell r="O35">
            <v>2666.666666666667</v>
          </cell>
          <cell r="P35">
            <v>3066.666666666667</v>
          </cell>
          <cell r="Q35">
            <v>46855.333333333328</v>
          </cell>
        </row>
        <row r="36">
          <cell r="C36" t="str">
            <v>Sher Ali Afzal</v>
          </cell>
          <cell r="D36" t="str">
            <v>NO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 t="str">
            <v>Irfan Ullah</v>
          </cell>
          <cell r="D37" t="str">
            <v>NO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>
            <v>2470446069</v>
          </cell>
          <cell r="C38" t="str">
            <v>Juma Zar Badshah Zar</v>
          </cell>
          <cell r="D38" t="str">
            <v>NO</v>
          </cell>
          <cell r="E38">
            <v>3500</v>
          </cell>
          <cell r="F38">
            <v>3500</v>
          </cell>
          <cell r="G38">
            <v>3500</v>
          </cell>
          <cell r="H38">
            <v>3500</v>
          </cell>
          <cell r="I38">
            <v>3500</v>
          </cell>
          <cell r="J38">
            <v>3500</v>
          </cell>
          <cell r="K38">
            <v>3500</v>
          </cell>
          <cell r="L38">
            <v>3500</v>
          </cell>
          <cell r="M38">
            <v>3500</v>
          </cell>
          <cell r="N38">
            <v>3500</v>
          </cell>
          <cell r="O38">
            <v>3500</v>
          </cell>
          <cell r="P38">
            <v>3500</v>
          </cell>
          <cell r="Q38">
            <v>42000</v>
          </cell>
        </row>
        <row r="39">
          <cell r="B39">
            <v>2567234931</v>
          </cell>
          <cell r="C39" t="str">
            <v>Aqal Zar</v>
          </cell>
          <cell r="D39" t="str">
            <v>NO</v>
          </cell>
          <cell r="E39">
            <v>0</v>
          </cell>
          <cell r="F39">
            <v>700</v>
          </cell>
          <cell r="G39">
            <v>4060</v>
          </cell>
          <cell r="H39">
            <v>4246.666666666667</v>
          </cell>
          <cell r="I39">
            <v>4293.333333333333</v>
          </cell>
          <cell r="J39">
            <v>420</v>
          </cell>
          <cell r="K39">
            <v>0</v>
          </cell>
          <cell r="L39">
            <v>5000</v>
          </cell>
          <cell r="M39">
            <v>493.33333333333348</v>
          </cell>
          <cell r="N39">
            <v>4000</v>
          </cell>
          <cell r="O39">
            <v>4000</v>
          </cell>
          <cell r="P39">
            <v>4000</v>
          </cell>
          <cell r="Q39">
            <v>31213.333333333332</v>
          </cell>
        </row>
        <row r="40">
          <cell r="B40">
            <v>2567234931</v>
          </cell>
          <cell r="C40" t="str">
            <v>Mina Zar</v>
          </cell>
          <cell r="D40" t="str">
            <v>NO</v>
          </cell>
          <cell r="E40">
            <v>0</v>
          </cell>
          <cell r="F40">
            <v>700</v>
          </cell>
          <cell r="G40">
            <v>4060</v>
          </cell>
          <cell r="H40">
            <v>4246.666666666667</v>
          </cell>
          <cell r="I40">
            <v>4293.333333333333</v>
          </cell>
          <cell r="J40">
            <v>420</v>
          </cell>
          <cell r="K40">
            <v>0</v>
          </cell>
          <cell r="L40">
            <v>5000</v>
          </cell>
          <cell r="M40">
            <v>493.33333333333348</v>
          </cell>
          <cell r="N40">
            <v>4000</v>
          </cell>
          <cell r="O40">
            <v>4000</v>
          </cell>
          <cell r="P40">
            <v>4000</v>
          </cell>
          <cell r="Q40">
            <v>31213.333333333332</v>
          </cell>
        </row>
        <row r="41">
          <cell r="B41">
            <v>2517544140</v>
          </cell>
          <cell r="C41" t="str">
            <v>Aqal Zar</v>
          </cell>
          <cell r="D41" t="str">
            <v>NO</v>
          </cell>
          <cell r="E41">
            <v>4532</v>
          </cell>
          <cell r="F41">
            <v>4410</v>
          </cell>
          <cell r="G41">
            <v>4106.666666666667</v>
          </cell>
          <cell r="H41">
            <v>3826.6666666666665</v>
          </cell>
          <cell r="I41">
            <v>3500.0000000000005</v>
          </cell>
          <cell r="J41">
            <v>4000</v>
          </cell>
          <cell r="K41">
            <v>4000</v>
          </cell>
          <cell r="L41">
            <v>0</v>
          </cell>
          <cell r="M41">
            <v>7906.6666666666679</v>
          </cell>
          <cell r="N41">
            <v>4840</v>
          </cell>
          <cell r="O41">
            <v>2666.666666666667</v>
          </cell>
          <cell r="P41">
            <v>3066.666666666667</v>
          </cell>
          <cell r="Q41">
            <v>46855.333333333328</v>
          </cell>
        </row>
        <row r="42">
          <cell r="B42">
            <v>2544958495</v>
          </cell>
          <cell r="C42" t="str">
            <v>Salman/Vijay Kumar</v>
          </cell>
          <cell r="D42" t="str">
            <v>NO</v>
          </cell>
          <cell r="E42">
            <v>0</v>
          </cell>
          <cell r="F42">
            <v>0</v>
          </cell>
          <cell r="G42">
            <v>850.76666666666688</v>
          </cell>
          <cell r="H42">
            <v>3100</v>
          </cell>
          <cell r="I42">
            <v>2300</v>
          </cell>
          <cell r="J42">
            <v>3060</v>
          </cell>
          <cell r="K42">
            <v>800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10110.766666666666</v>
          </cell>
        </row>
        <row r="43">
          <cell r="B43">
            <v>2524483936</v>
          </cell>
          <cell r="C43" t="str">
            <v>Mandeep</v>
          </cell>
          <cell r="D43" t="str">
            <v>NO</v>
          </cell>
          <cell r="E43">
            <v>0</v>
          </cell>
          <cell r="F43">
            <v>0</v>
          </cell>
          <cell r="G43">
            <v>850.76666666666688</v>
          </cell>
          <cell r="H43">
            <v>3100</v>
          </cell>
          <cell r="I43">
            <v>2000</v>
          </cell>
          <cell r="J43">
            <v>3000</v>
          </cell>
          <cell r="K43">
            <v>3000</v>
          </cell>
          <cell r="L43">
            <v>3000</v>
          </cell>
          <cell r="M43">
            <v>3090</v>
          </cell>
          <cell r="N43">
            <v>200</v>
          </cell>
          <cell r="O43">
            <v>0</v>
          </cell>
          <cell r="P43">
            <v>0</v>
          </cell>
          <cell r="Q43">
            <v>18240.766666666666</v>
          </cell>
        </row>
        <row r="44">
          <cell r="B44">
            <v>2547031670</v>
          </cell>
          <cell r="C44" t="str">
            <v>Lufti Mohammaed</v>
          </cell>
          <cell r="D44" t="str">
            <v>NO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350</v>
          </cell>
          <cell r="J44">
            <v>4186.666666666667</v>
          </cell>
          <cell r="K44">
            <v>4533.333333333333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9070</v>
          </cell>
        </row>
        <row r="45">
          <cell r="B45">
            <v>2544958495</v>
          </cell>
          <cell r="C45" t="str">
            <v>Vijay Kumar</v>
          </cell>
          <cell r="D45" t="str">
            <v>NO</v>
          </cell>
          <cell r="E45">
            <v>0</v>
          </cell>
          <cell r="F45">
            <v>0</v>
          </cell>
          <cell r="G45">
            <v>850.76666666666688</v>
          </cell>
          <cell r="H45">
            <v>3100</v>
          </cell>
          <cell r="I45">
            <v>2300</v>
          </cell>
          <cell r="J45">
            <v>3060</v>
          </cell>
          <cell r="K45">
            <v>800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10110.766666666666</v>
          </cell>
        </row>
        <row r="46">
          <cell r="B46">
            <v>2365462643</v>
          </cell>
          <cell r="C46" t="str">
            <v>Ali Ahmed</v>
          </cell>
          <cell r="D46" t="str">
            <v>NO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1250</v>
          </cell>
          <cell r="J46">
            <v>3500</v>
          </cell>
          <cell r="K46">
            <v>3650.2666666666669</v>
          </cell>
          <cell r="L46">
            <v>3733.3333333333335</v>
          </cell>
          <cell r="M46">
            <v>3950</v>
          </cell>
          <cell r="N46">
            <v>3850</v>
          </cell>
          <cell r="O46">
            <v>3650</v>
          </cell>
          <cell r="P46">
            <v>3950</v>
          </cell>
          <cell r="Q46">
            <v>27533.599999999999</v>
          </cell>
        </row>
        <row r="47">
          <cell r="B47">
            <v>2532248339</v>
          </cell>
          <cell r="C47" t="str">
            <v>Farhan Ahmed</v>
          </cell>
          <cell r="D47" t="str">
            <v>NO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350</v>
          </cell>
          <cell r="J47">
            <v>3500</v>
          </cell>
          <cell r="K47">
            <v>3500</v>
          </cell>
          <cell r="L47">
            <v>3500</v>
          </cell>
          <cell r="M47">
            <v>3500</v>
          </cell>
          <cell r="N47">
            <v>3500</v>
          </cell>
          <cell r="O47">
            <v>3500</v>
          </cell>
          <cell r="P47">
            <v>3500</v>
          </cell>
          <cell r="Q47">
            <v>24850</v>
          </cell>
        </row>
        <row r="48">
          <cell r="B48">
            <v>2568265728</v>
          </cell>
          <cell r="C48" t="str">
            <v>Israr</v>
          </cell>
          <cell r="D48" t="str">
            <v>NO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400</v>
          </cell>
          <cell r="J48">
            <v>4000</v>
          </cell>
          <cell r="K48">
            <v>4000</v>
          </cell>
          <cell r="L48">
            <v>3800</v>
          </cell>
          <cell r="M48">
            <v>1466.666666666667</v>
          </cell>
          <cell r="N48">
            <v>0</v>
          </cell>
          <cell r="O48">
            <v>0</v>
          </cell>
          <cell r="P48">
            <v>0</v>
          </cell>
          <cell r="Q48">
            <v>13666.666666666668</v>
          </cell>
        </row>
        <row r="49">
          <cell r="B49">
            <v>2543126383</v>
          </cell>
          <cell r="C49" t="str">
            <v>Zaib Saqib</v>
          </cell>
          <cell r="D49" t="str">
            <v>NO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3949.3333333333335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3949.3333333333335</v>
          </cell>
        </row>
        <row r="50">
          <cell r="B50">
            <v>2547031670</v>
          </cell>
          <cell r="C50" t="str">
            <v>Lutfi Mohammed</v>
          </cell>
          <cell r="D50" t="str">
            <v>NO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350</v>
          </cell>
          <cell r="J50">
            <v>4186.666666666667</v>
          </cell>
          <cell r="K50">
            <v>4533.333333333333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9070</v>
          </cell>
        </row>
        <row r="51">
          <cell r="C51" t="str">
            <v>Babar Hussain</v>
          </cell>
          <cell r="D51" t="str">
            <v>NO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2544958321</v>
          </cell>
          <cell r="C52" t="str">
            <v>Indresh Rajendra</v>
          </cell>
          <cell r="D52" t="str">
            <v>NO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2200</v>
          </cell>
          <cell r="L52">
            <v>3160</v>
          </cell>
          <cell r="M52">
            <v>2850</v>
          </cell>
          <cell r="N52">
            <v>3730</v>
          </cell>
          <cell r="O52">
            <v>3927</v>
          </cell>
          <cell r="P52">
            <v>4070</v>
          </cell>
          <cell r="Q52">
            <v>19937</v>
          </cell>
        </row>
        <row r="53">
          <cell r="B53">
            <v>2480672423</v>
          </cell>
          <cell r="C53" t="str">
            <v>Muhamamd Anwar</v>
          </cell>
          <cell r="D53" t="str">
            <v>NO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3166.666666666667</v>
          </cell>
          <cell r="L53">
            <v>3926.6666666666665</v>
          </cell>
          <cell r="M53">
            <v>3914</v>
          </cell>
          <cell r="N53">
            <v>3800</v>
          </cell>
          <cell r="O53">
            <v>3800</v>
          </cell>
          <cell r="P53">
            <v>3914</v>
          </cell>
          <cell r="Q53">
            <v>22521.333333333336</v>
          </cell>
        </row>
        <row r="54">
          <cell r="B54">
            <v>2560990554</v>
          </cell>
          <cell r="C54" t="str">
            <v>Kahlan Nabeel</v>
          </cell>
          <cell r="D54" t="str">
            <v>NO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3266.666666666667</v>
          </cell>
          <cell r="L54">
            <v>3500</v>
          </cell>
          <cell r="M54">
            <v>2683.3333333333335</v>
          </cell>
          <cell r="N54">
            <v>3600</v>
          </cell>
          <cell r="O54">
            <v>3600</v>
          </cell>
          <cell r="P54">
            <v>3383.3333333333335</v>
          </cell>
          <cell r="Q54">
            <v>20033.333333333332</v>
          </cell>
        </row>
        <row r="55">
          <cell r="B55">
            <v>2533088189</v>
          </cell>
          <cell r="C55" t="str">
            <v>Walayat Khan</v>
          </cell>
          <cell r="D55" t="str">
            <v>NO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2200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2200</v>
          </cell>
        </row>
        <row r="56">
          <cell r="B56">
            <v>2571312939</v>
          </cell>
          <cell r="C56" t="str">
            <v>Muhamed Moustafa</v>
          </cell>
          <cell r="D56" t="str">
            <v>NO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723.33333333333303</v>
          </cell>
          <cell r="L56">
            <v>3203.3333333333335</v>
          </cell>
          <cell r="M56">
            <v>3306.6666666666665</v>
          </cell>
          <cell r="N56">
            <v>3500</v>
          </cell>
          <cell r="O56">
            <v>3350</v>
          </cell>
          <cell r="P56">
            <v>3650</v>
          </cell>
          <cell r="Q56">
            <v>17733.333333333332</v>
          </cell>
        </row>
        <row r="57">
          <cell r="B57">
            <v>2530250667</v>
          </cell>
          <cell r="C57" t="str">
            <v>Basharat</v>
          </cell>
          <cell r="D57" t="str">
            <v>NO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1900</v>
          </cell>
          <cell r="L57">
            <v>3926.6666666666665</v>
          </cell>
          <cell r="M57">
            <v>3914</v>
          </cell>
          <cell r="N57">
            <v>3800</v>
          </cell>
          <cell r="O57">
            <v>633.33333333333348</v>
          </cell>
          <cell r="P57">
            <v>0</v>
          </cell>
          <cell r="Q57">
            <v>14174</v>
          </cell>
        </row>
        <row r="58">
          <cell r="B58">
            <v>2546840709</v>
          </cell>
          <cell r="C58" t="str">
            <v>Hidayat Ullah</v>
          </cell>
          <cell r="D58" t="str">
            <v>NO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933.33333333333348</v>
          </cell>
          <cell r="M58">
            <v>3500</v>
          </cell>
          <cell r="N58">
            <v>3500</v>
          </cell>
          <cell r="O58">
            <v>3500</v>
          </cell>
          <cell r="P58">
            <v>3616.6666666666665</v>
          </cell>
          <cell r="Q58">
            <v>15050</v>
          </cell>
        </row>
        <row r="59">
          <cell r="B59">
            <v>2558884520</v>
          </cell>
          <cell r="C59" t="str">
            <v>Saeed Ali Ahmed</v>
          </cell>
          <cell r="D59" t="str">
            <v>NO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700</v>
          </cell>
          <cell r="M59">
            <v>3616.6666666666665</v>
          </cell>
          <cell r="N59">
            <v>3733.3333333333335</v>
          </cell>
          <cell r="O59">
            <v>3616.6666666666665</v>
          </cell>
          <cell r="P59">
            <v>3733.3333333333335</v>
          </cell>
          <cell r="Q59">
            <v>15400</v>
          </cell>
        </row>
        <row r="60">
          <cell r="B60">
            <v>2579698164</v>
          </cell>
          <cell r="C60" t="str">
            <v>Azimullah Sinbar</v>
          </cell>
          <cell r="D60" t="str">
            <v>NO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760</v>
          </cell>
          <cell r="M60">
            <v>3800</v>
          </cell>
          <cell r="N60">
            <v>3926.6666666666665</v>
          </cell>
          <cell r="O60">
            <v>3926.6666666666665</v>
          </cell>
          <cell r="P60">
            <v>4028</v>
          </cell>
          <cell r="Q60">
            <v>16441.333333333332</v>
          </cell>
        </row>
        <row r="61">
          <cell r="B61">
            <v>2549353601</v>
          </cell>
          <cell r="C61" t="str">
            <v>Khaista Amir Hizar Khan </v>
          </cell>
          <cell r="D61" t="str">
            <v>NO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760</v>
          </cell>
          <cell r="M61">
            <v>3926.6666666666665</v>
          </cell>
          <cell r="N61">
            <v>3420.0000000000005</v>
          </cell>
          <cell r="O61">
            <v>0</v>
          </cell>
          <cell r="P61">
            <v>0</v>
          </cell>
          <cell r="Q61">
            <v>8106.6666666666661</v>
          </cell>
        </row>
        <row r="62">
          <cell r="B62">
            <v>2566390569</v>
          </cell>
          <cell r="C62" t="str">
            <v>Usman Ghani</v>
          </cell>
          <cell r="D62" t="str">
            <v>NO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6000</v>
          </cell>
          <cell r="M62">
            <v>6000</v>
          </cell>
          <cell r="N62">
            <v>6000</v>
          </cell>
          <cell r="O62">
            <v>6000</v>
          </cell>
          <cell r="P62">
            <v>6000</v>
          </cell>
          <cell r="Q62">
            <v>30000</v>
          </cell>
        </row>
        <row r="63">
          <cell r="B63">
            <v>1125769230</v>
          </cell>
          <cell r="C63" t="str">
            <v>Abdur Rehman</v>
          </cell>
          <cell r="D63" t="str">
            <v>NO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4000</v>
          </cell>
          <cell r="N63">
            <v>4000</v>
          </cell>
          <cell r="O63">
            <v>4000</v>
          </cell>
          <cell r="P63">
            <v>4000</v>
          </cell>
          <cell r="Q63">
            <v>16000</v>
          </cell>
        </row>
        <row r="64">
          <cell r="B64">
            <v>2560990554</v>
          </cell>
          <cell r="C64" t="str">
            <v>AL Khader Al Salem</v>
          </cell>
          <cell r="D64" t="str">
            <v>NO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3266.666666666667</v>
          </cell>
          <cell r="L64">
            <v>3500</v>
          </cell>
          <cell r="M64">
            <v>2683.3333333333335</v>
          </cell>
          <cell r="N64">
            <v>3600</v>
          </cell>
          <cell r="O64">
            <v>3600</v>
          </cell>
          <cell r="P64">
            <v>3383.3333333333335</v>
          </cell>
          <cell r="Q64">
            <v>20033.333333333332</v>
          </cell>
        </row>
        <row r="65">
          <cell r="B65">
            <v>2508021819</v>
          </cell>
          <cell r="C65" t="str">
            <v>Kahlan Nabeel</v>
          </cell>
          <cell r="D65" t="str">
            <v>NO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3500</v>
          </cell>
          <cell r="N65">
            <v>3500</v>
          </cell>
          <cell r="O65">
            <v>3616.6666666666665</v>
          </cell>
          <cell r="P65">
            <v>3733.3333333333335</v>
          </cell>
          <cell r="Q65">
            <v>14350</v>
          </cell>
        </row>
        <row r="66">
          <cell r="B66">
            <v>2576646273</v>
          </cell>
          <cell r="C66" t="str">
            <v>Muhammad Adil</v>
          </cell>
          <cell r="D66" t="str">
            <v>NO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1750</v>
          </cell>
          <cell r="N66">
            <v>3500</v>
          </cell>
          <cell r="O66">
            <v>3500</v>
          </cell>
          <cell r="P66">
            <v>3500</v>
          </cell>
          <cell r="Q66">
            <v>12250</v>
          </cell>
        </row>
        <row r="67">
          <cell r="B67">
            <v>2299375358</v>
          </cell>
          <cell r="C67" t="str">
            <v>Jamil Ahmad</v>
          </cell>
          <cell r="D67" t="str">
            <v>NO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990</v>
          </cell>
          <cell r="O67">
            <v>3300</v>
          </cell>
          <cell r="P67">
            <v>3300</v>
          </cell>
          <cell r="Q67">
            <v>7590</v>
          </cell>
        </row>
        <row r="68">
          <cell r="B68">
            <v>2540418601</v>
          </cell>
          <cell r="C68" t="str">
            <v>Sultan Ali</v>
          </cell>
          <cell r="D68" t="str">
            <v>NO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1848</v>
          </cell>
          <cell r="O68">
            <v>0</v>
          </cell>
          <cell r="P68">
            <v>0</v>
          </cell>
          <cell r="Q68">
            <v>1848</v>
          </cell>
        </row>
        <row r="69">
          <cell r="B69">
            <v>2576764639</v>
          </cell>
          <cell r="C69" t="str">
            <v>Hamayun Khan</v>
          </cell>
          <cell r="D69" t="str">
            <v>NO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1073.3333333333335</v>
          </cell>
          <cell r="O69">
            <v>0</v>
          </cell>
          <cell r="P69">
            <v>0</v>
          </cell>
          <cell r="Q69">
            <v>1073.3333333333335</v>
          </cell>
        </row>
        <row r="70">
          <cell r="B70">
            <v>2539356986</v>
          </cell>
          <cell r="C70" t="str">
            <v>Zaid Abdur Rabu</v>
          </cell>
          <cell r="D70" t="str">
            <v>NO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3033.3333333333335</v>
          </cell>
          <cell r="O70">
            <v>3500</v>
          </cell>
          <cell r="P70">
            <v>3500</v>
          </cell>
          <cell r="Q70">
            <v>10033.333333333334</v>
          </cell>
        </row>
        <row r="71">
          <cell r="B71">
            <v>2579447125</v>
          </cell>
          <cell r="C71" t="str">
            <v>Umar Ayaz</v>
          </cell>
          <cell r="D71" t="str">
            <v>NO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2566.666666666667</v>
          </cell>
          <cell r="O71">
            <v>2333.3333333333335</v>
          </cell>
          <cell r="P71">
            <v>0</v>
          </cell>
          <cell r="Q71">
            <v>4900</v>
          </cell>
        </row>
        <row r="72">
          <cell r="B72">
            <v>2580479455</v>
          </cell>
          <cell r="C72" t="str">
            <v>Uzair Ali</v>
          </cell>
          <cell r="D72" t="str">
            <v>NO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2293.3333333333335</v>
          </cell>
          <cell r="O72">
            <v>4300</v>
          </cell>
          <cell r="P72">
            <v>4300</v>
          </cell>
          <cell r="Q72">
            <v>10893.333333333334</v>
          </cell>
        </row>
        <row r="73">
          <cell r="B73">
            <v>2575650854</v>
          </cell>
          <cell r="C73" t="str">
            <v>Shakil Khan</v>
          </cell>
          <cell r="D73" t="str">
            <v>NO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3466.666666666667</v>
          </cell>
          <cell r="P73">
            <v>4520</v>
          </cell>
          <cell r="Q73">
            <v>7986.666666666667</v>
          </cell>
        </row>
        <row r="74">
          <cell r="B74">
            <v>2582881260</v>
          </cell>
          <cell r="C74" t="str">
            <v>Muhammad Nawab</v>
          </cell>
          <cell r="D74" t="str">
            <v>NO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1518</v>
          </cell>
          <cell r="P74">
            <v>3531</v>
          </cell>
          <cell r="Q74">
            <v>5049</v>
          </cell>
        </row>
        <row r="75">
          <cell r="B75">
            <v>2549091284</v>
          </cell>
          <cell r="C75" t="str">
            <v>Amir Ullah</v>
          </cell>
          <cell r="D75" t="str">
            <v>NO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2100</v>
          </cell>
          <cell r="P75">
            <v>3500</v>
          </cell>
          <cell r="Q75">
            <v>5600</v>
          </cell>
        </row>
        <row r="76">
          <cell r="B76">
            <v>2557048200</v>
          </cell>
          <cell r="C76" t="str">
            <v>Anwar Ali Jan</v>
          </cell>
          <cell r="D76" t="str">
            <v>NO</v>
          </cell>
          <cell r="E76">
            <v>4140</v>
          </cell>
          <cell r="F76">
            <v>4042.6666666666665</v>
          </cell>
          <cell r="G76">
            <v>3712</v>
          </cell>
          <cell r="H76">
            <v>4106.666666666667</v>
          </cell>
          <cell r="I76">
            <v>4351.666666666667</v>
          </cell>
          <cell r="J76">
            <v>3710.0000000000005</v>
          </cell>
          <cell r="K76">
            <v>3733.3333333333335</v>
          </cell>
          <cell r="L76">
            <v>4192.666666666667</v>
          </cell>
          <cell r="M76">
            <v>4420.666666666667</v>
          </cell>
          <cell r="N76">
            <v>4585.333333333333</v>
          </cell>
          <cell r="O76">
            <v>2280</v>
          </cell>
          <cell r="P76">
            <v>3850.6666666666665</v>
          </cell>
          <cell r="Q76">
            <v>47125.666666666664</v>
          </cell>
        </row>
        <row r="77">
          <cell r="C77" t="str">
            <v>Khaista Amir Hizar Khan </v>
          </cell>
          <cell r="D77" t="str">
            <v>NO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C78" t="str">
            <v>Gul Hassan</v>
          </cell>
          <cell r="D78" t="str">
            <v>NO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2576789925</v>
          </cell>
          <cell r="C79" t="str">
            <v>Tariq</v>
          </cell>
          <cell r="D79" t="str">
            <v>NO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1500</v>
          </cell>
          <cell r="P79">
            <v>2586.6666666666665</v>
          </cell>
          <cell r="Q79">
            <v>4086.6666666666665</v>
          </cell>
        </row>
        <row r="80">
          <cell r="B80">
            <v>2572597538</v>
          </cell>
          <cell r="C80" t="str">
            <v>Noor Afzal</v>
          </cell>
          <cell r="D80" t="str">
            <v>NO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2811.6666666666665</v>
          </cell>
          <cell r="Q80">
            <v>2811.6666666666665</v>
          </cell>
        </row>
        <row r="81">
          <cell r="D81" t="str">
            <v>NO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D82" t="str">
            <v>NO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D83" t="str">
            <v>NO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D84" t="str">
            <v>NO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D85" t="str">
            <v>NO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E86">
            <v>20844</v>
          </cell>
          <cell r="F86">
            <v>21805.333333333332</v>
          </cell>
          <cell r="G86">
            <v>29809.633333333335</v>
          </cell>
          <cell r="H86">
            <v>37160</v>
          </cell>
          <cell r="I86">
            <v>37090</v>
          </cell>
          <cell r="J86">
            <v>52202.666666666672</v>
          </cell>
          <cell r="K86">
            <v>60506.933333333334</v>
          </cell>
          <cell r="L86">
            <v>66288.666666666672</v>
          </cell>
          <cell r="M86">
            <v>90592.666666666672</v>
          </cell>
          <cell r="N86">
            <v>103315.33333333331</v>
          </cell>
          <cell r="O86">
            <v>97631.666666666672</v>
          </cell>
          <cell r="P86">
            <v>107846.00000000001</v>
          </cell>
          <cell r="Q86">
            <v>725092.89999999991</v>
          </cell>
        </row>
        <row r="88">
          <cell r="C88" t="str">
            <v>Mudad Payment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6000</v>
          </cell>
          <cell r="M88">
            <v>10000</v>
          </cell>
          <cell r="N88">
            <v>10000</v>
          </cell>
          <cell r="O88">
            <v>10000</v>
          </cell>
          <cell r="P88">
            <v>10000</v>
          </cell>
          <cell r="Q88">
            <v>0</v>
          </cell>
        </row>
        <row r="89">
          <cell r="C89" t="str">
            <v>Transfer</v>
          </cell>
        </row>
        <row r="90">
          <cell r="C90" t="str">
            <v>Cash</v>
          </cell>
        </row>
        <row r="91">
          <cell r="C91" t="str">
            <v>Accrued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6000</v>
          </cell>
          <cell r="M92">
            <v>10000</v>
          </cell>
          <cell r="N92">
            <v>10000</v>
          </cell>
          <cell r="O92">
            <v>10000</v>
          </cell>
          <cell r="P92">
            <v>10000</v>
          </cell>
          <cell r="Q92">
            <v>0</v>
          </cell>
        </row>
      </sheetData>
      <sheetData sheetId="3">
        <row r="3">
          <cell r="B3" t="str">
            <v>ID</v>
          </cell>
          <cell r="C3" t="str">
            <v>Employee Name</v>
          </cell>
          <cell r="D3" t="str">
            <v>CHK</v>
          </cell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 t="str">
            <v>Total</v>
          </cell>
        </row>
        <row r="4">
          <cell r="D4" t="str">
            <v>NO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D5" t="str">
            <v>NO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D6" t="str">
            <v>NO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D7" t="str">
            <v>NO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D8" t="str">
            <v>NO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D9" t="str">
            <v>NO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D10" t="str">
            <v>NO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D11" t="str">
            <v>NO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D12" t="str">
            <v>NO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D13" t="str">
            <v>NO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D14" t="str">
            <v>NO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D15" t="str">
            <v>NO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D16" t="str">
            <v>NO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D17" t="str">
            <v>NO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D18" t="str">
            <v>NO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D19" t="str">
            <v>NO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D20" t="str">
            <v>NO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D21" t="str">
            <v>NO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D22" t="str">
            <v>NO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D23" t="str">
            <v>NO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D24" t="str">
            <v>NO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D25" t="str">
            <v>NO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D26" t="str">
            <v>NO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D27" t="str">
            <v>NO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D28" t="str">
            <v>NO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D29" t="str">
            <v>NO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D30" t="str">
            <v>NO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D31" t="str">
            <v>NO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D32" t="str">
            <v>NO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D33" t="str">
            <v>NO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D34" t="str">
            <v>NO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D35" t="str">
            <v>NO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D36" t="str">
            <v>NO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D37" t="str">
            <v>NO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D38" t="str">
            <v>NO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D39" t="str">
            <v>NO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D40" t="str">
            <v>NO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D41" t="str">
            <v>NO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D42" t="str">
            <v>NO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D43" t="str">
            <v>NO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D44" t="str">
            <v>NO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D45" t="str">
            <v>NO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D46" t="str">
            <v>NO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D47" t="str">
            <v>NO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D48" t="str">
            <v>NO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D49" t="str">
            <v>NO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D50" t="str">
            <v>NO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D51" t="str">
            <v>NO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D52" t="str">
            <v>NO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D53" t="str">
            <v>NO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D54" t="str">
            <v>NO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D55" t="str">
            <v>NO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D56" t="str">
            <v>NO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D57" t="str">
            <v>NO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D58" t="str">
            <v>NO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D59" t="str">
            <v>NO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D60" t="str">
            <v>NO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D61" t="str">
            <v>NO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D62" t="str">
            <v>NO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D63" t="str">
            <v>NO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D64" t="str">
            <v>NO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D65" t="str">
            <v>NO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D66" t="str">
            <v>NO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D67" t="str">
            <v>NO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D68" t="str">
            <v>NO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D69" t="str">
            <v>NO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D70" t="str">
            <v>NO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D71" t="str">
            <v>NO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D72" t="str">
            <v>NO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D73" t="str">
            <v>NO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D74" t="str">
            <v>NO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D75" t="str">
            <v>NO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D76" t="str">
            <v>NO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D77" t="str">
            <v>NO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D78" t="str">
            <v>NO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D79" t="str">
            <v>NO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D80" t="str">
            <v>NO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D81" t="str">
            <v>NO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D82" t="str">
            <v>NO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D83" t="str">
            <v>NO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D84" t="str">
            <v>NO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D85" t="str">
            <v>NO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</sheetData>
      <sheetData sheetId="4"/>
      <sheetData sheetId="5">
        <row r="3">
          <cell r="B3" t="str">
            <v>ID</v>
          </cell>
          <cell r="C3" t="str">
            <v>Employee Name</v>
          </cell>
          <cell r="D3" t="str">
            <v>CHK</v>
          </cell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 t="str">
            <v>Total</v>
          </cell>
        </row>
        <row r="4">
          <cell r="B4">
            <v>2566390569</v>
          </cell>
          <cell r="C4" t="str">
            <v>USMAN GHANI   PARACHA</v>
          </cell>
          <cell r="D4" t="str">
            <v>NO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>OK</v>
          </cell>
          <cell r="M4" t="str">
            <v>OK</v>
          </cell>
          <cell r="N4" t="str">
            <v>OK</v>
          </cell>
          <cell r="O4" t="str">
            <v>OK</v>
          </cell>
          <cell r="P4" t="str">
            <v>OK</v>
          </cell>
          <cell r="Q4">
            <v>5</v>
          </cell>
        </row>
        <row r="5">
          <cell r="B5">
            <v>1125769230</v>
          </cell>
          <cell r="C5" t="str">
            <v>ABDULRAHMAN RAHIM ABDULRAHMAN ALYAZIDI</v>
          </cell>
          <cell r="D5" t="str">
            <v>NO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>OK</v>
          </cell>
          <cell r="N5" t="str">
            <v>OK</v>
          </cell>
          <cell r="O5" t="str">
            <v>OK</v>
          </cell>
          <cell r="P5" t="str">
            <v>OK</v>
          </cell>
          <cell r="Q5">
            <v>4</v>
          </cell>
        </row>
        <row r="6">
          <cell r="B6">
            <v>2566390569</v>
          </cell>
          <cell r="C6" t="str">
            <v>USMAN GHANI   PARACHA</v>
          </cell>
          <cell r="D6" t="str">
            <v>NO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>OK</v>
          </cell>
          <cell r="M6" t="str">
            <v>OK</v>
          </cell>
          <cell r="N6" t="str">
            <v>OK</v>
          </cell>
          <cell r="O6" t="str">
            <v>OK</v>
          </cell>
          <cell r="P6" t="str">
            <v>OK</v>
          </cell>
          <cell r="Q6">
            <v>5</v>
          </cell>
        </row>
        <row r="7">
          <cell r="B7">
            <v>1125769230</v>
          </cell>
          <cell r="C7" t="str">
            <v>ABDULRAHMAN RAHIM ABDULRAHMAN ALYAZIDI</v>
          </cell>
          <cell r="D7" t="str">
            <v>NO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>OK</v>
          </cell>
          <cell r="N7" t="str">
            <v>OK</v>
          </cell>
          <cell r="O7" t="str">
            <v>OK</v>
          </cell>
          <cell r="P7" t="str">
            <v>OK</v>
          </cell>
          <cell r="Q7">
            <v>4</v>
          </cell>
        </row>
        <row r="8">
          <cell r="B8">
            <v>2566390569</v>
          </cell>
          <cell r="C8" t="str">
            <v>USMAN GHANI   PARACHA</v>
          </cell>
          <cell r="D8" t="str">
            <v>NO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>OK</v>
          </cell>
          <cell r="M8" t="str">
            <v>OK</v>
          </cell>
          <cell r="N8" t="str">
            <v>OK</v>
          </cell>
          <cell r="O8" t="str">
            <v>OK</v>
          </cell>
          <cell r="P8" t="str">
            <v>OK</v>
          </cell>
          <cell r="Q8">
            <v>5</v>
          </cell>
        </row>
        <row r="9">
          <cell r="B9">
            <v>1125769230</v>
          </cell>
          <cell r="C9" t="str">
            <v>ABDULRAHMAN RAHIM ABDULRAHMAN ALYAZIDI</v>
          </cell>
          <cell r="D9" t="str">
            <v>NO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>OK</v>
          </cell>
          <cell r="N9" t="str">
            <v>OK</v>
          </cell>
          <cell r="O9" t="str">
            <v>OK</v>
          </cell>
          <cell r="P9" t="str">
            <v>OK</v>
          </cell>
          <cell r="Q9">
            <v>4</v>
          </cell>
        </row>
        <row r="10">
          <cell r="B10">
            <v>2566390569</v>
          </cell>
          <cell r="C10" t="str">
            <v>USMAN GHANI   PARACHA</v>
          </cell>
          <cell r="D10" t="str">
            <v>NO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>OK</v>
          </cell>
          <cell r="M10" t="str">
            <v>OK</v>
          </cell>
          <cell r="N10" t="str">
            <v>OK</v>
          </cell>
          <cell r="O10" t="str">
            <v>OK</v>
          </cell>
          <cell r="P10" t="str">
            <v>OK</v>
          </cell>
          <cell r="Q10">
            <v>5</v>
          </cell>
        </row>
        <row r="11">
          <cell r="B11">
            <v>1125769230</v>
          </cell>
          <cell r="C11" t="str">
            <v>ABDULRAHMAN RAHIM ABDULRAHMAN ALYAZIDI</v>
          </cell>
          <cell r="D11" t="str">
            <v>NO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>OK</v>
          </cell>
          <cell r="N11" t="str">
            <v>OK</v>
          </cell>
          <cell r="O11" t="str">
            <v>OK</v>
          </cell>
          <cell r="P11" t="str">
            <v>OK</v>
          </cell>
          <cell r="Q11">
            <v>4</v>
          </cell>
        </row>
        <row r="12">
          <cell r="B12">
            <v>2566390569</v>
          </cell>
          <cell r="C12" t="str">
            <v>USMAN GHANI   PARACHA</v>
          </cell>
          <cell r="D12" t="str">
            <v>NO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>OK</v>
          </cell>
          <cell r="M12" t="str">
            <v>OK</v>
          </cell>
          <cell r="N12" t="str">
            <v>OK</v>
          </cell>
          <cell r="O12" t="str">
            <v>OK</v>
          </cell>
          <cell r="P12" t="str">
            <v>OK</v>
          </cell>
          <cell r="Q12">
            <v>5</v>
          </cell>
        </row>
        <row r="13">
          <cell r="D13" t="str">
            <v>NO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>
            <v>0</v>
          </cell>
        </row>
        <row r="14">
          <cell r="D14" t="str">
            <v>NO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>
            <v>0</v>
          </cell>
        </row>
        <row r="15">
          <cell r="D15" t="str">
            <v>NO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>
            <v>0</v>
          </cell>
        </row>
        <row r="16">
          <cell r="D16" t="str">
            <v>NO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>
            <v>0</v>
          </cell>
        </row>
        <row r="17">
          <cell r="D17" t="str">
            <v>NO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>
            <v>0</v>
          </cell>
        </row>
        <row r="18">
          <cell r="D18" t="str">
            <v>NO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>
            <v>0</v>
          </cell>
        </row>
        <row r="19">
          <cell r="D19" t="str">
            <v>NO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>
            <v>0</v>
          </cell>
        </row>
        <row r="20">
          <cell r="D20" t="str">
            <v>NO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>
            <v>0</v>
          </cell>
        </row>
        <row r="21">
          <cell r="D21" t="str">
            <v>NO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>
            <v>0</v>
          </cell>
        </row>
        <row r="22">
          <cell r="D22" t="str">
            <v>NO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>
            <v>0</v>
          </cell>
        </row>
        <row r="23">
          <cell r="D23" t="str">
            <v>NO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>
            <v>0</v>
          </cell>
        </row>
        <row r="24">
          <cell r="D24" t="str">
            <v>NO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>
            <v>0</v>
          </cell>
        </row>
        <row r="25">
          <cell r="D25" t="str">
            <v>NO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>
            <v>0</v>
          </cell>
        </row>
        <row r="26">
          <cell r="D26" t="str">
            <v>NO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>
            <v>0</v>
          </cell>
        </row>
        <row r="27">
          <cell r="D27" t="str">
            <v>NO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>
            <v>0</v>
          </cell>
        </row>
        <row r="28">
          <cell r="D28" t="str">
            <v>NO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>
            <v>0</v>
          </cell>
        </row>
        <row r="29">
          <cell r="D29" t="str">
            <v>NO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>
            <v>0</v>
          </cell>
        </row>
        <row r="30">
          <cell r="D30" t="str">
            <v>NO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>
            <v>0</v>
          </cell>
        </row>
        <row r="31">
          <cell r="D31" t="str">
            <v>NO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>
            <v>0</v>
          </cell>
        </row>
        <row r="32">
          <cell r="D32" t="str">
            <v>NO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>
            <v>0</v>
          </cell>
        </row>
        <row r="33">
          <cell r="D33" t="str">
            <v>NO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>
            <v>0</v>
          </cell>
        </row>
        <row r="34">
          <cell r="D34" t="str">
            <v>NO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>
            <v>0</v>
          </cell>
        </row>
        <row r="35">
          <cell r="D35" t="str">
            <v>NO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>
            <v>0</v>
          </cell>
        </row>
        <row r="36">
          <cell r="D36" t="str">
            <v>NO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>
            <v>0</v>
          </cell>
        </row>
        <row r="37">
          <cell r="D37" t="str">
            <v>NO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>
            <v>0</v>
          </cell>
        </row>
        <row r="38">
          <cell r="D38" t="str">
            <v>NO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>
            <v>0</v>
          </cell>
        </row>
        <row r="39">
          <cell r="D39" t="str">
            <v>NO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>
            <v>0</v>
          </cell>
        </row>
        <row r="40">
          <cell r="D40" t="str">
            <v>NO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>
            <v>0</v>
          </cell>
        </row>
        <row r="41">
          <cell r="D41" t="str">
            <v>NO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>
            <v>0</v>
          </cell>
        </row>
        <row r="42">
          <cell r="D42" t="str">
            <v>NO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>
            <v>0</v>
          </cell>
        </row>
        <row r="43">
          <cell r="D43" t="str">
            <v>NO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>
            <v>0</v>
          </cell>
        </row>
        <row r="44">
          <cell r="D44" t="str">
            <v>NO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>
            <v>0</v>
          </cell>
        </row>
        <row r="45">
          <cell r="D45" t="str">
            <v>NO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>
            <v>0</v>
          </cell>
        </row>
        <row r="46">
          <cell r="D46" t="str">
            <v>NO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>
            <v>0</v>
          </cell>
        </row>
        <row r="47">
          <cell r="D47" t="str">
            <v>NO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</row>
        <row r="48">
          <cell r="D48" t="str">
            <v>NO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</row>
        <row r="49">
          <cell r="D49" t="str">
            <v>NO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</row>
        <row r="50">
          <cell r="D50" t="str">
            <v>NO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</row>
        <row r="51">
          <cell r="D51" t="str">
            <v>NO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</row>
        <row r="52">
          <cell r="D52" t="str">
            <v>NO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</row>
        <row r="53">
          <cell r="D53" t="str">
            <v>NO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</row>
        <row r="54">
          <cell r="D54" t="str">
            <v>NO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</row>
        <row r="55">
          <cell r="D55" t="str">
            <v>NO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>
            <v>0</v>
          </cell>
        </row>
        <row r="56">
          <cell r="D56" t="str">
            <v>NO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>
            <v>0</v>
          </cell>
        </row>
        <row r="57">
          <cell r="D57" t="str">
            <v>NO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>
            <v>0</v>
          </cell>
        </row>
        <row r="58">
          <cell r="D58" t="str">
            <v>NO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>
            <v>0</v>
          </cell>
        </row>
        <row r="59">
          <cell r="D59" t="str">
            <v>NO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>
            <v>0</v>
          </cell>
        </row>
        <row r="60">
          <cell r="D60" t="str">
            <v>NO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>
            <v>0</v>
          </cell>
        </row>
        <row r="61">
          <cell r="D61" t="str">
            <v>NO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>
            <v>0</v>
          </cell>
        </row>
        <row r="62">
          <cell r="D62" t="str">
            <v>NO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>
            <v>0</v>
          </cell>
        </row>
        <row r="63">
          <cell r="D63" t="str">
            <v>NO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>
            <v>0</v>
          </cell>
        </row>
        <row r="64">
          <cell r="D64" t="str">
            <v>NO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>
            <v>0</v>
          </cell>
        </row>
        <row r="65">
          <cell r="D65" t="str">
            <v>NO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>
            <v>0</v>
          </cell>
        </row>
        <row r="66">
          <cell r="D66" t="str">
            <v>NO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>
            <v>0</v>
          </cell>
        </row>
        <row r="67">
          <cell r="D67" t="str">
            <v>NO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>
            <v>0</v>
          </cell>
        </row>
        <row r="68">
          <cell r="D68" t="str">
            <v>NO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>
            <v>0</v>
          </cell>
        </row>
        <row r="69">
          <cell r="D69" t="str">
            <v>NO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>
            <v>0</v>
          </cell>
        </row>
        <row r="70">
          <cell r="D70" t="str">
            <v>NO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>
            <v>0</v>
          </cell>
        </row>
        <row r="71">
          <cell r="D71" t="str">
            <v>NO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>
            <v>0</v>
          </cell>
        </row>
        <row r="72">
          <cell r="D72" t="str">
            <v>NO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>
            <v>0</v>
          </cell>
        </row>
        <row r="73">
          <cell r="D73" t="str">
            <v>NO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>
            <v>0</v>
          </cell>
        </row>
        <row r="74">
          <cell r="D74" t="str">
            <v>NO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>
            <v>0</v>
          </cell>
        </row>
        <row r="75">
          <cell r="D75" t="str">
            <v>NO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>
            <v>0</v>
          </cell>
        </row>
        <row r="76">
          <cell r="D76" t="str">
            <v>NO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>
            <v>0</v>
          </cell>
        </row>
        <row r="77">
          <cell r="D77" t="str">
            <v>NO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>
            <v>0</v>
          </cell>
        </row>
        <row r="78">
          <cell r="D78" t="str">
            <v>NO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>
            <v>0</v>
          </cell>
        </row>
        <row r="79">
          <cell r="D79" t="str">
            <v>NO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>
            <v>0</v>
          </cell>
        </row>
        <row r="80">
          <cell r="D80" t="str">
            <v>NO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>
            <v>0</v>
          </cell>
        </row>
        <row r="81">
          <cell r="D81" t="str">
            <v>NO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>
            <v>0</v>
          </cell>
        </row>
        <row r="82">
          <cell r="D82" t="str">
            <v>NO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>
            <v>0</v>
          </cell>
        </row>
        <row r="83">
          <cell r="D83" t="str">
            <v>NO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>
            <v>0</v>
          </cell>
        </row>
        <row r="84">
          <cell r="D84" t="str">
            <v>NO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>
            <v>0</v>
          </cell>
        </row>
        <row r="85">
          <cell r="D85" t="str">
            <v>NO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>
            <v>0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41</v>
          </cell>
        </row>
      </sheetData>
      <sheetData sheetId="6"/>
      <sheetData sheetId="7">
        <row r="2">
          <cell r="B2" t="str">
            <v>YED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6F0A-98C3-4EBE-83E4-441C3E6D2C0C}">
  <sheetPr>
    <tabColor rgb="FF92D050"/>
  </sheetPr>
  <dimension ref="A1:F73"/>
  <sheetViews>
    <sheetView topLeftCell="A31" zoomScaleNormal="100" zoomScaleSheetLayoutView="100" workbookViewId="0">
      <selection activeCell="A3" sqref="A3"/>
    </sheetView>
  </sheetViews>
  <sheetFormatPr defaultColWidth="44.5546875" defaultRowHeight="13.8" x14ac:dyDescent="0.25"/>
  <cols>
    <col min="1" max="1" width="52.77734375" style="1" bestFit="1" customWidth="1"/>
    <col min="2" max="3" width="12.44140625" style="1" bestFit="1" customWidth="1"/>
    <col min="4" max="4" width="104.77734375" style="1" bestFit="1" customWidth="1"/>
    <col min="5" max="5" width="14.5546875" style="2" bestFit="1" customWidth="1"/>
    <col min="6" max="16384" width="44.5546875" style="1"/>
  </cols>
  <sheetData>
    <row r="1" spans="1:6" ht="22.35" customHeight="1" thickBot="1" x14ac:dyDescent="0.3">
      <c r="A1" s="118" t="s">
        <v>66</v>
      </c>
      <c r="B1" s="119"/>
      <c r="C1" s="120"/>
      <c r="F1" s="3" t="s">
        <v>0</v>
      </c>
    </row>
    <row r="2" spans="1:6" ht="14.4" thickBot="1" x14ac:dyDescent="0.3">
      <c r="A2" s="121" t="str">
        <f>"Trial Balance "&amp;F2</f>
        <v>Trial Balance for the period from 01 Jan 2025 to 31 Dec 2025</v>
      </c>
      <c r="B2" s="122"/>
      <c r="C2" s="122"/>
      <c r="D2" s="4" t="s">
        <v>1</v>
      </c>
      <c r="E2" s="5">
        <v>45323</v>
      </c>
      <c r="F2" s="3" t="s">
        <v>2</v>
      </c>
    </row>
    <row r="3" spans="1:6" x14ac:dyDescent="0.25">
      <c r="A3" s="6" t="s">
        <v>3</v>
      </c>
      <c r="B3" s="6">
        <v>2025</v>
      </c>
      <c r="C3" s="6">
        <v>2024</v>
      </c>
      <c r="F3" s="7"/>
    </row>
    <row r="4" spans="1:6" ht="15" customHeight="1" x14ac:dyDescent="0.25">
      <c r="A4" s="17"/>
      <c r="B4" s="8"/>
      <c r="C4" s="9"/>
      <c r="E4" s="1"/>
    </row>
    <row r="5" spans="1:6" ht="15" customHeight="1" x14ac:dyDescent="0.25">
      <c r="A5" s="17"/>
      <c r="B5" s="8"/>
      <c r="C5" s="9"/>
      <c r="D5" s="18"/>
      <c r="E5" s="1"/>
    </row>
    <row r="6" spans="1:6" ht="15" customHeight="1" x14ac:dyDescent="0.25">
      <c r="A6" s="19"/>
      <c r="B6" s="9"/>
      <c r="C6" s="9"/>
      <c r="D6" s="18"/>
      <c r="E6" s="1"/>
    </row>
    <row r="7" spans="1:6" ht="15" customHeight="1" x14ac:dyDescent="0.25">
      <c r="A7" s="17"/>
      <c r="B7" s="8"/>
      <c r="C7" s="9"/>
      <c r="E7" s="1"/>
    </row>
    <row r="8" spans="1:6" ht="15" customHeight="1" x14ac:dyDescent="0.25">
      <c r="A8" s="17"/>
      <c r="B8" s="8"/>
      <c r="C8" s="9"/>
      <c r="E8" s="1"/>
    </row>
    <row r="9" spans="1:6" ht="15" customHeight="1" x14ac:dyDescent="0.25">
      <c r="A9" s="17"/>
      <c r="B9" s="8"/>
      <c r="C9" s="9"/>
      <c r="E9" s="1"/>
    </row>
    <row r="10" spans="1:6" ht="15" customHeight="1" x14ac:dyDescent="0.25">
      <c r="A10" s="20"/>
      <c r="B10" s="21"/>
      <c r="C10" s="21"/>
      <c r="D10" s="22"/>
      <c r="E10" s="1"/>
    </row>
    <row r="11" spans="1:6" ht="15" customHeight="1" x14ac:dyDescent="0.25">
      <c r="A11" s="19"/>
      <c r="B11" s="9"/>
      <c r="C11" s="9"/>
      <c r="D11" s="10"/>
      <c r="E11" s="1"/>
    </row>
    <row r="12" spans="1:6" ht="15" customHeight="1" x14ac:dyDescent="0.25">
      <c r="A12" s="17"/>
      <c r="B12" s="8"/>
      <c r="C12" s="9"/>
      <c r="E12" s="1"/>
    </row>
    <row r="13" spans="1:6" ht="15" customHeight="1" x14ac:dyDescent="0.25">
      <c r="A13" s="17"/>
      <c r="B13" s="8"/>
      <c r="C13" s="9"/>
      <c r="D13" s="23"/>
      <c r="E13" s="1"/>
    </row>
    <row r="14" spans="1:6" ht="15" customHeight="1" x14ac:dyDescent="0.25">
      <c r="A14" s="17"/>
      <c r="B14" s="8"/>
      <c r="C14" s="9"/>
      <c r="D14" s="23"/>
      <c r="E14" s="1"/>
    </row>
    <row r="15" spans="1:6" ht="15" customHeight="1" x14ac:dyDescent="0.25">
      <c r="A15" s="19"/>
      <c r="B15" s="9"/>
      <c r="C15" s="9"/>
      <c r="D15" s="23"/>
      <c r="E15" s="1"/>
    </row>
    <row r="16" spans="1:6" ht="15" customHeight="1" x14ac:dyDescent="0.25">
      <c r="A16" s="17"/>
      <c r="B16" s="8"/>
      <c r="C16" s="9"/>
      <c r="E16" s="1"/>
    </row>
    <row r="17" spans="1:6" ht="15" customHeight="1" x14ac:dyDescent="0.25">
      <c r="A17" s="19"/>
      <c r="B17" s="9"/>
      <c r="C17" s="9"/>
      <c r="E17" s="1"/>
    </row>
    <row r="18" spans="1:6" s="10" customFormat="1" ht="15" customHeight="1" x14ac:dyDescent="0.25">
      <c r="A18" s="19"/>
      <c r="B18" s="9"/>
      <c r="C18" s="9"/>
      <c r="D18" s="24"/>
      <c r="E18" s="1"/>
      <c r="F18" s="1"/>
    </row>
    <row r="19" spans="1:6" s="10" customFormat="1" ht="15" customHeight="1" x14ac:dyDescent="0.25">
      <c r="A19" s="19"/>
      <c r="B19" s="9"/>
      <c r="C19" s="9"/>
      <c r="D19" s="24"/>
      <c r="E19" s="1"/>
      <c r="F19" s="1"/>
    </row>
    <row r="20" spans="1:6" s="10" customFormat="1" ht="15" customHeight="1" x14ac:dyDescent="0.25">
      <c r="A20" s="19"/>
      <c r="B20" s="9"/>
      <c r="C20" s="9"/>
      <c r="D20" s="24"/>
      <c r="E20" s="1"/>
      <c r="F20" s="1"/>
    </row>
    <row r="21" spans="1:6" s="10" customFormat="1" ht="15" customHeight="1" x14ac:dyDescent="0.25">
      <c r="A21" s="19"/>
      <c r="B21" s="9"/>
      <c r="C21" s="9"/>
      <c r="D21" s="24"/>
      <c r="E21" s="1"/>
      <c r="F21" s="1"/>
    </row>
    <row r="22" spans="1:6" s="10" customFormat="1" ht="15" customHeight="1" x14ac:dyDescent="0.25">
      <c r="A22" s="19"/>
      <c r="B22" s="9"/>
      <c r="C22" s="9"/>
      <c r="D22" s="24"/>
      <c r="E22" s="1"/>
      <c r="F22" s="1"/>
    </row>
    <row r="23" spans="1:6" s="10" customFormat="1" ht="15" customHeight="1" x14ac:dyDescent="0.25">
      <c r="A23" s="19"/>
      <c r="B23" s="9"/>
      <c r="C23" s="9"/>
      <c r="D23" s="24"/>
      <c r="F23" s="1"/>
    </row>
    <row r="24" spans="1:6" s="10" customFormat="1" x14ac:dyDescent="0.25">
      <c r="A24" s="19"/>
      <c r="B24" s="9"/>
      <c r="C24" s="9"/>
      <c r="D24" s="24"/>
      <c r="E24" s="1"/>
      <c r="F24" s="1"/>
    </row>
    <row r="25" spans="1:6" s="10" customFormat="1" ht="15" customHeight="1" x14ac:dyDescent="0.25">
      <c r="A25" s="19"/>
      <c r="B25" s="9"/>
      <c r="C25" s="9"/>
      <c r="D25" s="24"/>
      <c r="E25" s="1"/>
      <c r="F25" s="1"/>
    </row>
    <row r="26" spans="1:6" ht="15" customHeight="1" x14ac:dyDescent="0.25">
      <c r="A26" s="19"/>
      <c r="B26" s="9"/>
      <c r="C26" s="9"/>
      <c r="D26" s="24"/>
      <c r="E26" s="1"/>
    </row>
    <row r="27" spans="1:6" ht="15" customHeight="1" x14ac:dyDescent="0.25">
      <c r="A27" s="19"/>
      <c r="B27" s="9"/>
      <c r="C27" s="9"/>
      <c r="E27" s="1"/>
    </row>
    <row r="28" spans="1:6" ht="15" customHeight="1" x14ac:dyDescent="0.25">
      <c r="A28" s="19"/>
      <c r="B28" s="9"/>
      <c r="C28" s="9"/>
      <c r="E28" s="1"/>
    </row>
    <row r="29" spans="1:6" ht="15" customHeight="1" x14ac:dyDescent="0.25">
      <c r="A29" s="19"/>
      <c r="B29" s="9"/>
      <c r="C29" s="9"/>
      <c r="E29" s="1"/>
    </row>
    <row r="30" spans="1:6" ht="15" customHeight="1" x14ac:dyDescent="0.25">
      <c r="A30" s="19"/>
      <c r="B30" s="9"/>
      <c r="C30" s="9"/>
      <c r="D30" s="10"/>
      <c r="E30" s="1"/>
    </row>
    <row r="31" spans="1:6" ht="15" customHeight="1" x14ac:dyDescent="0.25">
      <c r="A31" s="25"/>
      <c r="B31" s="26"/>
      <c r="C31" s="9"/>
      <c r="D31" s="27"/>
      <c r="E31" s="1"/>
    </row>
    <row r="32" spans="1:6" ht="15" customHeight="1" x14ac:dyDescent="0.25">
      <c r="A32" s="19"/>
      <c r="B32" s="9"/>
      <c r="C32" s="9"/>
      <c r="D32" s="28"/>
      <c r="E32" s="1"/>
    </row>
    <row r="33" spans="1:4" s="1" customFormat="1" ht="15" customHeight="1" x14ac:dyDescent="0.25">
      <c r="A33" s="25"/>
      <c r="B33" s="26"/>
      <c r="C33" s="9"/>
      <c r="D33" s="24"/>
    </row>
    <row r="34" spans="1:4" s="1" customFormat="1" ht="15" customHeight="1" x14ac:dyDescent="0.25">
      <c r="A34" s="25"/>
      <c r="B34" s="26"/>
      <c r="C34" s="9"/>
      <c r="D34" s="24"/>
    </row>
    <row r="35" spans="1:4" s="1" customFormat="1" ht="15" customHeight="1" x14ac:dyDescent="0.25">
      <c r="A35" s="19"/>
      <c r="B35" s="9"/>
      <c r="C35" s="9"/>
      <c r="D35" s="28"/>
    </row>
    <row r="36" spans="1:4" s="1" customFormat="1" ht="15" customHeight="1" x14ac:dyDescent="0.25">
      <c r="A36" s="19"/>
      <c r="B36" s="9"/>
      <c r="C36" s="9"/>
      <c r="D36" s="29"/>
    </row>
    <row r="37" spans="1:4" s="1" customFormat="1" ht="15" customHeight="1" x14ac:dyDescent="0.25">
      <c r="A37" s="20"/>
      <c r="B37" s="21"/>
      <c r="C37" s="21"/>
      <c r="D37" s="10"/>
    </row>
    <row r="38" spans="1:4" s="1" customFormat="1" ht="15" customHeight="1" x14ac:dyDescent="0.25">
      <c r="A38" s="19"/>
      <c r="B38" s="9"/>
      <c r="C38" s="9"/>
      <c r="D38" s="28"/>
    </row>
    <row r="39" spans="1:4" s="1" customFormat="1" ht="15" customHeight="1" x14ac:dyDescent="0.25">
      <c r="A39" s="19"/>
      <c r="B39" s="9"/>
      <c r="C39" s="9"/>
      <c r="D39" s="28"/>
    </row>
    <row r="40" spans="1:4" s="1" customFormat="1" ht="15" customHeight="1" x14ac:dyDescent="0.25">
      <c r="A40" s="19"/>
      <c r="B40" s="9"/>
      <c r="C40" s="9"/>
      <c r="D40" s="28"/>
    </row>
    <row r="41" spans="1:4" s="1" customFormat="1" ht="15" customHeight="1" x14ac:dyDescent="0.25">
      <c r="A41" s="19"/>
      <c r="B41" s="9"/>
      <c r="C41" s="9"/>
      <c r="D41" s="28"/>
    </row>
    <row r="42" spans="1:4" s="1" customFormat="1" ht="15" customHeight="1" x14ac:dyDescent="0.25">
      <c r="A42" s="19"/>
      <c r="B42" s="9"/>
      <c r="C42" s="9"/>
      <c r="D42" s="28"/>
    </row>
    <row r="43" spans="1:4" s="1" customFormat="1" ht="15" customHeight="1" x14ac:dyDescent="0.25">
      <c r="A43" s="19"/>
      <c r="B43" s="9"/>
      <c r="C43" s="9"/>
      <c r="D43" s="28"/>
    </row>
    <row r="44" spans="1:4" s="1" customFormat="1" ht="15" customHeight="1" x14ac:dyDescent="0.25">
      <c r="A44" s="19"/>
      <c r="B44" s="9"/>
      <c r="C44" s="9"/>
      <c r="D44" s="28"/>
    </row>
    <row r="45" spans="1:4" s="1" customFormat="1" ht="15" customHeight="1" x14ac:dyDescent="0.25">
      <c r="A45" s="17"/>
      <c r="B45" s="8"/>
      <c r="C45" s="9"/>
      <c r="D45" s="28"/>
    </row>
    <row r="46" spans="1:4" s="1" customFormat="1" ht="15" customHeight="1" x14ac:dyDescent="0.25">
      <c r="A46" s="17"/>
      <c r="B46" s="8"/>
      <c r="C46" s="9"/>
    </row>
    <row r="47" spans="1:4" s="1" customFormat="1" ht="15" customHeight="1" x14ac:dyDescent="0.25">
      <c r="A47" s="17"/>
      <c r="B47" s="8"/>
      <c r="C47" s="9"/>
      <c r="D47" s="29"/>
    </row>
    <row r="48" spans="1:4" s="1" customFormat="1" ht="15" customHeight="1" x14ac:dyDescent="0.25">
      <c r="A48" s="19"/>
      <c r="B48" s="9"/>
      <c r="C48" s="9"/>
      <c r="D48" s="27"/>
    </row>
    <row r="49" spans="1:4" s="1" customFormat="1" ht="15" customHeight="1" x14ac:dyDescent="0.25">
      <c r="A49" s="17"/>
      <c r="B49" s="8"/>
      <c r="C49" s="9"/>
      <c r="D49" s="28"/>
    </row>
    <row r="50" spans="1:4" s="1" customFormat="1" ht="15" customHeight="1" x14ac:dyDescent="0.25">
      <c r="A50" s="17"/>
      <c r="B50" s="8"/>
      <c r="C50" s="9"/>
      <c r="D50" s="28"/>
    </row>
    <row r="51" spans="1:4" s="1" customFormat="1" ht="15" customHeight="1" x14ac:dyDescent="0.25">
      <c r="A51" s="17"/>
      <c r="B51" s="8"/>
      <c r="C51" s="9"/>
      <c r="D51" s="28"/>
    </row>
    <row r="52" spans="1:4" s="1" customFormat="1" ht="15" customHeight="1" x14ac:dyDescent="0.25">
      <c r="A52" s="17"/>
      <c r="B52" s="8"/>
      <c r="C52" s="9"/>
      <c r="D52" s="28"/>
    </row>
    <row r="53" spans="1:4" s="1" customFormat="1" ht="15" customHeight="1" x14ac:dyDescent="0.25">
      <c r="A53" s="17"/>
      <c r="B53" s="8"/>
      <c r="C53" s="9"/>
      <c r="D53" s="28"/>
    </row>
    <row r="54" spans="1:4" s="1" customFormat="1" ht="15" customHeight="1" x14ac:dyDescent="0.25">
      <c r="A54" s="17"/>
      <c r="B54" s="8"/>
      <c r="C54" s="9"/>
      <c r="D54" s="28"/>
    </row>
    <row r="55" spans="1:4" s="1" customFormat="1" ht="15" customHeight="1" x14ac:dyDescent="0.25">
      <c r="A55" s="17"/>
      <c r="B55" s="8"/>
      <c r="C55" s="9"/>
      <c r="D55" s="28"/>
    </row>
    <row r="56" spans="1:4" s="1" customFormat="1" ht="15" customHeight="1" x14ac:dyDescent="0.25">
      <c r="A56" s="17"/>
      <c r="B56" s="8"/>
      <c r="C56" s="9"/>
      <c r="D56" s="28"/>
    </row>
    <row r="57" spans="1:4" s="1" customFormat="1" ht="15" customHeight="1" x14ac:dyDescent="0.25">
      <c r="A57" s="17"/>
      <c r="B57" s="8"/>
      <c r="C57" s="11"/>
    </row>
    <row r="58" spans="1:4" s="1" customFormat="1" ht="15" customHeight="1" x14ac:dyDescent="0.25">
      <c r="A58" s="17"/>
      <c r="B58" s="8"/>
      <c r="C58" s="11"/>
    </row>
    <row r="59" spans="1:4" s="1" customFormat="1" ht="15" customHeight="1" x14ac:dyDescent="0.25">
      <c r="A59" s="17"/>
      <c r="B59" s="8"/>
      <c r="C59" s="11"/>
    </row>
    <row r="60" spans="1:4" s="1" customFormat="1" ht="15" customHeight="1" x14ac:dyDescent="0.25">
      <c r="A60" s="17"/>
      <c r="B60" s="8"/>
      <c r="C60" s="11"/>
    </row>
    <row r="61" spans="1:4" s="1" customFormat="1" ht="15" customHeight="1" x14ac:dyDescent="0.25">
      <c r="A61" s="17"/>
      <c r="B61" s="8"/>
      <c r="C61" s="11"/>
    </row>
    <row r="62" spans="1:4" s="1" customFormat="1" ht="15" customHeight="1" x14ac:dyDescent="0.25">
      <c r="A62" s="17"/>
      <c r="B62" s="8"/>
      <c r="C62" s="11"/>
    </row>
    <row r="63" spans="1:4" s="1" customFormat="1" ht="15" customHeight="1" x14ac:dyDescent="0.25">
      <c r="A63" s="17"/>
      <c r="B63" s="8"/>
      <c r="C63" s="11"/>
    </row>
    <row r="64" spans="1:4" s="1" customFormat="1" ht="15" customHeight="1" x14ac:dyDescent="0.25">
      <c r="A64" s="17"/>
      <c r="B64" s="8"/>
      <c r="C64" s="11"/>
      <c r="D64" s="28"/>
    </row>
    <row r="65" spans="1:5" ht="15" customHeight="1" x14ac:dyDescent="0.25">
      <c r="A65" s="19"/>
      <c r="B65" s="9"/>
      <c r="C65" s="11"/>
      <c r="D65" s="10"/>
      <c r="E65" s="1"/>
    </row>
    <row r="66" spans="1:5" x14ac:dyDescent="0.25">
      <c r="A66" s="6" t="s">
        <v>4</v>
      </c>
      <c r="B66" s="12">
        <f>SUM(B4:B65)</f>
        <v>0</v>
      </c>
      <c r="C66" s="13">
        <f>ROUND(SUM(C4:C65),0)</f>
        <v>0</v>
      </c>
      <c r="E66" s="1"/>
    </row>
    <row r="68" spans="1:5" x14ac:dyDescent="0.25">
      <c r="C68" s="2"/>
    </row>
    <row r="69" spans="1:5" ht="15.75" customHeight="1" x14ac:dyDescent="0.25"/>
    <row r="70" spans="1:5" x14ac:dyDescent="0.25">
      <c r="A70" s="14"/>
      <c r="B70" s="14"/>
    </row>
    <row r="71" spans="1:5" x14ac:dyDescent="0.25">
      <c r="C71" s="15"/>
    </row>
    <row r="73" spans="1:5" s="10" customFormat="1" x14ac:dyDescent="0.25">
      <c r="E73" s="16"/>
    </row>
  </sheetData>
  <mergeCells count="2">
    <mergeCell ref="A1:C1"/>
    <mergeCell ref="A2:C2"/>
  </mergeCells>
  <conditionalFormatting sqref="C67:C1048576 C1:C12">
    <cfRule type="duplicateValues" dxfId="0" priority="1"/>
  </conditionalFormatting>
  <printOptions horizontalCentered="1"/>
  <pageMargins left="0.51181102362204722" right="0.70866141732283472" top="0.74803149606299213" bottom="0.7480314960629921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CC19-F785-49C9-B62B-4E1699515156}">
  <dimension ref="A1:G49"/>
  <sheetViews>
    <sheetView showGridLines="0" zoomScaleNormal="100" zoomScaleSheetLayoutView="100" workbookViewId="0">
      <selection activeCell="B3" sqref="B3"/>
    </sheetView>
  </sheetViews>
  <sheetFormatPr defaultColWidth="8.77734375" defaultRowHeight="13.8" x14ac:dyDescent="0.25"/>
  <cols>
    <col min="1" max="1" width="5.5546875" style="1" customWidth="1"/>
    <col min="2" max="2" width="33.5546875" style="1" bestFit="1" customWidth="1"/>
    <col min="3" max="3" width="2.5546875" style="1" hidden="1" customWidth="1"/>
    <col min="4" max="4" width="14.5546875" style="1" bestFit="1" customWidth="1"/>
    <col min="5" max="5" width="19.21875" style="1" customWidth="1"/>
    <col min="6" max="6" width="12.44140625" style="1" bestFit="1" customWidth="1"/>
    <col min="7" max="7" width="11.21875" style="1" bestFit="1" customWidth="1"/>
    <col min="8" max="16384" width="8.77734375" style="1"/>
  </cols>
  <sheetData>
    <row r="1" spans="1:6" x14ac:dyDescent="0.25">
      <c r="A1" s="30"/>
      <c r="B1" s="123" t="s">
        <v>66</v>
      </c>
      <c r="C1" s="123"/>
      <c r="D1" s="123"/>
      <c r="E1" s="124"/>
    </row>
    <row r="2" spans="1:6" ht="15.6" customHeight="1" x14ac:dyDescent="0.25">
      <c r="A2" s="30"/>
      <c r="B2" s="125" t="str">
        <f>"Statement of Financial Position as on 31 December 2025"</f>
        <v>Statement of Financial Position as on 31 December 2025</v>
      </c>
      <c r="C2" s="125"/>
      <c r="D2" s="125"/>
      <c r="E2" s="125"/>
    </row>
    <row r="3" spans="1:6" ht="14.55" customHeight="1" x14ac:dyDescent="0.25">
      <c r="A3" s="30"/>
      <c r="B3" s="31"/>
      <c r="C3" s="31"/>
      <c r="D3" s="31"/>
      <c r="E3" s="32"/>
    </row>
    <row r="4" spans="1:6" s="37" customFormat="1" ht="14.4" thickBot="1" x14ac:dyDescent="0.3">
      <c r="A4" s="33"/>
      <c r="B4" s="34"/>
      <c r="C4" s="35"/>
      <c r="D4" s="36">
        <v>2025</v>
      </c>
      <c r="E4" s="36">
        <v>2024</v>
      </c>
    </row>
    <row r="5" spans="1:6" s="42" customFormat="1" ht="17.100000000000001" customHeight="1" x14ac:dyDescent="0.25">
      <c r="A5" s="38"/>
      <c r="B5" s="39" t="s">
        <v>5</v>
      </c>
      <c r="C5" s="40"/>
      <c r="D5" s="41"/>
      <c r="E5" s="41"/>
    </row>
    <row r="6" spans="1:6" s="42" customFormat="1" ht="17.100000000000001" customHeight="1" x14ac:dyDescent="0.25">
      <c r="A6" s="43"/>
      <c r="B6" s="39" t="s">
        <v>6</v>
      </c>
      <c r="C6" s="44"/>
      <c r="D6" s="45"/>
      <c r="E6" s="46"/>
    </row>
    <row r="7" spans="1:6" s="42" customFormat="1" ht="21" customHeight="1" x14ac:dyDescent="0.25">
      <c r="A7" s="43"/>
      <c r="B7" s="47" t="s">
        <v>7</v>
      </c>
      <c r="C7" s="44"/>
      <c r="D7" s="46"/>
      <c r="E7" s="46"/>
    </row>
    <row r="8" spans="1:6" s="42" customFormat="1" ht="21" customHeight="1" x14ac:dyDescent="0.25">
      <c r="A8" s="43"/>
      <c r="B8" s="47" t="s">
        <v>8</v>
      </c>
      <c r="C8" s="44"/>
      <c r="D8" s="45"/>
      <c r="E8" s="46"/>
    </row>
    <row r="9" spans="1:6" s="42" customFormat="1" ht="21" customHeight="1" x14ac:dyDescent="0.25">
      <c r="A9" s="43"/>
      <c r="B9" s="47" t="s">
        <v>9</v>
      </c>
      <c r="C9" s="44"/>
      <c r="D9" s="45"/>
      <c r="E9" s="46"/>
      <c r="F9" s="48"/>
    </row>
    <row r="10" spans="1:6" s="42" customFormat="1" ht="21" customHeight="1" x14ac:dyDescent="0.25">
      <c r="A10" s="43"/>
      <c r="B10" s="47" t="s">
        <v>10</v>
      </c>
      <c r="C10" s="44"/>
      <c r="D10" s="45"/>
      <c r="E10" s="46"/>
    </row>
    <row r="11" spans="1:6" s="42" customFormat="1" ht="21" customHeight="1" x14ac:dyDescent="0.25">
      <c r="A11" s="43"/>
      <c r="B11" s="47" t="s">
        <v>11</v>
      </c>
      <c r="C11" s="44"/>
      <c r="D11" s="46"/>
      <c r="E11" s="46"/>
    </row>
    <row r="12" spans="1:6" s="42" customFormat="1" ht="21" customHeight="1" x14ac:dyDescent="0.25">
      <c r="A12" s="43"/>
      <c r="B12" s="47" t="s">
        <v>12</v>
      </c>
      <c r="C12" s="44"/>
      <c r="D12" s="45"/>
      <c r="E12" s="46"/>
    </row>
    <row r="13" spans="1:6" s="42" customFormat="1" ht="21" customHeight="1" x14ac:dyDescent="0.25">
      <c r="A13" s="43"/>
      <c r="B13" s="47" t="s">
        <v>13</v>
      </c>
      <c r="C13" s="44"/>
      <c r="D13" s="45"/>
      <c r="E13" s="46"/>
    </row>
    <row r="14" spans="1:6" s="42" customFormat="1" ht="17.100000000000001" customHeight="1" x14ac:dyDescent="0.25">
      <c r="A14" s="43"/>
      <c r="B14" s="47"/>
      <c r="C14" s="44"/>
      <c r="D14" s="49">
        <f>SUM(D7:D13)</f>
        <v>0</v>
      </c>
      <c r="E14" s="50">
        <f>SUM(E7:E13)</f>
        <v>0</v>
      </c>
    </row>
    <row r="15" spans="1:6" s="42" customFormat="1" ht="17.100000000000001" customHeight="1" x14ac:dyDescent="0.25">
      <c r="A15" s="43"/>
      <c r="B15" s="51" t="s">
        <v>14</v>
      </c>
      <c r="C15" s="40"/>
      <c r="D15" s="45"/>
      <c r="E15" s="46"/>
    </row>
    <row r="16" spans="1:6" s="42" customFormat="1" ht="21" customHeight="1" x14ac:dyDescent="0.25">
      <c r="A16" s="43"/>
      <c r="B16" s="47" t="s">
        <v>15</v>
      </c>
      <c r="C16" s="44"/>
      <c r="D16" s="45"/>
      <c r="E16" s="46"/>
    </row>
    <row r="17" spans="1:7" s="42" customFormat="1" ht="21" customHeight="1" x14ac:dyDescent="0.25">
      <c r="A17" s="43"/>
      <c r="B17" s="47" t="s">
        <v>16</v>
      </c>
      <c r="C17" s="44"/>
      <c r="D17" s="45"/>
      <c r="E17" s="46"/>
    </row>
    <row r="18" spans="1:7" s="42" customFormat="1" ht="21" customHeight="1" x14ac:dyDescent="0.25">
      <c r="A18" s="43"/>
      <c r="B18" s="47" t="s">
        <v>17</v>
      </c>
      <c r="C18" s="44"/>
      <c r="D18" s="45"/>
      <c r="E18" s="46"/>
    </row>
    <row r="19" spans="1:7" s="42" customFormat="1" ht="21" customHeight="1" x14ac:dyDescent="0.25">
      <c r="A19" s="43"/>
      <c r="B19" s="47" t="s">
        <v>18</v>
      </c>
      <c r="C19" s="44"/>
      <c r="D19" s="45"/>
      <c r="E19" s="46"/>
    </row>
    <row r="20" spans="1:7" s="42" customFormat="1" ht="21" customHeight="1" x14ac:dyDescent="0.25">
      <c r="A20" s="43"/>
      <c r="B20" s="47" t="s">
        <v>12</v>
      </c>
      <c r="C20" s="44"/>
      <c r="D20" s="45"/>
      <c r="E20" s="46"/>
    </row>
    <row r="21" spans="1:7" s="42" customFormat="1" ht="21" customHeight="1" x14ac:dyDescent="0.25">
      <c r="A21" s="43"/>
      <c r="B21" s="47" t="s">
        <v>19</v>
      </c>
      <c r="C21" s="44"/>
      <c r="D21" s="45"/>
      <c r="E21" s="46"/>
    </row>
    <row r="22" spans="1:7" s="42" customFormat="1" ht="17.100000000000001" customHeight="1" x14ac:dyDescent="0.25">
      <c r="A22" s="43"/>
      <c r="B22" s="47"/>
      <c r="C22" s="44"/>
      <c r="D22" s="49">
        <f>SUM(D16:D21)</f>
        <v>0</v>
      </c>
      <c r="E22" s="50">
        <f>SUM(E16:E21)</f>
        <v>0</v>
      </c>
    </row>
    <row r="23" spans="1:7" s="42" customFormat="1" ht="17.100000000000001" customHeight="1" x14ac:dyDescent="0.25">
      <c r="A23" s="43"/>
      <c r="B23" s="47" t="s">
        <v>20</v>
      </c>
      <c r="C23" s="44"/>
      <c r="D23" s="45">
        <v>0</v>
      </c>
      <c r="E23" s="46">
        <v>0</v>
      </c>
    </row>
    <row r="24" spans="1:7" s="42" customFormat="1" ht="17.100000000000001" customHeight="1" x14ac:dyDescent="0.25">
      <c r="A24" s="43"/>
      <c r="B24" s="52" t="s">
        <v>21</v>
      </c>
      <c r="C24" s="44"/>
      <c r="D24" s="53">
        <f>ROUND(D14+D22,)</f>
        <v>0</v>
      </c>
      <c r="E24" s="54">
        <f>E14+E22</f>
        <v>0</v>
      </c>
    </row>
    <row r="25" spans="1:7" s="42" customFormat="1" ht="17.100000000000001" customHeight="1" x14ac:dyDescent="0.25">
      <c r="A25" s="43"/>
      <c r="B25" s="52"/>
      <c r="C25" s="44"/>
      <c r="D25" s="55"/>
      <c r="E25" s="56"/>
    </row>
    <row r="26" spans="1:7" s="42" customFormat="1" ht="17.100000000000001" customHeight="1" x14ac:dyDescent="0.25">
      <c r="A26" s="43"/>
      <c r="B26" s="52" t="s">
        <v>22</v>
      </c>
      <c r="C26" s="44"/>
      <c r="D26" s="45"/>
      <c r="E26" s="46"/>
    </row>
    <row r="27" spans="1:7" s="42" customFormat="1" ht="17.100000000000001" customHeight="1" x14ac:dyDescent="0.25">
      <c r="A27" s="43"/>
      <c r="B27" s="52" t="s">
        <v>23</v>
      </c>
      <c r="C27" s="44"/>
      <c r="D27" s="45"/>
      <c r="E27" s="46"/>
    </row>
    <row r="28" spans="1:7" s="42" customFormat="1" ht="23.1" customHeight="1" x14ac:dyDescent="0.25">
      <c r="A28" s="43"/>
      <c r="B28" s="47" t="s">
        <v>24</v>
      </c>
      <c r="C28" s="44"/>
      <c r="D28" s="45"/>
      <c r="E28" s="46"/>
    </row>
    <row r="29" spans="1:7" s="42" customFormat="1" ht="23.1" customHeight="1" x14ac:dyDescent="0.25">
      <c r="A29" s="43"/>
      <c r="B29" s="47" t="s">
        <v>25</v>
      </c>
      <c r="C29" s="44"/>
      <c r="D29" s="46"/>
      <c r="E29" s="46"/>
    </row>
    <row r="30" spans="1:7" s="42" customFormat="1" ht="23.1" customHeight="1" x14ac:dyDescent="0.25">
      <c r="A30" s="43"/>
      <c r="B30" s="47" t="s">
        <v>26</v>
      </c>
      <c r="C30" s="44"/>
      <c r="D30" s="45"/>
      <c r="E30" s="46"/>
      <c r="G30" s="48"/>
    </row>
    <row r="31" spans="1:7" s="42" customFormat="1" ht="23.1" customHeight="1" x14ac:dyDescent="0.25">
      <c r="A31" s="43"/>
      <c r="B31" s="47" t="s">
        <v>27</v>
      </c>
      <c r="C31" s="44"/>
      <c r="D31" s="45"/>
      <c r="E31" s="46"/>
    </row>
    <row r="32" spans="1:7" s="42" customFormat="1" ht="17.100000000000001" customHeight="1" x14ac:dyDescent="0.25">
      <c r="A32" s="43"/>
      <c r="B32" s="47"/>
      <c r="C32" s="44"/>
      <c r="D32" s="49">
        <f>SUM(D28:D31)</f>
        <v>0</v>
      </c>
      <c r="E32" s="50">
        <f>SUM(E28:E31)</f>
        <v>0</v>
      </c>
    </row>
    <row r="33" spans="1:5" s="42" customFormat="1" ht="17.100000000000001" customHeight="1" x14ac:dyDescent="0.25">
      <c r="A33" s="43"/>
      <c r="B33" s="52" t="s">
        <v>28</v>
      </c>
      <c r="C33" s="44"/>
      <c r="D33" s="45"/>
      <c r="E33" s="46"/>
    </row>
    <row r="34" spans="1:5" s="42" customFormat="1" ht="21" customHeight="1" x14ac:dyDescent="0.25">
      <c r="A34" s="43"/>
      <c r="B34" s="57" t="s">
        <v>29</v>
      </c>
      <c r="C34" s="44"/>
      <c r="D34" s="45"/>
      <c r="E34" s="46"/>
    </row>
    <row r="35" spans="1:5" s="42" customFormat="1" ht="21" customHeight="1" x14ac:dyDescent="0.25">
      <c r="A35" s="43"/>
      <c r="B35" s="57" t="s">
        <v>26</v>
      </c>
      <c r="C35" s="44"/>
      <c r="D35" s="45"/>
      <c r="E35" s="58"/>
    </row>
    <row r="36" spans="1:5" s="42" customFormat="1" ht="21" customHeight="1" x14ac:dyDescent="0.25">
      <c r="A36" s="43"/>
      <c r="B36" s="47" t="s">
        <v>30</v>
      </c>
      <c r="C36" s="44"/>
      <c r="D36" s="45"/>
      <c r="E36" s="46"/>
    </row>
    <row r="37" spans="1:5" s="42" customFormat="1" ht="17.100000000000001" customHeight="1" x14ac:dyDescent="0.25">
      <c r="A37" s="43"/>
      <c r="B37" s="47"/>
      <c r="C37" s="44"/>
      <c r="D37" s="49">
        <f>SUM(D34:D36)</f>
        <v>0</v>
      </c>
      <c r="E37" s="50">
        <f>SUM(E34:E36)</f>
        <v>0</v>
      </c>
    </row>
    <row r="38" spans="1:5" s="42" customFormat="1" ht="17.100000000000001" customHeight="1" x14ac:dyDescent="0.25">
      <c r="A38" s="43"/>
      <c r="B38" s="52" t="s">
        <v>31</v>
      </c>
      <c r="C38" s="44"/>
      <c r="D38" s="45"/>
      <c r="E38" s="46"/>
    </row>
    <row r="39" spans="1:5" s="42" customFormat="1" ht="17.100000000000001" customHeight="1" x14ac:dyDescent="0.25">
      <c r="A39" s="43"/>
      <c r="B39" s="47" t="s">
        <v>32</v>
      </c>
      <c r="C39" s="44"/>
      <c r="D39" s="45"/>
      <c r="E39" s="46"/>
    </row>
    <row r="40" spans="1:5" s="42" customFormat="1" ht="17.100000000000001" customHeight="1" x14ac:dyDescent="0.25">
      <c r="A40" s="43"/>
      <c r="B40" s="47" t="s">
        <v>33</v>
      </c>
      <c r="C40" s="44"/>
      <c r="D40" s="45"/>
      <c r="E40" s="45"/>
    </row>
    <row r="41" spans="1:5" s="42" customFormat="1" ht="17.100000000000001" customHeight="1" x14ac:dyDescent="0.25">
      <c r="A41" s="43"/>
      <c r="B41" s="47" t="s">
        <v>34</v>
      </c>
      <c r="C41" s="44"/>
      <c r="D41" s="45"/>
      <c r="E41" s="45"/>
    </row>
    <row r="42" spans="1:5" s="42" customFormat="1" ht="17.100000000000001" customHeight="1" x14ac:dyDescent="0.25">
      <c r="A42" s="43"/>
      <c r="B42" s="47" t="s">
        <v>35</v>
      </c>
      <c r="C42" s="44"/>
      <c r="D42" s="59"/>
      <c r="E42" s="60"/>
    </row>
    <row r="43" spans="1:5" s="42" customFormat="1" ht="17.100000000000001" customHeight="1" x14ac:dyDescent="0.25">
      <c r="A43" s="43"/>
      <c r="B43" s="47"/>
      <c r="C43" s="44"/>
      <c r="D43" s="49">
        <f>SUM(D39:D42)</f>
        <v>0</v>
      </c>
      <c r="E43" s="50">
        <f>SUM(E39:E42)</f>
        <v>0</v>
      </c>
    </row>
    <row r="44" spans="1:5" s="42" customFormat="1" ht="17.100000000000001" customHeight="1" x14ac:dyDescent="0.25">
      <c r="A44" s="43"/>
      <c r="B44" s="47"/>
      <c r="C44" s="44"/>
      <c r="D44" s="45"/>
      <c r="E44" s="46"/>
    </row>
    <row r="45" spans="1:5" s="42" customFormat="1" ht="17.100000000000001" customHeight="1" x14ac:dyDescent="0.25">
      <c r="A45" s="61"/>
      <c r="B45" s="52" t="s">
        <v>36</v>
      </c>
      <c r="C45" s="44"/>
      <c r="D45" s="53">
        <f>+ROUND(D32+D37+D43,)</f>
        <v>0</v>
      </c>
      <c r="E45" s="53">
        <f>E32+E37+E43</f>
        <v>0</v>
      </c>
    </row>
    <row r="46" spans="1:5" s="42" customFormat="1" ht="13.35" customHeight="1" x14ac:dyDescent="0.25">
      <c r="A46" s="61"/>
      <c r="B46" s="52"/>
      <c r="C46" s="44"/>
      <c r="D46" s="55"/>
      <c r="E46" s="55"/>
    </row>
    <row r="47" spans="1:5" s="42" customFormat="1" x14ac:dyDescent="0.25">
      <c r="A47" s="62"/>
      <c r="B47" s="52" t="s">
        <v>37</v>
      </c>
      <c r="C47" s="40"/>
      <c r="D47" s="48">
        <f>D24-D45</f>
        <v>0</v>
      </c>
      <c r="E47" s="48">
        <f>E24-E45</f>
        <v>0</v>
      </c>
    </row>
    <row r="49" spans="5:5" x14ac:dyDescent="0.25">
      <c r="E49" s="63"/>
    </row>
  </sheetData>
  <mergeCells count="2">
    <mergeCell ref="B1:E1"/>
    <mergeCell ref="B2:E2"/>
  </mergeCells>
  <printOptions horizontalCentered="1"/>
  <pageMargins left="0.51181102362204722" right="0.70866141732283472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3512-01D1-4004-8FC0-5573682CD21E}">
  <dimension ref="A1:H29"/>
  <sheetViews>
    <sheetView showGridLines="0" zoomScaleNormal="100" zoomScaleSheetLayoutView="85" workbookViewId="0">
      <selection activeCell="I16" sqref="I16"/>
    </sheetView>
  </sheetViews>
  <sheetFormatPr defaultColWidth="8.77734375" defaultRowHeight="13.8" x14ac:dyDescent="0.25"/>
  <cols>
    <col min="1" max="1" width="2.77734375" style="1" customWidth="1"/>
    <col min="2" max="2" width="30.44140625" style="1" bestFit="1" customWidth="1"/>
    <col min="3" max="3" width="21.21875" style="1" customWidth="1"/>
    <col min="4" max="4" width="12.21875" style="1" bestFit="1" customWidth="1"/>
    <col min="5" max="5" width="12" style="1" bestFit="1" customWidth="1"/>
    <col min="6" max="6" width="1.77734375" style="1" customWidth="1"/>
    <col min="7" max="7" width="12.5546875" style="1" customWidth="1"/>
    <col min="8" max="16384" width="8.77734375" style="1"/>
  </cols>
  <sheetData>
    <row r="1" spans="1:8" ht="20.25" customHeight="1" x14ac:dyDescent="0.25">
      <c r="A1" s="64"/>
      <c r="B1" s="126" t="s">
        <v>66</v>
      </c>
      <c r="C1" s="126"/>
      <c r="D1" s="126"/>
      <c r="E1" s="126"/>
    </row>
    <row r="2" spans="1:8" ht="25.5" customHeight="1" x14ac:dyDescent="0.25">
      <c r="A2" s="65"/>
      <c r="B2" s="127" t="e">
        <f>"Statement of profit &amp; Loss "&amp;#REF!</f>
        <v>#REF!</v>
      </c>
      <c r="C2" s="127"/>
      <c r="D2" s="127"/>
      <c r="E2" s="127"/>
    </row>
    <row r="3" spans="1:8" ht="6.75" customHeight="1" x14ac:dyDescent="0.25">
      <c r="A3" s="64"/>
      <c r="B3" s="31"/>
      <c r="C3" s="31"/>
      <c r="D3" s="31"/>
      <c r="E3" s="32"/>
    </row>
    <row r="4" spans="1:8" ht="14.4" thickBot="1" x14ac:dyDescent="0.3">
      <c r="A4" s="66"/>
      <c r="B4" s="67"/>
      <c r="C4" s="68"/>
      <c r="D4" s="69">
        <v>2025</v>
      </c>
      <c r="E4" s="69">
        <v>2024</v>
      </c>
    </row>
    <row r="5" spans="1:8" x14ac:dyDescent="0.25">
      <c r="A5" s="70"/>
      <c r="B5" s="71"/>
      <c r="C5" s="71"/>
      <c r="D5" s="72"/>
      <c r="E5" s="72"/>
    </row>
    <row r="6" spans="1:8" ht="30.6" customHeight="1" x14ac:dyDescent="0.25">
      <c r="A6" s="73"/>
      <c r="B6" s="74" t="s">
        <v>38</v>
      </c>
      <c r="C6" s="74"/>
      <c r="D6" s="72"/>
      <c r="E6" s="72"/>
    </row>
    <row r="7" spans="1:8" ht="30.6" customHeight="1" x14ac:dyDescent="0.25">
      <c r="A7" s="73"/>
      <c r="B7" s="75" t="s">
        <v>39</v>
      </c>
      <c r="C7" s="75"/>
      <c r="D7" s="72"/>
      <c r="E7" s="72"/>
      <c r="G7" s="2"/>
    </row>
    <row r="8" spans="1:8" s="37" customFormat="1" ht="30.6" customHeight="1" x14ac:dyDescent="0.25">
      <c r="A8" s="76"/>
      <c r="B8" s="74" t="s">
        <v>40</v>
      </c>
      <c r="C8" s="74"/>
      <c r="D8" s="77">
        <f>SUM(D6:D7)</f>
        <v>0</v>
      </c>
      <c r="E8" s="77">
        <f>SUM(E6:E7)</f>
        <v>0</v>
      </c>
      <c r="G8" s="78"/>
      <c r="H8" s="78"/>
    </row>
    <row r="9" spans="1:8" ht="30.6" customHeight="1" x14ac:dyDescent="0.25">
      <c r="A9" s="73"/>
      <c r="B9" s="75"/>
      <c r="C9" s="75"/>
      <c r="D9" s="79"/>
      <c r="E9" s="79"/>
    </row>
    <row r="10" spans="1:8" ht="30.6" customHeight="1" x14ac:dyDescent="0.25">
      <c r="A10" s="73"/>
      <c r="B10" s="75" t="s">
        <v>41</v>
      </c>
      <c r="C10" s="75"/>
      <c r="D10" s="72"/>
      <c r="E10" s="72"/>
    </row>
    <row r="11" spans="1:8" ht="30.6" customHeight="1" x14ac:dyDescent="0.25">
      <c r="A11" s="73"/>
      <c r="B11" s="75" t="s">
        <v>42</v>
      </c>
      <c r="C11" s="75"/>
      <c r="D11" s="72"/>
      <c r="E11" s="72"/>
    </row>
    <row r="12" spans="1:8" ht="30.6" customHeight="1" x14ac:dyDescent="0.25">
      <c r="A12" s="73"/>
      <c r="B12" s="74" t="s">
        <v>43</v>
      </c>
      <c r="C12" s="74"/>
      <c r="D12" s="77">
        <f>SUM(D8:D11)</f>
        <v>0</v>
      </c>
      <c r="E12" s="77">
        <f>SUM(E8:E11)</f>
        <v>0</v>
      </c>
    </row>
    <row r="13" spans="1:8" ht="30.6" customHeight="1" x14ac:dyDescent="0.25">
      <c r="A13" s="73"/>
      <c r="B13" s="74"/>
      <c r="C13" s="74"/>
      <c r="D13" s="80"/>
      <c r="E13" s="80"/>
    </row>
    <row r="14" spans="1:8" ht="30.6" customHeight="1" x14ac:dyDescent="0.25">
      <c r="A14" s="73"/>
      <c r="B14" s="81" t="s">
        <v>44</v>
      </c>
      <c r="C14" s="74"/>
      <c r="D14" s="79"/>
      <c r="E14" s="79"/>
    </row>
    <row r="15" spans="1:8" ht="30.6" customHeight="1" x14ac:dyDescent="0.25">
      <c r="A15" s="73"/>
      <c r="B15" s="75" t="s">
        <v>45</v>
      </c>
      <c r="C15" s="75"/>
      <c r="D15" s="82"/>
      <c r="E15" s="82"/>
    </row>
    <row r="16" spans="1:8" ht="30.6" customHeight="1" x14ac:dyDescent="0.25">
      <c r="A16" s="73"/>
      <c r="B16" s="74"/>
      <c r="C16" s="74"/>
      <c r="D16" s="77">
        <f>SUM(D12:D15)</f>
        <v>0</v>
      </c>
      <c r="E16" s="77">
        <f>SUM(E12:E15)</f>
        <v>0</v>
      </c>
    </row>
    <row r="17" spans="1:7" ht="30.6" customHeight="1" x14ac:dyDescent="0.25">
      <c r="A17" s="73"/>
      <c r="B17" s="75" t="s">
        <v>46</v>
      </c>
      <c r="C17" s="75"/>
      <c r="D17" s="72"/>
      <c r="E17" s="72"/>
    </row>
    <row r="18" spans="1:7" ht="30.6" customHeight="1" thickBot="1" x14ac:dyDescent="0.3">
      <c r="A18" s="73"/>
      <c r="B18" s="83" t="s">
        <v>47</v>
      </c>
      <c r="C18" s="83"/>
      <c r="D18" s="84">
        <f>SUM(D16:D17)</f>
        <v>0</v>
      </c>
      <c r="E18" s="84">
        <f>SUM(E16:E17)</f>
        <v>0</v>
      </c>
      <c r="G18" s="78"/>
    </row>
    <row r="19" spans="1:7" x14ac:dyDescent="0.25">
      <c r="A19" s="73"/>
      <c r="B19" s="74"/>
      <c r="C19" s="74"/>
      <c r="D19" s="42"/>
      <c r="E19" s="42"/>
    </row>
    <row r="20" spans="1:7" x14ac:dyDescent="0.25">
      <c r="A20" s="85"/>
      <c r="B20" s="86"/>
      <c r="C20" s="86"/>
      <c r="D20" s="42"/>
      <c r="E20" s="23"/>
    </row>
    <row r="21" spans="1:7" x14ac:dyDescent="0.25">
      <c r="A21" s="85"/>
      <c r="B21" s="86"/>
      <c r="C21" s="86"/>
      <c r="D21" s="87"/>
      <c r="E21" s="100"/>
    </row>
    <row r="22" spans="1:7" x14ac:dyDescent="0.25">
      <c r="D22" s="88"/>
      <c r="E22" s="88"/>
    </row>
    <row r="24" spans="1:7" x14ac:dyDescent="0.25">
      <c r="E24" s="58"/>
    </row>
    <row r="28" spans="1:7" x14ac:dyDescent="0.25">
      <c r="E28" s="58"/>
    </row>
    <row r="29" spans="1:7" x14ac:dyDescent="0.25">
      <c r="E29" s="88"/>
    </row>
  </sheetData>
  <mergeCells count="2">
    <mergeCell ref="B1:E1"/>
    <mergeCell ref="B2:E2"/>
  </mergeCells>
  <printOptions horizontalCentered="1"/>
  <pageMargins left="0.51181102362204722" right="0.70866141732283472" top="0.74803149606299213" bottom="0.74803149606299213" header="0.31496062992125984" footer="0.31496062992125984"/>
  <pageSetup paperSize="9" scale="75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94BD-DFE8-4DFE-BC5F-ACDD70807237}">
  <dimension ref="A3:H30"/>
  <sheetViews>
    <sheetView topLeftCell="A8" zoomScaleNormal="100" workbookViewId="0">
      <selection activeCell="J11" sqref="J11"/>
    </sheetView>
  </sheetViews>
  <sheetFormatPr defaultColWidth="8.77734375" defaultRowHeight="13.8" x14ac:dyDescent="0.25"/>
  <cols>
    <col min="1" max="1" width="44.5546875" style="1" bestFit="1" customWidth="1"/>
    <col min="2" max="2" width="14.44140625" style="1" bestFit="1" customWidth="1"/>
    <col min="3" max="3" width="10.21875" style="1" bestFit="1" customWidth="1"/>
    <col min="4" max="4" width="13.5546875" style="1" bestFit="1" customWidth="1"/>
    <col min="5" max="6" width="14.44140625" style="1" bestFit="1" customWidth="1"/>
    <col min="7" max="7" width="8.77734375" style="1"/>
    <col min="8" max="8" width="12.5546875" style="1" bestFit="1" customWidth="1"/>
    <col min="9" max="16384" width="8.77734375" style="1"/>
  </cols>
  <sheetData>
    <row r="3" spans="1:8" x14ac:dyDescent="0.25">
      <c r="A3" s="128" t="e">
        <f>#REF!</f>
        <v>#REF!</v>
      </c>
      <c r="B3" s="128"/>
      <c r="C3" s="128"/>
      <c r="D3" s="128"/>
      <c r="E3" s="128"/>
      <c r="F3" s="128"/>
    </row>
    <row r="4" spans="1:8" x14ac:dyDescent="0.25">
      <c r="A4" s="129" t="s">
        <v>48</v>
      </c>
      <c r="B4" s="129"/>
      <c r="C4" s="129"/>
      <c r="D4" s="129"/>
      <c r="E4" s="129"/>
      <c r="F4" s="129"/>
    </row>
    <row r="5" spans="1:8" x14ac:dyDescent="0.25">
      <c r="A5" s="89"/>
      <c r="B5" s="89"/>
      <c r="C5" s="89"/>
      <c r="D5" s="89"/>
      <c r="E5" s="89"/>
      <c r="F5" s="89"/>
    </row>
    <row r="6" spans="1:8" ht="28.2" thickBot="1" x14ac:dyDescent="0.3">
      <c r="A6" s="90"/>
      <c r="B6" s="91" t="s">
        <v>49</v>
      </c>
      <c r="C6" s="91" t="s">
        <v>50</v>
      </c>
      <c r="D6" s="91" t="s">
        <v>51</v>
      </c>
      <c r="E6" s="91" t="s">
        <v>52</v>
      </c>
      <c r="F6" s="91" t="s">
        <v>4</v>
      </c>
    </row>
    <row r="7" spans="1:8" x14ac:dyDescent="0.25">
      <c r="A7" s="92" t="s">
        <v>53</v>
      </c>
      <c r="B7" s="93"/>
      <c r="C7" s="93"/>
      <c r="D7" s="93"/>
      <c r="E7" s="93"/>
      <c r="F7" s="93">
        <f>SUM(B7:E7)</f>
        <v>0</v>
      </c>
    </row>
    <row r="8" spans="1:8" x14ac:dyDescent="0.25">
      <c r="A8" s="94" t="s">
        <v>54</v>
      </c>
      <c r="B8" s="93"/>
      <c r="C8" s="93"/>
      <c r="D8" s="93"/>
      <c r="E8" s="93">
        <v>0</v>
      </c>
      <c r="F8" s="93">
        <f t="shared" ref="F8:F9" si="0">SUM(B8:E8)</f>
        <v>0</v>
      </c>
    </row>
    <row r="9" spans="1:8" x14ac:dyDescent="0.25">
      <c r="A9" s="94" t="s">
        <v>55</v>
      </c>
      <c r="B9" s="95">
        <f>B7+B8</f>
        <v>0</v>
      </c>
      <c r="C9" s="95">
        <f t="shared" ref="C9:E9" si="1">C7+C8</f>
        <v>0</v>
      </c>
      <c r="D9" s="95">
        <f t="shared" si="1"/>
        <v>0</v>
      </c>
      <c r="E9" s="95">
        <f t="shared" si="1"/>
        <v>0</v>
      </c>
      <c r="F9" s="95">
        <f t="shared" si="0"/>
        <v>0</v>
      </c>
    </row>
    <row r="10" spans="1:8" x14ac:dyDescent="0.25">
      <c r="A10" s="94" t="s">
        <v>56</v>
      </c>
      <c r="B10" s="93"/>
      <c r="C10" s="96"/>
      <c r="D10" s="93"/>
      <c r="E10" s="93"/>
      <c r="F10" s="93">
        <f>SUM(B10:E10)</f>
        <v>0</v>
      </c>
    </row>
    <row r="11" spans="1:8" x14ac:dyDescent="0.25">
      <c r="A11" s="94" t="s">
        <v>57</v>
      </c>
      <c r="B11" s="93"/>
      <c r="C11" s="93"/>
      <c r="D11" s="93"/>
      <c r="E11" s="93"/>
      <c r="F11" s="93">
        <f t="shared" ref="F11:F16" si="2">SUM(B11:E11)</f>
        <v>0</v>
      </c>
      <c r="H11" s="88"/>
    </row>
    <row r="12" spans="1:8" x14ac:dyDescent="0.25">
      <c r="A12" s="94" t="s">
        <v>58</v>
      </c>
      <c r="B12" s="93"/>
      <c r="C12" s="93"/>
      <c r="D12" s="93"/>
      <c r="E12" s="96"/>
      <c r="F12" s="93">
        <f t="shared" si="2"/>
        <v>0</v>
      </c>
    </row>
    <row r="13" spans="1:8" x14ac:dyDescent="0.25">
      <c r="A13" s="94" t="s">
        <v>59</v>
      </c>
      <c r="B13" s="93"/>
      <c r="C13" s="93"/>
      <c r="D13" s="93"/>
      <c r="E13" s="93"/>
      <c r="F13" s="93">
        <f t="shared" si="2"/>
        <v>0</v>
      </c>
    </row>
    <row r="14" spans="1:8" x14ac:dyDescent="0.25">
      <c r="A14" s="94" t="s">
        <v>60</v>
      </c>
      <c r="B14" s="93"/>
      <c r="C14" s="93"/>
      <c r="D14" s="93"/>
      <c r="E14" s="93"/>
      <c r="F14" s="93">
        <f t="shared" si="2"/>
        <v>0</v>
      </c>
    </row>
    <row r="15" spans="1:8" x14ac:dyDescent="0.25">
      <c r="A15" s="94" t="s">
        <v>61</v>
      </c>
      <c r="B15" s="93"/>
      <c r="C15" s="93"/>
      <c r="D15" s="93"/>
      <c r="E15" s="93"/>
      <c r="F15" s="93">
        <f t="shared" si="2"/>
        <v>0</v>
      </c>
    </row>
    <row r="16" spans="1:8" x14ac:dyDescent="0.25">
      <c r="A16" s="94" t="s">
        <v>62</v>
      </c>
      <c r="B16" s="97"/>
      <c r="C16" s="97"/>
      <c r="D16" s="93"/>
      <c r="E16" s="93"/>
      <c r="F16" s="93">
        <f t="shared" si="2"/>
        <v>0</v>
      </c>
    </row>
    <row r="17" spans="1:6" ht="14.4" thickBot="1" x14ac:dyDescent="0.3">
      <c r="A17" s="98" t="s">
        <v>63</v>
      </c>
      <c r="B17" s="99">
        <f>SUM(B9:B16)</f>
        <v>0</v>
      </c>
      <c r="C17" s="99">
        <f t="shared" ref="C17" si="3">SUM(C9:C16)</f>
        <v>0</v>
      </c>
      <c r="D17" s="99">
        <f>SUM(D9:D16)</f>
        <v>0</v>
      </c>
      <c r="E17" s="99">
        <f>SUM(E9:E16)</f>
        <v>0</v>
      </c>
      <c r="F17" s="99">
        <f>SUM(F9:F16)</f>
        <v>0</v>
      </c>
    </row>
    <row r="18" spans="1:6" x14ac:dyDescent="0.25">
      <c r="B18" s="96"/>
      <c r="C18" s="96"/>
      <c r="D18" s="96"/>
      <c r="E18" s="96"/>
      <c r="F18" s="96"/>
    </row>
    <row r="19" spans="1:6" x14ac:dyDescent="0.25">
      <c r="B19" s="96"/>
      <c r="C19" s="96"/>
      <c r="D19" s="96"/>
      <c r="E19" s="96"/>
      <c r="F19" s="96"/>
    </row>
    <row r="20" spans="1:6" x14ac:dyDescent="0.25">
      <c r="A20" s="92" t="s">
        <v>64</v>
      </c>
      <c r="B20" s="96"/>
      <c r="C20" s="96"/>
      <c r="D20" s="96"/>
      <c r="E20" s="96"/>
      <c r="F20" s="96">
        <f t="shared" ref="F20" si="4">F17</f>
        <v>0</v>
      </c>
    </row>
    <row r="21" spans="1:6" x14ac:dyDescent="0.25">
      <c r="A21" s="94" t="s">
        <v>54</v>
      </c>
      <c r="B21" s="96"/>
      <c r="C21" s="96"/>
      <c r="D21" s="96"/>
      <c r="E21" s="96"/>
      <c r="F21" s="96"/>
    </row>
    <row r="22" spans="1:6" x14ac:dyDescent="0.25">
      <c r="A22" s="94" t="s">
        <v>55</v>
      </c>
      <c r="B22" s="95">
        <f>SUM(B20:B21)</f>
        <v>0</v>
      </c>
      <c r="C22" s="95">
        <f t="shared" ref="C22:E22" si="5">SUM(C20:C21)</f>
        <v>0</v>
      </c>
      <c r="D22" s="95">
        <f t="shared" si="5"/>
        <v>0</v>
      </c>
      <c r="E22" s="95">
        <f t="shared" si="5"/>
        <v>0</v>
      </c>
      <c r="F22" s="95">
        <f>SUM(F20:F21)</f>
        <v>0</v>
      </c>
    </row>
    <row r="23" spans="1:6" x14ac:dyDescent="0.25">
      <c r="A23" s="94" t="s">
        <v>56</v>
      </c>
      <c r="B23" s="96"/>
      <c r="C23" s="96"/>
      <c r="D23" s="96"/>
      <c r="E23" s="96"/>
      <c r="F23" s="96">
        <f>SUM(B23:E23)</f>
        <v>0</v>
      </c>
    </row>
    <row r="24" spans="1:6" x14ac:dyDescent="0.25">
      <c r="A24" s="94" t="s">
        <v>57</v>
      </c>
      <c r="B24" s="96"/>
      <c r="C24" s="96"/>
      <c r="D24" s="96"/>
      <c r="E24" s="96"/>
      <c r="F24" s="96">
        <f t="shared" ref="F24:F29" si="6">SUM(B24:E24)</f>
        <v>0</v>
      </c>
    </row>
    <row r="25" spans="1:6" x14ac:dyDescent="0.25">
      <c r="A25" s="94" t="s">
        <v>58</v>
      </c>
      <c r="B25" s="96"/>
      <c r="C25" s="96"/>
      <c r="D25" s="96"/>
      <c r="E25" s="96"/>
      <c r="F25" s="96">
        <f t="shared" si="6"/>
        <v>0</v>
      </c>
    </row>
    <row r="26" spans="1:6" x14ac:dyDescent="0.25">
      <c r="A26" s="94" t="s">
        <v>59</v>
      </c>
      <c r="B26" s="96"/>
      <c r="C26" s="96"/>
      <c r="D26" s="96"/>
      <c r="E26" s="96"/>
      <c r="F26" s="96">
        <f t="shared" si="6"/>
        <v>0</v>
      </c>
    </row>
    <row r="27" spans="1:6" x14ac:dyDescent="0.25">
      <c r="A27" s="94" t="s">
        <v>60</v>
      </c>
      <c r="B27" s="96"/>
      <c r="C27" s="96"/>
      <c r="D27" s="96"/>
      <c r="E27" s="96"/>
      <c r="F27" s="96">
        <f t="shared" si="6"/>
        <v>0</v>
      </c>
    </row>
    <row r="28" spans="1:6" x14ac:dyDescent="0.25">
      <c r="A28" s="94" t="s">
        <v>61</v>
      </c>
      <c r="B28" s="96"/>
      <c r="C28" s="96"/>
      <c r="D28" s="96"/>
      <c r="E28" s="96"/>
      <c r="F28" s="96">
        <f t="shared" si="6"/>
        <v>0</v>
      </c>
    </row>
    <row r="29" spans="1:6" x14ac:dyDescent="0.25">
      <c r="A29" s="94" t="s">
        <v>62</v>
      </c>
      <c r="B29" s="96"/>
      <c r="C29" s="96"/>
      <c r="D29" s="96"/>
      <c r="E29" s="96"/>
      <c r="F29" s="96">
        <f t="shared" si="6"/>
        <v>0</v>
      </c>
    </row>
    <row r="30" spans="1:6" ht="14.4" thickBot="1" x14ac:dyDescent="0.3">
      <c r="A30" s="98" t="s">
        <v>65</v>
      </c>
      <c r="B30" s="99">
        <f>SUM(B22:B29)</f>
        <v>0</v>
      </c>
      <c r="C30" s="99">
        <f t="shared" ref="C30:E30" si="7">SUM(C22:C29)</f>
        <v>0</v>
      </c>
      <c r="D30" s="99">
        <f t="shared" si="7"/>
        <v>0</v>
      </c>
      <c r="E30" s="99">
        <f t="shared" si="7"/>
        <v>0</v>
      </c>
      <c r="F30" s="99">
        <f>SUM(F22:F29)</f>
        <v>0</v>
      </c>
    </row>
  </sheetData>
  <mergeCells count="2">
    <mergeCell ref="A3:F3"/>
    <mergeCell ref="A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C843-BB98-4375-A2FC-C5816F6FF0C6}">
  <dimension ref="A3:I5"/>
  <sheetViews>
    <sheetView zoomScaleNormal="100" workbookViewId="0">
      <selection activeCell="E16" sqref="E16"/>
    </sheetView>
  </sheetViews>
  <sheetFormatPr defaultColWidth="9.21875" defaultRowHeight="13.8" x14ac:dyDescent="0.3"/>
  <cols>
    <col min="1" max="1" width="9.21875" style="113"/>
    <col min="2" max="2" width="12.44140625" style="113" bestFit="1" customWidth="1"/>
    <col min="3" max="3" width="31.44140625" style="114" bestFit="1" customWidth="1"/>
    <col min="4" max="4" width="63.5546875" style="115" customWidth="1"/>
    <col min="5" max="6" width="15.5546875" style="113" customWidth="1"/>
    <col min="7" max="7" width="17.44140625" style="116" bestFit="1" customWidth="1"/>
    <col min="8" max="8" width="13.5546875" style="113" bestFit="1" customWidth="1"/>
    <col min="9" max="16384" width="9.21875" style="113"/>
  </cols>
  <sheetData>
    <row r="3" spans="1:9" s="105" customFormat="1" x14ac:dyDescent="0.3">
      <c r="A3" s="101" t="s">
        <v>67</v>
      </c>
      <c r="B3" s="101" t="s">
        <v>68</v>
      </c>
      <c r="C3" s="102" t="s">
        <v>69</v>
      </c>
      <c r="D3" s="103" t="s">
        <v>70</v>
      </c>
      <c r="E3" s="101" t="s">
        <v>71</v>
      </c>
      <c r="F3" s="101" t="s">
        <v>72</v>
      </c>
      <c r="G3" s="104" t="s">
        <v>73</v>
      </c>
    </row>
    <row r="4" spans="1:9" s="111" customFormat="1" ht="110.55" customHeight="1" x14ac:dyDescent="0.3">
      <c r="A4" s="106"/>
      <c r="B4" s="106"/>
      <c r="C4" s="107"/>
      <c r="D4" s="108"/>
      <c r="E4" s="107"/>
      <c r="F4" s="107"/>
      <c r="G4" s="109"/>
      <c r="H4" s="110"/>
      <c r="I4" s="110"/>
    </row>
    <row r="5" spans="1:9" s="105" customFormat="1" x14ac:dyDescent="0.3">
      <c r="A5" s="117" t="s">
        <v>74</v>
      </c>
      <c r="B5" s="117"/>
      <c r="C5" s="117"/>
      <c r="D5" s="117"/>
      <c r="E5" s="101"/>
      <c r="F5" s="101"/>
      <c r="G5" s="112">
        <f>SUM(G4:G4)</f>
        <v>0</v>
      </c>
    </row>
  </sheetData>
  <mergeCells count="1">
    <mergeCell ref="A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DC34-4BE1-47E3-BBD5-64359D7A51DC}">
  <sheetPr>
    <tabColor rgb="FFFF0000"/>
  </sheetPr>
  <dimension ref="B2:E10"/>
  <sheetViews>
    <sheetView tabSelected="1" zoomScaleNormal="100" workbookViewId="0">
      <selection activeCell="G10" sqref="G10"/>
    </sheetView>
  </sheetViews>
  <sheetFormatPr defaultColWidth="8.77734375" defaultRowHeight="13.8" x14ac:dyDescent="0.25"/>
  <cols>
    <col min="1" max="1" width="8.77734375" style="1"/>
    <col min="2" max="2" width="23.5546875" style="1" customWidth="1"/>
    <col min="3" max="3" width="14.5546875" style="1" bestFit="1" customWidth="1"/>
    <col min="4" max="4" width="8.77734375" style="1"/>
    <col min="5" max="5" width="12.5546875" style="1" bestFit="1" customWidth="1"/>
    <col min="6" max="8" width="8.77734375" style="1"/>
    <col min="9" max="9" width="12" style="1" bestFit="1" customWidth="1"/>
    <col min="10" max="16384" width="8.77734375" style="1"/>
  </cols>
  <sheetData>
    <row r="2" spans="2:5" ht="25.05" customHeight="1" x14ac:dyDescent="0.25">
      <c r="B2" s="130" t="s">
        <v>75</v>
      </c>
      <c r="C2" s="130"/>
    </row>
    <row r="3" spans="2:5" ht="25.05" customHeight="1" x14ac:dyDescent="0.25">
      <c r="B3" s="131" t="s">
        <v>76</v>
      </c>
      <c r="C3" s="131" t="s">
        <v>77</v>
      </c>
    </row>
    <row r="4" spans="2:5" s="113" customFormat="1" ht="25.05" customHeight="1" x14ac:dyDescent="0.3">
      <c r="B4" s="132" t="s">
        <v>78</v>
      </c>
      <c r="C4" s="133"/>
    </row>
    <row r="5" spans="2:5" s="113" customFormat="1" ht="25.05" customHeight="1" x14ac:dyDescent="0.3">
      <c r="B5" s="132" t="s">
        <v>79</v>
      </c>
      <c r="C5" s="133"/>
    </row>
    <row r="6" spans="2:5" s="113" customFormat="1" ht="25.05" customHeight="1" x14ac:dyDescent="0.3">
      <c r="B6" s="134" t="s">
        <v>80</v>
      </c>
      <c r="C6" s="133"/>
      <c r="E6" s="135"/>
    </row>
    <row r="7" spans="2:5" s="113" customFormat="1" ht="25.05" customHeight="1" x14ac:dyDescent="0.3">
      <c r="B7" s="134" t="s">
        <v>81</v>
      </c>
      <c r="C7" s="133"/>
      <c r="E7" s="135"/>
    </row>
    <row r="8" spans="2:5" s="113" customFormat="1" ht="25.05" customHeight="1" x14ac:dyDescent="0.3">
      <c r="B8" s="132" t="s">
        <v>82</v>
      </c>
      <c r="C8" s="133"/>
    </row>
    <row r="9" spans="2:5" s="113" customFormat="1" ht="25.05" customHeight="1" x14ac:dyDescent="0.3">
      <c r="B9" s="132" t="s">
        <v>83</v>
      </c>
      <c r="C9" s="133"/>
      <c r="E9" s="135"/>
    </row>
    <row r="10" spans="2:5" s="113" customFormat="1" ht="25.05" customHeight="1" x14ac:dyDescent="0.3">
      <c r="B10" s="132" t="s">
        <v>84</v>
      </c>
      <c r="C10" s="136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IFRS TB</vt:lpstr>
      <vt:lpstr>BS</vt:lpstr>
      <vt:lpstr>P and L</vt:lpstr>
      <vt:lpstr>Statement of equity</vt:lpstr>
      <vt:lpstr>Capital</vt:lpstr>
      <vt:lpstr>COGS</vt:lpstr>
      <vt:lpstr>BS!Print_Area</vt:lpstr>
      <vt:lpstr>'IFRS TB'!Print_Area</vt:lpstr>
      <vt:lpstr>'P and 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Ksaauditbo AT2</dc:creator>
  <cp:lastModifiedBy>Ksaauditbo AT2</cp:lastModifiedBy>
  <dcterms:created xsi:type="dcterms:W3CDTF">2026-10-06T05:53:52Z</dcterms:created>
  <dcterms:modified xsi:type="dcterms:W3CDTF">2026-10-07T07:46:14Z</dcterms:modified>
</cp:coreProperties>
</file>