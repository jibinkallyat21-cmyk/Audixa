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 item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<sst xmlns="http://schemas.openxmlformats.org/spreadsheetml/2006/main" count="417" uniqueCount="194">
  <si>
    <t>#</t>
  </si>
  <si>
    <t>Section</t>
  </si>
  <si>
    <t>Area</t>
  </si>
  <si>
    <t>Item</t>
  </si>
  <si>
    <t>What I need from you</t>
  </si>
  <si>
    <t>What it affects now</t>
  </si>
  <si>
    <t>Priority</t>
  </si>
  <si>
    <t>Status</t>
  </si>
  <si>
    <t>Your answer / notes</t>
  </si>
  <si>
    <t>1. Access and setup</t>
  </si>
  <si>
    <t>Claude reading</t>
  </si>
  <si>
    <t>ANTHROPIC_API_KEY</t>
  </si>
  <si>
    <t>Add the key in Vercel (project settings, environment variables).</t>
  </si>
  <si>
    <t>Live document reading. Without it every tool falls back to manual entry or sample buttons.</t>
  </si>
  <si>
    <t>High</t>
  </si>
  <si>
    <t>Open</t>
  </si>
  <si>
    <t/>
  </si>
  <si>
    <t>Odoo</t>
  </si>
  <si>
    <t>Odoo connection</t>
  </si>
  <si>
    <t>Connection details for Odoo CRM.</t>
  </si>
  <si>
    <t>Lead sync, saving proposals back to Odoo and the System Administrator alert are in demo mode.</t>
  </si>
  <si>
    <t>Email</t>
  </si>
  <si>
    <t>Email service</t>
  </si>
  <si>
    <t>Connection for sending proposals by email.</t>
  </si>
  <si>
    <t>Proposals are generated but not emailed until connected.</t>
  </si>
  <si>
    <t>Monday.com</t>
  </si>
  <si>
    <t>API token</t>
  </si>
  <si>
    <t>Integration user API token.</t>
  </si>
  <si>
    <t>EL exchange runs in demo mode.</t>
  </si>
  <si>
    <t>Medium</t>
  </si>
  <si>
    <t>Board and group</t>
  </si>
  <si>
    <t>Board and group used for EL requests.</t>
  </si>
  <si>
    <t>EL exchange.</t>
  </si>
  <si>
    <t>Finding a client item</t>
  </si>
  <si>
    <t>How a client's item is found on the board.</t>
  </si>
  <si>
    <t>Auditor replies</t>
  </si>
  <si>
    <t>Whether auditors reply with file columns or updates.</t>
  </si>
  <si>
    <t>Request text</t>
  </si>
  <si>
    <t>Where the request text goes on the item.</t>
  </si>
  <si>
    <t>Company server</t>
  </si>
  <si>
    <t>Storage details</t>
  </si>
  <si>
    <t>Folder path, write access, an always-on machine, its address and the backup arrangement.</t>
  </si>
  <si>
    <t>Data is kept in the browser until this replaces it.</t>
  </si>
  <si>
    <t>Database</t>
  </si>
  <si>
    <t>Database connection</t>
  </si>
  <si>
    <t>Connection details for the database.</t>
  </si>
  <si>
    <t>Same as above: storage is browser-based today.</t>
  </si>
  <si>
    <t>Cleanup</t>
  </si>
  <si>
    <t>Node version and key</t>
  </si>
  <si>
    <t>Confirm when to pin the Node version and rotate or remove the key in .mcp.json.</t>
  </si>
  <si>
    <t>Housekeeping before handover.</t>
  </si>
  <si>
    <t>Low</t>
  </si>
  <si>
    <t>2. Files to upload</t>
  </si>
  <si>
    <t>Templates</t>
  </si>
  <si>
    <t>Prepaid templates</t>
  </si>
  <si>
    <t>Upload the prepaid expense templates.</t>
  </si>
  <si>
    <t>Prepaid workbook was built from the Rule Book text; needs comparing with your template.</t>
  </si>
  <si>
    <t>FA_NEW_SHEET.xlsx</t>
  </si>
  <si>
    <t>Upload the depreciation template.</t>
  </si>
  <si>
    <t>Depreciation workbook was built from the Rule Book text.</t>
  </si>
  <si>
    <t>IFRS TB account list</t>
  </si>
  <si>
    <t>Upload the real IFRS TB account list (the template list is empty).</t>
  </si>
  <si>
    <t>I used the Balance Sheet and P&amp;L lines as the IFRS accounts and added a net VAT line.</t>
  </si>
  <si>
    <t>Examples</t>
  </si>
  <si>
    <t>Salary schedule example and ABCPA GOSI/EOSB workbook</t>
  </si>
  <si>
    <t>Upload the two example workbooks named in the Rule Book.</t>
  </si>
  <si>
    <t>Not in the repo, so the output could not be compared with them.</t>
  </si>
  <si>
    <t>ABCPA</t>
  </si>
  <si>
    <t>ABCPA vouching documents</t>
  </si>
  <si>
    <t>Upload them if they exist and differ from the Rule Book.</t>
  </si>
  <si>
    <t>ABCPA uses the same vouching tables as MISCPA for now.</t>
  </si>
  <si>
    <t>Testing</t>
  </si>
  <si>
    <t>Real client files</t>
  </si>
  <si>
    <t>TBs, ledgers, AFS PDFs, salary schedules, GOSI bills, MUDAD reports.</t>
  </si>
  <si>
    <t>Everything was tested with generated samples only.</t>
  </si>
  <si>
    <t>3. Rules to confirm</t>
  </si>
  <si>
    <t>Fees (2.1)</t>
  </si>
  <si>
    <t>Fee per revenue category</t>
  </si>
  <si>
    <t>The real fee for each of the six revenue categories, and whether fees differ by firm (ABCPA / MISCPA).</t>
  </si>
  <si>
    <t>Placeholder fees are used on proposals and in the fee matrix.</t>
  </si>
  <si>
    <t>Discount logic</t>
  </si>
  <si>
    <t>The final discount rule (provisional: 10% of the Zakat filing fee).</t>
  </si>
  <si>
    <t>Proposal discount line.</t>
  </si>
  <si>
    <t>Translation fee in the EL</t>
  </si>
  <si>
    <t>Whether the translation fee appears in the EL.</t>
  </si>
  <si>
    <t>Missing translation fee is only a low-priority note for now.</t>
  </si>
  <si>
    <t>Revenue shown in the EL request</t>
  </si>
  <si>
    <t>Confirm the revenue category from the client profile is what the auditor needs.</t>
  </si>
  <si>
    <t>EL request wording.</t>
  </si>
  <si>
    <t>EL (2.1)</t>
  </si>
  <si>
    <t>The "Osama letter"</t>
  </si>
  <si>
    <t>Exact name of the letter received from the Ministry in a liquidation audit, and which date feeds the audit period end.</t>
  </si>
  <si>
    <t>Liquidation audit extra document.</t>
  </si>
  <si>
    <t>Step 4 "resolution"</t>
  </si>
  <si>
    <t>Confirm it means the shareholder, parent-company GM and authorisation-letter checks, ABCPA only.</t>
  </si>
  <si>
    <t>Signed EL checks.</t>
  </si>
  <si>
    <t>Basic documents (3.2)</t>
  </si>
  <si>
    <t>GCC countries and Mixed class</t>
  </si>
  <si>
    <t>Confirm the GCC list (Saudi Arabia, UAE, Kuwait, Qatar, Bahrain, Oman) and how to treat a Mixed classification.</t>
  </si>
  <si>
    <t>MISA requirement rule.</t>
  </si>
  <si>
    <t>Ambiguous dates</t>
  </si>
  <si>
    <t>Confirm text dates like 03/04/2025 are read day-month-year.</t>
  </si>
  <si>
    <t>Date reading in EOSB lists and documents.</t>
  </si>
  <si>
    <t>EL review vs 2.1</t>
  </si>
  <si>
    <t>Whether the 3.2 EL review should share one reading with 2.1.</t>
  </si>
  <si>
    <t>Duplicate reading of the same EL.</t>
  </si>
  <si>
    <t>VAT number format</t>
  </si>
  <si>
    <t>Confirm a Saudi VAT number is 15 digits.</t>
  </si>
  <si>
    <t>VAT number check (also used in Phase 1).</t>
  </si>
  <si>
    <t>Opening balances (3.3)</t>
  </si>
  <si>
    <t>Assumptions</t>
  </si>
  <si>
    <t>Confirm: debit positive sign convention, tolerance 1.00, and the extra comparison with the prior-year TB closing.</t>
  </si>
  <si>
    <t>Opening balance verification.</t>
  </si>
  <si>
    <t>Sampling (3.4)</t>
  </si>
  <si>
    <t>Expense sample shortfall</t>
  </si>
  <si>
    <t>What to do when the 7-per-account limit leaves the sample under 50% (today it is shown, not topped up).</t>
  </si>
  <si>
    <t>Expense sampling.</t>
  </si>
  <si>
    <t>Expense Ref. series</t>
  </si>
  <si>
    <t>The Rule Book states both 10002 and 10001.02. I used 10001.02.</t>
  </si>
  <si>
    <t>Expense vouching reference numbers.</t>
  </si>
  <si>
    <t>ABCPA AR/AP variant</t>
  </si>
  <si>
    <t>Whether the 10,000 materiality variant (no table cap) should be selectable on screen.</t>
  </si>
  <si>
    <t>ABCPA AR/AP sampling.</t>
  </si>
  <si>
    <t>Payroll (3.5)</t>
  </si>
  <si>
    <t>EOSB entitlement rule</t>
  </si>
  <si>
    <t>The Rule Book gives the inputs but not the rule. I used the Saudi Labour Law basis (half a month per year for 5 years, then a full month).</t>
  </si>
  <si>
    <t>EOSB provision figures.</t>
  </si>
  <si>
    <t>Amount compared with the TB</t>
  </si>
  <si>
    <t>Total Salary (gross) or Net Payable. Default is Total Salary.</t>
  </si>
  <si>
    <t>Salary TB reconciliation.</t>
  </si>
  <si>
    <t>Second depreciation block</t>
  </si>
  <si>
    <t>Confirm whether the prior-year adjustment block (to retained earnings) is needed.</t>
  </si>
  <si>
    <t>Only the side-note cell exists.</t>
  </si>
  <si>
    <t>Financial statements (3.6)</t>
  </si>
  <si>
    <t>Selling vs G&amp;A</t>
  </si>
  <si>
    <t>Confirm account names with advertising, marketing, commission or distribution count as selling.</t>
  </si>
  <si>
    <t>IFRS TB mapping.</t>
  </si>
  <si>
    <t>Cash flow approach</t>
  </si>
  <si>
    <t>Confirm the indirect cash flow built from the notes and PY AFS balances (depreciation, tax paid, dividends are inputs).</t>
  </si>
  <si>
    <t>SCF in the financial statements.</t>
  </si>
  <si>
    <t>Previous-year notes depth</t>
  </si>
  <si>
    <t>How deep the previous-year notes extraction must go (policies, PPE classes, related parties).</t>
  </si>
  <si>
    <t>Notes are one per statement line today.</t>
  </si>
  <si>
    <t>Process 6</t>
  </si>
  <si>
    <t>Starting values</t>
  </si>
  <si>
    <t>Confirm the 6.1 point values and thresholds, the 6.2 follow-up intervals and which 6.4 steps may be N/A.</t>
  </si>
  <si>
    <t>Allocation, query follow-up and closure.</t>
  </si>
  <si>
    <t>Phase 1 (1.1, 1.2)</t>
  </si>
  <si>
    <t>Missing paragraphs</t>
  </si>
  <si>
    <t>The file has no paragraph 1.1.2 and no 1.2.5. Send them, or accept my default of reminders every 3 days.</t>
  </si>
  <si>
    <t>Document follow-up rules.</t>
  </si>
  <si>
    <t>Phase 1 (1.1)</t>
  </si>
  <si>
    <t>Fee matrix tolerance and uplift</t>
  </si>
  <si>
    <t>Tolerance before a justification is needed (I used 10%) and the previous-year fee uplift (set to 0%).</t>
  </si>
  <si>
    <t>Draft proposal fee.</t>
  </si>
  <si>
    <t>Framework for new clients</t>
  </si>
  <si>
    <t>Confirm: IFRS for SMEs below SAR 5M turnover, otherwise IFRS.</t>
  </si>
  <si>
    <t>Draft proposal framework.</t>
  </si>
  <si>
    <t>Band B timing and weekend</t>
  </si>
  <si>
    <t>Confirm "within the week" means five working days and the weekend is Friday and Saturday.</t>
  </si>
  <si>
    <t>Contact deadlines.</t>
  </si>
  <si>
    <t>4. App behaviour</t>
  </si>
  <si>
    <t>Workspace</t>
  </si>
  <si>
    <t>Sequential locking</t>
  </si>
  <si>
    <t>Keep the locking on Audit Procedures (a procedure stays locked until the previous one is started)? It can block a demo.</t>
  </si>
  <si>
    <t>Access to Sampling and Area procedures.</t>
  </si>
  <si>
    <t>Client picker in tools</t>
  </si>
  <si>
    <t>Should each tool take the client file you opened instead of its own client dropdown?</t>
  </si>
  <si>
    <t>Tools inside Audit Procedures.</t>
  </si>
  <si>
    <t>Manager portal</t>
  </si>
  <si>
    <t>Sidebar items</t>
  </si>
  <si>
    <t>Move Audit Log, Query Tracker, Allocation and Archive into the Manager workspace too?</t>
  </si>
  <si>
    <t>Manager sidebar.</t>
  </si>
  <si>
    <t>Client portal</t>
  </si>
  <si>
    <t>Basic documents upload</t>
  </si>
  <si>
    <t>Should the client upload basic documents directly? Today the FO uploads on the client's behalf.</t>
  </si>
  <si>
    <t>Phase 1.2.</t>
  </si>
  <si>
    <t>5. Not built yet</t>
  </si>
  <si>
    <t>Vouching</t>
  </si>
  <si>
    <t>PDF stamping</t>
  </si>
  <si>
    <t>Stamp the Ref. No. on audit copies and rename them. Needs a decision on how and where.</t>
  </si>
  <si>
    <t>Not built.</t>
  </si>
  <si>
    <t>Prepaid and fixed assets</t>
  </si>
  <si>
    <t>Reading invoices with Claude</t>
  </si>
  <si>
    <t>Needs the API key and sample invoices, SADAD slips and policy schedules.</t>
  </si>
  <si>
    <t>Items are entered by hand.</t>
  </si>
  <si>
    <t>Financial statements</t>
  </si>
  <si>
    <t>Full previous-year note extraction</t>
  </si>
  <si>
    <t>Depends on the depth you confirm above.</t>
  </si>
  <si>
    <t>Links to 3.5 and 3.2</t>
  </si>
  <si>
    <t>Salary, fee and capital figures are typed in; linking them is possible once the formats are final.</t>
  </si>
  <si>
    <t>Open items by section</t>
  </si>
  <si>
    <t>Still open</t>
  </si>
  <si>
    <t>High priority and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</si>
</sst>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4B6B6"/>
      </patternFill>
    </fill>
    <fill>
      <patternFill patternType="solid">
        <fgColor rgb="FFFFFFCC"/>
      </patternFill>
    </fill>
    <fill>
      <patternFill patternType="solid">
        <fgColor rgb="FFFFE69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24" customWidth="1"/>
    <col min="4" max="4" width="32" customWidth="1"/>
    <col min="5" max="5" width="60" customWidth="1"/>
    <col min="6" max="6" width="52" customWidth="1"/>
    <col min="7" max="7" width="10" customWidth="1"/>
    <col min="8" max="8" width="12" customWidth="1"/>
    <col min="9" max="9" width="5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  <c r="I2" s="4" t="s">
        <v>16</v>
      </c>
    </row>
    <row r="3" spans="1:9" x14ac:dyDescent="0.25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2" t="s">
        <v>15</v>
      </c>
      <c r="I3" s="4" t="s">
        <v>16</v>
      </c>
    </row>
    <row r="4" spans="1:9" x14ac:dyDescent="0.25">
      <c r="A4" s="2">
        <v>3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24</v>
      </c>
      <c r="G4" s="3" t="s">
        <v>14</v>
      </c>
      <c r="H4" s="2" t="s">
        <v>15</v>
      </c>
      <c r="I4" s="4" t="s">
        <v>16</v>
      </c>
    </row>
    <row r="5" spans="1:9" x14ac:dyDescent="0.25">
      <c r="A5" s="2">
        <v>4</v>
      </c>
      <c r="B5" s="2" t="s">
        <v>9</v>
      </c>
      <c r="C5" s="2" t="s">
        <v>25</v>
      </c>
      <c r="D5" s="2" t="s">
        <v>26</v>
      </c>
      <c r="E5" s="2" t="s">
        <v>27</v>
      </c>
      <c r="F5" s="2" t="s">
        <v>28</v>
      </c>
      <c r="G5" s="5" t="s">
        <v>29</v>
      </c>
      <c r="H5" s="2" t="s">
        <v>15</v>
      </c>
      <c r="I5" s="4" t="s">
        <v>16</v>
      </c>
    </row>
    <row r="6" spans="1:9" x14ac:dyDescent="0.25">
      <c r="A6" s="2">
        <v>5</v>
      </c>
      <c r="B6" s="2" t="s">
        <v>9</v>
      </c>
      <c r="C6" s="2" t="s">
        <v>25</v>
      </c>
      <c r="D6" s="2" t="s">
        <v>30</v>
      </c>
      <c r="E6" s="2" t="s">
        <v>31</v>
      </c>
      <c r="F6" s="2" t="s">
        <v>32</v>
      </c>
      <c r="G6" s="5" t="s">
        <v>29</v>
      </c>
      <c r="H6" s="2" t="s">
        <v>15</v>
      </c>
      <c r="I6" s="4" t="s">
        <v>16</v>
      </c>
    </row>
    <row r="7" spans="1:9" x14ac:dyDescent="0.25">
      <c r="A7" s="2">
        <v>6</v>
      </c>
      <c r="B7" s="2" t="s">
        <v>9</v>
      </c>
      <c r="C7" s="2" t="s">
        <v>25</v>
      </c>
      <c r="D7" s="2" t="s">
        <v>33</v>
      </c>
      <c r="E7" s="2" t="s">
        <v>34</v>
      </c>
      <c r="F7" s="2" t="s">
        <v>32</v>
      </c>
      <c r="G7" s="5" t="s">
        <v>29</v>
      </c>
      <c r="H7" s="2" t="s">
        <v>15</v>
      </c>
      <c r="I7" s="4" t="s">
        <v>16</v>
      </c>
    </row>
    <row r="8" spans="1:9" x14ac:dyDescent="0.25">
      <c r="A8" s="2">
        <v>7</v>
      </c>
      <c r="B8" s="2" t="s">
        <v>9</v>
      </c>
      <c r="C8" s="2" t="s">
        <v>25</v>
      </c>
      <c r="D8" s="2" t="s">
        <v>35</v>
      </c>
      <c r="E8" s="2" t="s">
        <v>36</v>
      </c>
      <c r="F8" s="2" t="s">
        <v>32</v>
      </c>
      <c r="G8" s="5" t="s">
        <v>29</v>
      </c>
      <c r="H8" s="2" t="s">
        <v>15</v>
      </c>
      <c r="I8" s="4" t="s">
        <v>16</v>
      </c>
    </row>
    <row r="9" spans="1:9" x14ac:dyDescent="0.25">
      <c r="A9" s="2">
        <v>8</v>
      </c>
      <c r="B9" s="2" t="s">
        <v>9</v>
      </c>
      <c r="C9" s="2" t="s">
        <v>25</v>
      </c>
      <c r="D9" s="2" t="s">
        <v>37</v>
      </c>
      <c r="E9" s="2" t="s">
        <v>38</v>
      </c>
      <c r="F9" s="2" t="s">
        <v>32</v>
      </c>
      <c r="G9" s="5" t="s">
        <v>29</v>
      </c>
      <c r="H9" s="2" t="s">
        <v>15</v>
      </c>
      <c r="I9" s="4" t="s">
        <v>16</v>
      </c>
    </row>
    <row r="10" spans="1:9" x14ac:dyDescent="0.25">
      <c r="A10" s="2">
        <v>9</v>
      </c>
      <c r="B10" s="2" t="s">
        <v>9</v>
      </c>
      <c r="C10" s="2" t="s">
        <v>39</v>
      </c>
      <c r="D10" s="2" t="s">
        <v>40</v>
      </c>
      <c r="E10" s="2" t="s">
        <v>41</v>
      </c>
      <c r="F10" s="2" t="s">
        <v>42</v>
      </c>
      <c r="G10" s="5" t="s">
        <v>29</v>
      </c>
      <c r="H10" s="2" t="s">
        <v>15</v>
      </c>
      <c r="I10" s="4" t="s">
        <v>16</v>
      </c>
    </row>
    <row r="11" spans="1:9" x14ac:dyDescent="0.25">
      <c r="A11" s="2">
        <v>10</v>
      </c>
      <c r="B11" s="2" t="s">
        <v>9</v>
      </c>
      <c r="C11" s="2" t="s">
        <v>43</v>
      </c>
      <c r="D11" s="2" t="s">
        <v>44</v>
      </c>
      <c r="E11" s="2" t="s">
        <v>45</v>
      </c>
      <c r="F11" s="2" t="s">
        <v>46</v>
      </c>
      <c r="G11" s="5" t="s">
        <v>29</v>
      </c>
      <c r="H11" s="2" t="s">
        <v>15</v>
      </c>
      <c r="I11" s="4" t="s">
        <v>16</v>
      </c>
    </row>
    <row r="12" spans="1:9" x14ac:dyDescent="0.25">
      <c r="A12" s="2">
        <v>11</v>
      </c>
      <c r="B12" s="2" t="s">
        <v>9</v>
      </c>
      <c r="C12" s="2" t="s">
        <v>47</v>
      </c>
      <c r="D12" s="2" t="s">
        <v>48</v>
      </c>
      <c r="E12" s="2" t="s">
        <v>49</v>
      </c>
      <c r="F12" s="2" t="s">
        <v>50</v>
      </c>
      <c r="G12" s="6" t="s">
        <v>51</v>
      </c>
      <c r="H12" s="2" t="s">
        <v>15</v>
      </c>
      <c r="I12" s="4" t="s">
        <v>16</v>
      </c>
    </row>
    <row r="13" spans="1:9" x14ac:dyDescent="0.25">
      <c r="A13" s="2">
        <v>12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3" t="s">
        <v>14</v>
      </c>
      <c r="H13" s="2" t="s">
        <v>15</v>
      </c>
      <c r="I13" s="4" t="s">
        <v>16</v>
      </c>
    </row>
    <row r="14" spans="1:9" x14ac:dyDescent="0.25">
      <c r="A14" s="2">
        <v>13</v>
      </c>
      <c r="B14" s="2" t="s">
        <v>52</v>
      </c>
      <c r="C14" s="2" t="s">
        <v>53</v>
      </c>
      <c r="D14" s="2" t="s">
        <v>57</v>
      </c>
      <c r="E14" s="2" t="s">
        <v>58</v>
      </c>
      <c r="F14" s="2" t="s">
        <v>59</v>
      </c>
      <c r="G14" s="3" t="s">
        <v>14</v>
      </c>
      <c r="H14" s="2" t="s">
        <v>15</v>
      </c>
      <c r="I14" s="4" t="s">
        <v>16</v>
      </c>
    </row>
    <row r="15" spans="1:9" x14ac:dyDescent="0.25">
      <c r="A15" s="2">
        <v>14</v>
      </c>
      <c r="B15" s="2" t="s">
        <v>52</v>
      </c>
      <c r="C15" s="2" t="s">
        <v>53</v>
      </c>
      <c r="D15" s="2" t="s">
        <v>60</v>
      </c>
      <c r="E15" s="2" t="s">
        <v>61</v>
      </c>
      <c r="F15" s="2" t="s">
        <v>62</v>
      </c>
      <c r="G15" s="3" t="s">
        <v>14</v>
      </c>
      <c r="H15" s="2" t="s">
        <v>15</v>
      </c>
      <c r="I15" s="4" t="s">
        <v>16</v>
      </c>
    </row>
    <row r="16" spans="1:9" x14ac:dyDescent="0.25">
      <c r="A16" s="2">
        <v>15</v>
      </c>
      <c r="B16" s="2" t="s">
        <v>52</v>
      </c>
      <c r="C16" s="2" t="s">
        <v>63</v>
      </c>
      <c r="D16" s="2" t="s">
        <v>64</v>
      </c>
      <c r="E16" s="2" t="s">
        <v>65</v>
      </c>
      <c r="F16" s="2" t="s">
        <v>66</v>
      </c>
      <c r="G16" s="5" t="s">
        <v>29</v>
      </c>
      <c r="H16" s="2" t="s">
        <v>15</v>
      </c>
      <c r="I16" s="4" t="s">
        <v>16</v>
      </c>
    </row>
    <row r="17" spans="1:9" x14ac:dyDescent="0.25">
      <c r="A17" s="2">
        <v>16</v>
      </c>
      <c r="B17" s="2" t="s">
        <v>52</v>
      </c>
      <c r="C17" s="2" t="s">
        <v>67</v>
      </c>
      <c r="D17" s="2" t="s">
        <v>68</v>
      </c>
      <c r="E17" s="2" t="s">
        <v>69</v>
      </c>
      <c r="F17" s="2" t="s">
        <v>70</v>
      </c>
      <c r="G17" s="5" t="s">
        <v>29</v>
      </c>
      <c r="H17" s="2" t="s">
        <v>15</v>
      </c>
      <c r="I17" s="4" t="s">
        <v>16</v>
      </c>
    </row>
    <row r="18" spans="1:9" x14ac:dyDescent="0.25">
      <c r="A18" s="2">
        <v>17</v>
      </c>
      <c r="B18" s="2" t="s">
        <v>52</v>
      </c>
      <c r="C18" s="2" t="s">
        <v>71</v>
      </c>
      <c r="D18" s="2" t="s">
        <v>72</v>
      </c>
      <c r="E18" s="2" t="s">
        <v>73</v>
      </c>
      <c r="F18" s="2" t="s">
        <v>74</v>
      </c>
      <c r="G18" s="3" t="s">
        <v>14</v>
      </c>
      <c r="H18" s="2" t="s">
        <v>15</v>
      </c>
      <c r="I18" s="4" t="s">
        <v>16</v>
      </c>
    </row>
    <row r="19" spans="1:9" x14ac:dyDescent="0.25">
      <c r="A19" s="2">
        <v>18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79</v>
      </c>
      <c r="G19" s="3" t="s">
        <v>14</v>
      </c>
      <c r="H19" s="2" t="s">
        <v>15</v>
      </c>
      <c r="I19" s="4" t="s">
        <v>16</v>
      </c>
    </row>
    <row r="20" spans="1:9" x14ac:dyDescent="0.25">
      <c r="A20" s="2">
        <v>19</v>
      </c>
      <c r="B20" s="2" t="s">
        <v>75</v>
      </c>
      <c r="C20" s="2" t="s">
        <v>76</v>
      </c>
      <c r="D20" s="2" t="s">
        <v>80</v>
      </c>
      <c r="E20" s="2" t="s">
        <v>81</v>
      </c>
      <c r="F20" s="2" t="s">
        <v>82</v>
      </c>
      <c r="G20" s="5" t="s">
        <v>29</v>
      </c>
      <c r="H20" s="2" t="s">
        <v>15</v>
      </c>
      <c r="I20" s="4" t="s">
        <v>16</v>
      </c>
    </row>
    <row r="21" spans="1:9" x14ac:dyDescent="0.25">
      <c r="A21" s="2">
        <v>20</v>
      </c>
      <c r="B21" s="2" t="s">
        <v>75</v>
      </c>
      <c r="C21" s="2" t="s">
        <v>76</v>
      </c>
      <c r="D21" s="2" t="s">
        <v>83</v>
      </c>
      <c r="E21" s="2" t="s">
        <v>84</v>
      </c>
      <c r="F21" s="2" t="s">
        <v>85</v>
      </c>
      <c r="G21" s="5" t="s">
        <v>29</v>
      </c>
      <c r="H21" s="2" t="s">
        <v>15</v>
      </c>
      <c r="I21" s="4" t="s">
        <v>16</v>
      </c>
    </row>
    <row r="22" spans="1:9" x14ac:dyDescent="0.25">
      <c r="A22" s="2">
        <v>21</v>
      </c>
      <c r="B22" s="2" t="s">
        <v>75</v>
      </c>
      <c r="C22" s="2" t="s">
        <v>76</v>
      </c>
      <c r="D22" s="2" t="s">
        <v>86</v>
      </c>
      <c r="E22" s="2" t="s">
        <v>87</v>
      </c>
      <c r="F22" s="2" t="s">
        <v>88</v>
      </c>
      <c r="G22" s="6" t="s">
        <v>51</v>
      </c>
      <c r="H22" s="2" t="s">
        <v>15</v>
      </c>
      <c r="I22" s="4" t="s">
        <v>16</v>
      </c>
    </row>
    <row r="23" spans="1:9" x14ac:dyDescent="0.25">
      <c r="A23" s="2">
        <v>22</v>
      </c>
      <c r="B23" s="2" t="s">
        <v>75</v>
      </c>
      <c r="C23" s="2" t="s">
        <v>89</v>
      </c>
      <c r="D23" s="2" t="s">
        <v>90</v>
      </c>
      <c r="E23" s="2" t="s">
        <v>91</v>
      </c>
      <c r="F23" s="2" t="s">
        <v>92</v>
      </c>
      <c r="G23" s="5" t="s">
        <v>29</v>
      </c>
      <c r="H23" s="2" t="s">
        <v>15</v>
      </c>
      <c r="I23" s="4" t="s">
        <v>16</v>
      </c>
    </row>
    <row r="24" spans="1:9" x14ac:dyDescent="0.25">
      <c r="A24" s="2">
        <v>23</v>
      </c>
      <c r="B24" s="2" t="s">
        <v>75</v>
      </c>
      <c r="C24" s="2" t="s">
        <v>89</v>
      </c>
      <c r="D24" s="2" t="s">
        <v>93</v>
      </c>
      <c r="E24" s="2" t="s">
        <v>94</v>
      </c>
      <c r="F24" s="2" t="s">
        <v>95</v>
      </c>
      <c r="G24" s="5" t="s">
        <v>29</v>
      </c>
      <c r="H24" s="2" t="s">
        <v>15</v>
      </c>
      <c r="I24" s="4" t="s">
        <v>16</v>
      </c>
    </row>
    <row r="25" spans="1:9" x14ac:dyDescent="0.25">
      <c r="A25" s="2">
        <v>24</v>
      </c>
      <c r="B25" s="2" t="s">
        <v>75</v>
      </c>
      <c r="C25" s="2" t="s">
        <v>96</v>
      </c>
      <c r="D25" s="2" t="s">
        <v>97</v>
      </c>
      <c r="E25" s="2" t="s">
        <v>98</v>
      </c>
      <c r="F25" s="2" t="s">
        <v>99</v>
      </c>
      <c r="G25" s="5" t="s">
        <v>29</v>
      </c>
      <c r="H25" s="2" t="s">
        <v>15</v>
      </c>
      <c r="I25" s="4" t="s">
        <v>16</v>
      </c>
    </row>
    <row r="26" spans="1:9" x14ac:dyDescent="0.25">
      <c r="A26" s="2">
        <v>25</v>
      </c>
      <c r="B26" s="2" t="s">
        <v>75</v>
      </c>
      <c r="C26" s="2" t="s">
        <v>96</v>
      </c>
      <c r="D26" s="2" t="s">
        <v>100</v>
      </c>
      <c r="E26" s="2" t="s">
        <v>101</v>
      </c>
      <c r="F26" s="2" t="s">
        <v>102</v>
      </c>
      <c r="G26" s="6" t="s">
        <v>51</v>
      </c>
      <c r="H26" s="2" t="s">
        <v>15</v>
      </c>
      <c r="I26" s="4" t="s">
        <v>16</v>
      </c>
    </row>
    <row r="27" spans="1:9" x14ac:dyDescent="0.25">
      <c r="A27" s="2">
        <v>26</v>
      </c>
      <c r="B27" s="2" t="s">
        <v>75</v>
      </c>
      <c r="C27" s="2" t="s">
        <v>96</v>
      </c>
      <c r="D27" s="2" t="s">
        <v>103</v>
      </c>
      <c r="E27" s="2" t="s">
        <v>104</v>
      </c>
      <c r="F27" s="2" t="s">
        <v>105</v>
      </c>
      <c r="G27" s="6" t="s">
        <v>51</v>
      </c>
      <c r="H27" s="2" t="s">
        <v>15</v>
      </c>
      <c r="I27" s="4" t="s">
        <v>16</v>
      </c>
    </row>
    <row r="28" spans="1:9" x14ac:dyDescent="0.25">
      <c r="A28" s="2">
        <v>27</v>
      </c>
      <c r="B28" s="2" t="s">
        <v>75</v>
      </c>
      <c r="C28" s="2" t="s">
        <v>96</v>
      </c>
      <c r="D28" s="2" t="s">
        <v>106</v>
      </c>
      <c r="E28" s="2" t="s">
        <v>107</v>
      </c>
      <c r="F28" s="2" t="s">
        <v>108</v>
      </c>
      <c r="G28" s="6" t="s">
        <v>51</v>
      </c>
      <c r="H28" s="2" t="s">
        <v>15</v>
      </c>
      <c r="I28" s="4" t="s">
        <v>16</v>
      </c>
    </row>
    <row r="29" spans="1:9" x14ac:dyDescent="0.25">
      <c r="A29" s="2">
        <v>28</v>
      </c>
      <c r="B29" s="2" t="s">
        <v>75</v>
      </c>
      <c r="C29" s="2" t="s">
        <v>109</v>
      </c>
      <c r="D29" s="2" t="s">
        <v>110</v>
      </c>
      <c r="E29" s="2" t="s">
        <v>111</v>
      </c>
      <c r="F29" s="2" t="s">
        <v>112</v>
      </c>
      <c r="G29" s="5" t="s">
        <v>29</v>
      </c>
      <c r="H29" s="2" t="s">
        <v>15</v>
      </c>
      <c r="I29" s="4" t="s">
        <v>16</v>
      </c>
    </row>
    <row r="30" spans="1:9" x14ac:dyDescent="0.25">
      <c r="A30" s="2">
        <v>29</v>
      </c>
      <c r="B30" s="2" t="s">
        <v>75</v>
      </c>
      <c r="C30" s="2" t="s">
        <v>113</v>
      </c>
      <c r="D30" s="2" t="s">
        <v>114</v>
      </c>
      <c r="E30" s="2" t="s">
        <v>115</v>
      </c>
      <c r="F30" s="2" t="s">
        <v>116</v>
      </c>
      <c r="G30" s="5" t="s">
        <v>29</v>
      </c>
      <c r="H30" s="2" t="s">
        <v>15</v>
      </c>
      <c r="I30" s="4" t="s">
        <v>16</v>
      </c>
    </row>
    <row r="31" spans="1:9" x14ac:dyDescent="0.25">
      <c r="A31" s="2">
        <v>30</v>
      </c>
      <c r="B31" s="2" t="s">
        <v>75</v>
      </c>
      <c r="C31" s="2" t="s">
        <v>113</v>
      </c>
      <c r="D31" s="2" t="s">
        <v>117</v>
      </c>
      <c r="E31" s="2" t="s">
        <v>118</v>
      </c>
      <c r="F31" s="2" t="s">
        <v>119</v>
      </c>
      <c r="G31" s="5" t="s">
        <v>29</v>
      </c>
      <c r="H31" s="2" t="s">
        <v>15</v>
      </c>
      <c r="I31" s="4" t="s">
        <v>16</v>
      </c>
    </row>
    <row r="32" spans="1:9" x14ac:dyDescent="0.25">
      <c r="A32" s="2">
        <v>31</v>
      </c>
      <c r="B32" s="2" t="s">
        <v>75</v>
      </c>
      <c r="C32" s="2" t="s">
        <v>113</v>
      </c>
      <c r="D32" s="2" t="s">
        <v>120</v>
      </c>
      <c r="E32" s="2" t="s">
        <v>121</v>
      </c>
      <c r="F32" s="2" t="s">
        <v>122</v>
      </c>
      <c r="G32" s="6" t="s">
        <v>51</v>
      </c>
      <c r="H32" s="2" t="s">
        <v>15</v>
      </c>
      <c r="I32" s="4" t="s">
        <v>16</v>
      </c>
    </row>
    <row r="33" spans="1:9" x14ac:dyDescent="0.25">
      <c r="A33" s="2">
        <v>32</v>
      </c>
      <c r="B33" s="2" t="s">
        <v>75</v>
      </c>
      <c r="C33" s="2" t="s">
        <v>123</v>
      </c>
      <c r="D33" s="2" t="s">
        <v>124</v>
      </c>
      <c r="E33" s="2" t="s">
        <v>125</v>
      </c>
      <c r="F33" s="2" t="s">
        <v>126</v>
      </c>
      <c r="G33" s="3" t="s">
        <v>14</v>
      </c>
      <c r="H33" s="2" t="s">
        <v>15</v>
      </c>
      <c r="I33" s="4" t="s">
        <v>16</v>
      </c>
    </row>
    <row r="34" spans="1:9" x14ac:dyDescent="0.25">
      <c r="A34" s="2">
        <v>33</v>
      </c>
      <c r="B34" s="2" t="s">
        <v>75</v>
      </c>
      <c r="C34" s="2" t="s">
        <v>123</v>
      </c>
      <c r="D34" s="2" t="s">
        <v>127</v>
      </c>
      <c r="E34" s="2" t="s">
        <v>128</v>
      </c>
      <c r="F34" s="2" t="s">
        <v>129</v>
      </c>
      <c r="G34" s="5" t="s">
        <v>29</v>
      </c>
      <c r="H34" s="2" t="s">
        <v>15</v>
      </c>
      <c r="I34" s="4" t="s">
        <v>16</v>
      </c>
    </row>
    <row r="35" spans="1:9" x14ac:dyDescent="0.25">
      <c r="A35" s="2">
        <v>34</v>
      </c>
      <c r="B35" s="2" t="s">
        <v>75</v>
      </c>
      <c r="C35" s="2" t="s">
        <v>123</v>
      </c>
      <c r="D35" s="2" t="s">
        <v>130</v>
      </c>
      <c r="E35" s="2" t="s">
        <v>131</v>
      </c>
      <c r="F35" s="2" t="s">
        <v>132</v>
      </c>
      <c r="G35" s="6" t="s">
        <v>51</v>
      </c>
      <c r="H35" s="2" t="s">
        <v>15</v>
      </c>
      <c r="I35" s="4" t="s">
        <v>16</v>
      </c>
    </row>
    <row r="36" spans="1:9" x14ac:dyDescent="0.25">
      <c r="A36" s="2">
        <v>35</v>
      </c>
      <c r="B36" s="2" t="s">
        <v>75</v>
      </c>
      <c r="C36" s="2" t="s">
        <v>133</v>
      </c>
      <c r="D36" s="2" t="s">
        <v>134</v>
      </c>
      <c r="E36" s="2" t="s">
        <v>135</v>
      </c>
      <c r="F36" s="2" t="s">
        <v>136</v>
      </c>
      <c r="G36" s="5" t="s">
        <v>29</v>
      </c>
      <c r="H36" s="2" t="s">
        <v>15</v>
      </c>
      <c r="I36" s="4" t="s">
        <v>16</v>
      </c>
    </row>
    <row r="37" spans="1:9" x14ac:dyDescent="0.25">
      <c r="A37" s="2">
        <v>36</v>
      </c>
      <c r="B37" s="2" t="s">
        <v>75</v>
      </c>
      <c r="C37" s="2" t="s">
        <v>133</v>
      </c>
      <c r="D37" s="2" t="s">
        <v>137</v>
      </c>
      <c r="E37" s="2" t="s">
        <v>138</v>
      </c>
      <c r="F37" s="2" t="s">
        <v>139</v>
      </c>
      <c r="G37" s="5" t="s">
        <v>29</v>
      </c>
      <c r="H37" s="2" t="s">
        <v>15</v>
      </c>
      <c r="I37" s="4" t="s">
        <v>16</v>
      </c>
    </row>
    <row r="38" spans="1:9" x14ac:dyDescent="0.25">
      <c r="A38" s="2">
        <v>37</v>
      </c>
      <c r="B38" s="2" t="s">
        <v>75</v>
      </c>
      <c r="C38" s="2" t="s">
        <v>133</v>
      </c>
      <c r="D38" s="2" t="s">
        <v>140</v>
      </c>
      <c r="E38" s="2" t="s">
        <v>141</v>
      </c>
      <c r="F38" s="2" t="s">
        <v>142</v>
      </c>
      <c r="G38" s="5" t="s">
        <v>29</v>
      </c>
      <c r="H38" s="2" t="s">
        <v>15</v>
      </c>
      <c r="I38" s="4" t="s">
        <v>16</v>
      </c>
    </row>
    <row r="39" spans="1:9" x14ac:dyDescent="0.25">
      <c r="A39" s="2">
        <v>38</v>
      </c>
      <c r="B39" s="2" t="s">
        <v>75</v>
      </c>
      <c r="C39" s="2" t="s">
        <v>143</v>
      </c>
      <c r="D39" s="2" t="s">
        <v>144</v>
      </c>
      <c r="E39" s="2" t="s">
        <v>145</v>
      </c>
      <c r="F39" s="2" t="s">
        <v>146</v>
      </c>
      <c r="G39" s="5" t="s">
        <v>29</v>
      </c>
      <c r="H39" s="2" t="s">
        <v>15</v>
      </c>
      <c r="I39" s="4" t="s">
        <v>16</v>
      </c>
    </row>
    <row r="40" spans="1:9" x14ac:dyDescent="0.25">
      <c r="A40" s="2">
        <v>39</v>
      </c>
      <c r="B40" s="2" t="s">
        <v>75</v>
      </c>
      <c r="C40" s="2" t="s">
        <v>147</v>
      </c>
      <c r="D40" s="2" t="s">
        <v>148</v>
      </c>
      <c r="E40" s="2" t="s">
        <v>149</v>
      </c>
      <c r="F40" s="2" t="s">
        <v>150</v>
      </c>
      <c r="G40" s="5" t="s">
        <v>29</v>
      </c>
      <c r="H40" s="2" t="s">
        <v>15</v>
      </c>
      <c r="I40" s="4" t="s">
        <v>16</v>
      </c>
    </row>
    <row r="41" spans="1:9" x14ac:dyDescent="0.25">
      <c r="A41" s="2">
        <v>40</v>
      </c>
      <c r="B41" s="2" t="s">
        <v>75</v>
      </c>
      <c r="C41" s="2" t="s">
        <v>151</v>
      </c>
      <c r="D41" s="2" t="s">
        <v>152</v>
      </c>
      <c r="E41" s="2" t="s">
        <v>153</v>
      </c>
      <c r="F41" s="2" t="s">
        <v>154</v>
      </c>
      <c r="G41" s="5" t="s">
        <v>29</v>
      </c>
      <c r="H41" s="2" t="s">
        <v>15</v>
      </c>
      <c r="I41" s="4" t="s">
        <v>16</v>
      </c>
    </row>
    <row r="42" spans="1:9" x14ac:dyDescent="0.25">
      <c r="A42" s="2">
        <v>41</v>
      </c>
      <c r="B42" s="2" t="s">
        <v>75</v>
      </c>
      <c r="C42" s="2" t="s">
        <v>151</v>
      </c>
      <c r="D42" s="2" t="s">
        <v>155</v>
      </c>
      <c r="E42" s="2" t="s">
        <v>156</v>
      </c>
      <c r="F42" s="2" t="s">
        <v>157</v>
      </c>
      <c r="G42" s="6" t="s">
        <v>51</v>
      </c>
      <c r="H42" s="2" t="s">
        <v>15</v>
      </c>
      <c r="I42" s="4" t="s">
        <v>16</v>
      </c>
    </row>
    <row r="43" spans="1:9" x14ac:dyDescent="0.25">
      <c r="A43" s="2">
        <v>42</v>
      </c>
      <c r="B43" s="2" t="s">
        <v>75</v>
      </c>
      <c r="C43" s="2" t="s">
        <v>151</v>
      </c>
      <c r="D43" s="2" t="s">
        <v>158</v>
      </c>
      <c r="E43" s="2" t="s">
        <v>159</v>
      </c>
      <c r="F43" s="2" t="s">
        <v>160</v>
      </c>
      <c r="G43" s="6" t="s">
        <v>51</v>
      </c>
      <c r="H43" s="2" t="s">
        <v>15</v>
      </c>
      <c r="I43" s="4" t="s">
        <v>16</v>
      </c>
    </row>
    <row r="44" spans="1:9" x14ac:dyDescent="0.25">
      <c r="A44" s="2">
        <v>43</v>
      </c>
      <c r="B44" s="2" t="s">
        <v>161</v>
      </c>
      <c r="C44" s="2" t="s">
        <v>162</v>
      </c>
      <c r="D44" s="2" t="s">
        <v>163</v>
      </c>
      <c r="E44" s="2" t="s">
        <v>164</v>
      </c>
      <c r="F44" s="2" t="s">
        <v>165</v>
      </c>
      <c r="G44" s="3" t="s">
        <v>14</v>
      </c>
      <c r="H44" s="2" t="s">
        <v>15</v>
      </c>
      <c r="I44" s="4" t="s">
        <v>16</v>
      </c>
    </row>
    <row r="45" spans="1:9" x14ac:dyDescent="0.25">
      <c r="A45" s="2">
        <v>44</v>
      </c>
      <c r="B45" s="2" t="s">
        <v>161</v>
      </c>
      <c r="C45" s="2" t="s">
        <v>162</v>
      </c>
      <c r="D45" s="2" t="s">
        <v>166</v>
      </c>
      <c r="E45" s="2" t="s">
        <v>167</v>
      </c>
      <c r="F45" s="2" t="s">
        <v>168</v>
      </c>
      <c r="G45" s="5" t="s">
        <v>29</v>
      </c>
      <c r="H45" s="2" t="s">
        <v>15</v>
      </c>
      <c r="I45" s="4" t="s">
        <v>16</v>
      </c>
    </row>
    <row r="46" spans="1:9" x14ac:dyDescent="0.25">
      <c r="A46" s="2">
        <v>45</v>
      </c>
      <c r="B46" s="2" t="s">
        <v>161</v>
      </c>
      <c r="C46" s="2" t="s">
        <v>169</v>
      </c>
      <c r="D46" s="2" t="s">
        <v>170</v>
      </c>
      <c r="E46" s="2" t="s">
        <v>171</v>
      </c>
      <c r="F46" s="2" t="s">
        <v>172</v>
      </c>
      <c r="G46" s="5" t="s">
        <v>29</v>
      </c>
      <c r="H46" s="2" t="s">
        <v>15</v>
      </c>
      <c r="I46" s="4" t="s">
        <v>16</v>
      </c>
    </row>
    <row r="47" spans="1:9" x14ac:dyDescent="0.25">
      <c r="A47" s="2">
        <v>46</v>
      </c>
      <c r="B47" s="2" t="s">
        <v>161</v>
      </c>
      <c r="C47" s="2" t="s">
        <v>173</v>
      </c>
      <c r="D47" s="2" t="s">
        <v>174</v>
      </c>
      <c r="E47" s="2" t="s">
        <v>175</v>
      </c>
      <c r="F47" s="2" t="s">
        <v>176</v>
      </c>
      <c r="G47" s="5" t="s">
        <v>29</v>
      </c>
      <c r="H47" s="2" t="s">
        <v>15</v>
      </c>
      <c r="I47" s="4" t="s">
        <v>16</v>
      </c>
    </row>
    <row r="48" spans="1:9" x14ac:dyDescent="0.25">
      <c r="A48" s="2">
        <v>47</v>
      </c>
      <c r="B48" s="2" t="s">
        <v>177</v>
      </c>
      <c r="C48" s="2" t="s">
        <v>178</v>
      </c>
      <c r="D48" s="2" t="s">
        <v>179</v>
      </c>
      <c r="E48" s="2" t="s">
        <v>180</v>
      </c>
      <c r="F48" s="2" t="s">
        <v>181</v>
      </c>
      <c r="G48" s="6" t="s">
        <v>51</v>
      </c>
      <c r="H48" s="2" t="s">
        <v>15</v>
      </c>
      <c r="I48" s="4" t="s">
        <v>16</v>
      </c>
    </row>
    <row r="49" spans="1:9" x14ac:dyDescent="0.25">
      <c r="A49" s="2">
        <v>48</v>
      </c>
      <c r="B49" s="2" t="s">
        <v>177</v>
      </c>
      <c r="C49" s="2" t="s">
        <v>182</v>
      </c>
      <c r="D49" s="2" t="s">
        <v>183</v>
      </c>
      <c r="E49" s="2" t="s">
        <v>184</v>
      </c>
      <c r="F49" s="2" t="s">
        <v>185</v>
      </c>
      <c r="G49" s="6" t="s">
        <v>51</v>
      </c>
      <c r="H49" s="2" t="s">
        <v>15</v>
      </c>
      <c r="I49" s="4" t="s">
        <v>16</v>
      </c>
    </row>
    <row r="50" spans="1:9" x14ac:dyDescent="0.25">
      <c r="A50" s="2">
        <v>49</v>
      </c>
      <c r="B50" s="2" t="s">
        <v>177</v>
      </c>
      <c r="C50" s="2" t="s">
        <v>186</v>
      </c>
      <c r="D50" s="2" t="s">
        <v>187</v>
      </c>
      <c r="E50" s="2" t="s">
        <v>188</v>
      </c>
      <c r="F50" s="2" t="s">
        <v>181</v>
      </c>
      <c r="G50" s="6" t="s">
        <v>51</v>
      </c>
      <c r="H50" s="2" t="s">
        <v>15</v>
      </c>
      <c r="I50" s="4" t="s">
        <v>16</v>
      </c>
    </row>
    <row r="51" spans="1:9" x14ac:dyDescent="0.25">
      <c r="A51" s="2">
        <v>50</v>
      </c>
      <c r="B51" s="2" t="s">
        <v>177</v>
      </c>
      <c r="C51" s="2" t="s">
        <v>186</v>
      </c>
      <c r="D51" s="2" t="s">
        <v>189</v>
      </c>
      <c r="E51" s="2" t="s">
        <v>190</v>
      </c>
      <c r="F51" s="2" t="s">
        <v>181</v>
      </c>
      <c r="G51" s="6" t="s">
        <v>51</v>
      </c>
      <c r="H51" s="2" t="s">
        <v>15</v>
      </c>
      <c r="I51" s="4" t="s">
        <v>16</v>
      </c>
    </row>
  </sheetData>
  <autoFilter ref="A1:I1"/>
  <dataValidations count="2">
    <dataValidation type="list" sqref="H10:H51">
      <formula1>"Open,Answered,Done,Not needed"</formula1>
    </dataValidation>
    <dataValidation type="list" sqref="H2:H51">
      <formula1>"Open,Answered,Done,Not needed"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2" customWidth="1"/>
  </cols>
  <sheetData>
    <row r="1" spans="1:1" s="7" customFormat="1" x14ac:dyDescent="0.25">
      <c r="A1" s="7" t="s">
        <v>191</v>
      </c>
    </row>
    <row r="2" spans="1:2" x14ac:dyDescent="0.25">
      <c r="A2" s="8" t="s">
        <v>9</v>
      </c>
      <c r="B2" s="8">
        <f>COUNTIF('Open items'!B:B,A2)</f>
      </c>
    </row>
    <row r="3" spans="1:2" x14ac:dyDescent="0.25">
      <c r="A3" s="8" t="s">
        <v>52</v>
      </c>
      <c r="B3" s="8">
        <f>COUNTIF('Open items'!B:B,A3)</f>
      </c>
    </row>
    <row r="4" spans="1:2" x14ac:dyDescent="0.25">
      <c r="A4" s="8" t="s">
        <v>75</v>
      </c>
      <c r="B4" s="8">
        <f>COUNTIF('Open items'!B:B,A4)</f>
      </c>
    </row>
    <row r="5" spans="1:2" x14ac:dyDescent="0.25">
      <c r="A5" s="8" t="s">
        <v>161</v>
      </c>
      <c r="B5" s="8">
        <f>COUNTIF('Open items'!B:B,A5)</f>
      </c>
    </row>
    <row r="6" spans="1:2" x14ac:dyDescent="0.25">
      <c r="A6" s="8" t="s">
        <v>177</v>
      </c>
      <c r="B6" s="8">
        <f>COUNTIF('Open items'!B:B,A6)</f>
      </c>
    </row>
    <row r="8" spans="1:2" x14ac:dyDescent="0.25">
      <c r="A8" s="8" t="s">
        <v>192</v>
      </c>
      <c r="B8" s="8">
        <f>COUNTIF('Open items'!H:H,"Open")</f>
      </c>
    </row>
    <row r="9" spans="1:2" x14ac:dyDescent="0.25">
      <c r="A9" s="8" t="s">
        <v>193</v>
      </c>
      <c r="B9" s="8">
        <f>COUNTIFS('Open items'!G:G,"High",'Open items'!H:H,"Open")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items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2026-10-16T06:43:44Z</dcterms:created>
  <dcterms:modified xsi:type="dcterms:W3CDTF">2026-10-16T06:43:44Z</dcterms:modified>
</cp:coreProperties>
</file>